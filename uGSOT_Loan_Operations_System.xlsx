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9_Dashboard" sheetId="1" state="visible" r:id="rId1"/>
    <sheet name="01_Master_Data" sheetId="2" state="visible" r:id="rId2"/>
    <sheet name="02_Configuration" sheetId="3" state="visible" r:id="rId3"/>
    <sheet name="03_Helper" sheetId="4" state="visible" r:id="rId4"/>
    <sheet name="04_Student_360" sheetId="5" state="visible" r:id="rId5"/>
    <sheet name="05_Vendor_Analytics" sheetId="6" state="visible" r:id="rId6"/>
    <sheet name="06_Stage_Analytics" sheetId="7" state="visible" r:id="rId7"/>
    <sheet name="07_Risk_Analytics" sheetId="8" state="visible" r:id="rId8"/>
    <sheet name="08_Dashboard_Tables" sheetId="9" state="visible" r:id="rId9"/>
    <sheet name="10_Ops_Views" sheetId="10" state="visible" r:id="rId10"/>
    <sheet name="11_Documentation" sheetId="11" state="visible" r:id="rId11"/>
  </sheets>
  <definedNames>
    <definedName name="_xlnm._FilterDatabase" localSheetId="1" hidden="1">'01_Master_Data'!$A$1:$AQ$493</definedName>
    <definedName name="_xlnm._FilterDatabase" localSheetId="3" hidden="1">'03_Helper'!$A$1:$AW$493</definedName>
    <definedName name="_xlnm._FilterDatabase" localSheetId="4" hidden="1">'04_Student_360'!$A$1:$Y$493</definedName>
  </definedNames>
  <calcPr calcId="124519" fullCalcOnLoad="1"/>
</workbook>
</file>

<file path=xl/styles.xml><?xml version="1.0" encoding="utf-8"?>
<styleSheet xmlns="http://schemas.openxmlformats.org/spreadsheetml/2006/main">
  <numFmts count="4">
    <numFmt numFmtId="164" formatCode="yyyy-mm-dd h:mm:ss"/>
    <numFmt numFmtId="165" formatCode="yyyy-mm-dd"/>
    <numFmt numFmtId="166" formatCode="DD-MMM-YYYY"/>
    <numFmt numFmtId="167" formatCode="0.0%"/>
  </numFmts>
  <fonts count="24">
    <font>
      <name val="Calibri"/>
      <family val="2"/>
      <color theme="1"/>
      <sz val="11"/>
      <scheme val="minor"/>
    </font>
    <font>
      <name val="Calibri"/>
      <b val="1"/>
      <color rgb="00FFFFFF"/>
      <sz val="11"/>
    </font>
    <font>
      <name val="Calibri"/>
      <color rgb="00111111"/>
      <sz val="10"/>
    </font>
    <font>
      <name val="Calibri"/>
      <b val="1"/>
      <color rgb="00E31C24"/>
      <sz val="22"/>
    </font>
    <font>
      <name val="Calibri"/>
      <color rgb="006B6B6B"/>
      <sz val="9"/>
    </font>
    <font>
      <name val="Calibri"/>
      <b val="1"/>
      <color rgb="00111111"/>
      <sz val="12"/>
    </font>
    <font>
      <b val="1"/>
      <color rgb="00FFFFFF"/>
    </font>
    <font>
      <name val="Calibri"/>
      <b val="1"/>
      <color rgb="00FFFFFF"/>
      <sz val="10"/>
    </font>
    <font>
      <name val="Calibri"/>
      <b val="1"/>
      <color rgb="00111111"/>
      <sz val="11"/>
    </font>
    <font>
      <name val="Calibri"/>
      <color rgb="006B6B6B"/>
      <sz val="8"/>
    </font>
    <font>
      <name val="Calibri"/>
      <b val="1"/>
      <color rgb="00E31C24"/>
      <sz val="11"/>
    </font>
    <font>
      <name val="Calibri"/>
      <b val="1"/>
      <color rgb="00FFFFFF"/>
      <sz val="18"/>
    </font>
    <font>
      <name val="Calibri"/>
      <color rgb="00AAAAAA"/>
      <sz val="8"/>
    </font>
    <font>
      <name val="Calibri"/>
      <b val="1"/>
      <color rgb="00E31C24"/>
      <sz val="10"/>
    </font>
    <font>
      <name val="Calibri"/>
      <b val="1"/>
      <color rgb="00111111"/>
      <sz val="10"/>
    </font>
    <font>
      <name val="Calibri"/>
      <b val="1"/>
      <color rgb="00111111"/>
      <sz val="14"/>
    </font>
    <font>
      <name val="Calibri"/>
      <b val="1"/>
      <color rgb="00111111"/>
      <sz val="18"/>
    </font>
    <font>
      <name val="Calibri"/>
      <b val="1"/>
      <color rgb="00E31C24"/>
      <sz val="18"/>
    </font>
    <font>
      <name val="Calibri"/>
      <color rgb="00E31C24"/>
      <sz val="10"/>
    </font>
    <font>
      <name val="Calibri"/>
      <b val="1"/>
      <color rgb="00E31C24"/>
      <sz val="12"/>
    </font>
    <font>
      <name val="Calibri"/>
      <color rgb="00222222"/>
      <sz val="9"/>
    </font>
    <font>
      <name val="Calibri"/>
      <color rgb="00E31C24"/>
      <sz val="9"/>
    </font>
    <font>
      <name val="Calibri"/>
      <b val="1"/>
      <color rgb="00E31C24"/>
      <sz val="14"/>
    </font>
    <font>
      <name val="Calibri"/>
      <color rgb="001D4ED8"/>
      <sz val="9"/>
    </font>
  </fonts>
  <fills count="10">
    <fill>
      <patternFill/>
    </fill>
    <fill>
      <patternFill patternType="gray125"/>
    </fill>
    <fill>
      <patternFill patternType="solid">
        <fgColor rgb="002B2B2B"/>
      </patternFill>
    </fill>
    <fill>
      <patternFill patternType="solid">
        <fgColor rgb="00FDECEC"/>
      </patternFill>
    </fill>
    <fill>
      <patternFill patternType="solid">
        <fgColor rgb="00E31C24"/>
      </patternFill>
    </fill>
    <fill>
      <patternFill patternType="solid">
        <fgColor rgb="00EEEEEE"/>
      </patternFill>
    </fill>
    <fill>
      <patternFill patternType="solid">
        <fgColor rgb="00F6F6F6"/>
      </patternFill>
    </fill>
    <fill>
      <patternFill patternType="solid">
        <fgColor rgb="00111111"/>
      </patternFill>
    </fill>
    <fill>
      <patternFill patternType="solid">
        <fgColor rgb="00FFFFFF"/>
      </patternFill>
    </fill>
    <fill>
      <patternFill patternType="solid">
        <fgColor rgb="00FFF3CD"/>
      </patternFill>
    </fill>
  </fills>
  <borders count="2">
    <border>
      <left/>
      <right/>
      <top/>
      <bottom/>
      <diagonal/>
    </border>
    <border>
      <left style="thin">
        <color rgb="00E5E5E5"/>
      </left>
      <right style="thin">
        <color rgb="00E5E5E5"/>
      </right>
      <top style="thin">
        <color rgb="00E5E5E5"/>
      </top>
      <bottom style="thin">
        <color rgb="00E5E5E5"/>
      </bottom>
    </border>
  </borders>
  <cellStyleXfs count="1">
    <xf numFmtId="0" fontId="0" fillId="0" borderId="0"/>
  </cellStyleXfs>
  <cellXfs count="59">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1" fontId="2" fillId="0" borderId="1" pivotButton="0" quotePrefix="0" xfId="0"/>
    <xf numFmtId="164" fontId="2" fillId="0" borderId="1" pivotButton="0" quotePrefix="0" xfId="0"/>
    <xf numFmtId="0" fontId="3" fillId="0" borderId="0" pivotButton="0" quotePrefix="0" xfId="0"/>
    <xf numFmtId="0" fontId="4" fillId="0" borderId="0" pivotButton="0" quotePrefix="0" xfId="0"/>
    <xf numFmtId="0" fontId="5" fillId="3" borderId="0" pivotButton="0" quotePrefix="0" xfId="0"/>
    <xf numFmtId="0" fontId="1" fillId="2" borderId="1" pivotButton="0" quotePrefix="0" xfId="0"/>
    <xf numFmtId="0" fontId="0" fillId="0" borderId="1" pivotButton="0" quotePrefix="0" xfId="0"/>
    <xf numFmtId="0" fontId="5" fillId="0" borderId="0" pivotButton="0" quotePrefix="0" xfId="0"/>
    <xf numFmtId="0" fontId="6" fillId="4" borderId="0" pivotButton="0" quotePrefix="0" xfId="0"/>
    <xf numFmtId="165" fontId="0" fillId="0" borderId="0" pivotButton="0" quotePrefix="0" xfId="0"/>
    <xf numFmtId="0" fontId="10" fillId="7" borderId="0" pivotButton="0" quotePrefix="0" xfId="0"/>
    <xf numFmtId="0" fontId="0" fillId="7" borderId="0" pivotButton="0" quotePrefix="0" xfId="0"/>
    <xf numFmtId="0" fontId="12" fillId="7" borderId="0" pivotButton="0" quotePrefix="0" xfId="0"/>
    <xf numFmtId="0" fontId="0" fillId="6" borderId="0" pivotButton="0" quotePrefix="0" xfId="0"/>
    <xf numFmtId="0" fontId="11" fillId="7" borderId="0" pivotButton="0" quotePrefix="0" xfId="0"/>
    <xf numFmtId="0" fontId="1" fillId="7" borderId="0" pivotButton="0" quotePrefix="0" xfId="0"/>
    <xf numFmtId="166" fontId="1" fillId="7" borderId="0" pivotButton="0" quotePrefix="0" xfId="0"/>
    <xf numFmtId="0" fontId="13" fillId="7" borderId="0" pivotButton="0" quotePrefix="0" xfId="0"/>
    <xf numFmtId="0" fontId="8" fillId="3" borderId="0" pivotButton="0" quotePrefix="0" xfId="0"/>
    <xf numFmtId="0" fontId="14" fillId="6" borderId="0" pivotButton="0" quotePrefix="0" xfId="0"/>
    <xf numFmtId="0" fontId="2" fillId="8" borderId="1" pivotButton="0" quotePrefix="0" xfId="0"/>
    <xf numFmtId="0" fontId="9" fillId="6" borderId="0" pivotButton="0" quotePrefix="0" xfId="0"/>
    <xf numFmtId="0" fontId="15" fillId="6" borderId="0" pivotButton="0" quotePrefix="0" xfId="0"/>
    <xf numFmtId="0" fontId="4" fillId="8" borderId="1" applyAlignment="1" pivotButton="0" quotePrefix="0" xfId="0">
      <alignment horizontal="center" vertical="center" wrapText="1"/>
    </xf>
    <xf numFmtId="0" fontId="16" fillId="8" borderId="1" applyAlignment="1" pivotButton="0" quotePrefix="0" xfId="0">
      <alignment horizontal="center" vertical="center" wrapText="1"/>
    </xf>
    <xf numFmtId="0" fontId="17" fillId="8" borderId="1" applyAlignment="1" pivotButton="0" quotePrefix="0" xfId="0">
      <alignment horizontal="center" vertical="center" wrapText="1"/>
    </xf>
    <xf numFmtId="0" fontId="7" fillId="2" borderId="1" applyAlignment="1" pivotButton="0" quotePrefix="0" xfId="0">
      <alignment horizontal="center" vertical="center" wrapText="1"/>
    </xf>
    <xf numFmtId="0" fontId="7" fillId="2" borderId="0" pivotButton="0" quotePrefix="0" xfId="0"/>
    <xf numFmtId="0" fontId="0" fillId="8" borderId="1" pivotButton="0" quotePrefix="0" xfId="0"/>
    <xf numFmtId="0" fontId="16" fillId="8" borderId="1" pivotButton="0" quotePrefix="0" xfId="0"/>
    <xf numFmtId="167" fontId="0" fillId="8" borderId="1" pivotButton="0" quotePrefix="0" xfId="0"/>
    <xf numFmtId="0" fontId="18" fillId="8" borderId="1" pivotButton="0" quotePrefix="0" xfId="0"/>
    <xf numFmtId="0" fontId="19" fillId="8" borderId="1" pivotButton="0" quotePrefix="0" xfId="0"/>
    <xf numFmtId="0" fontId="20" fillId="8" borderId="1" pivotButton="0" quotePrefix="0" xfId="0"/>
    <xf numFmtId="0" fontId="4" fillId="6" borderId="0" pivotButton="0" quotePrefix="0" xfId="0"/>
    <xf numFmtId="0" fontId="21" fillId="8" borderId="1" pivotButton="0" quotePrefix="0" xfId="0"/>
    <xf numFmtId="0" fontId="8" fillId="6" borderId="0" pivotButton="0" quotePrefix="0" xfId="0"/>
    <xf numFmtId="0" fontId="8" fillId="0" borderId="0" pivotButton="0" quotePrefix="0" xfId="0"/>
    <xf numFmtId="0" fontId="9" fillId="0" borderId="0" pivotButton="0" quotePrefix="0" xfId="0"/>
    <xf numFmtId="167" fontId="0" fillId="0" borderId="1" pivotButton="0" quotePrefix="0" xfId="0"/>
    <xf numFmtId="2" fontId="0" fillId="0" borderId="0" pivotButton="0" quotePrefix="0" xfId="0"/>
    <xf numFmtId="0" fontId="7" fillId="2" borderId="1" pivotButton="0" quotePrefix="0" xfId="0"/>
    <xf numFmtId="0" fontId="0" fillId="5" borderId="1" applyAlignment="1" pivotButton="0" quotePrefix="0" xfId="0">
      <alignment horizontal="center" vertical="center" wrapText="1"/>
    </xf>
    <xf numFmtId="0" fontId="0" fillId="0" borderId="1" applyAlignment="1" pivotButton="0" quotePrefix="0" xfId="0">
      <alignment horizontal="center" vertical="center" wrapText="1"/>
    </xf>
    <xf numFmtId="167" fontId="2" fillId="0" borderId="1" pivotButton="0" quotePrefix="0" xfId="0"/>
    <xf numFmtId="0" fontId="5" fillId="0" borderId="1" pivotButton="0" quotePrefix="0" xfId="0"/>
    <xf numFmtId="166" fontId="1" fillId="7" borderId="0" pivotButton="0" quotePrefix="0" xfId="0"/>
    <xf numFmtId="167" fontId="0" fillId="8" borderId="1" pivotButton="0" quotePrefix="0" xfId="0"/>
    <xf numFmtId="167" fontId="0" fillId="0" borderId="1" pivotButton="0" quotePrefix="0" xfId="0"/>
    <xf numFmtId="167" fontId="2" fillId="0" borderId="1" pivotButton="0" quotePrefix="0" xfId="0"/>
    <xf numFmtId="0" fontId="17" fillId="0" borderId="0" pivotButton="0" quotePrefix="0" xfId="0"/>
    <xf numFmtId="0" fontId="22" fillId="8" borderId="1" pivotButton="0" quotePrefix="0" xfId="0"/>
    <xf numFmtId="0" fontId="23" fillId="0" borderId="0" applyAlignment="1" pivotButton="0" quotePrefix="0" xfId="0">
      <alignment vertical="top" wrapText="1"/>
    </xf>
    <xf numFmtId="0" fontId="23" fillId="0" borderId="0" pivotButton="0" quotePrefix="0" xfId="0"/>
    <xf numFmtId="0" fontId="0" fillId="9" borderId="1"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31C24"/>
    <outlinePr summaryBelow="1" summaryRight="1"/>
    <pageSetUpPr/>
  </sheetPr>
  <dimension ref="A1:O69"/>
  <sheetViews>
    <sheetView workbookViewId="0">
      <selection activeCell="A1" sqref="A1"/>
    </sheetView>
  </sheetViews>
  <sheetFormatPr baseColWidth="8" defaultRowHeight="15"/>
  <cols>
    <col width="22" customWidth="1" min="1" max="1"/>
    <col width="14" customWidth="1" min="2" max="2"/>
    <col width="14" customWidth="1" min="3" max="3"/>
    <col width="22" customWidth="1" min="4" max="4"/>
    <col width="14" customWidth="1" min="5" max="5"/>
    <col width="14" customWidth="1" min="6" max="6"/>
    <col width="14" customWidth="1" min="7" max="7"/>
    <col width="22" customWidth="1" min="8" max="8"/>
    <col width="13" customWidth="1" min="9" max="9"/>
    <col width="13" customWidth="1" min="10" max="10"/>
    <col width="13" customWidth="1" min="11" max="11"/>
    <col width="13" customWidth="1" min="12" max="12"/>
  </cols>
  <sheetData>
    <row r="1" ht="18" customHeight="1">
      <c r="A1" s="13" t="inlineStr">
        <is>
          <t>upGrad School of Technology</t>
        </is>
      </c>
      <c r="E1" s="14" t="n"/>
      <c r="F1" s="14" t="n"/>
      <c r="G1" s="14" t="n"/>
      <c r="H1" s="14" t="n"/>
      <c r="I1" s="15" t="inlineStr">
        <is>
          <t>Admission Cycle</t>
        </is>
      </c>
      <c r="J1" s="14" t="n"/>
      <c r="K1" s="15" t="inlineStr">
        <is>
          <t>As of</t>
        </is>
      </c>
      <c r="L1" s="14" t="n"/>
      <c r="M1" s="15" t="inlineStr">
        <is>
          <t>Auto-updating</t>
        </is>
      </c>
      <c r="N1" s="14" t="n"/>
      <c r="O1" s="16" t="n"/>
    </row>
    <row r="2" ht="28" customHeight="1">
      <c r="A2" s="17" t="inlineStr">
        <is>
          <t>LOAN OPERATIONS MANAGEMENT SYSTEM</t>
        </is>
      </c>
      <c r="I2" s="18">
        <f>'02_Configuration'!B83</f>
        <v/>
      </c>
      <c r="J2" s="14" t="n"/>
      <c r="K2" s="49">
        <f>'02_Configuration'!B82</f>
        <v/>
      </c>
      <c r="L2" s="14" t="n"/>
      <c r="M2" s="20" t="inlineStr">
        <is>
          <t>Formula-driven</t>
        </is>
      </c>
      <c r="N2" s="14" t="n"/>
      <c r="O2" s="16" t="n"/>
    </row>
    <row r="3">
      <c r="A3" s="16" t="n"/>
      <c r="B3" s="16" t="n"/>
      <c r="C3" s="16" t="n"/>
      <c r="D3" s="16" t="n"/>
      <c r="E3" s="16" t="n"/>
      <c r="F3" s="16" t="n"/>
      <c r="G3" s="16" t="n"/>
      <c r="H3" s="16" t="n"/>
      <c r="I3" s="16" t="n"/>
      <c r="J3" s="16" t="n"/>
      <c r="K3" s="16" t="n"/>
      <c r="L3" s="16" t="n"/>
      <c r="M3" s="16" t="n"/>
      <c r="N3" s="16" t="n"/>
      <c r="O3" s="16" t="n"/>
    </row>
    <row r="4">
      <c r="A4" s="21" t="inlineStr">
        <is>
          <t>FILTERS</t>
        </is>
      </c>
      <c r="B4" s="22" t="inlineStr">
        <is>
          <t>Campus</t>
        </is>
      </c>
      <c r="C4" s="23">
        <f>'08_Dashboard_Tables'!B4</f>
        <v/>
      </c>
      <c r="D4" s="22" t="inlineStr">
        <is>
          <t>Critical</t>
        </is>
      </c>
      <c r="E4" s="23">
        <f>'08_Dashboard_Tables'!B7</f>
        <v/>
      </c>
      <c r="F4" s="22" t="inlineStr">
        <is>
          <t>Loan Required</t>
        </is>
      </c>
      <c r="G4" s="23">
        <f>'08_Dashboard_Tables'!B8</f>
        <v/>
      </c>
      <c r="H4" s="22" t="inlineStr">
        <is>
          <t>Dup Vendor</t>
        </is>
      </c>
      <c r="I4" s="23">
        <f>'08_Dashboard_Tables'!B9</f>
        <v/>
      </c>
      <c r="J4" s="16" t="n"/>
      <c r="K4" s="24" t="inlineStr">
        <is>
          <t>Edit filters on 08_Dashboard_Tables!B4:B9  →  Ops lists honor them in v2. KPI strip = global truth.</t>
        </is>
      </c>
      <c r="L4" s="16" t="n"/>
      <c r="M4" s="16" t="n"/>
      <c r="N4" s="16" t="n"/>
      <c r="O4" s="16" t="n"/>
    </row>
    <row r="5">
      <c r="A5" s="16" t="n"/>
      <c r="B5" s="16" t="n"/>
      <c r="C5" s="16" t="n"/>
      <c r="D5" s="16" t="n"/>
      <c r="E5" s="16" t="n"/>
      <c r="F5" s="16" t="n"/>
      <c r="G5" s="16" t="n"/>
      <c r="H5" s="16" t="n"/>
      <c r="I5" s="16" t="n"/>
      <c r="J5" s="16" t="n"/>
      <c r="K5" s="16" t="n"/>
      <c r="L5" s="16" t="n"/>
      <c r="M5" s="16" t="n"/>
      <c r="N5" s="16" t="n"/>
      <c r="O5" s="16" t="n"/>
    </row>
    <row r="6">
      <c r="A6" s="25" t="inlineStr">
        <is>
          <t>EXECUTIVE SNAPSHOT</t>
        </is>
      </c>
      <c r="B6" s="16" t="n"/>
      <c r="C6" s="16" t="n"/>
      <c r="D6" s="16" t="n"/>
      <c r="E6" s="16" t="n"/>
      <c r="F6" s="16" t="n"/>
      <c r="G6" s="16" t="n"/>
      <c r="H6" s="16" t="n"/>
      <c r="I6" s="16" t="n"/>
      <c r="J6" s="16" t="n"/>
      <c r="K6" s="16" t="n"/>
      <c r="L6" s="16" t="n"/>
      <c r="M6" s="16" t="n"/>
      <c r="N6" s="16" t="n"/>
      <c r="O6" s="16" t="n"/>
    </row>
    <row r="7">
      <c r="A7" s="26" t="inlineStr">
        <is>
          <t>Total Students</t>
        </is>
      </c>
      <c r="B7" s="26" t="inlineStr">
        <is>
          <t>Need Loan</t>
        </is>
      </c>
      <c r="C7" s="26" t="inlineStr">
        <is>
          <t>Processing</t>
        </is>
      </c>
      <c r="D7" s="26" t="inlineStr">
        <is>
          <t>Docs Pending</t>
        </is>
      </c>
      <c r="E7" s="26" t="inlineStr">
        <is>
          <t>Sanctioned</t>
        </is>
      </c>
      <c r="F7" s="26" t="inlineStr">
        <is>
          <t>Disbursed</t>
        </is>
      </c>
      <c r="G7" s="26" t="inlineStr">
        <is>
          <t>Rejected</t>
        </is>
      </c>
      <c r="H7" s="16" t="n"/>
      <c r="I7" s="16" t="n"/>
      <c r="J7" s="16" t="n"/>
      <c r="K7" s="16" t="n"/>
      <c r="L7" s="16" t="n"/>
      <c r="M7" s="16" t="n"/>
      <c r="N7" s="16" t="n"/>
      <c r="O7" s="16" t="n"/>
    </row>
    <row r="8" ht="32" customHeight="1">
      <c r="A8" s="27">
        <f>'08_Dashboard_Tables'!B13</f>
        <v/>
      </c>
      <c r="B8" s="28">
        <f>'08_Dashboard_Tables'!B14</f>
        <v/>
      </c>
      <c r="C8" s="27">
        <f>'08_Dashboard_Tables'!B16</f>
        <v/>
      </c>
      <c r="D8" s="27">
        <f>'08_Dashboard_Tables'!B17</f>
        <v/>
      </c>
      <c r="E8" s="27">
        <f>'08_Dashboard_Tables'!B18</f>
        <v/>
      </c>
      <c r="F8" s="27">
        <f>'08_Dashboard_Tables'!B19</f>
        <v/>
      </c>
      <c r="G8" s="28">
        <f>'08_Dashboard_Tables'!B20</f>
        <v/>
      </c>
      <c r="H8" s="16" t="n"/>
      <c r="I8" s="16" t="n"/>
      <c r="J8" s="16" t="n"/>
      <c r="K8" s="16" t="n"/>
      <c r="L8" s="16" t="n"/>
      <c r="M8" s="16" t="n"/>
      <c r="N8" s="16" t="n"/>
      <c r="O8" s="16" t="n"/>
    </row>
    <row r="9">
      <c r="A9" s="16" t="n"/>
      <c r="B9" s="16" t="n"/>
      <c r="C9" s="16" t="n"/>
      <c r="D9" s="16" t="n"/>
      <c r="E9" s="16" t="n"/>
      <c r="F9" s="16" t="n"/>
      <c r="G9" s="16" t="n"/>
      <c r="H9" s="16" t="n"/>
      <c r="I9" s="16" t="n"/>
      <c r="J9" s="16" t="n"/>
      <c r="K9" s="16" t="n"/>
      <c r="L9" s="16" t="n"/>
      <c r="M9" s="16" t="n"/>
      <c r="N9" s="16" t="n"/>
      <c r="O9" s="16" t="n"/>
    </row>
    <row r="10">
      <c r="A10" s="26" t="inlineStr">
        <is>
          <t>Need FLDG</t>
        </is>
      </c>
      <c r="B10" s="26" t="inlineStr">
        <is>
          <t>Need Vidyalakshmi</t>
        </is>
      </c>
      <c r="C10" s="26" t="inlineStr">
        <is>
          <t>Critical Cases</t>
        </is>
      </c>
      <c r="D10" s="26" t="inlineStr">
        <is>
          <t>Dup Vendors</t>
        </is>
      </c>
      <c r="E10" s="26" t="inlineStr">
        <is>
          <t>Avg Vendors</t>
        </is>
      </c>
      <c r="F10" s="26" t="inlineStr">
        <is>
          <t>With Vendor</t>
        </is>
      </c>
      <c r="G10" s="26" t="inlineStr">
        <is>
          <t>Not Started</t>
        </is>
      </c>
      <c r="H10" s="16" t="n"/>
      <c r="I10" s="16" t="n"/>
      <c r="J10" s="16" t="n"/>
      <c r="K10" s="16" t="n"/>
      <c r="L10" s="16" t="n"/>
      <c r="M10" s="16" t="n"/>
      <c r="N10" s="16" t="n"/>
      <c r="O10" s="16" t="n"/>
    </row>
    <row r="11" ht="32" customHeight="1">
      <c r="A11" s="28">
        <f>'08_Dashboard_Tables'!B21</f>
        <v/>
      </c>
      <c r="B11" s="28">
        <f>'08_Dashboard_Tables'!B22</f>
        <v/>
      </c>
      <c r="C11" s="28">
        <f>'08_Dashboard_Tables'!B23</f>
        <v/>
      </c>
      <c r="D11" s="27">
        <f>'08_Dashboard_Tables'!B24</f>
        <v/>
      </c>
      <c r="E11" s="27">
        <f>'08_Dashboard_Tables'!B25</f>
        <v/>
      </c>
      <c r="F11" s="27">
        <f>'08_Dashboard_Tables'!B26</f>
        <v/>
      </c>
      <c r="G11" s="27">
        <f>'08_Dashboard_Tables'!B27</f>
        <v/>
      </c>
      <c r="H11" s="16" t="n"/>
      <c r="I11" s="16" t="n"/>
      <c r="J11" s="16" t="n"/>
      <c r="K11" s="16" t="n"/>
      <c r="L11" s="16" t="n"/>
      <c r="M11" s="16" t="n"/>
      <c r="N11" s="16" t="n"/>
      <c r="O11" s="16" t="n"/>
    </row>
    <row r="12">
      <c r="A12" s="16" t="n"/>
      <c r="B12" s="16" t="n"/>
      <c r="C12" s="16" t="n"/>
      <c r="D12" s="16" t="n"/>
      <c r="E12" s="16" t="n"/>
      <c r="F12" s="16" t="n"/>
      <c r="G12" s="16" t="n"/>
      <c r="H12" s="16" t="n"/>
      <c r="I12" s="16" t="n"/>
      <c r="J12" s="16" t="n"/>
      <c r="K12" s="16" t="n"/>
      <c r="L12" s="16" t="n"/>
      <c r="M12" s="16" t="n"/>
      <c r="N12" s="16" t="n"/>
      <c r="O12" s="16" t="n"/>
    </row>
    <row r="13">
      <c r="A13" s="25" t="inlineStr">
        <is>
          <t>LOAN FUNNEL</t>
        </is>
      </c>
      <c r="B13" s="16" t="n"/>
      <c r="C13" s="16" t="n"/>
      <c r="D13" s="16" t="n"/>
      <c r="E13" s="16" t="n"/>
      <c r="F13" s="25" t="inlineStr">
        <is>
          <t>VENDOR PERFORMANCE</t>
        </is>
      </c>
      <c r="G13" s="16" t="n"/>
      <c r="H13" s="16" t="n"/>
      <c r="I13" s="16" t="n"/>
      <c r="J13" s="16" t="n"/>
      <c r="K13" s="16" t="n"/>
      <c r="L13" s="16" t="n"/>
      <c r="M13" s="16" t="n"/>
      <c r="N13" s="16" t="n"/>
      <c r="O13" s="16" t="n"/>
    </row>
    <row r="14">
      <c r="A14" s="29" t="inlineStr">
        <is>
          <t>Stage</t>
        </is>
      </c>
      <c r="B14" s="29" t="inlineStr">
        <is>
          <t>Students</t>
        </is>
      </c>
      <c r="C14" s="29" t="inlineStr">
        <is>
          <t>vs Need Loan</t>
        </is>
      </c>
      <c r="D14" s="30" t="inlineStr">
        <is>
          <t>Bar</t>
        </is>
      </c>
      <c r="E14" s="16" t="n"/>
      <c r="F14" s="29" t="inlineStr">
        <is>
          <t>Vendor</t>
        </is>
      </c>
      <c r="G14" s="29" t="inlineStr">
        <is>
          <t>Unique</t>
        </is>
      </c>
      <c r="H14" s="29" t="inlineStr">
        <is>
          <t>Apps</t>
        </is>
      </c>
      <c r="I14" s="29" t="inlineStr">
        <is>
          <t>In Status</t>
        </is>
      </c>
      <c r="J14" s="29" t="inlineStr">
        <is>
          <t>Sanctioned</t>
        </is>
      </c>
      <c r="K14" s="29" t="inlineStr">
        <is>
          <t>Critical</t>
        </is>
      </c>
      <c r="L14" s="29" t="inlineStr">
        <is>
          <t>Appr%</t>
        </is>
      </c>
      <c r="M14" s="16" t="n"/>
      <c r="N14" s="16" t="n"/>
      <c r="O14" s="16" t="n"/>
    </row>
    <row r="15">
      <c r="A15" s="31">
        <f>'08_Dashboard_Tables'!D13</f>
        <v/>
      </c>
      <c r="B15" s="32">
        <f>'08_Dashboard_Tables'!E13</f>
        <v/>
      </c>
      <c r="C15" s="50">
        <f>'08_Dashboard_Tables'!F13</f>
        <v/>
      </c>
      <c r="D15" s="34">
        <f>IF($B$15=0,"",REPT("█",ROUND(B15/$B$15*20,0)))</f>
        <v/>
      </c>
      <c r="E15" s="16" t="n"/>
      <c r="F15" s="31">
        <f>'08_Dashboard_Tables'!A38</f>
        <v/>
      </c>
      <c r="G15" s="31">
        <f>'08_Dashboard_Tables'!B38</f>
        <v/>
      </c>
      <c r="H15" s="31">
        <f>'08_Dashboard_Tables'!C38</f>
        <v/>
      </c>
      <c r="I15" s="31">
        <f>'08_Dashboard_Tables'!D38</f>
        <v/>
      </c>
      <c r="J15" s="31">
        <f>'08_Dashboard_Tables'!E38</f>
        <v/>
      </c>
      <c r="K15" s="31">
        <f>'08_Dashboard_Tables'!F38</f>
        <v/>
      </c>
      <c r="L15" s="50">
        <f>'08_Dashboard_Tables'!G38</f>
        <v/>
      </c>
      <c r="M15" s="16" t="n"/>
      <c r="N15" s="16" t="n"/>
      <c r="O15" s="16" t="n"/>
    </row>
    <row r="16">
      <c r="A16" s="31">
        <f>'08_Dashboard_Tables'!D14</f>
        <v/>
      </c>
      <c r="B16" s="23">
        <f>'08_Dashboard_Tables'!E14</f>
        <v/>
      </c>
      <c r="C16" s="50">
        <f>'08_Dashboard_Tables'!F14</f>
        <v/>
      </c>
      <c r="D16" s="34">
        <f>IF($B$15=0,"",REPT("█",ROUND(B16/$B$15*20,0)))</f>
        <v/>
      </c>
      <c r="E16" s="16" t="n"/>
      <c r="F16" s="31">
        <f>'08_Dashboard_Tables'!A39</f>
        <v/>
      </c>
      <c r="G16" s="31">
        <f>'08_Dashboard_Tables'!B39</f>
        <v/>
      </c>
      <c r="H16" s="31">
        <f>'08_Dashboard_Tables'!C39</f>
        <v/>
      </c>
      <c r="I16" s="31">
        <f>'08_Dashboard_Tables'!D39</f>
        <v/>
      </c>
      <c r="J16" s="31">
        <f>'08_Dashboard_Tables'!E39</f>
        <v/>
      </c>
      <c r="K16" s="31">
        <f>'08_Dashboard_Tables'!F39</f>
        <v/>
      </c>
      <c r="L16" s="50">
        <f>'08_Dashboard_Tables'!G39</f>
        <v/>
      </c>
      <c r="M16" s="16" t="n"/>
      <c r="N16" s="16" t="n"/>
      <c r="O16" s="16" t="n"/>
    </row>
    <row r="17">
      <c r="A17" s="31">
        <f>'08_Dashboard_Tables'!D15</f>
        <v/>
      </c>
      <c r="B17" s="23">
        <f>'08_Dashboard_Tables'!E15</f>
        <v/>
      </c>
      <c r="C17" s="50">
        <f>'08_Dashboard_Tables'!F15</f>
        <v/>
      </c>
      <c r="D17" s="34">
        <f>IF($B$15=0,"",REPT("█",ROUND(B17/$B$15*20,0)))</f>
        <v/>
      </c>
      <c r="E17" s="16" t="n"/>
      <c r="F17" s="31">
        <f>'08_Dashboard_Tables'!A40</f>
        <v/>
      </c>
      <c r="G17" s="31">
        <f>'08_Dashboard_Tables'!B40</f>
        <v/>
      </c>
      <c r="H17" s="31">
        <f>'08_Dashboard_Tables'!C40</f>
        <v/>
      </c>
      <c r="I17" s="31">
        <f>'08_Dashboard_Tables'!D40</f>
        <v/>
      </c>
      <c r="J17" s="31">
        <f>'08_Dashboard_Tables'!E40</f>
        <v/>
      </c>
      <c r="K17" s="31">
        <f>'08_Dashboard_Tables'!F40</f>
        <v/>
      </c>
      <c r="L17" s="50">
        <f>'08_Dashboard_Tables'!G40</f>
        <v/>
      </c>
      <c r="M17" s="16" t="n"/>
      <c r="N17" s="16" t="n"/>
      <c r="O17" s="16" t="n"/>
    </row>
    <row r="18">
      <c r="A18" s="31">
        <f>'08_Dashboard_Tables'!D16</f>
        <v/>
      </c>
      <c r="B18" s="23">
        <f>'08_Dashboard_Tables'!E16</f>
        <v/>
      </c>
      <c r="C18" s="50">
        <f>'08_Dashboard_Tables'!F16</f>
        <v/>
      </c>
      <c r="D18" s="34">
        <f>IF($B$15=0,"",REPT("█",ROUND(B18/$B$15*20,0)))</f>
        <v/>
      </c>
      <c r="E18" s="16" t="n"/>
      <c r="F18" s="31">
        <f>'08_Dashboard_Tables'!A41</f>
        <v/>
      </c>
      <c r="G18" s="31">
        <f>'08_Dashboard_Tables'!B41</f>
        <v/>
      </c>
      <c r="H18" s="31">
        <f>'08_Dashboard_Tables'!C41</f>
        <v/>
      </c>
      <c r="I18" s="31">
        <f>'08_Dashboard_Tables'!D41</f>
        <v/>
      </c>
      <c r="J18" s="31">
        <f>'08_Dashboard_Tables'!E41</f>
        <v/>
      </c>
      <c r="K18" s="31">
        <f>'08_Dashboard_Tables'!F41</f>
        <v/>
      </c>
      <c r="L18" s="50">
        <f>'08_Dashboard_Tables'!G41</f>
        <v/>
      </c>
      <c r="M18" s="16" t="n"/>
      <c r="N18" s="16" t="n"/>
      <c r="O18" s="16" t="n"/>
    </row>
    <row r="19">
      <c r="A19" s="31">
        <f>'08_Dashboard_Tables'!D17</f>
        <v/>
      </c>
      <c r="B19" s="23">
        <f>'08_Dashboard_Tables'!E17</f>
        <v/>
      </c>
      <c r="C19" s="50">
        <f>'08_Dashboard_Tables'!F17</f>
        <v/>
      </c>
      <c r="D19" s="34">
        <f>IF($B$15=0,"",REPT("█",ROUND(B19/$B$15*20,0)))</f>
        <v/>
      </c>
      <c r="E19" s="16" t="n"/>
      <c r="F19" s="31">
        <f>'08_Dashboard_Tables'!A42</f>
        <v/>
      </c>
      <c r="G19" s="31">
        <f>'08_Dashboard_Tables'!B42</f>
        <v/>
      </c>
      <c r="H19" s="31">
        <f>'08_Dashboard_Tables'!C42</f>
        <v/>
      </c>
      <c r="I19" s="31">
        <f>'08_Dashboard_Tables'!D42</f>
        <v/>
      </c>
      <c r="J19" s="31">
        <f>'08_Dashboard_Tables'!E42</f>
        <v/>
      </c>
      <c r="K19" s="31">
        <f>'08_Dashboard_Tables'!F42</f>
        <v/>
      </c>
      <c r="L19" s="50">
        <f>'08_Dashboard_Tables'!G42</f>
        <v/>
      </c>
      <c r="M19" s="16" t="n"/>
      <c r="N19" s="16" t="n"/>
      <c r="O19" s="16" t="n"/>
    </row>
    <row r="20">
      <c r="A20" s="31">
        <f>'08_Dashboard_Tables'!D18</f>
        <v/>
      </c>
      <c r="B20" s="23">
        <f>'08_Dashboard_Tables'!E18</f>
        <v/>
      </c>
      <c r="C20" s="50">
        <f>'08_Dashboard_Tables'!F18</f>
        <v/>
      </c>
      <c r="D20" s="34">
        <f>IF($B$15=0,"",REPT("█",ROUND(B20/$B$15*20,0)))</f>
        <v/>
      </c>
      <c r="E20" s="16" t="n"/>
      <c r="F20" s="16" t="n"/>
      <c r="G20" s="16" t="n"/>
      <c r="H20" s="16" t="n"/>
      <c r="I20" s="16" t="n"/>
      <c r="J20" s="16" t="n"/>
      <c r="K20" s="16" t="n"/>
      <c r="L20" s="16" t="n"/>
      <c r="M20" s="16" t="n"/>
      <c r="N20" s="16" t="n"/>
      <c r="O20" s="16" t="n"/>
    </row>
    <row r="21">
      <c r="A21" s="16" t="n"/>
      <c r="B21" s="16" t="n"/>
      <c r="C21" s="16" t="n"/>
      <c r="D21" s="16" t="n"/>
      <c r="E21" s="16" t="n"/>
      <c r="F21" s="24" t="inlineStr">
        <is>
          <t>Overlap matrix → see 05_Vendor_Analytics (heatmap)</t>
        </is>
      </c>
      <c r="G21" s="16" t="n"/>
      <c r="H21" s="16" t="n"/>
      <c r="I21" s="16" t="n"/>
      <c r="J21" s="16" t="n"/>
      <c r="K21" s="16" t="n"/>
      <c r="L21" s="16" t="n"/>
      <c r="M21" s="16" t="n"/>
      <c r="N21" s="16" t="n"/>
      <c r="O21" s="16" t="n"/>
    </row>
    <row r="22">
      <c r="A22" s="25" t="inlineStr">
        <is>
          <t>CAMPUS PERFORMANCE</t>
        </is>
      </c>
      <c r="B22" s="16" t="n"/>
      <c r="C22" s="16" t="n"/>
      <c r="D22" s="16" t="n"/>
      <c r="E22" s="16" t="n"/>
      <c r="F22" s="16" t="n"/>
      <c r="G22" s="16" t="n"/>
      <c r="H22" s="16" t="n"/>
      <c r="I22" s="16" t="n"/>
      <c r="J22" s="16" t="n"/>
      <c r="K22" s="16" t="n"/>
      <c r="L22" s="16" t="n"/>
      <c r="M22" s="16" t="n"/>
      <c r="N22" s="16" t="n"/>
      <c r="O22" s="16" t="n"/>
    </row>
    <row r="23">
      <c r="A23" s="29" t="inlineStr">
        <is>
          <t>Campus</t>
        </is>
      </c>
      <c r="B23" s="29" t="inlineStr">
        <is>
          <t>Total</t>
        </is>
      </c>
      <c r="C23" s="29" t="inlineStr">
        <is>
          <t>Need Loan</t>
        </is>
      </c>
      <c r="D23" s="29" t="inlineStr">
        <is>
          <t>Processing</t>
        </is>
      </c>
      <c r="E23" s="29" t="inlineStr">
        <is>
          <t>Sanctioned</t>
        </is>
      </c>
      <c r="F23" s="29" t="inlineStr">
        <is>
          <t>Disbursed</t>
        </is>
      </c>
      <c r="G23" s="29" t="inlineStr">
        <is>
          <t>Rejected</t>
        </is>
      </c>
      <c r="H23" s="29" t="inlineStr">
        <is>
          <t>Critical</t>
        </is>
      </c>
      <c r="I23" s="16" t="n"/>
      <c r="J23" s="16" t="n"/>
      <c r="K23" s="16" t="n"/>
      <c r="L23" s="16" t="n"/>
      <c r="M23" s="16" t="n"/>
      <c r="N23" s="16" t="n"/>
      <c r="O23" s="16" t="n"/>
    </row>
    <row r="24">
      <c r="A24" s="31">
        <f>'08_Dashboard_Tables'!H13</f>
        <v/>
      </c>
      <c r="B24" s="31">
        <f>'08_Dashboard_Tables'!I13</f>
        <v/>
      </c>
      <c r="C24" s="31">
        <f>'08_Dashboard_Tables'!J13</f>
        <v/>
      </c>
      <c r="D24" s="31">
        <f>'08_Dashboard_Tables'!K13</f>
        <v/>
      </c>
      <c r="E24" s="31">
        <f>'08_Dashboard_Tables'!L13</f>
        <v/>
      </c>
      <c r="F24" s="31">
        <f>'08_Dashboard_Tables'!M13</f>
        <v/>
      </c>
      <c r="G24" s="31">
        <f>'08_Dashboard_Tables'!N13</f>
        <v/>
      </c>
      <c r="H24" s="31">
        <f>'08_Dashboard_Tables'!O13</f>
        <v/>
      </c>
      <c r="I24" s="16" t="n"/>
      <c r="J24" s="16" t="n"/>
      <c r="K24" s="16" t="n"/>
      <c r="L24" s="16" t="n"/>
      <c r="M24" s="16" t="n"/>
      <c r="N24" s="16" t="n"/>
      <c r="O24" s="16" t="n"/>
    </row>
    <row r="25">
      <c r="A25" s="31">
        <f>'08_Dashboard_Tables'!H14</f>
        <v/>
      </c>
      <c r="B25" s="31">
        <f>'08_Dashboard_Tables'!I14</f>
        <v/>
      </c>
      <c r="C25" s="31">
        <f>'08_Dashboard_Tables'!J14</f>
        <v/>
      </c>
      <c r="D25" s="31">
        <f>'08_Dashboard_Tables'!K14</f>
        <v/>
      </c>
      <c r="E25" s="31">
        <f>'08_Dashboard_Tables'!L14</f>
        <v/>
      </c>
      <c r="F25" s="31">
        <f>'08_Dashboard_Tables'!M14</f>
        <v/>
      </c>
      <c r="G25" s="31">
        <f>'08_Dashboard_Tables'!N14</f>
        <v/>
      </c>
      <c r="H25" s="31">
        <f>'08_Dashboard_Tables'!O14</f>
        <v/>
      </c>
      <c r="I25" s="16" t="n"/>
      <c r="J25" s="16" t="n"/>
      <c r="K25" s="16" t="n"/>
      <c r="L25" s="16" t="n"/>
      <c r="M25" s="16" t="n"/>
      <c r="N25" s="16" t="n"/>
      <c r="O25" s="16" t="n"/>
    </row>
    <row r="26">
      <c r="A26" s="16" t="n"/>
      <c r="B26" s="16" t="n"/>
      <c r="C26" s="16" t="n"/>
      <c r="D26" s="16" t="n"/>
      <c r="E26" s="16" t="n"/>
      <c r="F26" s="16" t="n"/>
      <c r="G26" s="16" t="n"/>
      <c r="H26" s="16" t="n"/>
      <c r="I26" s="16" t="n"/>
      <c r="J26" s="16" t="n"/>
      <c r="K26" s="16" t="n"/>
      <c r="L26" s="16" t="n"/>
      <c r="M26" s="16" t="n"/>
      <c r="N26" s="16" t="n"/>
      <c r="O26" s="16" t="n"/>
    </row>
    <row r="27">
      <c r="A27" s="25" t="inlineStr">
        <is>
          <t>RISK DASHBOARD</t>
        </is>
      </c>
      <c r="B27" s="16" t="n"/>
      <c r="C27" s="16" t="n"/>
      <c r="D27" s="25" t="inlineStr">
        <is>
          <t>STUDENT AGEING</t>
        </is>
      </c>
      <c r="E27" s="16" t="n"/>
      <c r="F27" s="16" t="n"/>
      <c r="G27" s="16" t="n"/>
      <c r="H27" s="25" t="inlineStr">
        <is>
          <t>DROP-OFF REASONS</t>
        </is>
      </c>
      <c r="I27" s="16" t="n"/>
      <c r="J27" s="16" t="n"/>
      <c r="K27" s="16" t="n"/>
      <c r="L27" s="16" t="n"/>
      <c r="M27" s="16" t="n"/>
      <c r="N27" s="16" t="n"/>
      <c r="O27" s="16" t="n"/>
    </row>
    <row r="28">
      <c r="A28" s="29" t="inlineStr">
        <is>
          <t>Flag</t>
        </is>
      </c>
      <c r="B28" s="29" t="inlineStr">
        <is>
          <t>Count</t>
        </is>
      </c>
      <c r="C28" s="16" t="n"/>
      <c r="D28" s="29" t="inlineStr">
        <is>
          <t>Bucket</t>
        </is>
      </c>
      <c r="E28" s="29" t="inlineStr">
        <is>
          <t>Count</t>
        </is>
      </c>
      <c r="F28" s="16" t="n"/>
      <c r="G28" s="16" t="n"/>
      <c r="H28" s="29" t="inlineStr">
        <is>
          <t>Reason</t>
        </is>
      </c>
      <c r="I28" s="29" t="inlineStr">
        <is>
          <t>Count</t>
        </is>
      </c>
      <c r="J28" s="16" t="n"/>
      <c r="K28" s="16" t="n"/>
      <c r="L28" s="16" t="n"/>
      <c r="M28" s="16" t="n"/>
      <c r="N28" s="16" t="n"/>
      <c r="O28" s="16" t="n"/>
    </row>
    <row r="29">
      <c r="A29" s="31">
        <f>'08_Dashboard_Tables'!A48</f>
        <v/>
      </c>
      <c r="B29" s="35">
        <f>'08_Dashboard_Tables'!B48</f>
        <v/>
      </c>
      <c r="C29" s="16" t="n"/>
      <c r="D29" s="31">
        <f>'08_Dashboard_Tables'!D48</f>
        <v/>
      </c>
      <c r="E29" s="31">
        <f>'08_Dashboard_Tables'!E48</f>
        <v/>
      </c>
      <c r="F29" s="36">
        <f>IF(SUM($E$29:$E$34)=0,"",REPT("█",ROUND(E29/MAX($E$29:$E$34)*15,0)))</f>
        <v/>
      </c>
      <c r="G29" s="16" t="n"/>
      <c r="H29" s="31">
        <f>'08_Dashboard_Tables'!G48</f>
        <v/>
      </c>
      <c r="I29" s="31">
        <f>'08_Dashboard_Tables'!H48</f>
        <v/>
      </c>
      <c r="J29" s="16" t="n"/>
      <c r="K29" s="16" t="n"/>
      <c r="L29" s="16" t="n"/>
      <c r="M29" s="16" t="n"/>
      <c r="N29" s="16" t="n"/>
      <c r="O29" s="16" t="n"/>
    </row>
    <row r="30">
      <c r="A30" s="31">
        <f>'08_Dashboard_Tables'!A49</f>
        <v/>
      </c>
      <c r="B30" s="35">
        <f>'08_Dashboard_Tables'!B49</f>
        <v/>
      </c>
      <c r="C30" s="16" t="n"/>
      <c r="D30" s="31">
        <f>'08_Dashboard_Tables'!D49</f>
        <v/>
      </c>
      <c r="E30" s="31">
        <f>'08_Dashboard_Tables'!E49</f>
        <v/>
      </c>
      <c r="F30" s="36">
        <f>IF(SUM($E$29:$E$34)=0,"",REPT("█",ROUND(E30/MAX($E$29:$E$34)*15,0)))</f>
        <v/>
      </c>
      <c r="G30" s="16" t="n"/>
      <c r="H30" s="31">
        <f>'08_Dashboard_Tables'!G49</f>
        <v/>
      </c>
      <c r="I30" s="31">
        <f>'08_Dashboard_Tables'!H49</f>
        <v/>
      </c>
      <c r="J30" s="16" t="n"/>
      <c r="K30" s="16" t="n"/>
      <c r="L30" s="16" t="n"/>
      <c r="M30" s="16" t="n"/>
      <c r="N30" s="16" t="n"/>
      <c r="O30" s="16" t="n"/>
    </row>
    <row r="31">
      <c r="A31" s="31">
        <f>'08_Dashboard_Tables'!A50</f>
        <v/>
      </c>
      <c r="B31" s="35">
        <f>'08_Dashboard_Tables'!B50</f>
        <v/>
      </c>
      <c r="C31" s="16" t="n"/>
      <c r="D31" s="31">
        <f>'08_Dashboard_Tables'!D50</f>
        <v/>
      </c>
      <c r="E31" s="31">
        <f>'08_Dashboard_Tables'!E50</f>
        <v/>
      </c>
      <c r="F31" s="36">
        <f>IF(SUM($E$29:$E$34)=0,"",REPT("█",ROUND(E31/MAX($E$29:$E$34)*15,0)))</f>
        <v/>
      </c>
      <c r="G31" s="16" t="n"/>
      <c r="H31" s="31">
        <f>'08_Dashboard_Tables'!G50</f>
        <v/>
      </c>
      <c r="I31" s="31">
        <f>'08_Dashboard_Tables'!H50</f>
        <v/>
      </c>
      <c r="J31" s="16" t="n"/>
      <c r="K31" s="16" t="n"/>
      <c r="L31" s="16" t="n"/>
      <c r="M31" s="16" t="n"/>
      <c r="N31" s="16" t="n"/>
      <c r="O31" s="16" t="n"/>
    </row>
    <row r="32">
      <c r="A32" s="31">
        <f>'08_Dashboard_Tables'!A51</f>
        <v/>
      </c>
      <c r="B32" s="31">
        <f>'08_Dashboard_Tables'!B51</f>
        <v/>
      </c>
      <c r="C32" s="16" t="n"/>
      <c r="D32" s="31">
        <f>'08_Dashboard_Tables'!D51</f>
        <v/>
      </c>
      <c r="E32" s="31">
        <f>'08_Dashboard_Tables'!E51</f>
        <v/>
      </c>
      <c r="F32" s="36">
        <f>IF(SUM($E$29:$E$34)=0,"",REPT("█",ROUND(E32/MAX($E$29:$E$34)*15,0)))</f>
        <v/>
      </c>
      <c r="G32" s="16" t="n"/>
      <c r="H32" s="31">
        <f>'08_Dashboard_Tables'!G51</f>
        <v/>
      </c>
      <c r="I32" s="31">
        <f>'08_Dashboard_Tables'!H51</f>
        <v/>
      </c>
      <c r="J32" s="16" t="n"/>
      <c r="K32" s="16" t="n"/>
      <c r="L32" s="16" t="n"/>
      <c r="M32" s="16" t="n"/>
      <c r="N32" s="16" t="n"/>
      <c r="O32" s="16" t="n"/>
    </row>
    <row r="33">
      <c r="A33" s="31">
        <f>'08_Dashboard_Tables'!A52</f>
        <v/>
      </c>
      <c r="B33" s="31">
        <f>'08_Dashboard_Tables'!B52</f>
        <v/>
      </c>
      <c r="C33" s="16" t="n"/>
      <c r="D33" s="31">
        <f>'08_Dashboard_Tables'!D52</f>
        <v/>
      </c>
      <c r="E33" s="31">
        <f>'08_Dashboard_Tables'!E52</f>
        <v/>
      </c>
      <c r="F33" s="36">
        <f>IF(SUM($E$29:$E$34)=0,"",REPT("█",ROUND(E33/MAX($E$29:$E$34)*15,0)))</f>
        <v/>
      </c>
      <c r="G33" s="16" t="n"/>
      <c r="H33" s="31">
        <f>'08_Dashboard_Tables'!G52</f>
        <v/>
      </c>
      <c r="I33" s="31">
        <f>'08_Dashboard_Tables'!H52</f>
        <v/>
      </c>
      <c r="J33" s="16" t="n"/>
      <c r="K33" s="16" t="n"/>
      <c r="L33" s="16" t="n"/>
      <c r="M33" s="16" t="n"/>
      <c r="N33" s="16" t="n"/>
      <c r="O33" s="16" t="n"/>
    </row>
    <row r="34">
      <c r="A34" s="31">
        <f>'08_Dashboard_Tables'!A53</f>
        <v/>
      </c>
      <c r="B34" s="31">
        <f>'08_Dashboard_Tables'!B53</f>
        <v/>
      </c>
      <c r="C34" s="16" t="n"/>
      <c r="D34" s="31">
        <f>'08_Dashboard_Tables'!D53</f>
        <v/>
      </c>
      <c r="E34" s="31">
        <f>'08_Dashboard_Tables'!E53</f>
        <v/>
      </c>
      <c r="F34" s="36">
        <f>IF(SUM($E$29:$E$34)=0,"",REPT("█",ROUND(E34/MAX($E$29:$E$34)*15,0)))</f>
        <v/>
      </c>
      <c r="G34" s="16" t="n"/>
      <c r="H34" s="31">
        <f>'08_Dashboard_Tables'!G53</f>
        <v/>
      </c>
      <c r="I34" s="31">
        <f>'08_Dashboard_Tables'!H53</f>
        <v/>
      </c>
      <c r="J34" s="16" t="n"/>
      <c r="K34" s="16" t="n"/>
      <c r="L34" s="16" t="n"/>
      <c r="M34" s="16" t="n"/>
      <c r="N34" s="16" t="n"/>
      <c r="O34" s="16" t="n"/>
    </row>
    <row r="35">
      <c r="A35" s="31">
        <f>'08_Dashboard_Tables'!A54</f>
        <v/>
      </c>
      <c r="B35" s="31">
        <f>'08_Dashboard_Tables'!B54</f>
        <v/>
      </c>
      <c r="C35" s="16" t="n"/>
      <c r="D35" s="16" t="n"/>
      <c r="E35" s="16" t="n"/>
      <c r="F35" s="16" t="n"/>
      <c r="G35" s="16" t="n"/>
      <c r="H35" s="31">
        <f>'08_Dashboard_Tables'!G54</f>
        <v/>
      </c>
      <c r="I35" s="31">
        <f>'08_Dashboard_Tables'!H54</f>
        <v/>
      </c>
      <c r="J35" s="16" t="n"/>
      <c r="K35" s="16" t="n"/>
      <c r="L35" s="16" t="n"/>
      <c r="M35" s="16" t="n"/>
      <c r="N35" s="16" t="n"/>
      <c r="O35" s="16" t="n"/>
    </row>
    <row r="36">
      <c r="A36" s="31">
        <f>'08_Dashboard_Tables'!A55</f>
        <v/>
      </c>
      <c r="B36" s="31">
        <f>'08_Dashboard_Tables'!B55</f>
        <v/>
      </c>
      <c r="C36" s="16" t="n"/>
      <c r="D36" s="16" t="n"/>
      <c r="E36" s="16" t="n"/>
      <c r="F36" s="16" t="n"/>
      <c r="G36" s="16" t="n"/>
      <c r="H36" s="31">
        <f>'08_Dashboard_Tables'!G55</f>
        <v/>
      </c>
      <c r="I36" s="31">
        <f>'08_Dashboard_Tables'!H55</f>
        <v/>
      </c>
      <c r="J36" s="16" t="n"/>
      <c r="K36" s="16" t="n"/>
      <c r="L36" s="16" t="n"/>
      <c r="M36" s="16" t="n"/>
      <c r="N36" s="16" t="n"/>
      <c r="O36" s="16" t="n"/>
    </row>
    <row r="37">
      <c r="A37" s="31">
        <f>'08_Dashboard_Tables'!A56</f>
        <v/>
      </c>
      <c r="B37" s="31">
        <f>'08_Dashboard_Tables'!B56</f>
        <v/>
      </c>
      <c r="C37" s="16" t="n"/>
      <c r="D37" s="16" t="n"/>
      <c r="E37" s="16" t="n"/>
      <c r="F37" s="16" t="n"/>
      <c r="G37" s="16" t="n"/>
      <c r="H37" s="31">
        <f>'08_Dashboard_Tables'!G56</f>
        <v/>
      </c>
      <c r="I37" s="31">
        <f>'08_Dashboard_Tables'!H56</f>
        <v/>
      </c>
      <c r="J37" s="16" t="n"/>
      <c r="K37" s="16" t="n"/>
      <c r="L37" s="16" t="n"/>
      <c r="M37" s="16" t="n"/>
      <c r="N37" s="16" t="n"/>
      <c r="O37" s="16" t="n"/>
    </row>
    <row r="38">
      <c r="A38" s="31">
        <f>'08_Dashboard_Tables'!A57</f>
        <v/>
      </c>
      <c r="B38" s="31">
        <f>'08_Dashboard_Tables'!B57</f>
        <v/>
      </c>
      <c r="C38" s="16" t="n"/>
      <c r="D38" s="16" t="n"/>
      <c r="E38" s="16" t="n"/>
      <c r="F38" s="16" t="n"/>
      <c r="G38" s="16" t="n"/>
      <c r="H38" s="16" t="n"/>
      <c r="I38" s="16" t="n"/>
      <c r="J38" s="16" t="n"/>
      <c r="K38" s="16" t="n"/>
      <c r="L38" s="16" t="n"/>
      <c r="M38" s="16" t="n"/>
      <c r="N38" s="16" t="n"/>
      <c r="O38" s="16" t="n"/>
    </row>
    <row r="39">
      <c r="A39" s="16" t="n"/>
      <c r="B39" s="16" t="n"/>
      <c r="C39" s="16" t="n"/>
      <c r="D39" s="16" t="n"/>
      <c r="E39" s="16" t="n"/>
      <c r="F39" s="16" t="n"/>
      <c r="G39" s="16" t="n"/>
      <c r="H39" s="16" t="n"/>
      <c r="I39" s="16" t="n"/>
      <c r="J39" s="16" t="n"/>
      <c r="K39" s="16" t="n"/>
      <c r="L39" s="16" t="n"/>
      <c r="M39" s="16" t="n"/>
      <c r="N39" s="16" t="n"/>
      <c r="O39" s="16" t="n"/>
    </row>
    <row r="40">
      <c r="A40" s="16" t="n"/>
      <c r="B40" s="16" t="n"/>
      <c r="C40" s="16" t="n"/>
      <c r="D40" s="16" t="n"/>
      <c r="E40" s="16" t="n"/>
      <c r="F40" s="16" t="n"/>
      <c r="G40" s="16" t="n"/>
      <c r="H40" s="16" t="n"/>
      <c r="I40" s="16" t="n"/>
      <c r="J40" s="16" t="n"/>
      <c r="K40" s="16" t="n"/>
      <c r="L40" s="16" t="n"/>
      <c r="M40" s="16" t="n"/>
      <c r="N40" s="16" t="n"/>
      <c r="O40" s="16" t="n"/>
    </row>
    <row r="41">
      <c r="A41" s="25" t="inlineStr">
        <is>
          <t>LOAN STATUS DISTRIBUTION</t>
        </is>
      </c>
      <c r="B41" s="16" t="n"/>
      <c r="C41" s="16" t="n"/>
      <c r="D41" s="16" t="n"/>
      <c r="E41" s="16" t="n"/>
      <c r="F41" s="25" t="inlineStr">
        <is>
          <t>TOP PENDING STUDENTS</t>
        </is>
      </c>
      <c r="G41" s="16" t="n"/>
      <c r="H41" s="16" t="n"/>
      <c r="I41" s="16" t="n"/>
      <c r="J41" s="16" t="n"/>
      <c r="K41" s="16" t="n"/>
      <c r="L41" s="16" t="n"/>
      <c r="M41" s="16" t="n"/>
      <c r="N41" s="16" t="n"/>
      <c r="O41" s="16" t="n"/>
    </row>
    <row r="42">
      <c r="A42" s="29" t="inlineStr">
        <is>
          <t>Stage</t>
        </is>
      </c>
      <c r="B42" s="29" t="inlineStr">
        <is>
          <t>Count</t>
        </is>
      </c>
      <c r="C42" s="29" t="inlineStr">
        <is>
          <t>Share</t>
        </is>
      </c>
      <c r="D42" s="16" t="n"/>
      <c r="E42" s="16" t="n"/>
      <c r="F42" s="37" t="inlineStr">
        <is>
          <t>See sheet 10_Ops_Views for live Top Pending, FLDG list, Vidyalakshmi list, and student search.</t>
        </is>
      </c>
      <c r="M42" s="16" t="n"/>
      <c r="N42" s="16" t="n"/>
      <c r="O42" s="16" t="n"/>
    </row>
    <row r="43">
      <c r="A43" s="31">
        <f>'08_Dashboard_Tables'!A62</f>
        <v/>
      </c>
      <c r="B43" s="31">
        <f>'08_Dashboard_Tables'!B62</f>
        <v/>
      </c>
      <c r="C43" s="50">
        <f>IF(SUM($B$43:$B$54)=0,0,B43/SUM($B$43:$B$54))</f>
        <v/>
      </c>
      <c r="D43" s="38">
        <f>IF(SUM($B$43:$B$54)=0,"",REPT("█",ROUND(B43/MAX($B$43:$B$54)*18,0)))</f>
        <v/>
      </c>
      <c r="E43" s="16" t="n"/>
      <c r="F43" s="16" t="n"/>
      <c r="G43" s="16" t="n"/>
      <c r="H43" s="16" t="n"/>
      <c r="I43" s="16" t="n"/>
      <c r="J43" s="16" t="n"/>
      <c r="K43" s="16" t="n"/>
      <c r="L43" s="16" t="n"/>
      <c r="M43" s="16" t="n"/>
      <c r="N43" s="16" t="n"/>
      <c r="O43" s="16" t="n"/>
    </row>
    <row r="44">
      <c r="A44" s="31">
        <f>'08_Dashboard_Tables'!A63</f>
        <v/>
      </c>
      <c r="B44" s="31">
        <f>'08_Dashboard_Tables'!B63</f>
        <v/>
      </c>
      <c r="C44" s="50">
        <f>IF(SUM($B$43:$B$54)=0,0,B44/SUM($B$43:$B$54))</f>
        <v/>
      </c>
      <c r="D44" s="38">
        <f>IF(SUM($B$43:$B$54)=0,"",REPT("█",ROUND(B44/MAX($B$43:$B$54)*18,0)))</f>
        <v/>
      </c>
      <c r="E44" s="16" t="n"/>
      <c r="F44" s="39" t="inlineStr">
        <is>
          <t>QUICK NAVIGATION</t>
        </is>
      </c>
      <c r="G44" s="16" t="n"/>
      <c r="H44" s="16" t="n"/>
      <c r="I44" s="16" t="n"/>
      <c r="J44" s="16" t="n"/>
      <c r="K44" s="16" t="n"/>
      <c r="L44" s="16" t="n"/>
      <c r="M44" s="16" t="n"/>
      <c r="N44" s="16" t="n"/>
      <c r="O44" s="16" t="n"/>
    </row>
    <row r="45">
      <c r="A45" s="31">
        <f>'08_Dashboard_Tables'!A64</f>
        <v/>
      </c>
      <c r="B45" s="31">
        <f>'08_Dashboard_Tables'!B64</f>
        <v/>
      </c>
      <c r="C45" s="50">
        <f>IF(SUM($B$43:$B$54)=0,0,B45/SUM($B$43:$B$54))</f>
        <v/>
      </c>
      <c r="D45" s="38">
        <f>IF(SUM($B$43:$B$54)=0,"",REPT("█",ROUND(B45/MAX($B$43:$B$54)*18,0)))</f>
        <v/>
      </c>
      <c r="E45" s="16" t="n"/>
      <c r="F45" s="23" t="inlineStr">
        <is>
          <t>→ 04_Student_360 — One row per student</t>
        </is>
      </c>
      <c r="G45" s="16" t="n"/>
      <c r="H45" s="16" t="n"/>
      <c r="I45" s="16" t="n"/>
      <c r="J45" s="16" t="n"/>
      <c r="K45" s="16" t="n"/>
      <c r="L45" s="16" t="n"/>
      <c r="M45" s="16" t="n"/>
      <c r="N45" s="16" t="n"/>
      <c r="O45" s="16" t="n"/>
    </row>
    <row r="46">
      <c r="A46" s="31">
        <f>'08_Dashboard_Tables'!A65</f>
        <v/>
      </c>
      <c r="B46" s="31">
        <f>'08_Dashboard_Tables'!B65</f>
        <v/>
      </c>
      <c r="C46" s="50">
        <f>IF(SUM($B$43:$B$54)=0,0,B46/SUM($B$43:$B$54))</f>
        <v/>
      </c>
      <c r="D46" s="38">
        <f>IF(SUM($B$43:$B$54)=0,"",REPT("█",ROUND(B46/MAX($B$43:$B$54)*18,0)))</f>
        <v/>
      </c>
      <c r="E46" s="16" t="n"/>
      <c r="F46" s="23" t="inlineStr">
        <is>
          <t>→ 05_Vendor_Analytics — Unique vs Apps + Overlap heatmap</t>
        </is>
      </c>
      <c r="G46" s="16" t="n"/>
      <c r="H46" s="16" t="n"/>
      <c r="I46" s="16" t="n"/>
      <c r="J46" s="16" t="n"/>
      <c r="K46" s="16" t="n"/>
      <c r="L46" s="16" t="n"/>
      <c r="M46" s="16" t="n"/>
      <c r="N46" s="16" t="n"/>
      <c r="O46" s="16" t="n"/>
    </row>
    <row r="47">
      <c r="A47" s="31">
        <f>'08_Dashboard_Tables'!A66</f>
        <v/>
      </c>
      <c r="B47" s="31">
        <f>'08_Dashboard_Tables'!B66</f>
        <v/>
      </c>
      <c r="C47" s="50">
        <f>IF(SUM($B$43:$B$54)=0,0,B47/SUM($B$43:$B$54))</f>
        <v/>
      </c>
      <c r="D47" s="38">
        <f>IF(SUM($B$43:$B$54)=0,"",REPT("█",ROUND(B47/MAX($B$43:$B$54)*18,0)))</f>
        <v/>
      </c>
      <c r="E47" s="16" t="n"/>
      <c r="F47" s="23" t="inlineStr">
        <is>
          <t>→ 06_Stage_Analytics — Full funnel</t>
        </is>
      </c>
      <c r="G47" s="16" t="n"/>
      <c r="H47" s="16" t="n"/>
      <c r="I47" s="16" t="n"/>
      <c r="J47" s="16" t="n"/>
      <c r="K47" s="16" t="n"/>
      <c r="L47" s="16" t="n"/>
      <c r="M47" s="16" t="n"/>
      <c r="N47" s="16" t="n"/>
      <c r="O47" s="16" t="n"/>
    </row>
    <row r="48">
      <c r="A48" s="31">
        <f>'08_Dashboard_Tables'!A67</f>
        <v/>
      </c>
      <c r="B48" s="31">
        <f>'08_Dashboard_Tables'!B67</f>
        <v/>
      </c>
      <c r="C48" s="50">
        <f>IF(SUM($B$43:$B$54)=0,0,B48/SUM($B$43:$B$54))</f>
        <v/>
      </c>
      <c r="D48" s="38">
        <f>IF(SUM($B$43:$B$54)=0,"",REPT("█",ROUND(B48/MAX($B$43:$B$54)*18,0)))</f>
        <v/>
      </c>
      <c r="E48" s="16" t="n"/>
      <c r="F48" s="23" t="inlineStr">
        <is>
          <t>→ 07_Risk_Analytics — Risk &amp; reasons</t>
        </is>
      </c>
      <c r="G48" s="16" t="n"/>
      <c r="H48" s="16" t="n"/>
      <c r="I48" s="16" t="n"/>
      <c r="J48" s="16" t="n"/>
      <c r="K48" s="16" t="n"/>
      <c r="L48" s="16" t="n"/>
      <c r="M48" s="16" t="n"/>
      <c r="N48" s="16" t="n"/>
      <c r="O48" s="16" t="n"/>
    </row>
    <row r="49">
      <c r="A49" s="31">
        <f>'08_Dashboard_Tables'!A68</f>
        <v/>
      </c>
      <c r="B49" s="31">
        <f>'08_Dashboard_Tables'!B68</f>
        <v/>
      </c>
      <c r="C49" s="50">
        <f>IF(SUM($B$43:$B$54)=0,0,B49/SUM($B$43:$B$54))</f>
        <v/>
      </c>
      <c r="D49" s="38">
        <f>IF(SUM($B$43:$B$54)=0,"",REPT("█",ROUND(B49/MAX($B$43:$B$54)*18,0)))</f>
        <v/>
      </c>
      <c r="E49" s="16" t="n"/>
      <c r="F49" s="23" t="inlineStr">
        <is>
          <t>→ 10_Ops_Views — Action lists</t>
        </is>
      </c>
      <c r="G49" s="16" t="n"/>
      <c r="H49" s="16" t="n"/>
      <c r="I49" s="16" t="n"/>
      <c r="J49" s="16" t="n"/>
      <c r="K49" s="16" t="n"/>
      <c r="L49" s="16" t="n"/>
      <c r="M49" s="16" t="n"/>
      <c r="N49" s="16" t="n"/>
      <c r="O49" s="16" t="n"/>
    </row>
    <row r="50">
      <c r="A50" s="31">
        <f>'08_Dashboard_Tables'!A69</f>
        <v/>
      </c>
      <c r="B50" s="31">
        <f>'08_Dashboard_Tables'!B69</f>
        <v/>
      </c>
      <c r="C50" s="50">
        <f>IF(SUM($B$43:$B$54)=0,0,B50/SUM($B$43:$B$54))</f>
        <v/>
      </c>
      <c r="D50" s="38">
        <f>IF(SUM($B$43:$B$54)=0,"",REPT("█",ROUND(B50/MAX($B$43:$B$54)*18,0)))</f>
        <v/>
      </c>
      <c r="E50" s="16" t="n"/>
      <c r="F50" s="23" t="inlineStr">
        <is>
          <t>→ 01_Master_Data — Edit data here ONLY</t>
        </is>
      </c>
      <c r="G50" s="16" t="n"/>
      <c r="H50" s="16" t="n"/>
      <c r="I50" s="16" t="n"/>
      <c r="J50" s="16" t="n"/>
      <c r="K50" s="16" t="n"/>
      <c r="L50" s="16" t="n"/>
      <c r="M50" s="16" t="n"/>
      <c r="N50" s="16" t="n"/>
      <c r="O50" s="16" t="n"/>
    </row>
    <row r="51">
      <c r="A51" s="31">
        <f>'08_Dashboard_Tables'!A70</f>
        <v/>
      </c>
      <c r="B51" s="31">
        <f>'08_Dashboard_Tables'!B70</f>
        <v/>
      </c>
      <c r="C51" s="50">
        <f>IF(SUM($B$43:$B$54)=0,0,B51/SUM($B$43:$B$54))</f>
        <v/>
      </c>
      <c r="D51" s="38">
        <f>IF(SUM($B$43:$B$54)=0,"",REPT("█",ROUND(B51/MAX($B$43:$B$54)*18,0)))</f>
        <v/>
      </c>
      <c r="E51" s="16" t="n"/>
      <c r="F51" s="23" t="inlineStr">
        <is>
          <t>→ 11_Documentation — Dictionary &amp; rules</t>
        </is>
      </c>
      <c r="G51" s="16" t="n"/>
      <c r="H51" s="16" t="n"/>
      <c r="I51" s="16" t="n"/>
      <c r="J51" s="16" t="n"/>
      <c r="K51" s="16" t="n"/>
      <c r="L51" s="16" t="n"/>
      <c r="M51" s="16" t="n"/>
      <c r="N51" s="16" t="n"/>
      <c r="O51" s="16" t="n"/>
    </row>
    <row r="52">
      <c r="A52" s="31">
        <f>'08_Dashboard_Tables'!A71</f>
        <v/>
      </c>
      <c r="B52" s="31">
        <f>'08_Dashboard_Tables'!B71</f>
        <v/>
      </c>
      <c r="C52" s="50">
        <f>IF(SUM($B$43:$B$54)=0,0,B52/SUM($B$43:$B$54))</f>
        <v/>
      </c>
      <c r="D52" s="38">
        <f>IF(SUM($B$43:$B$54)=0,"",REPT("█",ROUND(B52/MAX($B$43:$B$54)*18,0)))</f>
        <v/>
      </c>
      <c r="E52" s="16" t="n"/>
      <c r="F52" s="16" t="n"/>
      <c r="G52" s="16" t="n"/>
      <c r="H52" s="16" t="n"/>
      <c r="I52" s="16" t="n"/>
      <c r="J52" s="16" t="n"/>
      <c r="K52" s="16" t="n"/>
      <c r="L52" s="16" t="n"/>
      <c r="M52" s="16" t="n"/>
      <c r="N52" s="16" t="n"/>
      <c r="O52" s="16" t="n"/>
    </row>
    <row r="53">
      <c r="A53" s="31">
        <f>'08_Dashboard_Tables'!A72</f>
        <v/>
      </c>
      <c r="B53" s="31">
        <f>'08_Dashboard_Tables'!B72</f>
        <v/>
      </c>
      <c r="C53" s="50">
        <f>IF(SUM($B$43:$B$54)=0,0,B53/SUM($B$43:$B$54))</f>
        <v/>
      </c>
      <c r="D53" s="38">
        <f>IF(SUM($B$43:$B$54)=0,"",REPT("█",ROUND(B53/MAX($B$43:$B$54)*18,0)))</f>
        <v/>
      </c>
      <c r="E53" s="16" t="n"/>
      <c r="F53" s="16" t="n"/>
      <c r="G53" s="16" t="n"/>
      <c r="H53" s="16" t="n"/>
      <c r="I53" s="16" t="n"/>
      <c r="J53" s="16" t="n"/>
      <c r="K53" s="16" t="n"/>
      <c r="L53" s="16" t="n"/>
      <c r="M53" s="16" t="n"/>
      <c r="N53" s="16" t="n"/>
      <c r="O53" s="16" t="n"/>
    </row>
    <row r="54">
      <c r="A54" s="31">
        <f>'08_Dashboard_Tables'!A73</f>
        <v/>
      </c>
      <c r="B54" s="31">
        <f>'08_Dashboard_Tables'!B73</f>
        <v/>
      </c>
      <c r="C54" s="50">
        <f>IF(SUM($B$43:$B$54)=0,0,B54/SUM($B$43:$B$54))</f>
        <v/>
      </c>
      <c r="D54" s="38">
        <f>IF(SUM($B$43:$B$54)=0,"",REPT("█",ROUND(B54/MAX($B$43:$B$54)*18,0)))</f>
        <v/>
      </c>
      <c r="E54" s="16" t="n"/>
      <c r="F54" s="16" t="n"/>
      <c r="G54" s="16" t="n"/>
      <c r="H54" s="16" t="n"/>
      <c r="I54" s="16" t="n"/>
      <c r="J54" s="16" t="n"/>
      <c r="K54" s="16" t="n"/>
      <c r="L54" s="16" t="n"/>
      <c r="M54" s="16" t="n"/>
      <c r="N54" s="16" t="n"/>
      <c r="O54" s="16" t="n"/>
    </row>
    <row r="55">
      <c r="A55" s="16" t="n"/>
      <c r="B55" s="16" t="n"/>
      <c r="C55" s="16" t="n"/>
      <c r="D55" s="16" t="n"/>
      <c r="E55" s="16" t="n"/>
      <c r="F55" s="16" t="n"/>
      <c r="G55" s="16" t="n"/>
      <c r="H55" s="16" t="n"/>
      <c r="I55" s="16" t="n"/>
      <c r="J55" s="16" t="n"/>
      <c r="K55" s="16" t="n"/>
      <c r="L55" s="16" t="n"/>
      <c r="M55" s="16" t="n"/>
      <c r="N55" s="16" t="n"/>
      <c r="O55" s="16" t="n"/>
    </row>
    <row r="56">
      <c r="A56" s="24" t="inlineStr">
        <is>
          <t>Leadership should read this sheet in under 30 seconds. Operations should open 10_Ops_Views for drill-down.</t>
        </is>
      </c>
      <c r="B56" s="16" t="n"/>
      <c r="C56" s="16" t="n"/>
      <c r="D56" s="16" t="n"/>
      <c r="E56" s="16" t="n"/>
      <c r="F56" s="16" t="n"/>
      <c r="G56" s="16" t="n"/>
      <c r="H56" s="16" t="n"/>
      <c r="I56" s="16" t="n"/>
      <c r="J56" s="16" t="n"/>
      <c r="K56" s="16" t="n"/>
      <c r="L56" s="16" t="n"/>
      <c r="M56" s="16" t="n"/>
      <c r="N56" s="16" t="n"/>
      <c r="O56" s="16" t="n"/>
    </row>
    <row r="57">
      <c r="A57" s="16" t="n"/>
      <c r="B57" s="16" t="n"/>
      <c r="C57" s="16" t="n"/>
      <c r="D57" s="16" t="n"/>
      <c r="E57" s="16" t="n"/>
      <c r="F57" s="16" t="n"/>
      <c r="G57" s="16" t="n"/>
      <c r="H57" s="16" t="n"/>
      <c r="I57" s="16" t="n"/>
      <c r="J57" s="16" t="n"/>
      <c r="K57" s="16" t="n"/>
      <c r="L57" s="16" t="n"/>
      <c r="M57" s="16" t="n"/>
      <c r="N57" s="16" t="n"/>
      <c r="O57" s="16" t="n"/>
    </row>
    <row r="58">
      <c r="A58" s="16" t="n"/>
      <c r="B58" s="16" t="n"/>
      <c r="C58" s="16" t="n"/>
      <c r="D58" s="16" t="n"/>
      <c r="E58" s="16" t="n"/>
      <c r="F58" s="16" t="n"/>
      <c r="G58" s="16" t="n"/>
      <c r="H58" s="16" t="n"/>
      <c r="I58" s="16" t="n"/>
      <c r="J58" s="16" t="n"/>
      <c r="K58" s="16" t="n"/>
      <c r="L58" s="16" t="n"/>
      <c r="M58" s="16" t="n"/>
      <c r="N58" s="16" t="n"/>
      <c r="O58" s="16" t="n"/>
    </row>
    <row r="59">
      <c r="A59" s="16" t="n"/>
      <c r="B59" s="16" t="n"/>
      <c r="C59" s="16" t="n"/>
      <c r="D59" s="16" t="n"/>
      <c r="E59" s="16" t="n"/>
      <c r="F59" s="16" t="n"/>
      <c r="G59" s="16" t="n"/>
      <c r="H59" s="16" t="n"/>
      <c r="I59" s="16" t="n"/>
      <c r="J59" s="16" t="n"/>
      <c r="K59" s="16" t="n"/>
      <c r="L59" s="16" t="n"/>
      <c r="M59" s="16" t="n"/>
      <c r="N59" s="16" t="n"/>
      <c r="O59" s="16" t="n"/>
    </row>
    <row r="60">
      <c r="A60" s="16" t="n"/>
      <c r="B60" s="16" t="n"/>
      <c r="C60" s="16" t="n"/>
      <c r="D60" s="16" t="n"/>
      <c r="E60" s="16" t="n"/>
      <c r="F60" s="16" t="n"/>
      <c r="G60" s="16" t="n"/>
      <c r="H60" s="16" t="n"/>
      <c r="I60" s="16" t="n"/>
      <c r="J60" s="16" t="n"/>
      <c r="K60" s="16" t="n"/>
      <c r="L60" s="16" t="n"/>
      <c r="M60" s="16" t="n"/>
      <c r="N60" s="16" t="n"/>
      <c r="O60" s="16" t="n"/>
    </row>
    <row r="61">
      <c r="A61" s="16" t="n"/>
      <c r="B61" s="16" t="n"/>
      <c r="C61" s="16" t="n"/>
      <c r="D61" s="16" t="n"/>
      <c r="E61" s="16" t="n"/>
      <c r="F61" s="16" t="n"/>
      <c r="G61" s="16" t="n"/>
      <c r="H61" s="16" t="n"/>
      <c r="I61" s="16" t="n"/>
      <c r="J61" s="16" t="n"/>
      <c r="K61" s="16" t="n"/>
      <c r="L61" s="16" t="n"/>
      <c r="M61" s="16" t="n"/>
      <c r="N61" s="16" t="n"/>
      <c r="O61" s="16" t="n"/>
    </row>
    <row r="62">
      <c r="A62" s="16" t="n"/>
      <c r="B62" s="16" t="n"/>
      <c r="C62" s="16" t="n"/>
      <c r="D62" s="16" t="n"/>
      <c r="E62" s="16" t="n"/>
      <c r="F62" s="16" t="n"/>
      <c r="G62" s="16" t="n"/>
      <c r="H62" s="16" t="n"/>
      <c r="I62" s="16" t="n"/>
      <c r="J62" s="16" t="n"/>
      <c r="K62" s="16" t="n"/>
      <c r="L62" s="16" t="n"/>
      <c r="M62" s="16" t="n"/>
      <c r="N62" s="16" t="n"/>
      <c r="O62" s="16" t="n"/>
    </row>
    <row r="63">
      <c r="A63" s="16" t="n"/>
      <c r="B63" s="16" t="n"/>
      <c r="C63" s="16" t="n"/>
      <c r="D63" s="16" t="n"/>
      <c r="E63" s="16" t="n"/>
      <c r="F63" s="16" t="n"/>
      <c r="G63" s="16" t="n"/>
      <c r="H63" s="16" t="n"/>
      <c r="I63" s="16" t="n"/>
      <c r="J63" s="16" t="n"/>
      <c r="K63" s="16" t="n"/>
      <c r="L63" s="16" t="n"/>
      <c r="M63" s="16" t="n"/>
      <c r="N63" s="16" t="n"/>
      <c r="O63" s="16" t="n"/>
    </row>
    <row r="64">
      <c r="A64" s="16" t="n"/>
      <c r="B64" s="16" t="n"/>
      <c r="C64" s="16" t="n"/>
      <c r="D64" s="16" t="n"/>
      <c r="E64" s="16" t="n"/>
      <c r="F64" s="16" t="n"/>
      <c r="G64" s="16" t="n"/>
      <c r="H64" s="16" t="n"/>
      <c r="I64" s="16" t="n"/>
      <c r="J64" s="16" t="n"/>
      <c r="K64" s="16" t="n"/>
      <c r="L64" s="16" t="n"/>
      <c r="M64" s="16" t="n"/>
      <c r="N64" s="16" t="n"/>
      <c r="O64" s="16" t="n"/>
    </row>
    <row r="65">
      <c r="A65" s="16" t="n"/>
      <c r="B65" s="16" t="n"/>
      <c r="C65" s="16" t="n"/>
      <c r="D65" s="16" t="n"/>
      <c r="E65" s="16" t="n"/>
      <c r="F65" s="16" t="n"/>
      <c r="G65" s="16" t="n"/>
      <c r="H65" s="16" t="n"/>
      <c r="I65" s="16" t="n"/>
      <c r="J65" s="16" t="n"/>
      <c r="K65" s="16" t="n"/>
      <c r="L65" s="16" t="n"/>
      <c r="M65" s="16" t="n"/>
      <c r="N65" s="16" t="n"/>
      <c r="O65" s="16" t="n"/>
    </row>
    <row r="66">
      <c r="A66" s="16" t="n"/>
      <c r="B66" s="16" t="n"/>
      <c r="C66" s="16" t="n"/>
      <c r="D66" s="16" t="n"/>
      <c r="E66" s="16" t="n"/>
      <c r="F66" s="16" t="n"/>
      <c r="G66" s="16" t="n"/>
      <c r="H66" s="16" t="n"/>
      <c r="I66" s="16" t="n"/>
      <c r="J66" s="16" t="n"/>
      <c r="K66" s="16" t="n"/>
      <c r="L66" s="16" t="n"/>
      <c r="M66" s="16" t="n"/>
      <c r="N66" s="16" t="n"/>
      <c r="O66" s="16" t="n"/>
    </row>
    <row r="67">
      <c r="A67" s="16" t="n"/>
      <c r="B67" s="16" t="n"/>
      <c r="C67" s="16" t="n"/>
      <c r="D67" s="16" t="n"/>
      <c r="E67" s="16" t="n"/>
      <c r="F67" s="16" t="n"/>
      <c r="G67" s="16" t="n"/>
      <c r="H67" s="16" t="n"/>
      <c r="I67" s="16" t="n"/>
      <c r="J67" s="16" t="n"/>
      <c r="K67" s="16" t="n"/>
      <c r="L67" s="16" t="n"/>
      <c r="M67" s="16" t="n"/>
      <c r="N67" s="16" t="n"/>
      <c r="O67" s="16" t="n"/>
    </row>
    <row r="68">
      <c r="A68" s="16" t="n"/>
      <c r="B68" s="16" t="n"/>
      <c r="C68" s="16" t="n"/>
      <c r="D68" s="16" t="n"/>
      <c r="E68" s="16" t="n"/>
      <c r="F68" s="16" t="n"/>
      <c r="G68" s="16" t="n"/>
      <c r="H68" s="16" t="n"/>
      <c r="I68" s="16" t="n"/>
      <c r="J68" s="16" t="n"/>
      <c r="K68" s="16" t="n"/>
      <c r="L68" s="16" t="n"/>
      <c r="M68" s="16" t="n"/>
      <c r="N68" s="16" t="n"/>
      <c r="O68" s="16" t="n"/>
    </row>
    <row r="69">
      <c r="A69" s="16" t="n"/>
      <c r="B69" s="16" t="n"/>
      <c r="C69" s="16" t="n"/>
      <c r="D69" s="16" t="n"/>
      <c r="E69" s="16" t="n"/>
      <c r="F69" s="16" t="n"/>
      <c r="G69" s="16" t="n"/>
      <c r="H69" s="16" t="n"/>
      <c r="I69" s="16" t="n"/>
      <c r="J69" s="16" t="n"/>
      <c r="K69" s="16" t="n"/>
      <c r="L69" s="16" t="n"/>
      <c r="M69" s="16" t="n"/>
      <c r="N69" s="16" t="n"/>
      <c r="O69" s="16" t="n"/>
    </row>
  </sheetData>
  <mergeCells count="3">
    <mergeCell ref="A1:D1"/>
    <mergeCell ref="F42:L42"/>
    <mergeCell ref="A2:H2"/>
  </mergeCells>
  <pageMargins left="0.75" right="0.75" top="1" bottom="1" header="0.5" footer="0.5"/>
</worksheet>
</file>

<file path=xl/worksheets/sheet2.xml><?xml version="1.0" encoding="utf-8"?>
<worksheet xmlns="http://schemas.openxmlformats.org/spreadsheetml/2006/main">
  <sheetPr>
    <tabColor rgb="00666666"/>
    <outlinePr summaryBelow="1" summaryRight="1"/>
    <pageSetUpPr/>
  </sheetPr>
  <dimension ref="A1:AQ49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2" customWidth="1" min="2" max="2"/>
    <col width="15" customWidth="1" min="3" max="3"/>
    <col width="16" customWidth="1" min="4" max="4"/>
    <col width="10" customWidth="1" min="5" max="5"/>
    <col width="22" customWidth="1" min="6" max="6"/>
    <col width="22" customWidth="1" min="7" max="7"/>
    <col width="13" customWidth="1" min="8" max="8"/>
    <col width="14" customWidth="1" min="9" max="9"/>
    <col width="17" customWidth="1" min="10" max="10"/>
    <col width="22" customWidth="1" min="11" max="11"/>
    <col width="15" customWidth="1" min="12" max="12"/>
    <col width="15" customWidth="1" min="13" max="13"/>
    <col width="20" customWidth="1" min="14" max="14"/>
    <col width="16" customWidth="1" min="15" max="15"/>
    <col width="19" customWidth="1" min="16" max="16"/>
    <col width="12" customWidth="1" min="17" max="17"/>
    <col width="20" customWidth="1" min="18" max="18"/>
    <col width="30" customWidth="1" min="19" max="19"/>
    <col width="30" customWidth="1" min="20" max="20"/>
    <col width="22" customWidth="1" min="21" max="21"/>
    <col width="17" customWidth="1" min="22" max="22"/>
    <col width="20" customWidth="1" min="23" max="23"/>
    <col width="22" customWidth="1" min="24" max="24"/>
    <col width="22" customWidth="1" min="25" max="25"/>
    <col width="20" customWidth="1" min="26" max="26"/>
    <col width="21" customWidth="1" min="27" max="27"/>
    <col width="22" customWidth="1" min="28" max="28"/>
    <col width="21" customWidth="1" min="29" max="29"/>
    <col width="22" customWidth="1" min="30" max="30"/>
    <col width="13" customWidth="1" min="31" max="31"/>
    <col width="14" customWidth="1" min="32" max="32"/>
    <col width="18" customWidth="1" min="33" max="33"/>
    <col width="22" customWidth="1" min="34" max="34"/>
    <col width="21" customWidth="1" min="35" max="35"/>
    <col width="22" customWidth="1" min="36" max="36"/>
    <col width="22" customWidth="1" min="37" max="37"/>
    <col width="22" customWidth="1" min="38" max="38"/>
    <col width="11" customWidth="1" min="39" max="39"/>
    <col width="15" customWidth="1" min="40" max="40"/>
    <col width="11" customWidth="1" min="41" max="41"/>
    <col width="11" customWidth="1" min="42" max="42"/>
    <col width="11" customWidth="1" min="43" max="43"/>
  </cols>
  <sheetData>
    <row r="1">
      <c r="A1" s="1" t="inlineStr">
        <is>
          <t>S. No</t>
        </is>
      </c>
      <c r="B1" s="1" t="inlineStr">
        <is>
          <t>Name</t>
        </is>
      </c>
      <c r="C1" s="1" t="inlineStr">
        <is>
          <t>Mobile Number</t>
        </is>
      </c>
      <c r="D1" s="1" t="inlineStr">
        <is>
          <t>Provisional ID</t>
        </is>
      </c>
      <c r="E1" s="1" t="inlineStr">
        <is>
          <t>Campus</t>
        </is>
      </c>
      <c r="F1" s="1" t="inlineStr">
        <is>
          <t>Need Loan (SST input)</t>
        </is>
      </c>
      <c r="G1" s="1" t="inlineStr">
        <is>
          <t>Criticality  (SST INput)</t>
        </is>
      </c>
      <c r="H1" s="1" t="inlineStr">
        <is>
          <t>Scholarship</t>
        </is>
      </c>
      <c r="I1" s="1" t="inlineStr">
        <is>
          <t>Loan Amt req</t>
        </is>
      </c>
      <c r="J1" s="1" t="inlineStr">
        <is>
          <t>12th percentage</t>
        </is>
      </c>
      <c r="K1" s="1" t="inlineStr">
        <is>
          <t>Co-Applicant Relation</t>
        </is>
      </c>
      <c r="L1" s="1" t="inlineStr">
        <is>
          <t>Occupation</t>
        </is>
      </c>
      <c r="M1" s="1" t="inlineStr">
        <is>
          <t>Annual Income</t>
        </is>
      </c>
      <c r="N1" s="1" t="inlineStr">
        <is>
          <t>Income Proof</t>
        </is>
      </c>
      <c r="O1" s="1" t="inlineStr">
        <is>
          <t>Any other loan</t>
        </is>
      </c>
      <c r="P1" s="1" t="inlineStr">
        <is>
          <t>Co-applcant Cibil</t>
        </is>
      </c>
      <c r="Q1" s="1" t="inlineStr">
        <is>
          <t>Co-lateral</t>
        </is>
      </c>
      <c r="R1" s="1" t="inlineStr">
        <is>
          <t>Co-lateral details</t>
        </is>
      </c>
      <c r="S1" s="1" t="inlineStr">
        <is>
          <t>SST Remarks</t>
        </is>
      </c>
      <c r="T1" s="1" t="inlineStr">
        <is>
          <t>Pranjal Comments</t>
        </is>
      </c>
      <c r="U1" s="1" t="inlineStr">
        <is>
          <t>Loan required (Latest)</t>
        </is>
      </c>
      <c r="V1" s="1" t="inlineStr">
        <is>
          <t>Shared to ICICI</t>
        </is>
      </c>
      <c r="W1" s="1" t="inlineStr">
        <is>
          <t>Shared to Propelld</t>
        </is>
      </c>
      <c r="X1" s="1" t="inlineStr">
        <is>
          <t>Shared to Study4Buddy</t>
        </is>
      </c>
      <c r="Y1" s="1" t="inlineStr">
        <is>
          <t>Shared to Poonawala Fincorp</t>
        </is>
      </c>
      <c r="Z1" s="1" t="inlineStr">
        <is>
          <t>Shared to GyanDhan</t>
        </is>
      </c>
      <c r="AA1" s="1" t="inlineStr">
        <is>
          <t>Initial Case Status</t>
        </is>
      </c>
      <c r="AB1" s="1" t="inlineStr">
        <is>
          <t>CurrentCase Status (started on 31/7)</t>
        </is>
      </c>
      <c r="AC1" s="1" t="inlineStr">
        <is>
          <t>Tentative Loan Date</t>
        </is>
      </c>
      <c r="AD1" s="1" t="inlineStr">
        <is>
          <t>Intent to be Reverted to SST</t>
        </is>
      </c>
      <c r="AE1" s="1" t="inlineStr">
        <is>
          <t>Mentor Flag</t>
        </is>
      </c>
      <c r="AF1" s="1" t="inlineStr">
        <is>
          <t>SST Comments</t>
        </is>
      </c>
      <c r="AG1" s="1" t="inlineStr">
        <is>
          <t>Loan Stage</t>
        </is>
      </c>
      <c r="AH1" s="1" t="inlineStr">
        <is>
          <t>Loan Status</t>
        </is>
      </c>
      <c r="AI1" s="1" t="inlineStr">
        <is>
          <t>Need FLDG attention</t>
        </is>
      </c>
      <c r="AJ1" s="1" t="inlineStr">
        <is>
          <t>Needs Vishwa's attention</t>
        </is>
      </c>
      <c r="AK1" s="1" t="inlineStr">
        <is>
          <t>Special Vidyalaksmi attention</t>
        </is>
      </c>
      <c r="AL1" s="1" t="inlineStr">
        <is>
          <t>Reason if not started</t>
        </is>
      </c>
      <c r="AM1" s="1" t="inlineStr">
        <is>
          <t>Column 37</t>
        </is>
      </c>
      <c r="AN1" s="1" t="inlineStr">
        <is>
          <t>Banker Status</t>
        </is>
      </c>
      <c r="AO1" s="1" t="inlineStr">
        <is>
          <t>Column 39</t>
        </is>
      </c>
      <c r="AP1" s="1" t="inlineStr">
        <is>
          <t>Column 40</t>
        </is>
      </c>
      <c r="AQ1" s="1" t="inlineStr">
        <is>
          <t>Column 41</t>
        </is>
      </c>
    </row>
    <row r="2">
      <c r="A2" t="n">
        <v>1</v>
      </c>
      <c r="B2" s="2" t="inlineStr">
        <is>
          <t>Priyanshu Jena</t>
        </is>
      </c>
      <c r="C2" s="3" t="n">
        <v>7606059075</v>
      </c>
      <c r="D2" s="2" t="inlineStr">
        <is>
          <t>PROV260602396</t>
        </is>
      </c>
      <c r="E2" s="2" t="inlineStr">
        <is>
          <t>SSAHE</t>
        </is>
      </c>
      <c r="F2" s="2" t="inlineStr">
        <is>
          <t>Yes</t>
        </is>
      </c>
      <c r="G2" s="2" t="inlineStr">
        <is>
          <t xml:space="preserve">Non Critical </t>
        </is>
      </c>
      <c r="H2" s="2" t="n">
        <v>0.05</v>
      </c>
      <c r="I2" s="2" t="n">
        <v>25</v>
      </c>
      <c r="J2" s="2" t="n">
        <v>66.5</v>
      </c>
      <c r="K2" s="2" t="inlineStr">
        <is>
          <t>Father</t>
        </is>
      </c>
      <c r="L2" s="2" t="inlineStr">
        <is>
          <t>Salaried</t>
        </is>
      </c>
      <c r="M2" s="2" t="n">
        <v>13</v>
      </c>
      <c r="N2" s="2" t="inlineStr">
        <is>
          <t>ITR</t>
        </is>
      </c>
      <c r="O2" s="2" t="inlineStr">
        <is>
          <t>No</t>
        </is>
      </c>
      <c r="P2" s="2" t="inlineStr">
        <is>
          <t>NA</t>
        </is>
      </c>
      <c r="Q2" s="2" t="inlineStr">
        <is>
          <t>No</t>
        </is>
      </c>
      <c r="R2" s="2" t="inlineStr">
        <is>
          <t>NA</t>
        </is>
      </c>
      <c r="S2" s="2" t="inlineStr">
        <is>
          <t>Waiting for the bank to reach them out Need assitance from us</t>
        </is>
      </c>
      <c r="T2" s="2" t="inlineStr">
        <is>
          <t xml:space="preserve">9/7/26: Requires loan of 25Lakhs, good cibil score, good income, please reach out to this student , bank hasn't called back yet
18/7: Ongoing on with ICICI bank. 
28/7 : Student suggest that process has been completed from icici but they haven't reverted anything about this one
30/7 : Student loan has been rejected by icici due to other bank , </t>
        </is>
      </c>
      <c r="U2" s="2" t="inlineStr">
        <is>
          <t>Yes</t>
        </is>
      </c>
      <c r="V2" s="2" t="inlineStr">
        <is>
          <t>Yes</t>
        </is>
      </c>
      <c r="W2" s="2" t="inlineStr">
        <is>
          <t>No</t>
        </is>
      </c>
      <c r="X2" s="2" t="inlineStr">
        <is>
          <t>No</t>
        </is>
      </c>
      <c r="Y2" s="2" t="inlineStr">
        <is>
          <t>No</t>
        </is>
      </c>
      <c r="Z2" s="2" t="inlineStr">
        <is>
          <t>Yes</t>
        </is>
      </c>
      <c r="AA2" s="2" t="inlineStr">
        <is>
          <t>Control</t>
        </is>
      </c>
      <c r="AB2" s="2" t="inlineStr">
        <is>
          <t>Control</t>
        </is>
      </c>
      <c r="AC2" s="2" t="n"/>
      <c r="AD2" s="2" t="n"/>
      <c r="AE2" s="2" t="n"/>
      <c r="AF2" s="2" t="n"/>
      <c r="AG2" s="2" t="inlineStr">
        <is>
          <t>Ongoing</t>
        </is>
      </c>
      <c r="AH2" s="2" t="inlineStr">
        <is>
          <t>Processing by Icici</t>
        </is>
      </c>
      <c r="AI2" s="2" t="inlineStr">
        <is>
          <t>No</t>
        </is>
      </c>
      <c r="AJ2" s="2" t="inlineStr">
        <is>
          <t>No</t>
        </is>
      </c>
      <c r="AK2" s="2" t="inlineStr">
        <is>
          <t>No</t>
        </is>
      </c>
      <c r="AL2" s="2" t="n"/>
      <c r="AM2" s="2" t="n"/>
      <c r="AN2" s="2" t="n"/>
      <c r="AO2" s="2" t="n"/>
      <c r="AP2" s="2" t="n"/>
      <c r="AQ2" s="2" t="n"/>
    </row>
    <row r="3">
      <c r="A3" t="n">
        <v>2</v>
      </c>
      <c r="B3" s="2" t="inlineStr">
        <is>
          <t>Arithra Kabiraj</t>
        </is>
      </c>
      <c r="C3" s="3" t="n">
        <v>7990739081</v>
      </c>
      <c r="D3" s="2" t="inlineStr">
        <is>
          <t>PROV260501340</t>
        </is>
      </c>
      <c r="E3" s="2" t="inlineStr">
        <is>
          <t>SSAHE</t>
        </is>
      </c>
      <c r="F3" s="2" t="inlineStr">
        <is>
          <t>Yes</t>
        </is>
      </c>
      <c r="G3" s="2" t="inlineStr">
        <is>
          <t xml:space="preserve">Non Critical </t>
        </is>
      </c>
      <c r="H3" s="2" t="n">
        <v>0.05</v>
      </c>
      <c r="I3" s="2" t="n">
        <v>25</v>
      </c>
      <c r="J3" s="2" t="n">
        <v>81</v>
      </c>
      <c r="K3" s="2" t="inlineStr">
        <is>
          <t>Father</t>
        </is>
      </c>
      <c r="L3" s="2" t="inlineStr">
        <is>
          <t>Salaried</t>
        </is>
      </c>
      <c r="M3" s="2" t="n">
        <v>7.8</v>
      </c>
      <c r="N3" s="2" t="inlineStr">
        <is>
          <t>ITR</t>
        </is>
      </c>
      <c r="O3" s="2" t="inlineStr">
        <is>
          <t>Yes</t>
        </is>
      </c>
      <c r="P3" s="2" t="n">
        <v>720</v>
      </c>
      <c r="Q3" s="2" t="inlineStr">
        <is>
          <t>Yes</t>
        </is>
      </c>
      <c r="R3" s="2" t="inlineStr">
        <is>
          <t>Residential</t>
        </is>
      </c>
      <c r="S3" s="2" t="inlineStr">
        <is>
          <t>Waiting for the bank to reach them out Need assitance from us</t>
        </is>
      </c>
      <c r="T3" s="2" t="inlineStr">
        <is>
          <t>9/7/26 : DNP
*15/7/26: In talks with Propelled
              : Shared to ICICI
              : Also trying at their level
20/7: Ongoing in talks with SBI as well.
29/7: Propell offering at 15%, have also started with GyanDhan</t>
        </is>
      </c>
      <c r="U3" s="2" t="inlineStr">
        <is>
          <t>Yes</t>
        </is>
      </c>
      <c r="V3" s="2" t="inlineStr">
        <is>
          <t>Yes</t>
        </is>
      </c>
      <c r="W3" s="2" t="inlineStr">
        <is>
          <t>Yes</t>
        </is>
      </c>
      <c r="X3" s="2" t="inlineStr">
        <is>
          <t>No</t>
        </is>
      </c>
      <c r="Y3" s="2" t="inlineStr">
        <is>
          <t>No</t>
        </is>
      </c>
      <c r="Z3" s="2" t="inlineStr">
        <is>
          <t>Yes</t>
        </is>
      </c>
      <c r="AA3" s="2" t="inlineStr">
        <is>
          <t>Control</t>
        </is>
      </c>
      <c r="AB3" s="2" t="inlineStr">
        <is>
          <t>Control</t>
        </is>
      </c>
      <c r="AC3" s="2" t="n"/>
      <c r="AD3" s="2" t="n"/>
      <c r="AE3" s="2" t="n"/>
      <c r="AF3" s="2" t="n"/>
      <c r="AG3" s="2" t="inlineStr">
        <is>
          <t>Ongoing</t>
        </is>
      </c>
      <c r="AH3" s="2" t="inlineStr">
        <is>
          <t>Processing by Propelld, Loan sanctioned by gyan dhan</t>
        </is>
      </c>
      <c r="AI3" s="2" t="inlineStr">
        <is>
          <t>No</t>
        </is>
      </c>
      <c r="AJ3" s="2" t="inlineStr">
        <is>
          <t>No</t>
        </is>
      </c>
      <c r="AK3" s="2" t="inlineStr">
        <is>
          <t>No</t>
        </is>
      </c>
      <c r="AL3" s="2" t="n"/>
      <c r="AM3" s="2" t="n"/>
      <c r="AN3" s="2" t="n"/>
      <c r="AO3" s="2" t="n"/>
      <c r="AP3" s="2" t="n"/>
      <c r="AQ3" s="2" t="n"/>
    </row>
    <row r="4">
      <c r="A4" t="n">
        <v>3</v>
      </c>
      <c r="B4" s="2" t="inlineStr">
        <is>
          <t>Ayansh Maurya</t>
        </is>
      </c>
      <c r="C4" s="3" t="n">
        <v>6306995363</v>
      </c>
      <c r="D4" s="2" t="inlineStr">
        <is>
          <t>PROV260610670</t>
        </is>
      </c>
      <c r="E4" s="2" t="inlineStr">
        <is>
          <t>SSAHE</t>
        </is>
      </c>
      <c r="F4" s="2" t="inlineStr">
        <is>
          <t>Yes</t>
        </is>
      </c>
      <c r="G4" s="2" t="inlineStr">
        <is>
          <t xml:space="preserve">Non Critical </t>
        </is>
      </c>
      <c r="H4" s="2" t="n">
        <v>0.125</v>
      </c>
      <c r="I4" s="2" t="n">
        <v>26</v>
      </c>
      <c r="J4" s="2" t="n">
        <v>72.8</v>
      </c>
      <c r="K4" s="2" t="inlineStr">
        <is>
          <t>Uncle</t>
        </is>
      </c>
      <c r="L4" s="2" t="inlineStr">
        <is>
          <t>Salaried</t>
        </is>
      </c>
      <c r="M4" s="2" t="n">
        <v>9</v>
      </c>
      <c r="N4" s="2" t="inlineStr">
        <is>
          <t>Salary Slip</t>
        </is>
      </c>
      <c r="O4" s="2" t="inlineStr">
        <is>
          <t>Yes</t>
        </is>
      </c>
      <c r="P4" s="2" t="n">
        <v>759</v>
      </c>
      <c r="Q4" s="2" t="inlineStr">
        <is>
          <t>No</t>
        </is>
      </c>
      <c r="R4" s="2" t="inlineStr">
        <is>
          <t>NA</t>
        </is>
      </c>
      <c r="S4" s="2" t="inlineStr">
        <is>
          <t>Waiting for the bank to reach them out Need assitance from us</t>
        </is>
      </c>
      <c r="T4" s="2" t="inlineStr">
        <is>
          <t xml:space="preserve">9/7/26 : DNP
15/7/26 : 10th %age- 90.16
12th %age- 72.8
Loan Amount- 24 lakhs
Co applicant- Gyan Prakash (uncle)
Profession- Assistance professor
Salary- 75k per month 
Cibil Score- 759
Existing emi- Rs14710 
Contact number- 81150 37832
20/7: In talks with ICICI, have suggested to apply elsewhere as well.
28/7 : Case was rejected by icici and gyan dhan both . icici rejected his case due to FOIR.
29/7 : Mother called again , will try to processs it on mother, before it was processed on uncle's name. Gyan dhan came back telling this case is doable onn whatsapp. Moving it from control to risk 
31/7 : Gyandhan is asking for relationship proof. have told gyandhan to connect with them. Mother called and is worried about the loan, has different offers as well. </t>
        </is>
      </c>
      <c r="U4" s="2" t="inlineStr">
        <is>
          <t>Yes</t>
        </is>
      </c>
      <c r="V4" s="2" t="inlineStr">
        <is>
          <t>Yes</t>
        </is>
      </c>
      <c r="W4" s="2" t="inlineStr">
        <is>
          <t>No</t>
        </is>
      </c>
      <c r="X4" s="2" t="inlineStr">
        <is>
          <t>No</t>
        </is>
      </c>
      <c r="Y4" s="2" t="inlineStr">
        <is>
          <t>No</t>
        </is>
      </c>
      <c r="Z4" s="2" t="inlineStr">
        <is>
          <t>Yes</t>
        </is>
      </c>
      <c r="AA4" s="2" t="inlineStr">
        <is>
          <t>Risk</t>
        </is>
      </c>
      <c r="AB4" s="2" t="inlineStr">
        <is>
          <t>Risk</t>
        </is>
      </c>
      <c r="AC4" s="2" t="n"/>
      <c r="AD4" s="2" t="n"/>
      <c r="AE4" s="2" t="n"/>
      <c r="AF4" s="2" t="n"/>
      <c r="AG4" s="2" t="inlineStr">
        <is>
          <t>Ongoing</t>
        </is>
      </c>
      <c r="AH4" s="2" t="inlineStr">
        <is>
          <t>Processing by Icici</t>
        </is>
      </c>
      <c r="AI4" s="2" t="inlineStr">
        <is>
          <t>No</t>
        </is>
      </c>
      <c r="AJ4" s="2" t="inlineStr">
        <is>
          <t>No</t>
        </is>
      </c>
      <c r="AK4" s="2" t="inlineStr">
        <is>
          <t>No</t>
        </is>
      </c>
      <c r="AL4" s="2" t="n"/>
      <c r="AM4" s="2" t="n"/>
      <c r="AN4" s="2" t="n"/>
      <c r="AO4" s="2" t="n"/>
      <c r="AP4" s="2" t="n"/>
      <c r="AQ4" s="2" t="n"/>
    </row>
    <row r="5">
      <c r="A5" t="n">
        <v>4</v>
      </c>
      <c r="B5" s="2" t="inlineStr">
        <is>
          <t>Harshit Singhi</t>
        </is>
      </c>
      <c r="C5" s="3" t="n">
        <v>9883379315</v>
      </c>
      <c r="D5" s="2" t="inlineStr">
        <is>
          <t>PROV260502866</t>
        </is>
      </c>
      <c r="E5" s="2" t="inlineStr">
        <is>
          <t>SSAHE</t>
        </is>
      </c>
      <c r="F5" s="2" t="inlineStr">
        <is>
          <t>Yes</t>
        </is>
      </c>
      <c r="G5" s="2" t="inlineStr">
        <is>
          <t>Loan not required</t>
        </is>
      </c>
      <c r="H5" s="2" t="n">
        <v>0.05</v>
      </c>
      <c r="I5" s="2" t="n">
        <v>25</v>
      </c>
      <c r="J5" s="2" t="n">
        <v>70</v>
      </c>
      <c r="K5" s="2" t="inlineStr">
        <is>
          <t>Father</t>
        </is>
      </c>
      <c r="L5" s="2" t="inlineStr">
        <is>
          <t>Business</t>
        </is>
      </c>
      <c r="M5" s="2" t="n">
        <v>7</v>
      </c>
      <c r="N5" s="2" t="inlineStr">
        <is>
          <t>ITR</t>
        </is>
      </c>
      <c r="O5" s="2" t="inlineStr">
        <is>
          <t>No</t>
        </is>
      </c>
      <c r="P5" s="2" t="inlineStr">
        <is>
          <t>NA</t>
        </is>
      </c>
      <c r="Q5" s="2" t="inlineStr">
        <is>
          <t>No</t>
        </is>
      </c>
      <c r="R5" s="2" t="inlineStr">
        <is>
          <t>NA</t>
        </is>
      </c>
      <c r="S5" s="2" t="inlineStr">
        <is>
          <t>Waiting for the bank to reach them out Need assitance from us</t>
        </is>
      </c>
      <c r="T5" s="2" t="inlineStr">
        <is>
          <t>9/7/26 : HAd in depth conversation, student already has 10L funds, and 10L he would require loan, which he would not avail in this year. Suggested him to pay the fees within this month.</t>
        </is>
      </c>
      <c r="U5" s="2" t="inlineStr">
        <is>
          <t>No</t>
        </is>
      </c>
      <c r="V5" s="2" t="inlineStr">
        <is>
          <t>No</t>
        </is>
      </c>
      <c r="W5" s="2" t="inlineStr">
        <is>
          <t>No</t>
        </is>
      </c>
      <c r="X5" s="2" t="n"/>
      <c r="Y5" s="2" t="n"/>
      <c r="Z5" s="2" t="n"/>
      <c r="AA5" s="2" t="inlineStr">
        <is>
          <t>Not required</t>
        </is>
      </c>
      <c r="AB5" s="2" t="inlineStr">
        <is>
          <t>Not required</t>
        </is>
      </c>
      <c r="AC5" s="2" t="n"/>
      <c r="AD5" s="2" t="n"/>
      <c r="AE5" s="2" t="n"/>
      <c r="AF5" s="2" t="n"/>
      <c r="AG5" s="2" t="inlineStr">
        <is>
          <t>Not required</t>
        </is>
      </c>
      <c r="AH5" s="2" t="n"/>
      <c r="AI5" s="2" t="n"/>
      <c r="AJ5" s="2" t="n"/>
      <c r="AK5" s="2" t="inlineStr">
        <is>
          <t>No</t>
        </is>
      </c>
      <c r="AL5" s="2" t="n"/>
      <c r="AM5" s="2" t="n"/>
      <c r="AN5" s="2" t="n"/>
      <c r="AO5" s="2" t="n"/>
      <c r="AP5" s="2" t="n"/>
      <c r="AQ5" s="2" t="n"/>
    </row>
    <row r="6">
      <c r="A6" t="n">
        <v>5</v>
      </c>
      <c r="B6" s="2" t="inlineStr">
        <is>
          <t>Prem Sandeep Dipke</t>
        </is>
      </c>
      <c r="C6" s="3" t="n">
        <v>8605831946</v>
      </c>
      <c r="D6" s="2" t="inlineStr">
        <is>
          <t>PROV260506859</t>
        </is>
      </c>
      <c r="E6" s="2" t="inlineStr">
        <is>
          <t>ADYPU</t>
        </is>
      </c>
      <c r="F6" s="2" t="inlineStr">
        <is>
          <t>Yes</t>
        </is>
      </c>
      <c r="G6" s="2" t="inlineStr">
        <is>
          <t xml:space="preserve">Non Critical </t>
        </is>
      </c>
      <c r="H6" s="2" t="n">
        <v>0.125</v>
      </c>
      <c r="I6" s="2" t="n">
        <v>25</v>
      </c>
      <c r="J6" s="2" t="n">
        <v>58</v>
      </c>
      <c r="K6" s="2" t="inlineStr">
        <is>
          <t xml:space="preserve">Father </t>
        </is>
      </c>
      <c r="L6" s="2" t="inlineStr">
        <is>
          <t>Salaried</t>
        </is>
      </c>
      <c r="M6" s="2" t="n">
        <v>3</v>
      </c>
      <c r="N6" s="2" t="inlineStr">
        <is>
          <t>Income Certificate</t>
        </is>
      </c>
      <c r="O6" s="2" t="inlineStr">
        <is>
          <t>No</t>
        </is>
      </c>
      <c r="P6" s="2" t="inlineStr">
        <is>
          <t>NA</t>
        </is>
      </c>
      <c r="Q6" s="2" t="inlineStr">
        <is>
          <t>No</t>
        </is>
      </c>
      <c r="R6" s="2" t="inlineStr">
        <is>
          <t>NA</t>
        </is>
      </c>
      <c r="S6" s="2" t="inlineStr">
        <is>
          <t>Propelled -24Lakh , Rate of intrest :11-12%, Going with Propelled</t>
        </is>
      </c>
      <c r="T6" s="2" t="inlineStr">
        <is>
          <t>9/7/26 : Loan process has begun through propelld , they have offer 10L at 13%, he has some expectation of 10%, have spoken to student , student will make me talk to the father tomorrow. Father's number : 9359685429
10/7/26 : Called father , DNP. Father called back : not at all happy with 13% ROI, he said it would be too much to pay. Father was outside, so he told he would call me by evening to discuss this . ICICI hasn't reached out to them 
21/7 : Pranjal : Have to be processed by GyanDhan. Student hasn't talked to any banks. 
Yearly incomr : 5L, ITR filed : No, Profession : Travel agent , Rental income : 0, started with propelled but 14% interest is too much 
30/7: Approved</t>
        </is>
      </c>
      <c r="U6" s="2" t="inlineStr">
        <is>
          <t>Yes</t>
        </is>
      </c>
      <c r="V6" s="2" t="inlineStr">
        <is>
          <t>No</t>
        </is>
      </c>
      <c r="W6" s="2" t="inlineStr">
        <is>
          <t>Yes</t>
        </is>
      </c>
      <c r="X6" s="2" t="n"/>
      <c r="Y6" s="2" t="n"/>
      <c r="Z6" s="2" t="n"/>
      <c r="AA6" s="2" t="inlineStr">
        <is>
          <t>Control</t>
        </is>
      </c>
      <c r="AB6" s="2" t="inlineStr">
        <is>
          <t>Control</t>
        </is>
      </c>
      <c r="AC6" s="2" t="n"/>
      <c r="AD6" s="2" t="n"/>
      <c r="AE6" s="2" t="n"/>
      <c r="AF6" s="2" t="n"/>
      <c r="AG6" s="2" t="inlineStr">
        <is>
          <t>Ongoing</t>
        </is>
      </c>
      <c r="AH6" s="2" t="inlineStr">
        <is>
          <t>Loan sanctioned by gyan dhan</t>
        </is>
      </c>
      <c r="AI6" s="2" t="inlineStr">
        <is>
          <t>No</t>
        </is>
      </c>
      <c r="AJ6" s="2" t="inlineStr">
        <is>
          <t>No</t>
        </is>
      </c>
      <c r="AK6" s="2" t="inlineStr">
        <is>
          <t>No</t>
        </is>
      </c>
      <c r="AL6" s="2" t="n"/>
      <c r="AM6" s="2" t="n"/>
      <c r="AN6" s="2" t="n"/>
      <c r="AO6" s="2" t="n"/>
      <c r="AP6" s="2" t="n"/>
      <c r="AQ6" s="2" t="n"/>
    </row>
    <row r="7">
      <c r="A7" t="n">
        <v>6</v>
      </c>
      <c r="B7" s="2" t="inlineStr">
        <is>
          <t>Manthan upmanyu</t>
        </is>
      </c>
      <c r="C7" s="3" t="n">
        <v>9399297905</v>
      </c>
      <c r="D7" s="2" t="inlineStr">
        <is>
          <t>PROV260604114</t>
        </is>
      </c>
      <c r="E7" s="2" t="inlineStr">
        <is>
          <t>SSAHE</t>
        </is>
      </c>
      <c r="F7" s="2" t="inlineStr">
        <is>
          <t>Yes</t>
        </is>
      </c>
      <c r="G7" s="2" t="inlineStr">
        <is>
          <t xml:space="preserve">Non Critical </t>
        </is>
      </c>
      <c r="H7" s="2" t="n">
        <v>0.175</v>
      </c>
      <c r="I7" s="2" t="n">
        <v>25</v>
      </c>
      <c r="J7" s="2" t="n">
        <v>85</v>
      </c>
      <c r="K7" s="2" t="inlineStr">
        <is>
          <t>Mother</t>
        </is>
      </c>
      <c r="L7" s="2" t="inlineStr">
        <is>
          <t>Bussiness</t>
        </is>
      </c>
      <c r="M7" s="2" t="n">
        <v>8</v>
      </c>
      <c r="N7" s="2" t="inlineStr">
        <is>
          <t>ITR</t>
        </is>
      </c>
      <c r="O7" s="2" t="inlineStr">
        <is>
          <t>No</t>
        </is>
      </c>
      <c r="P7" s="2" t="inlineStr">
        <is>
          <t>NA</t>
        </is>
      </c>
      <c r="Q7" s="2" t="inlineStr">
        <is>
          <t>No</t>
        </is>
      </c>
      <c r="R7" s="2" t="inlineStr">
        <is>
          <t>NA</t>
        </is>
      </c>
      <c r="S7" s="2" t="inlineStr">
        <is>
          <t>Waiting for the bank to reach them out Need assitance from us</t>
        </is>
      </c>
      <c r="T7" s="2" t="inlineStr">
        <is>
          <t xml:space="preserve">9/7/26 : Student was communicated wrong in terms of hostel fees. Mother was furious listening to the hostel fees due to miscommunication. Have suggested the student to drop me as well as to admissions team an email regarding the same. Counselor also committed 20% scholarship against which the student has got 17.5% ( 10% merit based + 7.5% EWS )
20/7 : Need intent check from SST team.
27/7 : DNP 
29/7 : DNP || spoke to the student , the student would pay the fees tomorrow. has requested for a single room if possible. Doesn't need loan for this year. 
Moving from risk to control 
</t>
        </is>
      </c>
      <c r="U7" s="2" t="inlineStr">
        <is>
          <t>No</t>
        </is>
      </c>
      <c r="V7" s="2" t="inlineStr">
        <is>
          <t>No</t>
        </is>
      </c>
      <c r="W7" s="2" t="inlineStr">
        <is>
          <t>No</t>
        </is>
      </c>
      <c r="X7" s="2" t="inlineStr">
        <is>
          <t>No</t>
        </is>
      </c>
      <c r="Y7" s="2" t="inlineStr">
        <is>
          <t>No</t>
        </is>
      </c>
      <c r="Z7" s="2" t="inlineStr">
        <is>
          <t>No</t>
        </is>
      </c>
      <c r="AA7" s="2" t="inlineStr">
        <is>
          <t>Control</t>
        </is>
      </c>
      <c r="AB7" s="2" t="inlineStr">
        <is>
          <t>Control</t>
        </is>
      </c>
      <c r="AC7" s="2" t="n"/>
      <c r="AD7" s="2" t="inlineStr">
        <is>
          <t>Student had some issue regarding fees and scholarship, wanted to check if that is sorted before moving to the loan part.
Souhardya Bose Multiple calls have gone to this student, Please speak to him and let me know if his issues are resolved and is he willing to go for loan.
Souhardya Bose Had a conversation with student , doesn't need SSt intervention : 29/7/26</t>
        </is>
      </c>
      <c r="AE7" s="2" t="n"/>
      <c r="AF7" s="2" t="n"/>
      <c r="AG7" s="2" t="inlineStr">
        <is>
          <t>Not required</t>
        </is>
      </c>
      <c r="AH7" s="2" t="n"/>
      <c r="AI7" s="2" t="n"/>
      <c r="AJ7" s="2" t="n"/>
      <c r="AK7" s="2" t="n"/>
      <c r="AL7" s="2" t="n"/>
      <c r="AM7" s="2" t="n"/>
      <c r="AN7" s="2" t="n"/>
      <c r="AO7" s="2" t="n"/>
      <c r="AP7" s="2" t="n"/>
      <c r="AQ7" s="2" t="n"/>
    </row>
    <row r="8">
      <c r="A8" t="n">
        <v>7</v>
      </c>
      <c r="B8" s="2" t="inlineStr">
        <is>
          <t>Akchat Bharti</t>
        </is>
      </c>
      <c r="C8" s="3" t="n">
        <v>9031350334</v>
      </c>
      <c r="D8" s="2" t="inlineStr">
        <is>
          <t>PROV1000000431</t>
        </is>
      </c>
      <c r="E8" s="2" t="inlineStr">
        <is>
          <t>SSAHE</t>
        </is>
      </c>
      <c r="F8" s="2" t="inlineStr">
        <is>
          <t>Yes</t>
        </is>
      </c>
      <c r="G8" s="2" t="inlineStr">
        <is>
          <t xml:space="preserve">Non Critical </t>
        </is>
      </c>
      <c r="H8" s="2" t="n">
        <v>0.05</v>
      </c>
      <c r="I8" s="2" t="n">
        <v>22</v>
      </c>
      <c r="J8" s="2" t="n">
        <v>81.12</v>
      </c>
      <c r="K8" s="2" t="inlineStr">
        <is>
          <t>Father</t>
        </is>
      </c>
      <c r="L8" s="2" t="inlineStr">
        <is>
          <t>Salaried</t>
        </is>
      </c>
      <c r="M8" s="2" t="n">
        <v>7</v>
      </c>
      <c r="N8" s="2" t="inlineStr">
        <is>
          <t>ITR</t>
        </is>
      </c>
      <c r="O8" s="2" t="inlineStr">
        <is>
          <t>No</t>
        </is>
      </c>
      <c r="P8" s="2" t="n">
        <v>728</v>
      </c>
      <c r="Q8" s="2" t="inlineStr">
        <is>
          <t>No</t>
        </is>
      </c>
      <c r="R8" s="2" t="inlineStr">
        <is>
          <t>NA</t>
        </is>
      </c>
      <c r="S8" s="2" t="inlineStr">
        <is>
          <t>Waiting for the bank to reach them out Need assitance from us</t>
        </is>
      </c>
      <c r="T8" s="2" t="inlineStr">
        <is>
          <t>9/7/26 : He is from Jharkhand, he is taking loan from Jharkhand govt of 15L at 4%, the loan is in process , the rest of the amount he will be take from diffferent banks.
20/7: Jharkahdn SCC is in process, Rejected propelld due to high int rate, next ICICI and Gyan Dhan
Update by Gyandhan
Learner got loan from govt scheme (jharkhand), cannot process another loan on same profile
28/7 : Semester fees will be paid by next week</t>
        </is>
      </c>
      <c r="U8" s="2" t="inlineStr">
        <is>
          <t>Yes</t>
        </is>
      </c>
      <c r="V8" s="2" t="inlineStr">
        <is>
          <t>No</t>
        </is>
      </c>
      <c r="W8" s="2" t="inlineStr">
        <is>
          <t>No</t>
        </is>
      </c>
      <c r="X8" s="2" t="inlineStr">
        <is>
          <t>No</t>
        </is>
      </c>
      <c r="Y8" s="2" t="inlineStr">
        <is>
          <t>No</t>
        </is>
      </c>
      <c r="Z8" s="2" t="inlineStr">
        <is>
          <t>No</t>
        </is>
      </c>
      <c r="AA8" s="2" t="inlineStr">
        <is>
          <t>Control</t>
        </is>
      </c>
      <c r="AB8" s="2" t="inlineStr">
        <is>
          <t>Control</t>
        </is>
      </c>
      <c r="AC8" s="2" t="n"/>
      <c r="AD8" s="2" t="n"/>
      <c r="AE8" s="2" t="n"/>
      <c r="AF8" s="2" t="n"/>
      <c r="AG8" s="2" t="inlineStr">
        <is>
          <t>Ongoing</t>
        </is>
      </c>
      <c r="AH8" s="2" t="inlineStr">
        <is>
          <t>Processing by Icici, Processing by GyanDhan, State Scheme</t>
        </is>
      </c>
      <c r="AI8" s="2" t="inlineStr">
        <is>
          <t>No</t>
        </is>
      </c>
      <c r="AJ8" s="2" t="inlineStr">
        <is>
          <t>No</t>
        </is>
      </c>
      <c r="AK8" s="2" t="n"/>
      <c r="AL8" s="2" t="n"/>
      <c r="AM8" s="2" t="n"/>
      <c r="AN8" s="2" t="n"/>
      <c r="AO8" s="2" t="n"/>
      <c r="AP8" s="2" t="n"/>
      <c r="AQ8" s="2" t="n"/>
    </row>
    <row r="9">
      <c r="A9" t="n">
        <v>8</v>
      </c>
      <c r="B9" s="2" t="inlineStr">
        <is>
          <t>SamarthG</t>
        </is>
      </c>
      <c r="C9" s="3" t="n">
        <v>9242410155</v>
      </c>
      <c r="D9" s="2" t="inlineStr">
        <is>
          <t>PROV1000000341</t>
        </is>
      </c>
      <c r="E9" s="2" t="inlineStr">
        <is>
          <t>ADYPU</t>
        </is>
      </c>
      <c r="F9" s="2" t="inlineStr">
        <is>
          <t>Yes</t>
        </is>
      </c>
      <c r="G9" s="2" t="inlineStr">
        <is>
          <t>Loan not required</t>
        </is>
      </c>
      <c r="H9" s="2" t="n">
        <v>0.15</v>
      </c>
      <c r="I9" s="2" t="n">
        <v>25</v>
      </c>
      <c r="J9" s="2" t="n">
        <v>89</v>
      </c>
      <c r="K9" s="2" t="inlineStr">
        <is>
          <t>Father</t>
        </is>
      </c>
      <c r="L9" s="2" t="inlineStr">
        <is>
          <t>Self-Employed</t>
        </is>
      </c>
      <c r="M9" s="2" t="n">
        <v>7</v>
      </c>
      <c r="N9" s="2" t="inlineStr">
        <is>
          <t>Income Certificate</t>
        </is>
      </c>
      <c r="O9" s="2" t="inlineStr">
        <is>
          <t>No</t>
        </is>
      </c>
      <c r="P9" s="2" t="inlineStr">
        <is>
          <t>NA</t>
        </is>
      </c>
      <c r="Q9" s="2" t="inlineStr">
        <is>
          <t>No</t>
        </is>
      </c>
      <c r="R9" s="2" t="inlineStr">
        <is>
          <t>NA</t>
        </is>
      </c>
      <c r="S9" s="2" t="inlineStr">
        <is>
          <t>Waiting for the bank to reach them out Need assitance from us</t>
        </is>
      </c>
      <c r="T9" s="2" t="inlineStr">
        <is>
          <t xml:space="preserve">9/7/26
This student would visit on 25th of july to ADYPU and would pay the fees there only. Please be in touch with them, they dont require the loan. </t>
        </is>
      </c>
      <c r="U9" s="2" t="inlineStr">
        <is>
          <t>No</t>
        </is>
      </c>
      <c r="V9" s="2" t="n"/>
      <c r="W9" s="2" t="n"/>
      <c r="X9" s="2" t="n"/>
      <c r="Y9" s="2" t="n"/>
      <c r="Z9" s="2" t="n"/>
      <c r="AA9" s="2" t="inlineStr">
        <is>
          <t>Not required</t>
        </is>
      </c>
      <c r="AB9" s="2" t="inlineStr">
        <is>
          <t>Not required</t>
        </is>
      </c>
      <c r="AC9" s="2" t="n"/>
      <c r="AD9" s="2" t="n"/>
      <c r="AE9" s="2" t="n"/>
      <c r="AF9" s="2" t="n"/>
      <c r="AG9" s="2" t="inlineStr">
        <is>
          <t>Not required</t>
        </is>
      </c>
      <c r="AH9" s="2" t="n"/>
      <c r="AI9" s="2" t="n"/>
      <c r="AJ9" s="2" t="n"/>
      <c r="AK9" s="2" t="n"/>
      <c r="AL9" s="2" t="n"/>
      <c r="AM9" s="2" t="n"/>
      <c r="AN9" s="2" t="n"/>
      <c r="AO9" s="2" t="n"/>
      <c r="AP9" s="2" t="n"/>
      <c r="AQ9" s="2" t="n"/>
    </row>
    <row r="10">
      <c r="A10" t="n">
        <v>9</v>
      </c>
      <c r="B10" s="2" t="inlineStr">
        <is>
          <t>AAVANI JITH</t>
        </is>
      </c>
      <c r="C10" s="3" t="n">
        <v>8091531491</v>
      </c>
      <c r="D10" s="2" t="inlineStr">
        <is>
          <t>PROV1000000399</t>
        </is>
      </c>
      <c r="E10" s="2" t="inlineStr">
        <is>
          <t>SSAHE</t>
        </is>
      </c>
      <c r="F10" s="2" t="inlineStr">
        <is>
          <t>Yes</t>
        </is>
      </c>
      <c r="G10" s="2" t="inlineStr">
        <is>
          <t xml:space="preserve">Non Critical </t>
        </is>
      </c>
      <c r="H10" s="2" t="n">
        <v>0.1</v>
      </c>
      <c r="I10" s="2" t="n">
        <v>23</v>
      </c>
      <c r="J10" s="2" t="inlineStr">
        <is>
          <t>NA</t>
        </is>
      </c>
      <c r="K10" s="2" t="inlineStr">
        <is>
          <t>Father</t>
        </is>
      </c>
      <c r="L10" s="2" t="inlineStr">
        <is>
          <t>Salaried</t>
        </is>
      </c>
      <c r="M10" s="2" t="n">
        <v>10.2</v>
      </c>
      <c r="N10" s="2" t="inlineStr">
        <is>
          <t>Income Certificate</t>
        </is>
      </c>
      <c r="O10" s="2" t="inlineStr">
        <is>
          <t>Yes</t>
        </is>
      </c>
      <c r="P10" s="2" t="n">
        <v>772</v>
      </c>
      <c r="Q10" s="2" t="inlineStr">
        <is>
          <t>No</t>
        </is>
      </c>
      <c r="R10" s="2" t="inlineStr">
        <is>
          <t>NA</t>
        </is>
      </c>
      <c r="S10" s="2" t="inlineStr">
        <is>
          <t>its a positive case , student is going frwd with icici bank just need documents</t>
        </is>
      </c>
      <c r="T10" s="2" t="inlineStr">
        <is>
          <t xml:space="preserve">9/7/26 :  ICICI has rejected the loan due to bounce issues , they are in touch with the propelld. Propelld is processing it , have sent them the message to check the status on the saMe.
13/7/26 : Father called to check the status on the application, have asked propelld for the status
21/7: Sanctioned
UTR Number : AUBLN62026072146425058 </t>
        </is>
      </c>
      <c r="U10" s="2" t="inlineStr">
        <is>
          <t>Yes</t>
        </is>
      </c>
      <c r="V10" s="2" t="inlineStr">
        <is>
          <t>No</t>
        </is>
      </c>
      <c r="W10" s="2" t="inlineStr">
        <is>
          <t>Yes</t>
        </is>
      </c>
      <c r="X10" s="2" t="n"/>
      <c r="Y10" s="2" t="n"/>
      <c r="Z10" s="2" t="n"/>
      <c r="AA10" s="2" t="inlineStr">
        <is>
          <t>Control</t>
        </is>
      </c>
      <c r="AB10" s="2" t="inlineStr">
        <is>
          <t>Control</t>
        </is>
      </c>
      <c r="AC10" s="2" t="n"/>
      <c r="AD10" s="2" t="n"/>
      <c r="AE10" s="2" t="n"/>
      <c r="AF10" s="2" t="n"/>
      <c r="AG10" s="2" t="inlineStr">
        <is>
          <t>Disbursed</t>
        </is>
      </c>
      <c r="AH10" s="2" t="inlineStr">
        <is>
          <t>Disbursed, Loan sanctioned by Propelld</t>
        </is>
      </c>
      <c r="AI10" s="2" t="inlineStr">
        <is>
          <t>No</t>
        </is>
      </c>
      <c r="AJ10" s="2" t="inlineStr">
        <is>
          <t>No</t>
        </is>
      </c>
      <c r="AK10" s="2" t="n"/>
      <c r="AL10" s="2" t="n"/>
      <c r="AM10" s="2" t="n"/>
      <c r="AN10" s="2" t="n"/>
      <c r="AO10" s="2" t="n"/>
      <c r="AP10" s="2" t="n"/>
      <c r="AQ10" s="2" t="n"/>
    </row>
    <row r="11">
      <c r="A11" t="n">
        <v>10</v>
      </c>
      <c r="B11" s="2" t="inlineStr">
        <is>
          <t>Gulshan Kumar</t>
        </is>
      </c>
      <c r="C11" s="3" t="n">
        <v>8877535347</v>
      </c>
      <c r="D11" s="2" t="inlineStr">
        <is>
          <t>PROV1000000313</t>
        </is>
      </c>
      <c r="E11" s="2" t="inlineStr">
        <is>
          <t>SSAHE</t>
        </is>
      </c>
      <c r="F11" s="2" t="inlineStr">
        <is>
          <t>Yes</t>
        </is>
      </c>
      <c r="G11" s="2" t="inlineStr">
        <is>
          <t xml:space="preserve">Non Critical </t>
        </is>
      </c>
      <c r="H11" s="2" t="n">
        <v>0.25</v>
      </c>
      <c r="I11" s="2" t="n">
        <v>22.5</v>
      </c>
      <c r="J11" s="2" t="n">
        <v>76</v>
      </c>
      <c r="K11" s="2" t="inlineStr">
        <is>
          <t>Father</t>
        </is>
      </c>
      <c r="L11" s="2" t="inlineStr">
        <is>
          <t>Farmer</t>
        </is>
      </c>
      <c r="M11" s="2" t="n">
        <v>5</v>
      </c>
      <c r="N11" s="2" t="inlineStr">
        <is>
          <t>Income Certificate</t>
        </is>
      </c>
      <c r="O11" s="2" t="inlineStr">
        <is>
          <t>No</t>
        </is>
      </c>
      <c r="P11" s="2" t="n">
        <v>750</v>
      </c>
      <c r="Q11" s="2" t="inlineStr">
        <is>
          <t>No</t>
        </is>
      </c>
      <c r="R11" s="2" t="inlineStr">
        <is>
          <t>NA</t>
        </is>
      </c>
      <c r="S11" s="2" t="inlineStr">
        <is>
          <t>its positive from icici bank, they are taking loan, need documents</t>
        </is>
      </c>
      <c r="T11" s="2" t="inlineStr">
        <is>
          <t>9/7/26 : Student has got the call from ICICI bank , 1 week back , the student has not submitted the documents yet as the bank didn't reach out to him for the document.
10/7/26 : ICICI has reached out to the student, have shared the document list , they are taking this ahead
17/7/26 : Checked with the student, have sent the document to icici , they haven't responded yet
23/7: All process left only sanction done.
29/7 : His loan is still under process but he has paid the sem fees and hostel fees from their side</t>
        </is>
      </c>
      <c r="U11" s="2" t="inlineStr">
        <is>
          <t>Yes</t>
        </is>
      </c>
      <c r="V11" s="2" t="inlineStr">
        <is>
          <t>Yes</t>
        </is>
      </c>
      <c r="W11" s="2" t="inlineStr">
        <is>
          <t>No</t>
        </is>
      </c>
      <c r="X11" s="2" t="n"/>
      <c r="Y11" s="2" t="n"/>
      <c r="Z11" s="2" t="n"/>
      <c r="AA11" s="2" t="inlineStr">
        <is>
          <t>Control</t>
        </is>
      </c>
      <c r="AB11" s="2" t="inlineStr">
        <is>
          <t>Control</t>
        </is>
      </c>
      <c r="AC11" s="2" t="n"/>
      <c r="AD11" s="2" t="n"/>
      <c r="AE11" s="2" t="n"/>
      <c r="AF11" s="2" t="n"/>
      <c r="AG11" s="2" t="inlineStr">
        <is>
          <t>Ongoing</t>
        </is>
      </c>
      <c r="AH11" s="2" t="inlineStr">
        <is>
          <t>Processing by Icici</t>
        </is>
      </c>
      <c r="AI11" s="2" t="inlineStr">
        <is>
          <t>No</t>
        </is>
      </c>
      <c r="AJ11" s="2" t="inlineStr">
        <is>
          <t>No</t>
        </is>
      </c>
      <c r="AK11" s="2" t="inlineStr">
        <is>
          <t>No</t>
        </is>
      </c>
      <c r="AL11" s="2" t="n"/>
      <c r="AM11" s="2" t="n"/>
      <c r="AN11" s="2" t="n"/>
      <c r="AO11" s="2" t="n"/>
      <c r="AP11" s="2" t="n"/>
      <c r="AQ11" s="2" t="n"/>
    </row>
    <row r="12">
      <c r="A12" t="n">
        <v>11</v>
      </c>
      <c r="B12" s="2" t="inlineStr">
        <is>
          <t>Prashant Kumar Raj</t>
        </is>
      </c>
      <c r="C12" s="3" t="n">
        <v>9376384908</v>
      </c>
      <c r="D12" s="2" t="inlineStr">
        <is>
          <t>PROV1000000265</t>
        </is>
      </c>
      <c r="E12" s="2" t="inlineStr">
        <is>
          <t>SSAHE</t>
        </is>
      </c>
      <c r="F12" s="2" t="inlineStr">
        <is>
          <t>Yes</t>
        </is>
      </c>
      <c r="G12" s="2" t="inlineStr">
        <is>
          <t xml:space="preserve">Non Critical </t>
        </is>
      </c>
      <c r="H12" s="2" t="n">
        <v>0.2</v>
      </c>
      <c r="I12" s="2" t="n">
        <v>15</v>
      </c>
      <c r="J12" s="2" t="n">
        <v>80.2</v>
      </c>
      <c r="K12" s="2" t="inlineStr">
        <is>
          <t>Uncle</t>
        </is>
      </c>
      <c r="L12" s="2" t="inlineStr">
        <is>
          <t>business</t>
        </is>
      </c>
      <c r="M12" s="2" t="n">
        <v>15</v>
      </c>
      <c r="N12" s="2" t="inlineStr">
        <is>
          <t>ITR</t>
        </is>
      </c>
      <c r="O12" s="2" t="inlineStr">
        <is>
          <t>Yes</t>
        </is>
      </c>
      <c r="P12" s="2" t="n">
        <v>782</v>
      </c>
      <c r="Q12" s="2" t="inlineStr">
        <is>
          <t>No</t>
        </is>
      </c>
      <c r="R12" s="2" t="inlineStr">
        <is>
          <t>NA</t>
        </is>
      </c>
      <c r="S12" s="2" t="inlineStr">
        <is>
          <t>Waiting for the bank to reach them out Need assitance from us</t>
        </is>
      </c>
      <c r="T12" s="2" t="inlineStr">
        <is>
          <t xml:space="preserve">9/7/26 : Have shared the number to ICICI , is looking for loan
15/7/26 : Shared to propelld , propelld will call them, icici rejected the case, 699 cibil. 
Father's income : 30K/m, Mom's shop : 3.5L , ITR mom only. Uncle cibil 
20/7: Ongoing in various banks (Axis, propell, gyandhan)
29/7 : Have applied through PM vidyalakshmi, currently in the bank to get the loan. SBI - 7.5L , student says he would get loan by 15th Aug, I have pushed him to get it by 10th. 
3/8 : Student have applied through bank and is asking for extension </t>
        </is>
      </c>
      <c r="U12" s="2" t="inlineStr">
        <is>
          <t>Yes</t>
        </is>
      </c>
      <c r="V12" s="2" t="inlineStr">
        <is>
          <t>Yes</t>
        </is>
      </c>
      <c r="W12" s="2" t="inlineStr">
        <is>
          <t>Yes</t>
        </is>
      </c>
      <c r="X12" s="2" t="inlineStr">
        <is>
          <t>No</t>
        </is>
      </c>
      <c r="Y12" s="2" t="inlineStr">
        <is>
          <t>No</t>
        </is>
      </c>
      <c r="Z12" s="2" t="inlineStr">
        <is>
          <t>Yes</t>
        </is>
      </c>
      <c r="AA12" s="2" t="inlineStr">
        <is>
          <t>Control</t>
        </is>
      </c>
      <c r="AB12" s="2" t="inlineStr">
        <is>
          <t>Control</t>
        </is>
      </c>
      <c r="AC12" s="2" t="n"/>
      <c r="AD12" s="2" t="n"/>
      <c r="AE12" s="2" t="n"/>
      <c r="AF12" s="2" t="n"/>
      <c r="AG12" s="2" t="inlineStr">
        <is>
          <t>Ongoing</t>
        </is>
      </c>
      <c r="AH12" s="2" t="inlineStr">
        <is>
          <t>Processing by Icici, Processing by GyanDhan</t>
        </is>
      </c>
      <c r="AI12" s="2" t="inlineStr">
        <is>
          <t>No</t>
        </is>
      </c>
      <c r="AJ12" s="2" t="inlineStr">
        <is>
          <t>No</t>
        </is>
      </c>
      <c r="AK12" s="2" t="inlineStr">
        <is>
          <t>Yes</t>
        </is>
      </c>
      <c r="AL12" s="2" t="n"/>
      <c r="AM12" s="2" t="n"/>
      <c r="AN12" s="2" t="n"/>
      <c r="AO12" s="2" t="n"/>
      <c r="AP12" s="2" t="n"/>
      <c r="AQ12" s="2" t="n"/>
    </row>
    <row r="13">
      <c r="A13" t="n">
        <v>12</v>
      </c>
      <c r="B13" s="2" t="inlineStr">
        <is>
          <t>Ayushman Tiwari</t>
        </is>
      </c>
      <c r="C13" s="3" t="n">
        <v>9109536213</v>
      </c>
      <c r="D13" s="2" t="inlineStr">
        <is>
          <t>PROV1000000316</t>
        </is>
      </c>
      <c r="E13" s="2" t="inlineStr">
        <is>
          <t>SSAHE</t>
        </is>
      </c>
      <c r="F13" s="2" t="inlineStr">
        <is>
          <t>Yes</t>
        </is>
      </c>
      <c r="G13" s="2" t="inlineStr">
        <is>
          <t>Loan not required</t>
        </is>
      </c>
      <c r="H13" s="2" t="inlineStr">
        <is>
          <t>NA</t>
        </is>
      </c>
      <c r="I13" s="2" t="n">
        <v>25</v>
      </c>
      <c r="J13" s="2" t="inlineStr">
        <is>
          <t>NA</t>
        </is>
      </c>
      <c r="K13" s="2" t="inlineStr">
        <is>
          <t>Father</t>
        </is>
      </c>
      <c r="L13" s="2" t="inlineStr">
        <is>
          <t>Salaried</t>
        </is>
      </c>
      <c r="M13" s="2" t="n">
        <v>22</v>
      </c>
      <c r="N13" s="2" t="inlineStr">
        <is>
          <t>ITR</t>
        </is>
      </c>
      <c r="O13" s="2" t="inlineStr">
        <is>
          <t>Yes</t>
        </is>
      </c>
      <c r="P13" s="2" t="n">
        <v>783</v>
      </c>
      <c r="Q13" s="2" t="inlineStr">
        <is>
          <t>No</t>
        </is>
      </c>
      <c r="R13" s="2" t="inlineStr">
        <is>
          <t>NA</t>
        </is>
      </c>
      <c r="S13" s="2" t="inlineStr">
        <is>
          <t>Waiting for the bank to reach them out Need assitance from us</t>
        </is>
      </c>
      <c r="T13" s="2" t="inlineStr">
        <is>
          <t>9/7/26 : Student will pay the fees of first sem + hostel., he is asking how to pay, have shared the number to SST , have told them to call.  have told him that sooner you pay the fees, sooner you’ll be able to book the hostel room</t>
        </is>
      </c>
      <c r="U13" s="2" t="inlineStr">
        <is>
          <t>No</t>
        </is>
      </c>
      <c r="V13" s="2" t="inlineStr">
        <is>
          <t>No</t>
        </is>
      </c>
      <c r="W13" s="2" t="inlineStr">
        <is>
          <t>No</t>
        </is>
      </c>
      <c r="X13" s="2" t="n"/>
      <c r="Y13" s="2" t="n"/>
      <c r="Z13" s="2" t="n"/>
      <c r="AA13" s="2" t="inlineStr">
        <is>
          <t>Not required</t>
        </is>
      </c>
      <c r="AB13" s="2" t="inlineStr">
        <is>
          <t>Not required</t>
        </is>
      </c>
      <c r="AC13" s="2" t="n"/>
      <c r="AD13" s="2" t="n"/>
      <c r="AE13" s="2" t="n"/>
      <c r="AF13" s="2" t="n"/>
      <c r="AG13" s="2" t="inlineStr">
        <is>
          <t>Not required</t>
        </is>
      </c>
      <c r="AH13" s="2" t="n"/>
      <c r="AI13" s="2" t="n"/>
      <c r="AJ13" s="2" t="n"/>
      <c r="AK13" s="2" t="n"/>
      <c r="AL13" s="2" t="n"/>
      <c r="AM13" s="2" t="n"/>
      <c r="AN13" s="2" t="n"/>
      <c r="AO13" s="2" t="n"/>
      <c r="AP13" s="2" t="n"/>
      <c r="AQ13" s="2" t="n"/>
    </row>
    <row r="14">
      <c r="A14" t="n">
        <v>13</v>
      </c>
      <c r="B14" s="2" t="inlineStr">
        <is>
          <t>Bhupendra Saini</t>
        </is>
      </c>
      <c r="C14" s="3" t="n">
        <v>7307944285</v>
      </c>
      <c r="D14" s="2" t="inlineStr">
        <is>
          <t>PROV260503144</t>
        </is>
      </c>
      <c r="E14" s="2" t="inlineStr">
        <is>
          <t>SSAHE</t>
        </is>
      </c>
      <c r="F14" s="2" t="inlineStr">
        <is>
          <t>Yes</t>
        </is>
      </c>
      <c r="G14" s="2" t="inlineStr">
        <is>
          <t xml:space="preserve">Non Critical </t>
        </is>
      </c>
      <c r="H14" s="2" t="n">
        <v>0.15</v>
      </c>
      <c r="I14" s="2" t="n">
        <v>25</v>
      </c>
      <c r="J14" s="2" t="n">
        <v>68</v>
      </c>
      <c r="K14" s="2" t="inlineStr">
        <is>
          <t>Father</t>
        </is>
      </c>
      <c r="L14" s="2" t="inlineStr">
        <is>
          <t>Salaried</t>
        </is>
      </c>
      <c r="M14" s="2" t="n">
        <v>8</v>
      </c>
      <c r="N14" s="2" t="inlineStr">
        <is>
          <t>ITR</t>
        </is>
      </c>
      <c r="O14" s="2" t="inlineStr">
        <is>
          <t>Yes</t>
        </is>
      </c>
      <c r="P14" s="2" t="n">
        <v>746</v>
      </c>
      <c r="Q14" s="2" t="inlineStr">
        <is>
          <t>No</t>
        </is>
      </c>
      <c r="R14" s="2" t="inlineStr">
        <is>
          <t>NA</t>
        </is>
      </c>
      <c r="S14" s="2" t="inlineStr">
        <is>
          <t>Waiting for the bank to reach them out Need assitance from us</t>
        </is>
      </c>
      <c r="T14" s="2" t="inlineStr">
        <is>
          <t>9/7/26 : Requires loan and have shared his details with ICICI and propeld both to speak. He is looking for the loan of 25L. Income is correct
18/7: No revert from ICICI, have shared to more partners
21/7 : ICICI told they'll update but they haven't got back. Annual income : 7L, Father : Teacher ( Government ) , Cibil : 750, ITR filed : Yes || Processing through gyan Dhan. Mother is a housewife, father pays 90% of the emi to the interest of his sister's education
31/7: Docs submitted to GD</t>
        </is>
      </c>
      <c r="U14" s="2" t="inlineStr">
        <is>
          <t>Yes</t>
        </is>
      </c>
      <c r="V14" s="2" t="inlineStr">
        <is>
          <t>Yes</t>
        </is>
      </c>
      <c r="W14" s="2" t="inlineStr">
        <is>
          <t>Yes</t>
        </is>
      </c>
      <c r="X14" s="2" t="n"/>
      <c r="Y14" s="2" t="n"/>
      <c r="Z14" s="2" t="n"/>
      <c r="AA14" s="2" t="inlineStr">
        <is>
          <t>Control</t>
        </is>
      </c>
      <c r="AB14" s="2" t="inlineStr">
        <is>
          <t>Control</t>
        </is>
      </c>
      <c r="AC14" s="2" t="n"/>
      <c r="AD14" s="2" t="n"/>
      <c r="AE14" s="2" t="n"/>
      <c r="AF14" s="2" t="n"/>
      <c r="AG14" s="2" t="inlineStr">
        <is>
          <t>Ongoing</t>
        </is>
      </c>
      <c r="AH14" s="2" t="inlineStr">
        <is>
          <t>Processing by GyanDhan</t>
        </is>
      </c>
      <c r="AI14" s="2" t="inlineStr">
        <is>
          <t>No</t>
        </is>
      </c>
      <c r="AJ14" s="2" t="inlineStr">
        <is>
          <t>No</t>
        </is>
      </c>
      <c r="AK14" s="2" t="inlineStr">
        <is>
          <t>No</t>
        </is>
      </c>
      <c r="AL14" s="2" t="n"/>
      <c r="AM14" s="2" t="n"/>
      <c r="AN14" s="2" t="n"/>
      <c r="AO14" s="2" t="n"/>
      <c r="AP14" s="2" t="n"/>
      <c r="AQ14" s="2" t="n"/>
    </row>
    <row r="15">
      <c r="A15" t="n">
        <v>14</v>
      </c>
      <c r="B15" s="2" t="inlineStr">
        <is>
          <t>Ankit Tiwari</t>
        </is>
      </c>
      <c r="C15" s="3" t="n">
        <v>9785596407</v>
      </c>
      <c r="D15" s="2" t="inlineStr">
        <is>
          <t>PROV260502511</t>
        </is>
      </c>
      <c r="E15" s="2" t="inlineStr">
        <is>
          <t>SSAHE</t>
        </is>
      </c>
      <c r="F15" s="2" t="inlineStr">
        <is>
          <t>Yes</t>
        </is>
      </c>
      <c r="G15" s="2" t="inlineStr">
        <is>
          <t>Loan not required</t>
        </is>
      </c>
      <c r="H15" s="2" t="n">
        <v>0.2</v>
      </c>
      <c r="I15" s="2" t="n">
        <v>12</v>
      </c>
      <c r="J15" s="2" t="n">
        <v>82</v>
      </c>
      <c r="K15" s="2" t="inlineStr">
        <is>
          <t>Father</t>
        </is>
      </c>
      <c r="L15" s="2" t="inlineStr">
        <is>
          <t>Salaried</t>
        </is>
      </c>
      <c r="M15" s="2" t="n">
        <v>4</v>
      </c>
      <c r="N15" s="2" t="inlineStr">
        <is>
          <t>Income Certificate</t>
        </is>
      </c>
      <c r="O15" s="2" t="inlineStr">
        <is>
          <t>No</t>
        </is>
      </c>
      <c r="P15" s="2" t="n">
        <v>750</v>
      </c>
      <c r="Q15" s="2" t="inlineStr">
        <is>
          <t>No</t>
        </is>
      </c>
      <c r="R15" s="2" t="inlineStr">
        <is>
          <t>NA</t>
        </is>
      </c>
      <c r="S15" s="2" t="inlineStr">
        <is>
          <t>Waiting for the bank to reach them out Need assitance from us</t>
        </is>
      </c>
      <c r="T15" s="2" t="inlineStr">
        <is>
          <t xml:space="preserve">9/7/26 : 1st year he doesnt require the loan , from the second year he requires loan. </t>
        </is>
      </c>
      <c r="U15" s="2" t="inlineStr">
        <is>
          <t>No</t>
        </is>
      </c>
      <c r="V15" s="2" t="inlineStr">
        <is>
          <t>No</t>
        </is>
      </c>
      <c r="W15" s="2" t="inlineStr">
        <is>
          <t>No</t>
        </is>
      </c>
      <c r="X15" s="2" t="n"/>
      <c r="Y15" s="2" t="n"/>
      <c r="Z15" s="2" t="n"/>
      <c r="AA15" s="2" t="inlineStr">
        <is>
          <t>Not required</t>
        </is>
      </c>
      <c r="AB15" s="2" t="inlineStr">
        <is>
          <t>Not required</t>
        </is>
      </c>
      <c r="AC15" s="2" t="n"/>
      <c r="AD15" s="2" t="n"/>
      <c r="AE15" s="2" t="n"/>
      <c r="AF15" s="2" t="n"/>
      <c r="AG15" s="2" t="inlineStr">
        <is>
          <t>Not required</t>
        </is>
      </c>
      <c r="AH15" s="2" t="n"/>
      <c r="AI15" s="2" t="n"/>
      <c r="AJ15" s="2" t="n"/>
      <c r="AK15" s="2" t="n"/>
      <c r="AL15" s="2" t="n"/>
      <c r="AM15" s="2" t="n"/>
      <c r="AN15" s="2" t="n"/>
      <c r="AO15" s="2" t="n"/>
      <c r="AP15" s="2" t="n"/>
      <c r="AQ15" s="2" t="n"/>
    </row>
    <row r="16">
      <c r="A16" t="n">
        <v>15</v>
      </c>
      <c r="B16" s="2" t="inlineStr">
        <is>
          <t>Harsh Kumar Hooda</t>
        </is>
      </c>
      <c r="C16" s="3" t="n">
        <v>7073472525</v>
      </c>
      <c r="D16" s="2" t="inlineStr">
        <is>
          <t>PROV1000000339</t>
        </is>
      </c>
      <c r="E16" s="2" t="inlineStr">
        <is>
          <t>SSAHE</t>
        </is>
      </c>
      <c r="F16" s="2" t="inlineStr">
        <is>
          <t>Yes</t>
        </is>
      </c>
      <c r="G16" s="2" t="inlineStr">
        <is>
          <t>Loan not required</t>
        </is>
      </c>
      <c r="H16" s="2" t="n">
        <v>0.15</v>
      </c>
      <c r="I16" s="2" t="n">
        <v>20</v>
      </c>
      <c r="J16" s="2" t="n">
        <v>80.8</v>
      </c>
      <c r="K16" s="2" t="inlineStr">
        <is>
          <t>Father</t>
        </is>
      </c>
      <c r="L16" s="2" t="inlineStr">
        <is>
          <t>Salaried</t>
        </is>
      </c>
      <c r="M16" s="2" t="n">
        <v>8</v>
      </c>
      <c r="N16" s="2" t="inlineStr">
        <is>
          <t>Income Certificate</t>
        </is>
      </c>
      <c r="O16" s="2" t="inlineStr">
        <is>
          <t>No</t>
        </is>
      </c>
      <c r="P16" s="2" t="n">
        <v>750</v>
      </c>
      <c r="Q16" s="2" t="inlineStr">
        <is>
          <t>No</t>
        </is>
      </c>
      <c r="R16" s="2" t="inlineStr">
        <is>
          <t>NA</t>
        </is>
      </c>
      <c r="S16" s="2" t="inlineStr">
        <is>
          <t>Waiting for the bank to reach them out Need assitance from us</t>
        </is>
      </c>
      <c r="T16" s="2" t="inlineStr">
        <is>
          <t xml:space="preserve">9/7/26 : HAd a word with student's father, student's father doesn't want to take loan , father would pay once he sees the campus through video call. Have provided the number to SST to arrange it.
10/7/26 : Student wants defence scholarship to be added || Shilpa has shown the campus today. </t>
        </is>
      </c>
      <c r="U16" s="2" t="inlineStr">
        <is>
          <t>No</t>
        </is>
      </c>
      <c r="V16" s="2" t="inlineStr">
        <is>
          <t>No</t>
        </is>
      </c>
      <c r="W16" s="2" t="inlineStr">
        <is>
          <t>No</t>
        </is>
      </c>
      <c r="X16" s="2" t="n"/>
      <c r="Y16" s="2" t="n"/>
      <c r="Z16" s="2" t="n"/>
      <c r="AA16" s="2" t="inlineStr">
        <is>
          <t>Not required</t>
        </is>
      </c>
      <c r="AB16" s="2" t="inlineStr">
        <is>
          <t>Not required</t>
        </is>
      </c>
      <c r="AC16" s="2" t="n"/>
      <c r="AD16" s="2" t="n"/>
      <c r="AE16" s="2" t="n"/>
      <c r="AF16" s="2" t="n"/>
      <c r="AG16" s="2" t="inlineStr">
        <is>
          <t>Not required</t>
        </is>
      </c>
      <c r="AH16" s="2" t="n"/>
      <c r="AI16" s="2" t="n"/>
      <c r="AJ16" s="2" t="n"/>
      <c r="AK16" s="2" t="n"/>
      <c r="AL16" s="2" t="n"/>
      <c r="AM16" s="2" t="n"/>
      <c r="AN16" s="2" t="n"/>
      <c r="AO16" s="2" t="n"/>
      <c r="AP16" s="2" t="n"/>
      <c r="AQ16" s="2" t="n"/>
    </row>
    <row r="17">
      <c r="A17" t="n">
        <v>16</v>
      </c>
      <c r="B17" s="2" t="inlineStr">
        <is>
          <t>Piyush Chetani</t>
        </is>
      </c>
      <c r="C17" s="3" t="n">
        <v>9358622412</v>
      </c>
      <c r="D17" s="2" t="inlineStr">
        <is>
          <t>PROV260503758</t>
        </is>
      </c>
      <c r="E17" s="2" t="inlineStr">
        <is>
          <t>SSAHE</t>
        </is>
      </c>
      <c r="F17" s="2" t="inlineStr">
        <is>
          <t>Yes</t>
        </is>
      </c>
      <c r="G17" s="2" t="inlineStr">
        <is>
          <t xml:space="preserve">Non Critical </t>
        </is>
      </c>
      <c r="H17" s="2" t="n">
        <v>0.1</v>
      </c>
      <c r="I17" s="2" t="n">
        <v>24</v>
      </c>
      <c r="J17" s="2" t="n">
        <v>55</v>
      </c>
      <c r="K17" s="2" t="inlineStr">
        <is>
          <t>Father</t>
        </is>
      </c>
      <c r="L17" s="2" t="inlineStr">
        <is>
          <t>Self-Employed</t>
        </is>
      </c>
      <c r="M17" s="2" t="n">
        <v>6.5</v>
      </c>
      <c r="N17" s="2" t="inlineStr">
        <is>
          <t>ITR</t>
        </is>
      </c>
      <c r="O17" s="2" t="inlineStr">
        <is>
          <t>Yes</t>
        </is>
      </c>
      <c r="P17" s="2" t="n">
        <v>715</v>
      </c>
      <c r="Q17" s="2" t="inlineStr">
        <is>
          <t>No</t>
        </is>
      </c>
      <c r="R17" s="2" t="inlineStr">
        <is>
          <t>NA</t>
        </is>
      </c>
      <c r="S17" s="2" t="inlineStr">
        <is>
          <t>Waiting for the bank to reach them out Need assitance from us</t>
        </is>
      </c>
      <c r="T17" s="2" t="inlineStr">
        <is>
          <t xml:space="preserve">10/7 : HAs got the call from Study4buddy, student has filled the icici form, 6.5 Lacs is the father income, ITR filed , Father's profession : Shop ( Self employed ). Student is worried that he is not getting +ve response from HDFC , hasn't got the call from ICICI. Student has no collateral
12/7 : Student called back, icici hasn;t called back. Student is worried about the loan. as study4buddy told he wont get the loan with this coaplicant. Shared to propelld again. 
14/7 : Piyush's case has been rejected by all lenders due to low income and poor academics. Also, the father already has an existing personal loan EMI, so the income eligibility criteria are not being met. He needs to provide a strong additional co-applicant to relook the case.
21/7: Processing by propelld
31/7: Logged in with ES, GD also approved
moving from risk to control </t>
        </is>
      </c>
      <c r="U17" s="2" t="inlineStr">
        <is>
          <t>Yes</t>
        </is>
      </c>
      <c r="V17" s="2" t="inlineStr">
        <is>
          <t>No</t>
        </is>
      </c>
      <c r="W17" s="2" t="inlineStr">
        <is>
          <t>Yes</t>
        </is>
      </c>
      <c r="X17" s="2" t="n"/>
      <c r="Y17" s="2" t="n"/>
      <c r="Z17" s="2" t="n"/>
      <c r="AA17" s="2" t="inlineStr">
        <is>
          <t>Risk</t>
        </is>
      </c>
      <c r="AB17" s="2" t="inlineStr">
        <is>
          <t>Control</t>
        </is>
      </c>
      <c r="AC17" s="2" t="n"/>
      <c r="AD17" s="2" t="n"/>
      <c r="AE17" s="2" t="n"/>
      <c r="AF17" s="2" t="n"/>
      <c r="AG17" s="2" t="inlineStr">
        <is>
          <t>Ongoing</t>
        </is>
      </c>
      <c r="AH17" s="2" t="inlineStr">
        <is>
          <t>Loan sanctioned by gyan dhan</t>
        </is>
      </c>
      <c r="AI17" s="2" t="inlineStr">
        <is>
          <t>No</t>
        </is>
      </c>
      <c r="AJ17" s="2" t="inlineStr">
        <is>
          <t>No</t>
        </is>
      </c>
      <c r="AK17" s="2" t="inlineStr">
        <is>
          <t>No</t>
        </is>
      </c>
      <c r="AL17" s="2" t="n"/>
      <c r="AM17" s="2" t="n"/>
      <c r="AN17" s="2" t="n"/>
      <c r="AO17" s="2" t="n"/>
      <c r="AP17" s="2" t="n"/>
      <c r="AQ17" s="2" t="n"/>
    </row>
    <row r="18">
      <c r="A18" t="n">
        <v>17</v>
      </c>
      <c r="B18" s="2" t="inlineStr">
        <is>
          <t>Gautam Kumar</t>
        </is>
      </c>
      <c r="C18" s="3" t="n">
        <v>7033285170</v>
      </c>
      <c r="D18" s="2" t="inlineStr">
        <is>
          <t>PROV1000003995</t>
        </is>
      </c>
      <c r="E18" s="2" t="inlineStr">
        <is>
          <t>SSAHE</t>
        </is>
      </c>
      <c r="F18" s="2" t="inlineStr">
        <is>
          <t>Yes</t>
        </is>
      </c>
      <c r="G18" s="2" t="inlineStr">
        <is>
          <t>Loan not required</t>
        </is>
      </c>
      <c r="H18" s="2" t="n">
        <v>0.2</v>
      </c>
      <c r="I18" s="2" t="n">
        <v>7</v>
      </c>
      <c r="J18" s="2" t="n">
        <v>63</v>
      </c>
      <c r="K18" s="2" t="inlineStr">
        <is>
          <t>Father</t>
        </is>
      </c>
      <c r="L18" s="2" t="inlineStr">
        <is>
          <t>Salaried</t>
        </is>
      </c>
      <c r="M18" s="2" t="n">
        <v>5.5</v>
      </c>
      <c r="N18" s="2" t="inlineStr">
        <is>
          <t>ITR</t>
        </is>
      </c>
      <c r="O18" s="2" t="inlineStr">
        <is>
          <t>No</t>
        </is>
      </c>
      <c r="P18" s="2" t="inlineStr">
        <is>
          <t>750+</t>
        </is>
      </c>
      <c r="Q18" s="2" t="inlineStr">
        <is>
          <t>No</t>
        </is>
      </c>
      <c r="R18" s="2" t="inlineStr">
        <is>
          <t>NA</t>
        </is>
      </c>
      <c r="S18" s="2" t="inlineStr">
        <is>
          <t>Waiting for the bank to reach them out Need assitance from us</t>
        </is>
      </c>
      <c r="T18" s="2" t="inlineStr">
        <is>
          <t xml:space="preserve">10/7/26 :Called student , had a word with him, he'll pay the fees for first sem by himself and then take the loan. Parent is visiting tomorrow to the campus </t>
        </is>
      </c>
      <c r="U18" s="2" t="inlineStr">
        <is>
          <t>No</t>
        </is>
      </c>
      <c r="V18" s="2" t="inlineStr">
        <is>
          <t>No</t>
        </is>
      </c>
      <c r="W18" s="2" t="inlineStr">
        <is>
          <t>No</t>
        </is>
      </c>
      <c r="X18" s="2" t="n"/>
      <c r="Y18" s="2" t="n"/>
      <c r="Z18" s="2" t="n"/>
      <c r="AA18" s="2" t="inlineStr">
        <is>
          <t>Not required</t>
        </is>
      </c>
      <c r="AB18" s="2" t="inlineStr">
        <is>
          <t>Not required</t>
        </is>
      </c>
      <c r="AC18" s="2" t="n"/>
      <c r="AD18" s="2" t="n"/>
      <c r="AE18" s="2" t="n"/>
      <c r="AF18" s="2" t="n"/>
      <c r="AG18" s="2" t="inlineStr">
        <is>
          <t>Not required</t>
        </is>
      </c>
      <c r="AH18" s="2" t="n"/>
      <c r="AI18" s="2" t="n"/>
      <c r="AJ18" s="2" t="n"/>
      <c r="AK18" s="2" t="n"/>
      <c r="AL18" s="2" t="n"/>
      <c r="AM18" s="2" t="n"/>
      <c r="AN18" s="2" t="n"/>
      <c r="AO18" s="2" t="n"/>
      <c r="AP18" s="2" t="n"/>
      <c r="AQ18" s="2" t="n"/>
    </row>
    <row r="19">
      <c r="A19" t="n">
        <v>18</v>
      </c>
      <c r="B19" s="2" t="inlineStr">
        <is>
          <t>Mohammad Faizan</t>
        </is>
      </c>
      <c r="C19" s="3" t="n">
        <v>7541858761</v>
      </c>
      <c r="D19" s="2" t="inlineStr">
        <is>
          <t>PROV260500401</t>
        </is>
      </c>
      <c r="E19" s="2" t="inlineStr">
        <is>
          <t>SSAHE</t>
        </is>
      </c>
      <c r="F19" s="2" t="inlineStr">
        <is>
          <t>Yes</t>
        </is>
      </c>
      <c r="G19" s="2" t="inlineStr">
        <is>
          <t xml:space="preserve">Non Critical </t>
        </is>
      </c>
      <c r="H19" s="2" t="n">
        <v>0.25</v>
      </c>
      <c r="I19" s="2" t="n">
        <v>25</v>
      </c>
      <c r="J19" s="2" t="n">
        <v>71.40000000000001</v>
      </c>
      <c r="K19" s="2" t="inlineStr">
        <is>
          <t>Father</t>
        </is>
      </c>
      <c r="L19" s="2" t="inlineStr">
        <is>
          <t>Salaried</t>
        </is>
      </c>
      <c r="M19" s="2" t="n">
        <v>8</v>
      </c>
      <c r="N19" s="2" t="inlineStr">
        <is>
          <t>EWS</t>
        </is>
      </c>
      <c r="O19" s="2" t="inlineStr">
        <is>
          <t>No</t>
        </is>
      </c>
      <c r="P19" s="2" t="inlineStr">
        <is>
          <t>NA</t>
        </is>
      </c>
      <c r="Q19" s="2" t="inlineStr">
        <is>
          <t>No</t>
        </is>
      </c>
      <c r="R19" s="2" t="inlineStr">
        <is>
          <t>NA</t>
        </is>
      </c>
      <c r="S19" s="2" t="inlineStr">
        <is>
          <t>Waiting for the bank to reach them out Need assitance from us</t>
        </is>
      </c>
      <c r="T19" s="2" t="inlineStr">
        <is>
          <t xml:space="preserve">11/7 : Salaried , Salary : 8LPA, Father is talking in different banks || Loan required : need to ask father 
Father's number : 7782842226
Had a father , father hasn't received any call from icici || has already filled the form || Have shared the number to icici. 
Have talked to propelld , but father told that they would reach out to them once he processes it. 
Father is coming to bangalore on Monday. Requires full amount of loan
15/7 : Father came to office , he shared all the documents. Mother's PAN was left which he would share on 18th of July
18/7 : Has shared mother's PAN. suggested him to send to propelld directly. 
22/7 : Propelld contacted him, again he has shared documents to propelld. 
28/7 : It's with credit team of propelld,. they shall be confirming by 3pm. </t>
        </is>
      </c>
      <c r="U19" s="2" t="inlineStr">
        <is>
          <t>Yes</t>
        </is>
      </c>
      <c r="V19" s="2" t="inlineStr">
        <is>
          <t>Yes</t>
        </is>
      </c>
      <c r="W19" s="2" t="inlineStr">
        <is>
          <t>Yes</t>
        </is>
      </c>
      <c r="X19" s="2" t="n"/>
      <c r="Y19" s="2" t="n"/>
      <c r="Z19" s="2" t="n"/>
      <c r="AA19" s="2" t="inlineStr">
        <is>
          <t>Control</t>
        </is>
      </c>
      <c r="AB19" s="2" t="inlineStr">
        <is>
          <t>Control</t>
        </is>
      </c>
      <c r="AC19" s="2" t="n"/>
      <c r="AD19" s="2" t="n"/>
      <c r="AE19" s="2" t="n"/>
      <c r="AF19" s="2" t="n"/>
      <c r="AG19" s="2" t="inlineStr">
        <is>
          <t>Ongoing</t>
        </is>
      </c>
      <c r="AH19" s="2" t="inlineStr">
        <is>
          <t>Processing by Propelld</t>
        </is>
      </c>
      <c r="AI19" s="2" t="inlineStr">
        <is>
          <t>No</t>
        </is>
      </c>
      <c r="AJ19" s="2" t="inlineStr">
        <is>
          <t>No</t>
        </is>
      </c>
      <c r="AK19" s="2" t="inlineStr">
        <is>
          <t>No</t>
        </is>
      </c>
      <c r="AL19" s="2" t="n"/>
      <c r="AM19" s="2" t="n"/>
      <c r="AN19" s="2" t="n"/>
      <c r="AO19" s="2" t="n"/>
      <c r="AP19" s="2" t="n"/>
      <c r="AQ19" s="2" t="n"/>
    </row>
    <row r="20">
      <c r="A20" t="n">
        <v>19</v>
      </c>
      <c r="B20" s="2" t="inlineStr">
        <is>
          <t>Vanshika Rathore</t>
        </is>
      </c>
      <c r="C20" s="3" t="n">
        <v>7597802620</v>
      </c>
      <c r="D20" s="2" t="inlineStr">
        <is>
          <t>PROV260502005</t>
        </is>
      </c>
      <c r="E20" s="2" t="inlineStr">
        <is>
          <t>SSAHE</t>
        </is>
      </c>
      <c r="F20" s="2" t="inlineStr">
        <is>
          <t>Yes</t>
        </is>
      </c>
      <c r="G20" s="2" t="inlineStr">
        <is>
          <t xml:space="preserve">Non Critical </t>
        </is>
      </c>
      <c r="H20" s="2" t="n">
        <v>0.05</v>
      </c>
      <c r="I20" s="2" t="n">
        <v>20</v>
      </c>
      <c r="J20" s="2" t="n">
        <v>60</v>
      </c>
      <c r="K20" s="2" t="inlineStr">
        <is>
          <t>Father</t>
        </is>
      </c>
      <c r="L20" s="2" t="inlineStr">
        <is>
          <t>Salaried</t>
        </is>
      </c>
      <c r="M20" s="2" t="n">
        <v>29</v>
      </c>
      <c r="N20" s="2" t="inlineStr">
        <is>
          <t>ITR</t>
        </is>
      </c>
      <c r="O20" s="2" t="inlineStr">
        <is>
          <t>Yes</t>
        </is>
      </c>
      <c r="P20" s="2" t="inlineStr">
        <is>
          <t>NA</t>
        </is>
      </c>
      <c r="Q20" s="2" t="inlineStr">
        <is>
          <t>No</t>
        </is>
      </c>
      <c r="R20" s="2" t="inlineStr">
        <is>
          <t>NA</t>
        </is>
      </c>
      <c r="S20" s="2" t="inlineStr">
        <is>
          <t>In Conversation with HDFC</t>
        </is>
      </c>
      <c r="T20" s="2" t="inlineStr">
        <is>
          <t>11/7 : Had contacted the mother, mother suggested that someone has died in the family, she would call back. 
11/7 : Student has called back , they haven't processed any loan yet. Family would be coming on tuesday. So have to share the number with icici. have sent the reminder in my calendar to do it.
18/7 : Loan required : 20, they'll either proceed with either hdfc or icici
23/7 : 
Co applicant Name: Rupendra Singh Rathore 
Relationship: Father 
Co-applicant e-mail id: rsrathore81@gmail.com 
My mobile no. 8085351495
ITR filed:1.49 lacs
Copy of last yr itr attached</t>
        </is>
      </c>
      <c r="U20" s="2" t="inlineStr">
        <is>
          <t>Yes</t>
        </is>
      </c>
      <c r="V20" s="2" t="inlineStr">
        <is>
          <t>No</t>
        </is>
      </c>
      <c r="W20" s="2" t="inlineStr">
        <is>
          <t>No</t>
        </is>
      </c>
      <c r="X20" s="2" t="n"/>
      <c r="Y20" s="2" t="n"/>
      <c r="Z20" s="2" t="n"/>
      <c r="AA20" s="2" t="inlineStr">
        <is>
          <t>Control</t>
        </is>
      </c>
      <c r="AB20" s="2" t="inlineStr">
        <is>
          <t>Control</t>
        </is>
      </c>
      <c r="AC20" s="2" t="n"/>
      <c r="AD20" s="2" t="n"/>
      <c r="AE20" s="2" t="n"/>
      <c r="AF20" s="2" t="n"/>
      <c r="AG20" s="2" t="inlineStr">
        <is>
          <t>Ongoing</t>
        </is>
      </c>
      <c r="AH20" s="2" t="inlineStr">
        <is>
          <t>Processing at other bank, Processing by GyanDhan</t>
        </is>
      </c>
      <c r="AI20" s="2" t="inlineStr">
        <is>
          <t>No</t>
        </is>
      </c>
      <c r="AJ20" s="2" t="inlineStr">
        <is>
          <t>No</t>
        </is>
      </c>
      <c r="AK20" s="2" t="inlineStr">
        <is>
          <t>No</t>
        </is>
      </c>
      <c r="AL20" s="2" t="n"/>
      <c r="AM20" s="2" t="n"/>
      <c r="AN20" s="2" t="n"/>
      <c r="AO20" s="2" t="n"/>
      <c r="AP20" s="2" t="n"/>
      <c r="AQ20" s="2" t="n"/>
    </row>
    <row r="21">
      <c r="A21" t="n">
        <v>20</v>
      </c>
      <c r="B21" s="2" t="inlineStr">
        <is>
          <t>Aatharva uday Nirhali</t>
        </is>
      </c>
      <c r="C21" s="3" t="n">
        <v>9869868577</v>
      </c>
      <c r="D21" s="2" t="inlineStr">
        <is>
          <t>PROV260506354</t>
        </is>
      </c>
      <c r="E21" s="2" t="inlineStr">
        <is>
          <t>SSAHE</t>
        </is>
      </c>
      <c r="F21" s="2" t="inlineStr">
        <is>
          <t>No</t>
        </is>
      </c>
      <c r="G21" s="2" t="inlineStr">
        <is>
          <t>Loan not required</t>
        </is>
      </c>
      <c r="H21" s="2" t="n">
        <v>0.05</v>
      </c>
      <c r="I21" s="2" t="n">
        <v>25</v>
      </c>
      <c r="J21" s="2" t="n">
        <v>73</v>
      </c>
      <c r="K21" s="2" t="inlineStr">
        <is>
          <t>Father</t>
        </is>
      </c>
      <c r="L21" s="2" t="inlineStr">
        <is>
          <t>Self-Employed</t>
        </is>
      </c>
      <c r="M21" s="2" t="n">
        <v>6</v>
      </c>
      <c r="N21" s="2" t="inlineStr">
        <is>
          <t>ITR</t>
        </is>
      </c>
      <c r="O21" s="2" t="inlineStr">
        <is>
          <t>Yes</t>
        </is>
      </c>
      <c r="P21" s="2" t="n">
        <v>650</v>
      </c>
      <c r="Q21" s="2" t="inlineStr">
        <is>
          <t>No</t>
        </is>
      </c>
      <c r="R21" s="2" t="inlineStr">
        <is>
          <t>NA</t>
        </is>
      </c>
      <c r="S21" s="2" t="inlineStr">
        <is>
          <t>Waiting for the bank to reach them out Need assitance from us</t>
        </is>
      </c>
      <c r="T21" s="2" t="inlineStr">
        <is>
          <t>11/7 : Father wants to visit the campus within 8-15 days. Loan not required. 
Have shared the details with SST</t>
        </is>
      </c>
      <c r="U21" s="2" t="inlineStr">
        <is>
          <t>No</t>
        </is>
      </c>
      <c r="V21" s="2" t="inlineStr">
        <is>
          <t>No</t>
        </is>
      </c>
      <c r="W21" s="2" t="inlineStr">
        <is>
          <t>No</t>
        </is>
      </c>
      <c r="X21" s="2" t="n"/>
      <c r="Y21" s="2" t="n"/>
      <c r="Z21" s="2" t="n"/>
      <c r="AA21" s="2" t="inlineStr">
        <is>
          <t>Not required</t>
        </is>
      </c>
      <c r="AB21" s="2" t="inlineStr">
        <is>
          <t>Not required</t>
        </is>
      </c>
      <c r="AC21" s="2" t="n"/>
      <c r="AD21" s="2" t="n"/>
      <c r="AE21" s="2" t="n"/>
      <c r="AF21" s="2" t="n"/>
      <c r="AG21" s="2" t="inlineStr">
        <is>
          <t>Not required</t>
        </is>
      </c>
      <c r="AH21" s="2" t="n"/>
      <c r="AI21" s="2" t="n"/>
      <c r="AJ21" s="2" t="n"/>
      <c r="AK21" s="2" t="n"/>
      <c r="AL21" s="2" t="n"/>
      <c r="AM21" s="2" t="n"/>
      <c r="AN21" s="2" t="n"/>
      <c r="AO21" s="2" t="n"/>
      <c r="AP21" s="2" t="n"/>
      <c r="AQ21" s="2" t="n"/>
    </row>
    <row r="22">
      <c r="A22" t="n">
        <v>21</v>
      </c>
      <c r="B22" s="2" t="inlineStr">
        <is>
          <t>Ankit Kumar</t>
        </is>
      </c>
      <c r="C22" s="3" t="n">
        <v>8603034436</v>
      </c>
      <c r="D22" s="2" t="inlineStr">
        <is>
          <t>PROV260505049</t>
        </is>
      </c>
      <c r="E22" s="2" t="inlineStr">
        <is>
          <t>SSAHE</t>
        </is>
      </c>
      <c r="F22" s="2" t="inlineStr">
        <is>
          <t>Yes</t>
        </is>
      </c>
      <c r="G22" s="2" t="inlineStr">
        <is>
          <t>Loan not required</t>
        </is>
      </c>
      <c r="H22" s="2" t="n">
        <v>0.275</v>
      </c>
      <c r="I22" s="2" t="n">
        <v>4</v>
      </c>
      <c r="J22" s="2" t="n">
        <v>73</v>
      </c>
      <c r="K22" s="2" t="inlineStr">
        <is>
          <t>Father</t>
        </is>
      </c>
      <c r="L22" s="2" t="inlineStr">
        <is>
          <t>Farmer</t>
        </is>
      </c>
      <c r="M22" s="2" t="n">
        <v>5</v>
      </c>
      <c r="N22" s="2" t="inlineStr">
        <is>
          <t>Income Certificate</t>
        </is>
      </c>
      <c r="O22" s="2" t="inlineStr">
        <is>
          <t>No</t>
        </is>
      </c>
      <c r="P22" s="2" t="inlineStr">
        <is>
          <t>NA</t>
        </is>
      </c>
      <c r="Q22" s="2" t="inlineStr">
        <is>
          <t>No</t>
        </is>
      </c>
      <c r="R22" s="2" t="inlineStr">
        <is>
          <t>NA</t>
        </is>
      </c>
      <c r="S22" s="2" t="inlineStr">
        <is>
          <t>Waiting for the bank to reach them out Need assitance from us</t>
        </is>
      </c>
      <c r="T22" s="2" t="inlineStr">
        <is>
          <t>11/7 : Student is taking loan through Bihar Credit Card Scheme of 4L and the rest of the fees would be paid by student's father itself</t>
        </is>
      </c>
      <c r="U22" s="2" t="inlineStr">
        <is>
          <t>No</t>
        </is>
      </c>
      <c r="V22" s="2" t="inlineStr">
        <is>
          <t>No</t>
        </is>
      </c>
      <c r="W22" s="2" t="inlineStr">
        <is>
          <t>No</t>
        </is>
      </c>
      <c r="X22" s="2" t="n"/>
      <c r="Y22" s="2" t="n"/>
      <c r="Z22" s="2" t="n"/>
      <c r="AA22" s="2" t="inlineStr">
        <is>
          <t>Not required</t>
        </is>
      </c>
      <c r="AB22" s="2" t="inlineStr">
        <is>
          <t>Not required</t>
        </is>
      </c>
      <c r="AC22" s="2" t="n"/>
      <c r="AD22" s="2" t="n"/>
      <c r="AE22" s="2" t="n"/>
      <c r="AF22" s="2" t="n"/>
      <c r="AG22" s="2" t="inlineStr">
        <is>
          <t>Not required</t>
        </is>
      </c>
      <c r="AH22" s="2" t="n"/>
      <c r="AI22" s="2" t="n"/>
      <c r="AJ22" s="2" t="n"/>
      <c r="AK22" s="2" t="n"/>
      <c r="AL22" s="2" t="n"/>
      <c r="AM22" s="2" t="n"/>
      <c r="AN22" s="2" t="n"/>
      <c r="AO22" s="2" t="n"/>
      <c r="AP22" s="2" t="n"/>
      <c r="AQ22" s="2" t="n"/>
    </row>
    <row r="23">
      <c r="A23" t="n">
        <v>22</v>
      </c>
      <c r="B23" s="2" t="inlineStr">
        <is>
          <t>Rupali Yadav</t>
        </is>
      </c>
      <c r="C23" s="3" t="n">
        <v>9555375578</v>
      </c>
      <c r="D23" s="2" t="inlineStr">
        <is>
          <t>PROV260602216</t>
        </is>
      </c>
      <c r="E23" s="2" t="inlineStr">
        <is>
          <t>SSAHE</t>
        </is>
      </c>
      <c r="F23" s="2" t="inlineStr">
        <is>
          <t>Yes</t>
        </is>
      </c>
      <c r="G23" s="2" t="inlineStr">
        <is>
          <t xml:space="preserve">Non Critical </t>
        </is>
      </c>
      <c r="H23" s="2" t="n">
        <v>0.15</v>
      </c>
      <c r="I23" s="2" t="n">
        <v>20</v>
      </c>
      <c r="J23" s="2" t="inlineStr">
        <is>
          <t>NA</t>
        </is>
      </c>
      <c r="K23" s="2" t="inlineStr">
        <is>
          <t>Self</t>
        </is>
      </c>
      <c r="L23" s="2" t="inlineStr">
        <is>
          <t>Self-Employed</t>
        </is>
      </c>
      <c r="M23" s="2" t="n">
        <v>5</v>
      </c>
      <c r="N23" s="2" t="inlineStr">
        <is>
          <t>NA</t>
        </is>
      </c>
      <c r="O23" s="2" t="inlineStr">
        <is>
          <t>No</t>
        </is>
      </c>
      <c r="P23" s="2" t="inlineStr">
        <is>
          <t>NA</t>
        </is>
      </c>
      <c r="Q23" s="2" t="inlineStr">
        <is>
          <t>No</t>
        </is>
      </c>
      <c r="R23" s="2" t="inlineStr">
        <is>
          <t>NA</t>
        </is>
      </c>
      <c r="S23" s="2" t="inlineStr">
        <is>
          <t>Waiting for the bank to reach them out Need assitance from us</t>
        </is>
      </c>
      <c r="T23" s="2" t="inlineStr">
        <is>
          <t>11/7 : Student wants to take the loan after 2nd year, 10L would be paid by the family and 10L will be paid by the student. Father is in thailand.
14/7 : Brother called , wanted to enquire about the loan, 
20/7: Have suggested her to take the loan sanction at least now, was not okay with high rate of interest, shared leads with our banks.</t>
        </is>
      </c>
      <c r="U23" s="2" t="inlineStr">
        <is>
          <t>No</t>
        </is>
      </c>
      <c r="V23" s="2" t="n"/>
      <c r="W23" s="2" t="n"/>
      <c r="X23" s="2" t="n"/>
      <c r="Y23" s="2" t="n"/>
      <c r="Z23" s="2" t="n"/>
      <c r="AA23" s="2" t="inlineStr">
        <is>
          <t>Not required</t>
        </is>
      </c>
      <c r="AB23" s="2" t="inlineStr">
        <is>
          <t>Not required</t>
        </is>
      </c>
      <c r="AC23" s="2" t="n"/>
      <c r="AD23" s="2" t="n"/>
      <c r="AE23" s="2" t="n"/>
      <c r="AF23" s="2" t="n"/>
      <c r="AG23" s="2" t="inlineStr">
        <is>
          <t>Not required</t>
        </is>
      </c>
      <c r="AH23" s="2" t="n"/>
      <c r="AI23" s="2" t="n"/>
      <c r="AJ23" s="2" t="n"/>
      <c r="AK23" s="2" t="n"/>
      <c r="AL23" s="2" t="n"/>
      <c r="AM23" s="2" t="n"/>
      <c r="AN23" s="2" t="n"/>
      <c r="AO23" s="2" t="n"/>
      <c r="AP23" s="2" t="n"/>
      <c r="AQ23" s="2" t="n"/>
    </row>
    <row r="24">
      <c r="A24" t="n">
        <v>23</v>
      </c>
      <c r="B24" s="2" t="inlineStr">
        <is>
          <t>Ankit Gupta</t>
        </is>
      </c>
      <c r="C24" s="3" t="n">
        <v>7870435737</v>
      </c>
      <c r="D24" s="2" t="inlineStr">
        <is>
          <t>PROV260501472</t>
        </is>
      </c>
      <c r="E24" s="2" t="inlineStr">
        <is>
          <t>SSAHE</t>
        </is>
      </c>
      <c r="F24" s="2" t="inlineStr">
        <is>
          <t>Yes</t>
        </is>
      </c>
      <c r="G24" s="2" t="inlineStr">
        <is>
          <t xml:space="preserve">Non Critical </t>
        </is>
      </c>
      <c r="H24" s="2" t="n">
        <v>0.225</v>
      </c>
      <c r="I24" s="2" t="n">
        <v>20</v>
      </c>
      <c r="J24" s="2" t="n">
        <v>83</v>
      </c>
      <c r="K24" s="2" t="inlineStr">
        <is>
          <t>Father</t>
        </is>
      </c>
      <c r="L24" s="2" t="inlineStr">
        <is>
          <t>Self-Employed</t>
        </is>
      </c>
      <c r="M24" s="2" t="n">
        <v>6</v>
      </c>
      <c r="N24" s="2" t="inlineStr">
        <is>
          <t>Income certificate</t>
        </is>
      </c>
      <c r="O24" s="2" t="inlineStr">
        <is>
          <t>No</t>
        </is>
      </c>
      <c r="P24" s="2" t="inlineStr">
        <is>
          <t>NA</t>
        </is>
      </c>
      <c r="Q24" s="2" t="inlineStr">
        <is>
          <t>No</t>
        </is>
      </c>
      <c r="R24" s="2" t="inlineStr">
        <is>
          <t>NA</t>
        </is>
      </c>
      <c r="S24" s="2" t="inlineStr">
        <is>
          <t>in talks of BOI , DRCC IN BIHAR</t>
        </is>
      </c>
      <c r="T24" s="2" t="inlineStr">
        <is>
          <t>11/7 : DNP
15/07/2026: In talks with BOI - wants BOI but BOI not providing
* Pain Point - Low income but need collateral free, also not agreeing with high int as offered by Propelld
* Shared profile with ICICI also to confirm that whether top up loan allowed over and above SCC schemes of states.(Student from Bihar)
20/7: DNP
23/7: Processing , is fairly confident, 
27/7 : Still processing for the loan, has opened the account recently</t>
        </is>
      </c>
      <c r="U24" s="2" t="inlineStr">
        <is>
          <t>Yes</t>
        </is>
      </c>
      <c r="V24" s="2" t="inlineStr">
        <is>
          <t>yes</t>
        </is>
      </c>
      <c r="W24" s="2" t="n"/>
      <c r="X24" s="2" t="n"/>
      <c r="Y24" s="2" t="n"/>
      <c r="Z24" s="2" t="n"/>
      <c r="AA24" s="2" t="inlineStr">
        <is>
          <t>Control</t>
        </is>
      </c>
      <c r="AB24" s="2" t="inlineStr">
        <is>
          <t>Control</t>
        </is>
      </c>
      <c r="AC24" s="2" t="n"/>
      <c r="AD24" s="2" t="n"/>
      <c r="AE24" s="2" t="n"/>
      <c r="AF24" s="2" t="n"/>
      <c r="AG24" s="2" t="inlineStr">
        <is>
          <t>Ongoing</t>
        </is>
      </c>
      <c r="AH24" s="2" t="inlineStr">
        <is>
          <t>Processing by Icici</t>
        </is>
      </c>
      <c r="AI24" s="2" t="n"/>
      <c r="AJ24" s="2" t="n"/>
      <c r="AK24" s="2" t="inlineStr">
        <is>
          <t>Yes</t>
        </is>
      </c>
      <c r="AL24" s="2" t="n"/>
      <c r="AM24" s="2" t="n"/>
      <c r="AN24" s="2" t="n"/>
      <c r="AO24" s="2" t="n"/>
      <c r="AP24" s="2" t="n"/>
      <c r="AQ24" s="2" t="n"/>
    </row>
    <row r="25">
      <c r="A25" t="n">
        <v>24</v>
      </c>
      <c r="B25" s="2" t="inlineStr">
        <is>
          <t>Bhuvan Tk</t>
        </is>
      </c>
      <c r="C25" s="3" t="n">
        <v>7259802878</v>
      </c>
      <c r="D25" s="2" t="inlineStr">
        <is>
          <t>PROV260606019</t>
        </is>
      </c>
      <c r="E25" s="2" t="inlineStr">
        <is>
          <t>SSAHE</t>
        </is>
      </c>
      <c r="F25" s="2" t="inlineStr">
        <is>
          <t>Yes</t>
        </is>
      </c>
      <c r="G25" s="2" t="inlineStr">
        <is>
          <t xml:space="preserve">Critical </t>
        </is>
      </c>
      <c r="H25" s="2" t="n">
        <v>0.325</v>
      </c>
      <c r="I25" s="2" t="n">
        <v>20</v>
      </c>
      <c r="J25" s="2" t="n">
        <v>82</v>
      </c>
      <c r="K25" s="2" t="inlineStr">
        <is>
          <t>Father</t>
        </is>
      </c>
      <c r="L25" s="2" t="inlineStr">
        <is>
          <t>Salaried</t>
        </is>
      </c>
      <c r="M25" s="2" t="n">
        <v>2</v>
      </c>
      <c r="N25" s="2" t="inlineStr">
        <is>
          <t>Income certificate</t>
        </is>
      </c>
      <c r="O25" s="2" t="inlineStr">
        <is>
          <t>No</t>
        </is>
      </c>
      <c r="P25" s="2" t="inlineStr">
        <is>
          <t>NA</t>
        </is>
      </c>
      <c r="Q25" s="2" t="inlineStr">
        <is>
          <t>No</t>
        </is>
      </c>
      <c r="R25" s="2" t="inlineStr">
        <is>
          <t>NA</t>
        </is>
      </c>
      <c r="S25" s="2" t="inlineStr">
        <is>
          <t>Waiting for the bank to reach them out Need assitance from us</t>
        </is>
      </c>
      <c r="T25" s="2" t="inlineStr">
        <is>
          <t xml:space="preserve">11/7 :  this student has got revised SL for 32.5% schoolarship but POL as 22.5%, Can you please check and confirm , as its showing 22.5% on scholarship calculator and to the student on his portal. 
Loan : 20L , Father's income : 2LPA, no banks would be able to provide loan on this 
Student called again : asking for collateral loan. 
16/7: Low income, but undisclosed income of rs. 25000/month  from various properties.
Probable sol: If NBFC's can by pass the lack of proof of income.
Co app income = 12,000
unsecured
loan requirement - 18,00,000
no other co app
25/7 : PM vidyalakshmi has been suggested , student told he will be able to manage post 7.5L 
28/7 : Spoke to the student , guided him around the PM vidyalakshmi again. Suggested him to go to the bank and process this. </t>
        </is>
      </c>
      <c r="U25" s="2" t="inlineStr">
        <is>
          <t>Yes</t>
        </is>
      </c>
      <c r="V25" s="2" t="inlineStr">
        <is>
          <t>Yes</t>
        </is>
      </c>
      <c r="W25" s="2" t="inlineStr">
        <is>
          <t>Yes</t>
        </is>
      </c>
      <c r="X25" s="2" t="n"/>
      <c r="Y25" s="2" t="n"/>
      <c r="Z25" s="2" t="inlineStr">
        <is>
          <t>Yes</t>
        </is>
      </c>
      <c r="AA25" s="2" t="inlineStr">
        <is>
          <t>Risk</t>
        </is>
      </c>
      <c r="AB25" s="2" t="inlineStr">
        <is>
          <t>Risk</t>
        </is>
      </c>
      <c r="AC25" s="2" t="n"/>
      <c r="AD25" s="2" t="n"/>
      <c r="AE25" s="2" t="n"/>
      <c r="AF25" s="2" t="n"/>
      <c r="AG25" s="2" t="inlineStr">
        <is>
          <t>Ongoing</t>
        </is>
      </c>
      <c r="AH25" s="2" t="inlineStr">
        <is>
          <t>Processing by GyanDhan</t>
        </is>
      </c>
      <c r="AI25" s="2" t="n"/>
      <c r="AJ25" s="2" t="inlineStr">
        <is>
          <t>No</t>
        </is>
      </c>
      <c r="AK25" s="2" t="inlineStr">
        <is>
          <t>Yes</t>
        </is>
      </c>
      <c r="AL25" s="2" t="n"/>
      <c r="AM25" s="2" t="n"/>
      <c r="AN25" s="2" t="n"/>
      <c r="AO25" s="2" t="n"/>
      <c r="AP25" s="2" t="n"/>
      <c r="AQ25" s="2" t="n"/>
    </row>
    <row r="26">
      <c r="A26" t="n">
        <v>25</v>
      </c>
      <c r="B26" s="2" t="inlineStr">
        <is>
          <t>Rohit Kumar</t>
        </is>
      </c>
      <c r="C26" s="3" t="n">
        <v>9279392342</v>
      </c>
      <c r="D26" s="2" t="inlineStr">
        <is>
          <t>PROV1000003417</t>
        </is>
      </c>
      <c r="E26" s="2" t="inlineStr">
        <is>
          <t>SSAHE</t>
        </is>
      </c>
      <c r="F26" s="2" t="inlineStr">
        <is>
          <t>Yes</t>
        </is>
      </c>
      <c r="G26" s="2" t="inlineStr">
        <is>
          <t xml:space="preserve">Critical </t>
        </is>
      </c>
      <c r="H26" s="2" t="n">
        <v>0.075</v>
      </c>
      <c r="I26" s="2" t="n">
        <v>18</v>
      </c>
      <c r="J26" s="2" t="n">
        <v>51</v>
      </c>
      <c r="K26" s="2" t="inlineStr">
        <is>
          <t>Father</t>
        </is>
      </c>
      <c r="L26" s="2" t="inlineStr">
        <is>
          <t>Farmer</t>
        </is>
      </c>
      <c r="M26" s="2" t="n">
        <v>4</v>
      </c>
      <c r="N26" s="2" t="inlineStr">
        <is>
          <t>Income Certificate</t>
        </is>
      </c>
      <c r="O26" s="2" t="inlineStr">
        <is>
          <t>No</t>
        </is>
      </c>
      <c r="P26" s="2" t="inlineStr">
        <is>
          <t>NA</t>
        </is>
      </c>
      <c r="Q26" s="2" t="inlineStr">
        <is>
          <t>Yes</t>
        </is>
      </c>
      <c r="R26" s="2" t="inlineStr">
        <is>
          <t>Agricultural</t>
        </is>
      </c>
      <c r="S26" s="2" t="inlineStr">
        <is>
          <t>Waiting for the bank to reach them out Need assitance from us</t>
        </is>
      </c>
      <c r="T26" s="2" t="inlineStr">
        <is>
          <t>11/7 : Loan required : 20L
Father's income : 4L
Father profession : Farmer 
ITR filed : No 
16/7 : Not going with ICICI as do not have the requisite docs asked by the bank, waiting for a call back from propelld
Probable sol: More than 3l so gyandhan or propelld may sanction, (if student is okay with the int rate)
23/7: Rejected from propelld, due to low income/Abroad Loans/low requirement/Others
last option gyandhan</t>
        </is>
      </c>
      <c r="U26" s="2" t="inlineStr">
        <is>
          <t>Yes</t>
        </is>
      </c>
      <c r="V26" s="2" t="inlineStr">
        <is>
          <t>Yes</t>
        </is>
      </c>
      <c r="W26" s="2" t="inlineStr">
        <is>
          <t>Yes</t>
        </is>
      </c>
      <c r="X26" s="2" t="n"/>
      <c r="Y26" s="2" t="n"/>
      <c r="Z26" s="2" t="inlineStr">
        <is>
          <t>Yes</t>
        </is>
      </c>
      <c r="AA26" s="2" t="inlineStr">
        <is>
          <t>Risk</t>
        </is>
      </c>
      <c r="AB26" s="2" t="inlineStr">
        <is>
          <t>Risk</t>
        </is>
      </c>
      <c r="AC26" s="2" t="n"/>
      <c r="AD26" s="2" t="n"/>
      <c r="AE26" s="2" t="n"/>
      <c r="AF26" s="2" t="n"/>
      <c r="AG26" s="2" t="inlineStr">
        <is>
          <t>Ongoing</t>
        </is>
      </c>
      <c r="AH26" s="2" t="inlineStr">
        <is>
          <t>Processing by GyanDhan</t>
        </is>
      </c>
      <c r="AI26" s="2" t="n"/>
      <c r="AJ26" s="2" t="inlineStr">
        <is>
          <t>No</t>
        </is>
      </c>
      <c r="AK26" s="2" t="n"/>
      <c r="AL26" s="2" t="n"/>
      <c r="AM26" s="2" t="n"/>
      <c r="AN26" s="2" t="n"/>
      <c r="AO26" s="2" t="n"/>
      <c r="AP26" s="2" t="n"/>
      <c r="AQ26" s="2" t="n"/>
    </row>
    <row r="27">
      <c r="A27" t="n">
        <v>26</v>
      </c>
      <c r="B27" s="2" t="inlineStr">
        <is>
          <t>Dhairya Sommanek</t>
        </is>
      </c>
      <c r="C27" s="3" t="n">
        <v>9699437102</v>
      </c>
      <c r="D27" s="2" t="inlineStr">
        <is>
          <t>PROV260605047</t>
        </is>
      </c>
      <c r="E27" s="2" t="inlineStr">
        <is>
          <t>SSAHE</t>
        </is>
      </c>
      <c r="F27" s="2" t="inlineStr">
        <is>
          <t>Yes</t>
        </is>
      </c>
      <c r="G27" s="2" t="inlineStr">
        <is>
          <t xml:space="preserve">Critical </t>
        </is>
      </c>
      <c r="H27" s="2" t="n">
        <v>0.2</v>
      </c>
      <c r="I27" s="2" t="n">
        <v>25</v>
      </c>
      <c r="J27" s="2" t="n">
        <v>68.3</v>
      </c>
      <c r="K27" s="2" t="inlineStr">
        <is>
          <t>Father</t>
        </is>
      </c>
      <c r="L27" s="2" t="inlineStr">
        <is>
          <t>Self-Employed</t>
        </is>
      </c>
      <c r="M27" s="2" t="n">
        <v>9</v>
      </c>
      <c r="N27" s="2" t="inlineStr">
        <is>
          <t>Income Certificate</t>
        </is>
      </c>
      <c r="O27" s="2" t="inlineStr">
        <is>
          <t>No</t>
        </is>
      </c>
      <c r="P27" s="2" t="n">
        <v>790</v>
      </c>
      <c r="Q27" s="2" t="inlineStr">
        <is>
          <t>Yes</t>
        </is>
      </c>
      <c r="R27" s="2" t="inlineStr">
        <is>
          <t>Residential</t>
        </is>
      </c>
      <c r="S27" s="2" t="inlineStr">
        <is>
          <t>Waiting for the bank to reach them out Need assitance from us</t>
        </is>
      </c>
      <c r="T27" s="2" t="inlineStr">
        <is>
          <t xml:space="preserve">9/7/26 : Had a conversation with the kid, looking for loan of 16 lakhs, sent it to icici
10/7/26 : Got the update from the student, he would proceed for the loan after 19th , since no PAN card available
16/7/26: Student will apply for PAN after his bday which is coming, ICICI said only issues is with PAN, based on income , loan might get sanction. Actual Problem:- Total time for PAN to come and then the loan process.
Action: C+3, call back and check
21/7 : Father income : 9.5L, Mother : 6.5L, ITR filed : yes , Father's profession : Insurance business
30/7 : Icici got rejected. Student wants to talk to the Gyan dhan </t>
        </is>
      </c>
      <c r="U27" s="2" t="inlineStr">
        <is>
          <t>Yes</t>
        </is>
      </c>
      <c r="V27" s="2" t="inlineStr">
        <is>
          <t>Yes</t>
        </is>
      </c>
      <c r="W27" s="2" t="inlineStr">
        <is>
          <t>No</t>
        </is>
      </c>
      <c r="X27" s="2" t="inlineStr">
        <is>
          <t>No</t>
        </is>
      </c>
      <c r="Y27" s="2" t="inlineStr">
        <is>
          <t>No</t>
        </is>
      </c>
      <c r="Z27" s="2" t="inlineStr">
        <is>
          <t>Yes</t>
        </is>
      </c>
      <c r="AA27" s="2" t="inlineStr">
        <is>
          <t>Control</t>
        </is>
      </c>
      <c r="AB27" s="2" t="inlineStr">
        <is>
          <t>Control</t>
        </is>
      </c>
      <c r="AC27" s="2" t="n"/>
      <c r="AD27" s="2" t="n"/>
      <c r="AE27" s="2" t="n"/>
      <c r="AF27" s="2" t="n"/>
      <c r="AG27" s="2" t="inlineStr">
        <is>
          <t>Ongoing</t>
        </is>
      </c>
      <c r="AH27" s="2" t="inlineStr">
        <is>
          <t>Processing by Icici, Processing by GyanDhan</t>
        </is>
      </c>
      <c r="AI27" s="2" t="inlineStr">
        <is>
          <t>No</t>
        </is>
      </c>
      <c r="AJ27" s="2" t="inlineStr">
        <is>
          <t>Yes</t>
        </is>
      </c>
      <c r="AK27" s="2" t="n"/>
      <c r="AL27" s="2" t="n"/>
      <c r="AM27" s="2" t="n"/>
      <c r="AN27" s="2" t="n"/>
      <c r="AO27" s="2" t="n"/>
      <c r="AP27" s="2" t="n"/>
      <c r="AQ27" s="2" t="n"/>
    </row>
    <row r="28">
      <c r="A28" t="n">
        <v>27</v>
      </c>
      <c r="B28" s="2" t="inlineStr">
        <is>
          <t>Varsha B Patil</t>
        </is>
      </c>
      <c r="C28" s="3" t="n">
        <v>7090531131</v>
      </c>
      <c r="D28" s="2" t="inlineStr">
        <is>
          <t>PROV1000000485</t>
        </is>
      </c>
      <c r="E28" s="2" t="inlineStr">
        <is>
          <t>SSAHE</t>
        </is>
      </c>
      <c r="F28" s="2" t="inlineStr">
        <is>
          <t>Yes</t>
        </is>
      </c>
      <c r="G28" s="2" t="inlineStr">
        <is>
          <t xml:space="preserve">Non Critical </t>
        </is>
      </c>
      <c r="H28" s="2" t="n">
        <v>0.125</v>
      </c>
      <c r="I28" s="2" t="n">
        <v>18</v>
      </c>
      <c r="J28" s="2" t="n">
        <v>87</v>
      </c>
      <c r="K28" s="2" t="inlineStr">
        <is>
          <t>Father</t>
        </is>
      </c>
      <c r="L28" s="2" t="inlineStr">
        <is>
          <t>Farmer</t>
        </is>
      </c>
      <c r="M28" s="2" t="n">
        <v>6</v>
      </c>
      <c r="N28" s="2" t="inlineStr">
        <is>
          <t>EWS</t>
        </is>
      </c>
      <c r="O28" s="2" t="inlineStr">
        <is>
          <t>Yes</t>
        </is>
      </c>
      <c r="P28" s="2" t="n">
        <v>644</v>
      </c>
      <c r="Q28" s="2" t="inlineStr">
        <is>
          <t>Yes</t>
        </is>
      </c>
      <c r="R28" s="2" t="inlineStr">
        <is>
          <t>Agricultural</t>
        </is>
      </c>
      <c r="S28" s="2" t="inlineStr">
        <is>
          <t xml:space="preserve">Only Propelled discussed and Rate of intrest is Higher-14%
</t>
        </is>
      </c>
      <c r="T28" s="2" t="inlineStr">
        <is>
          <t>NATC
*15/7/2026: DNP, reached out on mail
*16/7/26: Has not started looking for loan, have shared the lead to all our partners
*23/7: DNP
27/7 : DNP - 2nd call : Student mentioned they have some loan pending from their end for them to send</t>
        </is>
      </c>
      <c r="U28" s="2" t="inlineStr">
        <is>
          <t>Yes</t>
        </is>
      </c>
      <c r="V28" s="2" t="inlineStr">
        <is>
          <t>Yes</t>
        </is>
      </c>
      <c r="W28" s="2" t="inlineStr">
        <is>
          <t>Yes</t>
        </is>
      </c>
      <c r="X28" s="2" t="n"/>
      <c r="Y28" s="2" t="n"/>
      <c r="Z28" s="2" t="inlineStr">
        <is>
          <t>Yes</t>
        </is>
      </c>
      <c r="AA28" s="2" t="inlineStr">
        <is>
          <t>Control</t>
        </is>
      </c>
      <c r="AB28" s="2" t="inlineStr">
        <is>
          <t>Control</t>
        </is>
      </c>
      <c r="AC28" s="2" t="n"/>
      <c r="AD28" s="2" t="n"/>
      <c r="AE28" s="2" t="n"/>
      <c r="AF28" s="2" t="n"/>
      <c r="AG28" s="2" t="inlineStr">
        <is>
          <t>Ongoing</t>
        </is>
      </c>
      <c r="AH28" s="2" t="inlineStr">
        <is>
          <t>Processing by GyanDhan</t>
        </is>
      </c>
      <c r="AI28" s="2" t="n"/>
      <c r="AJ28" s="2" t="n"/>
      <c r="AK28" s="2" t="n"/>
      <c r="AL28" s="2" t="inlineStr">
        <is>
          <t>Were DNP until recently, and were not trying at personal level, have shared the leads.</t>
        </is>
      </c>
      <c r="AM28" s="2" t="n"/>
      <c r="AN28" s="2" t="n"/>
      <c r="AO28" s="2" t="n"/>
      <c r="AP28" s="2" t="n"/>
      <c r="AQ28" s="2" t="n"/>
    </row>
    <row r="29">
      <c r="A29" t="n">
        <v>28</v>
      </c>
      <c r="B29" s="2" t="inlineStr">
        <is>
          <t>Himanshu Kashyap</t>
        </is>
      </c>
      <c r="C29" s="3" t="n">
        <v>7635014278</v>
      </c>
      <c r="D29" s="2" t="inlineStr">
        <is>
          <t>PROV260608927</t>
        </is>
      </c>
      <c r="E29" s="2" t="inlineStr">
        <is>
          <t>SSAHE</t>
        </is>
      </c>
      <c r="F29" s="2" t="inlineStr">
        <is>
          <t>Yes</t>
        </is>
      </c>
      <c r="G29" s="2" t="inlineStr">
        <is>
          <t xml:space="preserve">Non Critical </t>
        </is>
      </c>
      <c r="H29" s="2" t="n">
        <v>0.1</v>
      </c>
      <c r="I29" s="2" t="n">
        <v>10</v>
      </c>
      <c r="J29" s="2" t="n">
        <v>60.6</v>
      </c>
      <c r="K29" s="2" t="inlineStr">
        <is>
          <t>Father</t>
        </is>
      </c>
      <c r="L29" s="2" t="inlineStr">
        <is>
          <t>Salaried</t>
        </is>
      </c>
      <c r="M29" s="2" t="n">
        <v>2.76</v>
      </c>
      <c r="N29" s="2" t="inlineStr">
        <is>
          <t>EWS</t>
        </is>
      </c>
      <c r="O29" s="2" t="inlineStr">
        <is>
          <t>Yes</t>
        </is>
      </c>
      <c r="P29" s="2" t="n">
        <v>773</v>
      </c>
      <c r="Q29" s="2" t="inlineStr">
        <is>
          <t>Yes</t>
        </is>
      </c>
      <c r="R29" s="2" t="inlineStr">
        <is>
          <t>Agricultural</t>
        </is>
      </c>
      <c r="S29" s="2" t="inlineStr">
        <is>
          <t>Waiting for the bank to reach them out Need assitance from us</t>
        </is>
      </c>
      <c r="T29" s="2" t="inlineStr">
        <is>
          <t xml:space="preserve">11/7 : Father's profession : Govt job ( Agriculature dept)
Annual income : 
Loan to take : 10-12L , and the rest of the amount he would take loan. He will make me talk to the father in the evening. 
21/7: DNP
21/7 : Student has already applied for collateral loan for PM vidyalakshmi. 
31/7 : Student has got the top up loan on his exisisting home loan, should be disbursed in 2-3 days. </t>
        </is>
      </c>
      <c r="U29" s="2" t="inlineStr">
        <is>
          <t>Yes</t>
        </is>
      </c>
      <c r="V29" s="2" t="inlineStr">
        <is>
          <t>No</t>
        </is>
      </c>
      <c r="W29" s="2" t="inlineStr">
        <is>
          <t>No</t>
        </is>
      </c>
      <c r="X29" s="2" t="n"/>
      <c r="Y29" s="2" t="n"/>
      <c r="Z29" s="2" t="n"/>
      <c r="AA29" s="2" t="inlineStr">
        <is>
          <t>Control</t>
        </is>
      </c>
      <c r="AB29" s="2" t="inlineStr">
        <is>
          <t>Control</t>
        </is>
      </c>
      <c r="AC29" s="2" t="n"/>
      <c r="AD29" s="2" t="n"/>
      <c r="AE29" s="2" t="n"/>
      <c r="AF29" s="2" t="n"/>
      <c r="AG29" s="2" t="inlineStr">
        <is>
          <t>Ongoing</t>
        </is>
      </c>
      <c r="AH29" s="2" t="inlineStr">
        <is>
          <t>Processing by PM vidyalakshmi</t>
        </is>
      </c>
      <c r="AI29" s="2" t="n"/>
      <c r="AJ29" s="2" t="n"/>
      <c r="AK29" s="2" t="n"/>
      <c r="AL29" s="2" t="n"/>
      <c r="AM29" s="2" t="n"/>
      <c r="AN29" s="2" t="n"/>
      <c r="AO29" s="2" t="n"/>
      <c r="AP29" s="2" t="n"/>
      <c r="AQ29" s="2" t="n"/>
    </row>
    <row r="30">
      <c r="A30" t="n">
        <v>29</v>
      </c>
      <c r="B30" s="2" t="inlineStr">
        <is>
          <t>Aryan Santosh Pagar</t>
        </is>
      </c>
      <c r="C30" s="3" t="n">
        <v>9403503971</v>
      </c>
      <c r="D30" s="2" t="inlineStr">
        <is>
          <t>PROV1000001562</t>
        </is>
      </c>
      <c r="E30" s="2" t="inlineStr">
        <is>
          <t>ADYPU</t>
        </is>
      </c>
      <c r="F30" s="2" t="inlineStr">
        <is>
          <t>Yes</t>
        </is>
      </c>
      <c r="G30" s="2" t="inlineStr">
        <is>
          <t xml:space="preserve">Non Critical </t>
        </is>
      </c>
      <c r="H30" s="2" t="n">
        <v>0</v>
      </c>
      <c r="I30" s="2" t="n">
        <v>28</v>
      </c>
      <c r="J30" s="2" t="n">
        <v>82</v>
      </c>
      <c r="K30" s="2" t="inlineStr">
        <is>
          <t>Father</t>
        </is>
      </c>
      <c r="L30" s="2" t="inlineStr">
        <is>
          <t>salaried</t>
        </is>
      </c>
      <c r="M30" s="2" t="n">
        <v>11</v>
      </c>
      <c r="N30" s="2" t="inlineStr">
        <is>
          <t>Income Certificate</t>
        </is>
      </c>
      <c r="O30" s="2" t="inlineStr">
        <is>
          <t>Yes</t>
        </is>
      </c>
      <c r="P30" s="2" t="inlineStr">
        <is>
          <t>NA</t>
        </is>
      </c>
      <c r="Q30" s="2" t="inlineStr">
        <is>
          <t>No</t>
        </is>
      </c>
      <c r="R30" s="2" t="inlineStr">
        <is>
          <t>NA</t>
        </is>
      </c>
      <c r="S30" s="2" t="inlineStr">
        <is>
          <t>Waiting for the bank to reach them out Need assitance from us</t>
        </is>
      </c>
      <c r="T30" s="2" t="inlineStr">
        <is>
          <t xml:space="preserve">9/7/26 : Student has changed the campus , he wants to take loan. Student wants to take ₹16Lakhs loan. He is okay with icici and propelled, father is salaried
10/7/26 : Father confirmation required ,Details given to Aryan. 
21/7 : Asked for gyan dhan and they are already processing with Central Bank. </t>
        </is>
      </c>
      <c r="U30" s="2" t="inlineStr">
        <is>
          <t>Yes</t>
        </is>
      </c>
      <c r="V30" s="2" t="inlineStr">
        <is>
          <t>Yes</t>
        </is>
      </c>
      <c r="W30" s="2" t="inlineStr">
        <is>
          <t>Yes</t>
        </is>
      </c>
      <c r="X30" s="2" t="n"/>
      <c r="Y30" s="2" t="n"/>
      <c r="Z30" s="2" t="inlineStr">
        <is>
          <t>Yes</t>
        </is>
      </c>
      <c r="AA30" s="2" t="inlineStr">
        <is>
          <t>Control</t>
        </is>
      </c>
      <c r="AB30" s="2" t="inlineStr">
        <is>
          <t>Control</t>
        </is>
      </c>
      <c r="AC30" s="2" t="n"/>
      <c r="AD30" s="2" t="n"/>
      <c r="AE30" s="2" t="n"/>
      <c r="AF30" s="2" t="n"/>
      <c r="AG30" s="2" t="inlineStr">
        <is>
          <t>Ongoing</t>
        </is>
      </c>
      <c r="AH30" s="2" t="inlineStr">
        <is>
          <t>Processing by GyanDhan, Processing at other bank</t>
        </is>
      </c>
      <c r="AI30" s="2" t="n"/>
      <c r="AJ30" s="2" t="n"/>
      <c r="AK30" s="2" t="n"/>
      <c r="AL30" s="2" t="n"/>
      <c r="AM30" s="2" t="n"/>
      <c r="AN30" s="2" t="n"/>
      <c r="AO30" s="2" t="n"/>
      <c r="AP30" s="2" t="n"/>
      <c r="AQ30" s="2" t="n"/>
    </row>
    <row r="31">
      <c r="A31" t="n">
        <v>30</v>
      </c>
      <c r="B31" s="2" t="inlineStr">
        <is>
          <t>Avne Deepak</t>
        </is>
      </c>
      <c r="C31" s="3" t="n">
        <v>8459692377</v>
      </c>
      <c r="D31" s="2" t="inlineStr">
        <is>
          <t>PROV1000000430</t>
        </is>
      </c>
      <c r="E31" s="2" t="inlineStr">
        <is>
          <t>ADYPU</t>
        </is>
      </c>
      <c r="F31" s="2" t="inlineStr">
        <is>
          <t>Yes</t>
        </is>
      </c>
      <c r="G31" s="2" t="inlineStr">
        <is>
          <t xml:space="preserve">Non Critical </t>
        </is>
      </c>
      <c r="H31" s="2" t="n">
        <v>0.2</v>
      </c>
      <c r="I31" s="2" t="n">
        <v>15</v>
      </c>
      <c r="J31" s="2" t="n">
        <v>75</v>
      </c>
      <c r="K31" s="2" t="inlineStr">
        <is>
          <t>Father</t>
        </is>
      </c>
      <c r="L31" s="2" t="inlineStr">
        <is>
          <t>salaried</t>
        </is>
      </c>
      <c r="M31" s="2" t="n">
        <v>12</v>
      </c>
      <c r="N31" s="2" t="inlineStr">
        <is>
          <t>Income Certificate</t>
        </is>
      </c>
      <c r="O31" s="2" t="inlineStr">
        <is>
          <t>Yes</t>
        </is>
      </c>
      <c r="P31" s="2" t="n">
        <v>835</v>
      </c>
      <c r="Q31" s="2" t="inlineStr">
        <is>
          <t>Yes</t>
        </is>
      </c>
      <c r="R31" s="2" t="inlineStr">
        <is>
          <t>Resindetial</t>
        </is>
      </c>
      <c r="S31" s="2" t="inlineStr">
        <is>
          <t>Waiting for the bank to reach them out Need assitance from us</t>
        </is>
      </c>
      <c r="T31" s="2" t="inlineStr">
        <is>
          <t>9/7/26 : Couldn't connect , was busy on another call
*15/7/26: Call busy , seems number problem. Reached out on mail
20/7: Talked to his father, had not received any calls yet. shared the leads</t>
        </is>
      </c>
      <c r="U31" s="2" t="inlineStr">
        <is>
          <t>Yes</t>
        </is>
      </c>
      <c r="V31" s="2" t="n"/>
      <c r="W31" s="2" t="n"/>
      <c r="X31" s="2" t="n"/>
      <c r="Y31" s="2" t="n"/>
      <c r="Z31" s="2" t="n"/>
      <c r="AA31" s="2" t="inlineStr">
        <is>
          <t>Control</t>
        </is>
      </c>
      <c r="AB31" s="2" t="inlineStr">
        <is>
          <t>Control</t>
        </is>
      </c>
      <c r="AC31" s="2" t="n"/>
      <c r="AD31" s="2" t="n"/>
      <c r="AE31" s="2" t="n"/>
      <c r="AF31" s="2" t="n"/>
      <c r="AG31" s="2" t="inlineStr">
        <is>
          <t>Ongoing</t>
        </is>
      </c>
      <c r="AH31" s="2" t="inlineStr">
        <is>
          <t>Processing by Icici, Processing by GyanDhan</t>
        </is>
      </c>
      <c r="AI31" s="2" t="n"/>
      <c r="AJ31" s="2" t="n"/>
      <c r="AK31" s="2" t="n"/>
      <c r="AL31" s="2" t="n"/>
      <c r="AM31" s="2" t="n"/>
      <c r="AN31" s="2" t="n"/>
      <c r="AO31" s="2" t="n"/>
      <c r="AP31" s="2" t="n"/>
      <c r="AQ31" s="2" t="n"/>
    </row>
    <row r="32">
      <c r="A32" t="n">
        <v>31</v>
      </c>
      <c r="B32" s="2" t="inlineStr">
        <is>
          <t>Tatvagna Tandel</t>
        </is>
      </c>
      <c r="C32" s="3" t="n">
        <v>9054265913</v>
      </c>
      <c r="D32" s="2" t="inlineStr">
        <is>
          <t>PROV1000001374</t>
        </is>
      </c>
      <c r="E32" s="2" t="inlineStr">
        <is>
          <t>ADYPU</t>
        </is>
      </c>
      <c r="F32" s="2" t="inlineStr">
        <is>
          <t>Yes</t>
        </is>
      </c>
      <c r="G32" s="2" t="inlineStr">
        <is>
          <t xml:space="preserve">Non Critical </t>
        </is>
      </c>
      <c r="H32" s="2" t="n">
        <v>0.2</v>
      </c>
      <c r="I32" s="2" t="n">
        <v>15</v>
      </c>
      <c r="J32" s="2" t="inlineStr">
        <is>
          <t>NA</t>
        </is>
      </c>
      <c r="K32" s="2" t="inlineStr">
        <is>
          <t>Father</t>
        </is>
      </c>
      <c r="L32" s="2" t="inlineStr">
        <is>
          <t>salaried</t>
        </is>
      </c>
      <c r="M32" s="2" t="n">
        <v>8</v>
      </c>
      <c r="N32" s="2" t="inlineStr">
        <is>
          <t>Salary Slip</t>
        </is>
      </c>
      <c r="O32" s="2" t="inlineStr">
        <is>
          <t>No</t>
        </is>
      </c>
      <c r="P32" s="2" t="n">
        <v>780</v>
      </c>
      <c r="Q32" s="2" t="inlineStr">
        <is>
          <t>No</t>
        </is>
      </c>
      <c r="R32" s="2" t="inlineStr">
        <is>
          <t>NA</t>
        </is>
      </c>
      <c r="S32" s="2" t="inlineStr">
        <is>
          <t>Waiting for the bank to reach them out Need assitance from us</t>
        </is>
      </c>
      <c r="T32" s="2" t="inlineStr">
        <is>
          <t>9/7/26 : 20 lakhs, fathers income 8L, Father is a NRI, merchant navy.
10/7/26 : Spoke with the student and shared the list of required documents. He will confirm with his father and then share the documents.
21/7: Decided not to take loan, will pay the sem fees in 2-3 days</t>
        </is>
      </c>
      <c r="U32" s="2" t="inlineStr">
        <is>
          <t>No</t>
        </is>
      </c>
      <c r="V32" s="2" t="inlineStr">
        <is>
          <t>Yes</t>
        </is>
      </c>
      <c r="W32" s="2" t="inlineStr">
        <is>
          <t>Yes</t>
        </is>
      </c>
      <c r="X32" s="2" t="n"/>
      <c r="Y32" s="2" t="n"/>
      <c r="Z32" s="2" t="n"/>
      <c r="AA32" s="2" t="inlineStr">
        <is>
          <t>Not required</t>
        </is>
      </c>
      <c r="AB32" s="2" t="inlineStr">
        <is>
          <t>Not required</t>
        </is>
      </c>
      <c r="AC32" s="2" t="n"/>
      <c r="AD32" s="2" t="n"/>
      <c r="AE32" s="2" t="n"/>
      <c r="AF32" s="2" t="n"/>
      <c r="AG32" s="2" t="inlineStr">
        <is>
          <t>Not required</t>
        </is>
      </c>
      <c r="AH32" s="2" t="n"/>
      <c r="AI32" s="2" t="n"/>
      <c r="AJ32" s="2" t="n"/>
      <c r="AK32" s="2" t="n"/>
      <c r="AL32" s="2" t="n"/>
      <c r="AM32" s="2" t="n"/>
      <c r="AN32" s="2" t="n"/>
      <c r="AO32" s="2" t="n"/>
      <c r="AP32" s="2" t="n"/>
      <c r="AQ32" s="2" t="n"/>
    </row>
    <row r="33">
      <c r="A33" t="n">
        <v>32</v>
      </c>
      <c r="B33" s="2" t="inlineStr">
        <is>
          <t>Raj Harkal</t>
        </is>
      </c>
      <c r="C33" s="3" t="n">
        <v>8459935236</v>
      </c>
      <c r="D33" s="2" t="inlineStr">
        <is>
          <t>PROV260503159</t>
        </is>
      </c>
      <c r="E33" s="2" t="inlineStr">
        <is>
          <t>ADYPU</t>
        </is>
      </c>
      <c r="F33" s="2" t="inlineStr">
        <is>
          <t>Yes</t>
        </is>
      </c>
      <c r="G33" s="2" t="inlineStr">
        <is>
          <t xml:space="preserve">Non Critical </t>
        </is>
      </c>
      <c r="H33" s="2" t="n">
        <v>0.175</v>
      </c>
      <c r="I33" s="2" t="n">
        <v>17</v>
      </c>
      <c r="J33" s="2" t="n">
        <v>68.8</v>
      </c>
      <c r="K33" s="2" t="inlineStr">
        <is>
          <t>Father</t>
        </is>
      </c>
      <c r="L33" s="2" t="inlineStr">
        <is>
          <t>Farmer</t>
        </is>
      </c>
      <c r="M33" s="2" t="n">
        <v>1</v>
      </c>
      <c r="N33" s="2" t="inlineStr">
        <is>
          <t>EWS</t>
        </is>
      </c>
      <c r="O33" s="2" t="inlineStr">
        <is>
          <t>Yes</t>
        </is>
      </c>
      <c r="P33" s="2" t="inlineStr">
        <is>
          <t>NA</t>
        </is>
      </c>
      <c r="Q33" s="2" t="inlineStr">
        <is>
          <t>Yes</t>
        </is>
      </c>
      <c r="R33" s="2" t="inlineStr">
        <is>
          <t>Agricultural</t>
        </is>
      </c>
      <c r="S33" s="2" t="inlineStr">
        <is>
          <t>Wating for SBI as its our partner mentioned in the website</t>
        </is>
      </c>
      <c r="T33" s="2" t="inlineStr">
        <is>
          <t>9/7/26 : 20 lakhs, father's income : 60k/month + agriculture income : 15L , have got the call from icici filled the form today and processing the loan with icici
21/7:In process with ICICI and gyandhan.
31/7:  GD (Process has successfully logged in with Poonawalla. Process initiated and all documents received with Credila and Gyandhan. ICICI status is case forwarded.)</t>
        </is>
      </c>
      <c r="U33" s="2" t="inlineStr">
        <is>
          <t>Yes</t>
        </is>
      </c>
      <c r="V33" s="2" t="inlineStr">
        <is>
          <t>Yes</t>
        </is>
      </c>
      <c r="W33" s="2" t="inlineStr">
        <is>
          <t>No</t>
        </is>
      </c>
      <c r="X33" s="2" t="n"/>
      <c r="Y33" s="2" t="n"/>
      <c r="Z33" s="2" t="inlineStr">
        <is>
          <t>Yes</t>
        </is>
      </c>
      <c r="AA33" s="2" t="inlineStr">
        <is>
          <t>Control</t>
        </is>
      </c>
      <c r="AB33" s="2" t="inlineStr">
        <is>
          <t>Control</t>
        </is>
      </c>
      <c r="AC33" s="2" t="n"/>
      <c r="AD33" s="2" t="n"/>
      <c r="AE33" s="2" t="n"/>
      <c r="AF33" s="2" t="n"/>
      <c r="AG33" s="2" t="inlineStr">
        <is>
          <t>Ongoing</t>
        </is>
      </c>
      <c r="AH33" s="2" t="inlineStr">
        <is>
          <t>Processing by Icici, Processing by GyanDhan</t>
        </is>
      </c>
      <c r="AI33" s="2" t="n"/>
      <c r="AJ33" s="2" t="n"/>
      <c r="AK33" s="2" t="n"/>
      <c r="AL33" s="2" t="n"/>
      <c r="AM33" s="2" t="n"/>
      <c r="AN33" s="2" t="n"/>
      <c r="AO33" s="2" t="n"/>
      <c r="AP33" s="2" t="n"/>
      <c r="AQ33" s="2" t="n"/>
    </row>
    <row r="34">
      <c r="A34" t="n">
        <v>33</v>
      </c>
      <c r="B34" s="2" t="inlineStr">
        <is>
          <t>Ashlesha sinha</t>
        </is>
      </c>
      <c r="C34" s="3" t="n">
        <v>7982258229</v>
      </c>
      <c r="D34" s="2" t="inlineStr">
        <is>
          <t>PROV260502939</t>
        </is>
      </c>
      <c r="E34" s="2" t="inlineStr">
        <is>
          <t>SSAHE</t>
        </is>
      </c>
      <c r="F34" s="2" t="inlineStr">
        <is>
          <t>Yes</t>
        </is>
      </c>
      <c r="G34" s="2" t="inlineStr">
        <is>
          <t xml:space="preserve">Non Critical </t>
        </is>
      </c>
      <c r="H34" s="2" t="n">
        <v>0.125</v>
      </c>
      <c r="I34" s="2" t="n">
        <v>25</v>
      </c>
      <c r="J34" s="2" t="n">
        <v>67</v>
      </c>
      <c r="K34" s="2" t="inlineStr">
        <is>
          <t>Mother</t>
        </is>
      </c>
      <c r="L34" s="2" t="inlineStr">
        <is>
          <t>Self-Employed</t>
        </is>
      </c>
      <c r="M34" s="2" t="n">
        <v>24</v>
      </c>
      <c r="N34" s="2" t="inlineStr">
        <is>
          <t>Income Certificate</t>
        </is>
      </c>
      <c r="O34" s="2" t="inlineStr">
        <is>
          <t>No</t>
        </is>
      </c>
      <c r="P34" s="2" t="inlineStr">
        <is>
          <t>NA</t>
        </is>
      </c>
      <c r="Q34" s="2" t="inlineStr">
        <is>
          <t>No</t>
        </is>
      </c>
      <c r="R34" s="2" t="inlineStr">
        <is>
          <t>NA</t>
        </is>
      </c>
      <c r="S34" s="2" t="inlineStr">
        <is>
          <t>Waiting for the bank to reach them out Need assitance from us</t>
        </is>
      </c>
      <c r="T34" s="2" t="inlineStr">
        <is>
          <t>11/7 : ITR not available, have really good income with no income proof, Has solid working income upto 1Cr in an year. Father will talk to the CA for filing the ITR. Father has nothing in pakka form. 
13/7 : Parents spoke with me in length, have shared their details with PRopelld
16/7 : shared all the details with propelld. 
20/7 : PRopelld approved it for 20L, with 13% interest , father and mother wanted me to share the profile with gyan dhan , have shared it 
27/7 : Gyan dhan have told them that the interest to provide it for 11%, they want it 10%, still the file is pending for complete approval</t>
        </is>
      </c>
      <c r="U34" s="2" t="inlineStr">
        <is>
          <t>Yes</t>
        </is>
      </c>
      <c r="V34" s="2" t="inlineStr">
        <is>
          <t>Yes</t>
        </is>
      </c>
      <c r="W34" s="2" t="inlineStr">
        <is>
          <t>Yes</t>
        </is>
      </c>
      <c r="X34" s="2" t="n"/>
      <c r="Y34" s="2" t="n"/>
      <c r="Z34" s="2" t="n"/>
      <c r="AA34" s="2" t="inlineStr">
        <is>
          <t>Control</t>
        </is>
      </c>
      <c r="AB34" s="2" t="inlineStr">
        <is>
          <t>Control</t>
        </is>
      </c>
      <c r="AC34" s="2" t="n"/>
      <c r="AD34" s="2" t="n"/>
      <c r="AE34" s="2" t="n"/>
      <c r="AF34" s="2" t="n"/>
      <c r="AG34" s="2" t="inlineStr">
        <is>
          <t>Ongoing</t>
        </is>
      </c>
      <c r="AH34" s="2" t="inlineStr">
        <is>
          <t>Processing by GyanDhan, Loan sanctioned by Propelld</t>
        </is>
      </c>
      <c r="AI34" s="2" t="n"/>
      <c r="AJ34" s="2" t="n"/>
      <c r="AK34" s="2" t="n"/>
      <c r="AL34" s="2" t="n"/>
      <c r="AM34" s="2" t="n"/>
      <c r="AN34" s="2" t="n"/>
      <c r="AO34" s="2" t="n"/>
      <c r="AP34" s="2" t="n"/>
      <c r="AQ34" s="2" t="n"/>
    </row>
    <row r="35">
      <c r="A35" t="n">
        <v>34</v>
      </c>
      <c r="B35" s="2" t="inlineStr">
        <is>
          <t>suman jana</t>
        </is>
      </c>
      <c r="C35" s="3" t="n">
        <v>7003207775</v>
      </c>
      <c r="D35" s="2" t="inlineStr">
        <is>
          <t>PROV260500865</t>
        </is>
      </c>
      <c r="E35" s="2" t="inlineStr">
        <is>
          <t>ADYPU</t>
        </is>
      </c>
      <c r="F35" s="2" t="inlineStr">
        <is>
          <t>Yes</t>
        </is>
      </c>
      <c r="G35" s="2" t="inlineStr">
        <is>
          <t xml:space="preserve">Critical </t>
        </is>
      </c>
      <c r="H35" s="2" t="n">
        <v>0.075</v>
      </c>
      <c r="I35" s="2" t="n">
        <v>25</v>
      </c>
      <c r="J35" s="2" t="n">
        <v>81</v>
      </c>
      <c r="K35" s="2" t="inlineStr">
        <is>
          <t>Father</t>
        </is>
      </c>
      <c r="L35" s="2" t="inlineStr">
        <is>
          <t>Self-Employed</t>
        </is>
      </c>
      <c r="M35" s="2" t="n">
        <v>2</v>
      </c>
      <c r="N35" s="2" t="inlineStr">
        <is>
          <t>Income Certificate</t>
        </is>
      </c>
      <c r="O35" s="2" t="inlineStr">
        <is>
          <t>No</t>
        </is>
      </c>
      <c r="P35" s="2" t="inlineStr">
        <is>
          <t>NA</t>
        </is>
      </c>
      <c r="Q35" s="2" t="inlineStr">
        <is>
          <t>Yes</t>
        </is>
      </c>
      <c r="R35" s="2" t="inlineStr">
        <is>
          <t>Residential</t>
        </is>
      </c>
      <c r="S35" s="2" t="inlineStr">
        <is>
          <t>in Discussion with SBI, Looking for option from our side</t>
        </is>
      </c>
      <c r="T35" s="2" t="inlineStr">
        <is>
          <t>9/7/26 : dnp
10/7/26 : DNP , have sent the details to SST to check the activeness of the student . Divyansh tried reaching to the student 
*15/7/26- In Discussion with SBI at personal level 
                Shared profile
21/7: DNP
23/7: DNP</t>
        </is>
      </c>
      <c r="U35" s="2" t="inlineStr">
        <is>
          <t>Yes</t>
        </is>
      </c>
      <c r="V35" s="2" t="inlineStr">
        <is>
          <t>Yes</t>
        </is>
      </c>
      <c r="W35" s="2" t="inlineStr">
        <is>
          <t>Yes</t>
        </is>
      </c>
      <c r="X35" s="2" t="n"/>
      <c r="Y35" s="2" t="n"/>
      <c r="Z35" s="2" t="n"/>
      <c r="AA35" s="2" t="inlineStr">
        <is>
          <t>Risk</t>
        </is>
      </c>
      <c r="AB35" s="2" t="inlineStr">
        <is>
          <t>Risk</t>
        </is>
      </c>
      <c r="AC35" s="2" t="n"/>
      <c r="AD35" s="2" t="inlineStr">
        <is>
          <t>Hi Student is DNP for long and is a risk case, can we check on the activeness of the student.</t>
        </is>
      </c>
      <c r="AE35" s="2" t="n"/>
      <c r="AF35" s="2" t="inlineStr">
        <is>
          <t xml:space="preserve">will call </t>
        </is>
      </c>
      <c r="AG35" s="2" t="inlineStr">
        <is>
          <t>Ongoing</t>
        </is>
      </c>
      <c r="AH35" s="2" t="inlineStr">
        <is>
          <t>Processing at other bank</t>
        </is>
      </c>
      <c r="AI35" s="2" t="n"/>
      <c r="AJ35" s="2" t="inlineStr">
        <is>
          <t>No</t>
        </is>
      </c>
      <c r="AK35" s="2" t="n"/>
      <c r="AL35" s="2" t="n"/>
      <c r="AM35" s="2" t="n"/>
      <c r="AN35" s="2" t="n"/>
      <c r="AO35" s="2" t="n"/>
      <c r="AP35" s="2" t="n"/>
      <c r="AQ35" s="2" t="n"/>
    </row>
    <row r="36">
      <c r="A36" t="n">
        <v>35</v>
      </c>
      <c r="B36" s="2" t="inlineStr">
        <is>
          <t>Aman Kumar Pandey</t>
        </is>
      </c>
      <c r="C36" s="3" t="n">
        <v>9049158666</v>
      </c>
      <c r="D36" s="2" t="inlineStr">
        <is>
          <t>PROV260502978</t>
        </is>
      </c>
      <c r="E36" s="2" t="inlineStr">
        <is>
          <t>ADYPU</t>
        </is>
      </c>
      <c r="F36" s="2" t="inlineStr">
        <is>
          <t>Yes</t>
        </is>
      </c>
      <c r="G36" s="2" t="inlineStr">
        <is>
          <t xml:space="preserve">Non Critical </t>
        </is>
      </c>
      <c r="H36" s="2" t="n">
        <v>0.175</v>
      </c>
      <c r="I36" s="2" t="n">
        <v>25</v>
      </c>
      <c r="J36" s="2" t="n">
        <v>73</v>
      </c>
      <c r="K36" s="2" t="inlineStr">
        <is>
          <t>Father</t>
        </is>
      </c>
      <c r="L36" s="2" t="inlineStr">
        <is>
          <t>salaried</t>
        </is>
      </c>
      <c r="M36" s="2" t="n">
        <v>4.5</v>
      </c>
      <c r="N36" s="2" t="inlineStr">
        <is>
          <t>EWS</t>
        </is>
      </c>
      <c r="O36" s="2" t="inlineStr">
        <is>
          <t>Yes</t>
        </is>
      </c>
      <c r="P36" s="2" t="inlineStr">
        <is>
          <t>760+</t>
        </is>
      </c>
      <c r="Q36" s="2" t="inlineStr">
        <is>
          <t>Yes</t>
        </is>
      </c>
      <c r="R36" s="2" t="inlineStr">
        <is>
          <t>Residential</t>
        </is>
      </c>
      <c r="S36" s="2" t="inlineStr">
        <is>
          <t>Propelld contacted didn't like what was offered , waiting for more options</t>
        </is>
      </c>
      <c r="T36" s="2" t="inlineStr">
        <is>
          <t>9/7/26 :Student has got offer from propelld of 15%, father's income : 45k/month , have sent to icici to talk. Loan amt : 28 Lacs. 
18/7: He didnt like the proposal from propelld since he could not explain properly, have shared his number with Gyan Dhan
28/7 : Student has submitted all the documents to credilla, Field verification is pending 
31/7 : Student has got the placement report from adypu, arranged it and sent it ot him. he is taking loan from pnb</t>
        </is>
      </c>
      <c r="U36" s="2" t="inlineStr">
        <is>
          <t>Yes</t>
        </is>
      </c>
      <c r="V36" s="2" t="inlineStr">
        <is>
          <t>Yes</t>
        </is>
      </c>
      <c r="W36" s="2" t="inlineStr">
        <is>
          <t>Yes</t>
        </is>
      </c>
      <c r="X36" s="2" t="n"/>
      <c r="Y36" s="2" t="n"/>
      <c r="Z36" s="2" t="n"/>
      <c r="AA36" s="2" t="inlineStr">
        <is>
          <t>Control</t>
        </is>
      </c>
      <c r="AB36" s="2" t="inlineStr">
        <is>
          <t>Control</t>
        </is>
      </c>
      <c r="AC36" s="2" t="n"/>
      <c r="AD36" s="2" t="n"/>
      <c r="AE36" s="2" t="n"/>
      <c r="AF36" s="2" t="n"/>
      <c r="AG36" s="2" t="inlineStr">
        <is>
          <t>Ongoing</t>
        </is>
      </c>
      <c r="AH36" s="2" t="inlineStr">
        <is>
          <t>Processing by GyanDhan</t>
        </is>
      </c>
      <c r="AI36" s="2" t="n"/>
      <c r="AJ36" s="2" t="n"/>
      <c r="AK36" s="2" t="n"/>
      <c r="AL36" s="2" t="n"/>
      <c r="AM36" s="2" t="n"/>
      <c r="AN36" s="2" t="n"/>
      <c r="AO36" s="2" t="n"/>
      <c r="AP36" s="2" t="n"/>
      <c r="AQ36" s="2" t="n"/>
    </row>
    <row r="37">
      <c r="A37" t="n">
        <v>36</v>
      </c>
      <c r="B37" s="2" t="inlineStr">
        <is>
          <t>Dev Anand kumar</t>
        </is>
      </c>
      <c r="C37" s="3" t="n">
        <v>9162847749</v>
      </c>
      <c r="D37" s="2" t="inlineStr">
        <is>
          <t>PROV260600189</t>
        </is>
      </c>
      <c r="E37" s="2" t="inlineStr">
        <is>
          <t>SSAHE</t>
        </is>
      </c>
      <c r="F37" s="2" t="inlineStr">
        <is>
          <t>Yes</t>
        </is>
      </c>
      <c r="G37" s="2" t="inlineStr">
        <is>
          <t xml:space="preserve">Non Critical </t>
        </is>
      </c>
      <c r="H37" s="2" t="n">
        <v>0.25</v>
      </c>
      <c r="I37" s="2" t="n">
        <v>18</v>
      </c>
      <c r="J37" s="2" t="n">
        <v>73.59999999999999</v>
      </c>
      <c r="K37" s="2" t="inlineStr">
        <is>
          <t>Father</t>
        </is>
      </c>
      <c r="L37" s="2" t="inlineStr">
        <is>
          <t>Salaried</t>
        </is>
      </c>
      <c r="M37" s="2" t="n">
        <v>5.4</v>
      </c>
      <c r="N37" s="2" t="inlineStr">
        <is>
          <t>Salary slip</t>
        </is>
      </c>
      <c r="O37" s="2" t="inlineStr">
        <is>
          <t>Yes</t>
        </is>
      </c>
      <c r="P37" s="2" t="n">
        <v>800</v>
      </c>
      <c r="Q37" s="2" t="inlineStr">
        <is>
          <t>No</t>
        </is>
      </c>
      <c r="R37" s="2" t="inlineStr">
        <is>
          <t>NA</t>
        </is>
      </c>
      <c r="S37" s="2" t="inlineStr">
        <is>
          <t>Waiting for the bank to reach them out Need assitance from us</t>
        </is>
      </c>
      <c r="T37" s="2" t="inlineStr">
        <is>
          <t xml:space="preserve">12/7 : Student will take loan. Student is already talking to ICIC, HDFC, Axis. Father's income : 45k/month, Father profession : Government teacher. Tentative date for loan, : Monday tuesday loan should be processed.
14/7 : 18L loan, icici didn't approve, hdfc , student wants help now, sending it to propelld. 
21/7:Rejected from everywhere , only Gyandhan option left.
31/7: Deemed not eligible by GD
01/8 : Student has not got a call from gyan so he is trying from the </t>
        </is>
      </c>
      <c r="U37" s="2" t="inlineStr">
        <is>
          <t>Yes</t>
        </is>
      </c>
      <c r="V37" s="2" t="inlineStr">
        <is>
          <t>No</t>
        </is>
      </c>
      <c r="W37" s="2" t="inlineStr">
        <is>
          <t>No</t>
        </is>
      </c>
      <c r="X37" s="2" t="n"/>
      <c r="Y37" s="2" t="n"/>
      <c r="Z37" s="2" t="n"/>
      <c r="AA37" s="2" t="inlineStr">
        <is>
          <t>Risk</t>
        </is>
      </c>
      <c r="AB37" s="2" t="inlineStr">
        <is>
          <t>Risk</t>
        </is>
      </c>
      <c r="AC37" s="2" t="n"/>
      <c r="AD37" s="2" t="n"/>
      <c r="AE37" s="2" t="n"/>
      <c r="AF37" s="2" t="n"/>
      <c r="AG37" s="2" t="inlineStr">
        <is>
          <t>Rejected</t>
        </is>
      </c>
      <c r="AH37" s="2" t="inlineStr">
        <is>
          <t>Processing by GyanDhan, Processing by Propelld</t>
        </is>
      </c>
      <c r="AI37" s="2" t="n"/>
      <c r="AJ37" s="2" t="n"/>
      <c r="AK37" s="2" t="inlineStr">
        <is>
          <t>Yes</t>
        </is>
      </c>
      <c r="AL37" s="2" t="n"/>
      <c r="AM37" s="2" t="n"/>
      <c r="AN37" s="2" t="n"/>
      <c r="AO37" s="2" t="n"/>
      <c r="AP37" s="2" t="n"/>
      <c r="AQ37" s="2" t="n"/>
    </row>
    <row r="38">
      <c r="A38" t="n">
        <v>37</v>
      </c>
      <c r="B38" s="2" t="inlineStr">
        <is>
          <t>Raghav Parashar</t>
        </is>
      </c>
      <c r="C38" s="3" t="n">
        <v>9770750570</v>
      </c>
      <c r="D38" s="2" t="inlineStr">
        <is>
          <t>PROV260506203</t>
        </is>
      </c>
      <c r="E38" s="2" t="inlineStr">
        <is>
          <t>ADYPU</t>
        </is>
      </c>
      <c r="F38" s="2" t="inlineStr">
        <is>
          <t>Yes</t>
        </is>
      </c>
      <c r="G38" s="2" t="inlineStr">
        <is>
          <t xml:space="preserve">Non Critical </t>
        </is>
      </c>
      <c r="H38" s="2" t="n">
        <v>0.2</v>
      </c>
      <c r="I38" s="2" t="n">
        <v>25</v>
      </c>
      <c r="J38" s="2" t="n">
        <v>64.40000000000001</v>
      </c>
      <c r="K38" s="2" t="inlineStr">
        <is>
          <t>Father, Mother</t>
        </is>
      </c>
      <c r="L38" s="2" t="inlineStr">
        <is>
          <t>Self-Employed</t>
        </is>
      </c>
      <c r="M38" s="2" t="n">
        <v>5</v>
      </c>
      <c r="N38" s="2" t="inlineStr">
        <is>
          <t>EWS</t>
        </is>
      </c>
      <c r="O38" s="2" t="inlineStr">
        <is>
          <t>Yes</t>
        </is>
      </c>
      <c r="P38" s="2" t="inlineStr">
        <is>
          <t>NA</t>
        </is>
      </c>
      <c r="Q38" s="2" t="inlineStr">
        <is>
          <t>No</t>
        </is>
      </c>
      <c r="R38" s="2" t="inlineStr">
        <is>
          <t>No</t>
        </is>
      </c>
      <c r="S38" s="2" t="inlineStr">
        <is>
          <t>Waiting for the bank to reach them out Need assitance from us</t>
        </is>
      </c>
      <c r="T38" s="2" t="inlineStr">
        <is>
          <t xml:space="preserve">9/7/26 : Student requires the loan of 25 L. Father's income under 5L. Have shared the details to icici and propelld both 
16/7/26 : Waiting on the documents from students side ( PRopelld).
21/7 : Propelld called, student still doesnt have PAN. Once the PAN comes he would proceed with it </t>
        </is>
      </c>
      <c r="U38" s="2" t="inlineStr">
        <is>
          <t>Yes</t>
        </is>
      </c>
      <c r="V38" s="2" t="inlineStr">
        <is>
          <t>Yes</t>
        </is>
      </c>
      <c r="W38" s="2" t="inlineStr">
        <is>
          <t>Yes</t>
        </is>
      </c>
      <c r="X38" s="2" t="n"/>
      <c r="Y38" s="2" t="n"/>
      <c r="Z38" s="2" t="n"/>
      <c r="AA38" s="2" t="inlineStr">
        <is>
          <t>Control</t>
        </is>
      </c>
      <c r="AB38" s="2" t="inlineStr">
        <is>
          <t>Control</t>
        </is>
      </c>
      <c r="AC38" s="2" t="n"/>
      <c r="AD38" s="2" t="n"/>
      <c r="AE38" s="2" t="n"/>
      <c r="AF38" s="2" t="n"/>
      <c r="AG38" s="2" t="inlineStr">
        <is>
          <t>Ongoing</t>
        </is>
      </c>
      <c r="AH38" s="2" t="inlineStr">
        <is>
          <t>Docs Pending</t>
        </is>
      </c>
      <c r="AI38" s="2" t="n"/>
      <c r="AJ38" s="2" t="n"/>
      <c r="AK38" s="2" t="n"/>
      <c r="AL38" s="2" t="n"/>
      <c r="AM38" s="2" t="n"/>
      <c r="AN38" s="2" t="n"/>
      <c r="AO38" s="2" t="n"/>
      <c r="AP38" s="2" t="n"/>
      <c r="AQ38" s="2" t="n"/>
    </row>
    <row r="39">
      <c r="A39" t="n">
        <v>38</v>
      </c>
      <c r="B39" s="2" t="inlineStr">
        <is>
          <t>RIDDHIT BHUTRA</t>
        </is>
      </c>
      <c r="C39" s="3" t="n">
        <v>9662748817</v>
      </c>
      <c r="D39" s="2" t="inlineStr">
        <is>
          <t>PROV260606462</t>
        </is>
      </c>
      <c r="E39" s="2" t="inlineStr">
        <is>
          <t>ADYPU</t>
        </is>
      </c>
      <c r="F39" s="2" t="inlineStr">
        <is>
          <t>Yes</t>
        </is>
      </c>
      <c r="G39" s="2" t="inlineStr">
        <is>
          <t xml:space="preserve">Non Critical </t>
        </is>
      </c>
      <c r="H39" s="2" t="n">
        <v>0</v>
      </c>
      <c r="I39" s="2" t="n">
        <v>25</v>
      </c>
      <c r="J39" s="2" t="n">
        <v>78.40000000000001</v>
      </c>
      <c r="K39" s="2" t="inlineStr">
        <is>
          <t>Father</t>
        </is>
      </c>
      <c r="L39" s="2" t="inlineStr">
        <is>
          <t>Self-Employed</t>
        </is>
      </c>
      <c r="M39" s="2" t="n">
        <v>8</v>
      </c>
      <c r="N39" s="2" t="inlineStr">
        <is>
          <t>ITR</t>
        </is>
      </c>
      <c r="O39" s="2" t="inlineStr">
        <is>
          <t>Yes</t>
        </is>
      </c>
      <c r="P39" s="2" t="n">
        <v>700</v>
      </c>
      <c r="Q39" s="2" t="inlineStr">
        <is>
          <t>No</t>
        </is>
      </c>
      <c r="R39" s="2" t="inlineStr">
        <is>
          <t>No</t>
        </is>
      </c>
      <c r="S39" s="2" t="inlineStr">
        <is>
          <t>Waiting for the bank to reach them out Need assitance from us</t>
        </is>
      </c>
      <c r="T39" s="2" t="inlineStr">
        <is>
          <t>9/7/26 : dnp
*15/7/26 - Need to call mother 9887970001 - poornima (DNP)
dont need loan</t>
        </is>
      </c>
      <c r="U39" s="2" t="inlineStr">
        <is>
          <t>No</t>
        </is>
      </c>
      <c r="V39" s="2" t="n"/>
      <c r="W39" s="2" t="n"/>
      <c r="X39" s="2" t="n"/>
      <c r="Y39" s="2" t="n"/>
      <c r="Z39" s="2" t="n"/>
      <c r="AA39" s="2" t="inlineStr">
        <is>
          <t>Not required</t>
        </is>
      </c>
      <c r="AB39" s="2" t="inlineStr">
        <is>
          <t>Not required</t>
        </is>
      </c>
      <c r="AC39" s="2" t="n"/>
      <c r="AD39" s="2" t="inlineStr">
        <is>
          <t>Mother just said they dont want a loan and cut the call, so maybe an intent check is needed here.</t>
        </is>
      </c>
      <c r="AE39" s="2" t="n"/>
      <c r="AF39" s="2" t="n"/>
      <c r="AG39" s="2" t="inlineStr">
        <is>
          <t>Not required</t>
        </is>
      </c>
      <c r="AH39" s="2" t="n"/>
      <c r="AI39" s="2" t="n"/>
      <c r="AJ39" s="2" t="n"/>
      <c r="AK39" s="2" t="n"/>
      <c r="AL39" s="2" t="n"/>
      <c r="AM39" s="2" t="n"/>
      <c r="AN39" s="2" t="n"/>
      <c r="AO39" s="2" t="n"/>
      <c r="AP39" s="2" t="n"/>
      <c r="AQ39" s="2" t="n"/>
    </row>
    <row r="40">
      <c r="A40" t="n">
        <v>39</v>
      </c>
      <c r="B40" s="2" t="inlineStr">
        <is>
          <t>Aarohan prasad</t>
        </is>
      </c>
      <c r="C40" s="3" t="n">
        <v>7811062400</v>
      </c>
      <c r="D40" s="2" t="inlineStr">
        <is>
          <t>PROV260607342</t>
        </is>
      </c>
      <c r="E40" s="2" t="inlineStr">
        <is>
          <t>ADYPU</t>
        </is>
      </c>
      <c r="F40" s="2" t="inlineStr">
        <is>
          <t>Yes</t>
        </is>
      </c>
      <c r="G40" s="2" t="inlineStr">
        <is>
          <t xml:space="preserve">Critical </t>
        </is>
      </c>
      <c r="H40" s="2" t="n">
        <v>0.075</v>
      </c>
      <c r="I40" s="2" t="n">
        <v>25</v>
      </c>
      <c r="J40" s="2" t="n">
        <v>60</v>
      </c>
      <c r="K40" s="2" t="inlineStr">
        <is>
          <t>Father</t>
        </is>
      </c>
      <c r="L40" s="2" t="inlineStr">
        <is>
          <t>Self-Employed</t>
        </is>
      </c>
      <c r="M40" s="2" t="n">
        <v>5</v>
      </c>
      <c r="N40" s="2" t="inlineStr">
        <is>
          <t>ITR</t>
        </is>
      </c>
      <c r="O40" s="2" t="inlineStr">
        <is>
          <t>No</t>
        </is>
      </c>
      <c r="P40" s="2" t="inlineStr">
        <is>
          <t>NA</t>
        </is>
      </c>
      <c r="Q40" s="2" t="inlineStr">
        <is>
          <t>No</t>
        </is>
      </c>
      <c r="R40" s="2" t="inlineStr">
        <is>
          <t>No</t>
        </is>
      </c>
      <c r="S40" s="2" t="inlineStr">
        <is>
          <t>Waiting for the bank to reach them out Need assitance from us</t>
        </is>
      </c>
      <c r="T40" s="2" t="inlineStr">
        <is>
          <t>9/7/26 : Student wants to pay the interest and principal amt after 4 years. he has received call from icici bank and propelld, but icici has rejected due to income and propelld has higher rate of interest. Need to send their number to study4buddy. 
16/7/26: Student in talks with cuku finance, has asked to reconnect with proplld (initially rejected the same), interested in offering by gyandhan.
Prob sol: - Student admitted that he initially rejected proppld , but realised in his case he wont get the product he wants so seems more flexible with the offerings.
17/7 : Student is panicking because of the loan , student told he wouldn't be able to handle the interest monthly. He is a drop student. 
18/7 : Student's last year of the admission. Student is worried about the monthly expenses and is a good student. He has been in stress, intent is too high. Student arranged the block from his brother which he has to return. 
29/7: Docs pending with GD but a high risk case and not  ready to pay high rate of int.. might frop</t>
        </is>
      </c>
      <c r="U40" s="2" t="inlineStr">
        <is>
          <t>Yes</t>
        </is>
      </c>
      <c r="V40" s="2" t="inlineStr">
        <is>
          <t>Yes</t>
        </is>
      </c>
      <c r="W40" s="2" t="inlineStr">
        <is>
          <t>Yes</t>
        </is>
      </c>
      <c r="X40" s="2" t="n"/>
      <c r="Y40" s="2" t="n"/>
      <c r="Z40" s="2" t="n"/>
      <c r="AA40" s="2" t="inlineStr">
        <is>
          <t>Risk</t>
        </is>
      </c>
      <c r="AB40" s="2" t="inlineStr">
        <is>
          <t>Risk</t>
        </is>
      </c>
      <c r="AC40" s="2" t="n"/>
      <c r="AD40" s="2" t="n"/>
      <c r="AE40" s="2" t="n"/>
      <c r="AF40" s="2" t="n"/>
      <c r="AG40" s="2" t="inlineStr">
        <is>
          <t>Ongoing</t>
        </is>
      </c>
      <c r="AH40" s="2" t="inlineStr">
        <is>
          <t>Processing by GyanDhan</t>
        </is>
      </c>
      <c r="AI40" s="2" t="n"/>
      <c r="AJ40" s="2" t="inlineStr">
        <is>
          <t>Yes</t>
        </is>
      </c>
      <c r="AK40" s="2" t="inlineStr">
        <is>
          <t>Yes</t>
        </is>
      </c>
      <c r="AL40" s="2" t="n"/>
      <c r="AM40" s="2" t="n"/>
      <c r="AN40" s="2" t="n"/>
      <c r="AO40" s="2" t="n"/>
      <c r="AP40" s="2" t="n"/>
      <c r="AQ40" s="2" t="n"/>
    </row>
    <row r="41">
      <c r="A41" t="n">
        <v>40</v>
      </c>
      <c r="B41" s="2" t="inlineStr">
        <is>
          <t>AMIT CHANDRA</t>
        </is>
      </c>
      <c r="C41" s="3" t="n">
        <v>7520947325</v>
      </c>
      <c r="D41" s="2" t="inlineStr">
        <is>
          <t>PROV260503971</t>
        </is>
      </c>
      <c r="E41" s="2" t="inlineStr">
        <is>
          <t>ADYPU</t>
        </is>
      </c>
      <c r="F41" s="2" t="inlineStr">
        <is>
          <t>Yes</t>
        </is>
      </c>
      <c r="G41" s="2" t="inlineStr">
        <is>
          <t xml:space="preserve">Non Critical </t>
        </is>
      </c>
      <c r="H41" s="2" t="n">
        <v>0.175</v>
      </c>
      <c r="I41" s="2" t="n">
        <v>10</v>
      </c>
      <c r="J41" s="2" t="n">
        <v>66</v>
      </c>
      <c r="K41" s="2" t="inlineStr">
        <is>
          <t>Father</t>
        </is>
      </c>
      <c r="L41" s="2" t="inlineStr">
        <is>
          <t>army Retired</t>
        </is>
      </c>
      <c r="M41" s="2" t="n">
        <v>3</v>
      </c>
      <c r="N41" s="2" t="inlineStr">
        <is>
          <t>ITR</t>
        </is>
      </c>
      <c r="O41" s="2" t="inlineStr">
        <is>
          <t>No</t>
        </is>
      </c>
      <c r="P41" s="2" t="inlineStr">
        <is>
          <t>750+</t>
        </is>
      </c>
      <c r="Q41" s="2" t="inlineStr">
        <is>
          <t>Yes</t>
        </is>
      </c>
      <c r="R41" s="2" t="inlineStr">
        <is>
          <t>Agricultural</t>
        </is>
      </c>
      <c r="S41" s="2" t="inlineStr">
        <is>
          <t>Waiting for the bank to reach them out Need assitance from us</t>
        </is>
      </c>
      <c r="T41" s="2" t="inlineStr">
        <is>
          <t>10/7/26 : DNP 
*15/7/26 : Student has started trying from their side now.
               : Also have shared their profile with our partners.
20/7: DIdnt receive any calls , to follow up and is trying in SBI
29/7: GD has agreed to loan at 14%, waiting for student docs to starte the process.</t>
        </is>
      </c>
      <c r="U41" s="2" t="inlineStr">
        <is>
          <t>Yes</t>
        </is>
      </c>
      <c r="V41" s="2" t="n"/>
      <c r="W41" s="2" t="n"/>
      <c r="X41" s="2" t="n"/>
      <c r="Y41" s="2" t="n"/>
      <c r="Z41" s="2" t="n"/>
      <c r="AA41" s="2" t="inlineStr">
        <is>
          <t>Control</t>
        </is>
      </c>
      <c r="AB41" s="2" t="inlineStr">
        <is>
          <t>Control</t>
        </is>
      </c>
      <c r="AC41" s="2" t="n"/>
      <c r="AD41" s="2" t="n"/>
      <c r="AE41" s="2" t="n"/>
      <c r="AF41" s="2" t="n"/>
      <c r="AG41" s="2" t="inlineStr">
        <is>
          <t>Ongoing</t>
        </is>
      </c>
      <c r="AH41" s="2" t="inlineStr">
        <is>
          <t>Processing at other bank, Processing by GyanDhan</t>
        </is>
      </c>
      <c r="AI41" s="2" t="n"/>
      <c r="AJ41" s="2" t="inlineStr">
        <is>
          <t>No</t>
        </is>
      </c>
      <c r="AK41" s="2" t="n"/>
      <c r="AL41" s="2" t="n"/>
      <c r="AM41" s="2" t="n"/>
      <c r="AN41" s="2" t="n"/>
      <c r="AO41" s="2" t="n"/>
      <c r="AP41" s="2" t="n"/>
      <c r="AQ41" s="2" t="n"/>
    </row>
    <row r="42">
      <c r="A42" t="n">
        <v>41</v>
      </c>
      <c r="B42" s="2" t="inlineStr">
        <is>
          <t>Jivhesh Shekatkar</t>
        </is>
      </c>
      <c r="C42" s="3" t="n">
        <v>7058558414</v>
      </c>
      <c r="D42" s="2" t="inlineStr">
        <is>
          <t>PROV260604523</t>
        </is>
      </c>
      <c r="E42" s="2" t="inlineStr">
        <is>
          <t>ADYPU</t>
        </is>
      </c>
      <c r="F42" s="2" t="inlineStr">
        <is>
          <t>Drop</t>
        </is>
      </c>
      <c r="G42" s="2" t="inlineStr">
        <is>
          <t xml:space="preserve">Critical </t>
        </is>
      </c>
      <c r="H42" s="2" t="n">
        <v>0.275</v>
      </c>
      <c r="I42" s="2" t="n">
        <v>15</v>
      </c>
      <c r="J42" s="2" t="n">
        <v>56.6</v>
      </c>
      <c r="K42" s="2" t="inlineStr">
        <is>
          <t>Father</t>
        </is>
      </c>
      <c r="L42" s="2" t="inlineStr">
        <is>
          <t>Self-Employed</t>
        </is>
      </c>
      <c r="M42" s="2" t="n">
        <v>2.8</v>
      </c>
      <c r="N42" s="2" t="inlineStr">
        <is>
          <t>Income Certificate</t>
        </is>
      </c>
      <c r="O42" s="2" t="inlineStr">
        <is>
          <t>No</t>
        </is>
      </c>
      <c r="P42" s="2" t="inlineStr">
        <is>
          <t>750+</t>
        </is>
      </c>
      <c r="Q42" s="2" t="inlineStr">
        <is>
          <t>Yes</t>
        </is>
      </c>
      <c r="R42" s="2" t="inlineStr">
        <is>
          <t>Residential</t>
        </is>
      </c>
      <c r="S42" s="2" t="inlineStr">
        <is>
          <t>Propelld contacted didn't like what was offered , waiting for more options</t>
        </is>
      </c>
      <c r="T42" s="2" t="inlineStr">
        <is>
          <t xml:space="preserve">10/7/26 : Loan required : Father is doing business of electricals || Student found the SBI cheaper and is in touch with him. Student hasn't started the process yet, student hasn't considered the admission due to high fees. Student has the offer letter from Next wave , next wave fees : 14.5 Lakhs. Student is only factoring all the new age of techonology.  Father;s income : 2.8Lakhs , if yes, he would be proceeding ahead with us.
Have sent the case to Vishwa, for extended scholarship. 
14/7 : Had a word, inquiring about CSIS scheme.
21/7 : Student is still under doubt whether he should move ahead or not with upgrad due to scholarship issue. Student is insisting about the same 25% scholarship and hence waiting on the loan to process. Conveyed him clearly we cant go above 20%.  </t>
        </is>
      </c>
      <c r="U42" s="2" t="inlineStr">
        <is>
          <t>Refund</t>
        </is>
      </c>
      <c r="V42" s="2" t="inlineStr">
        <is>
          <t>No</t>
        </is>
      </c>
      <c r="W42" s="2" t="n"/>
      <c r="X42" s="2" t="n"/>
      <c r="Y42" s="2" t="n"/>
      <c r="Z42" s="2" t="n"/>
      <c r="AA42" s="2" t="inlineStr">
        <is>
          <t>Refund case</t>
        </is>
      </c>
      <c r="AB42" s="2" t="inlineStr">
        <is>
          <t>Refund case</t>
        </is>
      </c>
      <c r="AC42" s="2" t="n"/>
      <c r="AD42" s="2" t="n"/>
      <c r="AE42" s="2" t="n"/>
      <c r="AF42" s="2" t="n"/>
      <c r="AG42" s="2" t="inlineStr">
        <is>
          <t>Ongoing</t>
        </is>
      </c>
      <c r="AH42" s="2" t="inlineStr">
        <is>
          <t>Processing by PM vidyalakshmi, Processing by GyanDhan</t>
        </is>
      </c>
      <c r="AI42" s="2" t="inlineStr">
        <is>
          <t>No</t>
        </is>
      </c>
      <c r="AJ42" s="2" t="inlineStr">
        <is>
          <t>No</t>
        </is>
      </c>
      <c r="AK42" s="2" t="n"/>
      <c r="AL42" s="2" t="n"/>
      <c r="AM42" s="2" t="n"/>
      <c r="AN42" s="2" t="n"/>
      <c r="AO42" s="2" t="n"/>
      <c r="AP42" s="2" t="n"/>
      <c r="AQ42" s="2" t="n"/>
    </row>
    <row r="43">
      <c r="A43" t="n">
        <v>42</v>
      </c>
      <c r="B43" s="2" t="inlineStr">
        <is>
          <t>Prince Prajapati</t>
        </is>
      </c>
      <c r="C43" s="3" t="n">
        <v>8176069823</v>
      </c>
      <c r="D43" s="2" t="inlineStr">
        <is>
          <t>PROV260502017</t>
        </is>
      </c>
      <c r="E43" s="2" t="inlineStr">
        <is>
          <t>ADYPU</t>
        </is>
      </c>
      <c r="F43" s="2" t="inlineStr">
        <is>
          <t>Yes</t>
        </is>
      </c>
      <c r="G43" s="2" t="inlineStr">
        <is>
          <t xml:space="preserve">Non Critical </t>
        </is>
      </c>
      <c r="H43" s="2" t="n">
        <v>0.125</v>
      </c>
      <c r="I43" s="2" t="n">
        <v>18</v>
      </c>
      <c r="J43" s="2" t="n">
        <v>75</v>
      </c>
      <c r="K43" s="2" t="inlineStr">
        <is>
          <t>Father</t>
        </is>
      </c>
      <c r="L43" s="2" t="inlineStr">
        <is>
          <t>salaried</t>
        </is>
      </c>
      <c r="M43" s="2" t="n">
        <v>12</v>
      </c>
      <c r="N43" s="2" t="inlineStr">
        <is>
          <t>Salary Slip</t>
        </is>
      </c>
      <c r="O43" s="2" t="inlineStr">
        <is>
          <t>No</t>
        </is>
      </c>
      <c r="P43" s="2" t="inlineStr">
        <is>
          <t>750+</t>
        </is>
      </c>
      <c r="Q43" s="2" t="inlineStr">
        <is>
          <t>No</t>
        </is>
      </c>
      <c r="R43" s="2" t="inlineStr">
        <is>
          <t>NA</t>
        </is>
      </c>
      <c r="S43" s="2" t="inlineStr">
        <is>
          <t>ICICI taken detail student waiting for call back</t>
        </is>
      </c>
      <c r="T43" s="2" t="inlineStr">
        <is>
          <t>- 14/7 : father stays outside india, 🇮🇳 fabricator , annual income : 12L , ITr filed : No , 780 cibil, loan required : 8L
20/7: Not started yet anything , since only 8L have suggested to go to vidyalakshmi portal, also sharing leads
3/8:- Still not sure whether want loan or not , have suggested to start if don't or pay the fees.</t>
        </is>
      </c>
      <c r="U43" s="2" t="inlineStr">
        <is>
          <t>Yes</t>
        </is>
      </c>
      <c r="V43" s="2" t="inlineStr">
        <is>
          <t>Yes</t>
        </is>
      </c>
      <c r="W43" s="2" t="inlineStr">
        <is>
          <t>Yes</t>
        </is>
      </c>
      <c r="X43" s="2" t="inlineStr">
        <is>
          <t>No</t>
        </is>
      </c>
      <c r="Y43" s="2" t="inlineStr">
        <is>
          <t>No</t>
        </is>
      </c>
      <c r="Z43" s="2" t="n"/>
      <c r="AA43" s="2" t="inlineStr">
        <is>
          <t>Control</t>
        </is>
      </c>
      <c r="AB43" s="2" t="inlineStr">
        <is>
          <t>Control</t>
        </is>
      </c>
      <c r="AC43" s="2" t="n"/>
      <c r="AD43" s="2" t="n"/>
      <c r="AE43" s="2" t="n"/>
      <c r="AF43" s="2" t="n"/>
      <c r="AG43" s="2" t="inlineStr">
        <is>
          <t>Ongoing</t>
        </is>
      </c>
      <c r="AH43" s="2" t="inlineStr">
        <is>
          <t>Processing by Icici, Processing by Propelld</t>
        </is>
      </c>
      <c r="AI43" s="2" t="n"/>
      <c r="AJ43" s="2" t="n"/>
      <c r="AK43" s="2" t="n"/>
      <c r="AL43" s="2" t="n"/>
      <c r="AM43" s="2" t="n"/>
      <c r="AN43" s="2" t="n"/>
      <c r="AO43" s="2" t="n"/>
      <c r="AP43" s="2" t="n"/>
      <c r="AQ43" s="2" t="n"/>
    </row>
    <row r="44">
      <c r="A44" t="n">
        <v>43</v>
      </c>
      <c r="B44" s="2" t="inlineStr">
        <is>
          <t>Riya somani</t>
        </is>
      </c>
      <c r="C44" s="3" t="n">
        <v>7067219297</v>
      </c>
      <c r="D44" s="2" t="inlineStr">
        <is>
          <t>PROV260606480</t>
        </is>
      </c>
      <c r="E44" s="2" t="inlineStr">
        <is>
          <t>ADYPU</t>
        </is>
      </c>
      <c r="F44" s="2" t="inlineStr">
        <is>
          <t>Yes</t>
        </is>
      </c>
      <c r="G44" s="2" t="inlineStr">
        <is>
          <t xml:space="preserve">Critical </t>
        </is>
      </c>
      <c r="H44" s="2" t="n">
        <v>0.235</v>
      </c>
      <c r="I44" s="2" t="n">
        <v>20</v>
      </c>
      <c r="J44" s="2" t="n">
        <v>86.2</v>
      </c>
      <c r="K44" s="2" t="inlineStr">
        <is>
          <t>Father</t>
        </is>
      </c>
      <c r="L44" s="2" t="inlineStr">
        <is>
          <t>Self-Employed</t>
        </is>
      </c>
      <c r="M44" s="2" t="n">
        <v>6</v>
      </c>
      <c r="N44" s="2" t="inlineStr">
        <is>
          <t>EWS</t>
        </is>
      </c>
      <c r="O44" s="2" t="inlineStr">
        <is>
          <t>No</t>
        </is>
      </c>
      <c r="P44" s="2" t="inlineStr">
        <is>
          <t>NA</t>
        </is>
      </c>
      <c r="Q44" s="2" t="inlineStr">
        <is>
          <t>No</t>
        </is>
      </c>
      <c r="R44" s="2" t="inlineStr">
        <is>
          <t>NA</t>
        </is>
      </c>
      <c r="S44" s="2" t="inlineStr">
        <is>
          <t>Waiting for the bank to reach them out Need assitance from us</t>
        </is>
      </c>
      <c r="T44" s="2" t="inlineStr">
        <is>
          <t xml:space="preserve">10/7/26 :  Dialed number was busy
15/7/26 : Have shared leads to banks.
               They  are starting from their side as well.
20/7: Said received no calls, need to check back
27/7 : Have started the process, 20L, she is speaking with sbi and icici </t>
        </is>
      </c>
      <c r="U44" s="2" t="inlineStr">
        <is>
          <t>Yes</t>
        </is>
      </c>
      <c r="V44" s="2" t="inlineStr">
        <is>
          <t>Yes</t>
        </is>
      </c>
      <c r="W44" s="2" t="inlineStr">
        <is>
          <t>Yes</t>
        </is>
      </c>
      <c r="X44" s="2" t="n"/>
      <c r="Y44" s="2" t="n"/>
      <c r="Z44" s="2" t="n"/>
      <c r="AA44" s="2" t="inlineStr">
        <is>
          <t>Control</t>
        </is>
      </c>
      <c r="AB44" s="2" t="inlineStr">
        <is>
          <t>Control</t>
        </is>
      </c>
      <c r="AC44" s="2" t="n"/>
      <c r="AD44" s="2" t="n"/>
      <c r="AE44" s="2" t="n"/>
      <c r="AF44" s="2" t="n"/>
      <c r="AG44" s="2" t="inlineStr">
        <is>
          <t>Ongoing</t>
        </is>
      </c>
      <c r="AH44" s="2" t="n"/>
      <c r="AI44" s="2" t="n"/>
      <c r="AJ44" s="2" t="inlineStr">
        <is>
          <t>No</t>
        </is>
      </c>
      <c r="AK44" s="2" t="n"/>
      <c r="AL44" s="2" t="inlineStr">
        <is>
          <t>Leads were shared a while back but student contested no calls received, and bank feedback say unreachable.
Have asked banks to  call again.</t>
        </is>
      </c>
      <c r="AM44" s="2" t="n"/>
      <c r="AN44" s="2" t="n"/>
      <c r="AO44" s="2" t="n"/>
      <c r="AP44" s="2" t="n"/>
      <c r="AQ44" s="2" t="n"/>
    </row>
    <row r="45">
      <c r="A45" t="n">
        <v>44</v>
      </c>
      <c r="B45" s="2" t="inlineStr">
        <is>
          <t>Ashu kumar</t>
        </is>
      </c>
      <c r="C45" s="3" t="n">
        <v>9608008286</v>
      </c>
      <c r="D45" s="2" t="inlineStr">
        <is>
          <t>PROV260607929</t>
        </is>
      </c>
      <c r="E45" s="2" t="inlineStr">
        <is>
          <t>SSAHE</t>
        </is>
      </c>
      <c r="F45" s="2" t="inlineStr">
        <is>
          <t>Yes</t>
        </is>
      </c>
      <c r="G45" s="2" t="inlineStr">
        <is>
          <t xml:space="preserve">Non Critical </t>
        </is>
      </c>
      <c r="H45" s="2" t="n">
        <v>0.15</v>
      </c>
      <c r="I45" s="2" t="n">
        <v>20</v>
      </c>
      <c r="J45" s="2" t="n">
        <v>74</v>
      </c>
      <c r="K45" s="2" t="inlineStr">
        <is>
          <t>Father</t>
        </is>
      </c>
      <c r="L45" s="2" t="inlineStr">
        <is>
          <t>Self-Employed</t>
        </is>
      </c>
      <c r="M45" s="2" t="n">
        <v>4</v>
      </c>
      <c r="N45" s="2" t="inlineStr">
        <is>
          <t>ITR</t>
        </is>
      </c>
      <c r="O45" s="2" t="inlineStr">
        <is>
          <t>No</t>
        </is>
      </c>
      <c r="P45" s="2" t="n">
        <v>750</v>
      </c>
      <c r="Q45" s="2" t="inlineStr">
        <is>
          <t>Yes</t>
        </is>
      </c>
      <c r="R45" s="2" t="inlineStr">
        <is>
          <t>Residential</t>
        </is>
      </c>
      <c r="S45" s="2" t="inlineStr">
        <is>
          <t>Waiting for the bank to reach them out Need assitance from us</t>
        </is>
      </c>
      <c r="T45" s="2" t="inlineStr">
        <is>
          <t>12/7 : DNP 
Student called back. Student wants the loan, Student is already talking with HDFC. Father's income : 6L/ annum. ICICI has rejected the loan , HDFC was ready to provide but didn't like the proposal of paying the interest from first month. Loan amount required : 20Lakhs 
20/7: In talks with PNB(fairly positive)
31/7: Ongoing with PNB only will be done</t>
        </is>
      </c>
      <c r="U45" s="2" t="inlineStr">
        <is>
          <t>Yes</t>
        </is>
      </c>
      <c r="V45" s="2" t="inlineStr">
        <is>
          <t>No</t>
        </is>
      </c>
      <c r="W45" s="2" t="inlineStr">
        <is>
          <t>No</t>
        </is>
      </c>
      <c r="X45" s="2" t="inlineStr">
        <is>
          <t>Yes</t>
        </is>
      </c>
      <c r="Y45" s="2" t="n"/>
      <c r="Z45" s="2" t="n"/>
      <c r="AA45" s="2" t="inlineStr">
        <is>
          <t>Control</t>
        </is>
      </c>
      <c r="AB45" s="2" t="inlineStr">
        <is>
          <t>Control</t>
        </is>
      </c>
      <c r="AC45" s="2" t="n"/>
      <c r="AD45" s="2" t="n"/>
      <c r="AE45" s="2" t="n"/>
      <c r="AF45" s="2" t="n"/>
      <c r="AG45" s="2" t="inlineStr">
        <is>
          <t>Ongoing</t>
        </is>
      </c>
      <c r="AH45" s="2" t="inlineStr">
        <is>
          <t>Processing at other bank</t>
        </is>
      </c>
      <c r="AI45" s="2" t="n"/>
      <c r="AJ45" s="2" t="n"/>
      <c r="AK45" s="2" t="n"/>
      <c r="AL45" s="2" t="n"/>
      <c r="AM45" s="2" t="n"/>
      <c r="AN45" s="2" t="n"/>
      <c r="AO45" s="2" t="n"/>
      <c r="AP45" s="2" t="n"/>
      <c r="AQ45" s="2" t="n"/>
    </row>
    <row r="46">
      <c r="A46" t="n">
        <v>45</v>
      </c>
      <c r="B46" s="2" t="inlineStr">
        <is>
          <t>Kishlay Aanand</t>
        </is>
      </c>
      <c r="C46" s="3" t="n">
        <v>7970421213</v>
      </c>
      <c r="D46" s="2" t="inlineStr">
        <is>
          <t>PROV260600269</t>
        </is>
      </c>
      <c r="E46" s="2" t="inlineStr">
        <is>
          <t>SSAHE</t>
        </is>
      </c>
      <c r="F46" s="2" t="inlineStr">
        <is>
          <t>Yes</t>
        </is>
      </c>
      <c r="G46" s="2" t="inlineStr">
        <is>
          <t xml:space="preserve">Non Critical </t>
        </is>
      </c>
      <c r="H46" s="2" t="n">
        <v>0.05</v>
      </c>
      <c r="I46" s="2" t="n">
        <v>20</v>
      </c>
      <c r="J46" s="2" t="n">
        <v>73.8</v>
      </c>
      <c r="K46" s="2" t="inlineStr">
        <is>
          <t>Father</t>
        </is>
      </c>
      <c r="L46" s="2" t="inlineStr">
        <is>
          <t>Salaried</t>
        </is>
      </c>
      <c r="M46" s="2" t="n">
        <v>12</v>
      </c>
      <c r="N46" s="2" t="inlineStr">
        <is>
          <t>Salary Slip</t>
        </is>
      </c>
      <c r="O46" s="2" t="inlineStr">
        <is>
          <t>Yes</t>
        </is>
      </c>
      <c r="P46" s="2" t="inlineStr">
        <is>
          <t>NA</t>
        </is>
      </c>
      <c r="Q46" s="2" t="inlineStr">
        <is>
          <t>Yes</t>
        </is>
      </c>
      <c r="R46" s="2" t="inlineStr">
        <is>
          <t>Residential</t>
        </is>
      </c>
      <c r="S46" s="2" t="inlineStr">
        <is>
          <t>Waiting for the bank to reach them out Need assitance from us</t>
        </is>
      </c>
      <c r="T46" s="2" t="inlineStr">
        <is>
          <t>12/7 : Is already talking with study4buddy, Father's income : 1.10L, mother's co applicant , mother's income : 40k/month. icici denied due to loan income, already talking to hdfc credilla. 20L loan required. Will be telling till monday and tuesday/
20/7: Ongoing with gyandhan, rejected by credilla
31/7: Payment done for 1st sem</t>
        </is>
      </c>
      <c r="U46" s="2" t="inlineStr">
        <is>
          <t>No</t>
        </is>
      </c>
      <c r="V46" s="2" t="inlineStr">
        <is>
          <t>No</t>
        </is>
      </c>
      <c r="W46" s="2" t="inlineStr">
        <is>
          <t>Yes</t>
        </is>
      </c>
      <c r="X46" s="2" t="inlineStr">
        <is>
          <t>Yes</t>
        </is>
      </c>
      <c r="Y46" s="2" t="n"/>
      <c r="Z46" s="2" t="inlineStr">
        <is>
          <t>Yes</t>
        </is>
      </c>
      <c r="AA46" s="2" t="inlineStr">
        <is>
          <t>Control</t>
        </is>
      </c>
      <c r="AB46" s="2" t="inlineStr">
        <is>
          <t>Control</t>
        </is>
      </c>
      <c r="AC46" s="2" t="inlineStr">
        <is>
          <t xml:space="preserve">14/7/2026, </t>
        </is>
      </c>
      <c r="AD46" s="2" t="n"/>
      <c r="AE46" s="2" t="n"/>
      <c r="AF46" s="2" t="n"/>
      <c r="AG46" s="2" t="inlineStr">
        <is>
          <t>Not required</t>
        </is>
      </c>
      <c r="AH46" s="2" t="inlineStr">
        <is>
          <t>Processing by GyanDhan</t>
        </is>
      </c>
      <c r="AI46" s="2" t="n"/>
      <c r="AJ46" s="2" t="n"/>
      <c r="AK46" s="2" t="n"/>
      <c r="AL46" s="2" t="n"/>
      <c r="AM46" s="2" t="n"/>
      <c r="AN46" s="2" t="n"/>
      <c r="AO46" s="2" t="n"/>
      <c r="AP46" s="2" t="n"/>
      <c r="AQ46" s="2" t="n"/>
    </row>
    <row r="47">
      <c r="A47" t="n">
        <v>46</v>
      </c>
      <c r="B47" s="2" t="inlineStr">
        <is>
          <t>Aman Jindrali</t>
        </is>
      </c>
      <c r="C47" s="3" t="n">
        <v>9380913035</v>
      </c>
      <c r="D47" s="2" t="inlineStr">
        <is>
          <t>PROV260601798</t>
        </is>
      </c>
      <c r="E47" s="2" t="inlineStr">
        <is>
          <t>SSAHE</t>
        </is>
      </c>
      <c r="F47" s="2" t="inlineStr">
        <is>
          <t>Yes</t>
        </is>
      </c>
      <c r="G47" s="2" t="inlineStr">
        <is>
          <t xml:space="preserve">Non Critical </t>
        </is>
      </c>
      <c r="H47" s="2" t="n">
        <v>0.1</v>
      </c>
      <c r="I47" s="2" t="n">
        <v>23</v>
      </c>
      <c r="J47" s="2" t="n">
        <v>75.2</v>
      </c>
      <c r="K47" s="2" t="inlineStr">
        <is>
          <t>Father</t>
        </is>
      </c>
      <c r="L47" s="2" t="inlineStr">
        <is>
          <t>army retired</t>
        </is>
      </c>
      <c r="M47" s="2" t="n">
        <v>5</v>
      </c>
      <c r="N47" s="2" t="inlineStr">
        <is>
          <t>Income Certificate</t>
        </is>
      </c>
      <c r="O47" s="2" t="inlineStr">
        <is>
          <t>No</t>
        </is>
      </c>
      <c r="P47" s="2" t="n">
        <v>750</v>
      </c>
      <c r="Q47" s="2" t="inlineStr">
        <is>
          <t>Yes</t>
        </is>
      </c>
      <c r="R47" s="2" t="inlineStr">
        <is>
          <t>Agricultural</t>
        </is>
      </c>
      <c r="S47" s="2" t="inlineStr">
        <is>
          <t>Waiting for the bank to reach them out Need assitance from us</t>
        </is>
      </c>
      <c r="T47" s="2" t="inlineStr">
        <is>
          <t>12/7 Student doesnt want loan through us right now,  already in talks with SBI home branch. Told, in case required h'll contact back. He has shared the details with SBi, he should be knowing the status by 13, 14. 
20/7: Fairly confident that loan will be sanctioned.Have suggested to take a backup
31/7: SBI taking time but confident will happen</t>
        </is>
      </c>
      <c r="U47" s="2" t="inlineStr">
        <is>
          <t>Yes</t>
        </is>
      </c>
      <c r="V47" s="2" t="inlineStr">
        <is>
          <t>No</t>
        </is>
      </c>
      <c r="W47" s="2" t="inlineStr">
        <is>
          <t>No</t>
        </is>
      </c>
      <c r="X47" s="2" t="inlineStr">
        <is>
          <t>No</t>
        </is>
      </c>
      <c r="Y47" s="2" t="n"/>
      <c r="Z47" s="2" t="n"/>
      <c r="AA47" s="2" t="inlineStr">
        <is>
          <t>Control</t>
        </is>
      </c>
      <c r="AB47" s="2" t="inlineStr">
        <is>
          <t>Control</t>
        </is>
      </c>
      <c r="AC47" s="2" t="n"/>
      <c r="AD47" s="2" t="n"/>
      <c r="AE47" s="2" t="n"/>
      <c r="AF47" s="2" t="n"/>
      <c r="AG47" s="2" t="inlineStr">
        <is>
          <t>Ongoing</t>
        </is>
      </c>
      <c r="AH47" s="2" t="inlineStr">
        <is>
          <t>Processing at other bank</t>
        </is>
      </c>
      <c r="AI47" s="2" t="n"/>
      <c r="AJ47" s="2" t="n"/>
      <c r="AK47" s="2" t="n"/>
      <c r="AL47" s="2" t="n"/>
      <c r="AM47" s="2" t="n"/>
      <c r="AN47" s="2" t="n"/>
      <c r="AO47" s="2" t="n"/>
      <c r="AP47" s="2" t="n"/>
      <c r="AQ47" s="2" t="n"/>
    </row>
    <row r="48">
      <c r="A48" t="n">
        <v>47</v>
      </c>
      <c r="B48" s="2" t="inlineStr">
        <is>
          <t>Prithviraj Dashrath Patil</t>
        </is>
      </c>
      <c r="C48" s="3" t="n">
        <v>9579318055</v>
      </c>
      <c r="D48" s="2" t="inlineStr">
        <is>
          <t>PROV260609754</t>
        </is>
      </c>
      <c r="E48" s="2" t="inlineStr">
        <is>
          <t>SSAHE</t>
        </is>
      </c>
      <c r="F48" s="2" t="inlineStr">
        <is>
          <t>Yes</t>
        </is>
      </c>
      <c r="G48" s="2" t="inlineStr">
        <is>
          <t xml:space="preserve">Non Critical </t>
        </is>
      </c>
      <c r="H48" s="2" t="n">
        <v>0</v>
      </c>
      <c r="I48" s="2" t="n">
        <v>25</v>
      </c>
      <c r="J48" s="2" t="n">
        <v>69</v>
      </c>
      <c r="K48" s="2" t="inlineStr">
        <is>
          <t>Father</t>
        </is>
      </c>
      <c r="L48" s="2" t="inlineStr">
        <is>
          <t>Salaried</t>
        </is>
      </c>
      <c r="M48" s="2" t="n">
        <v>4.5</v>
      </c>
      <c r="N48" s="2" t="inlineStr">
        <is>
          <t>Income Certificate</t>
        </is>
      </c>
      <c r="O48" s="2" t="inlineStr">
        <is>
          <t>No</t>
        </is>
      </c>
      <c r="P48" s="2" t="inlineStr">
        <is>
          <t>NA</t>
        </is>
      </c>
      <c r="Q48" s="2" t="inlineStr">
        <is>
          <t>No</t>
        </is>
      </c>
      <c r="R48" s="2" t="inlineStr">
        <is>
          <t>NA</t>
        </is>
      </c>
      <c r="S48" s="2" t="inlineStr">
        <is>
          <t>got call from buddy for study ,Waiting for the bank to reach them out Need assitance from us</t>
        </is>
      </c>
      <c r="T48" s="2" t="inlineStr">
        <is>
          <t>12/7 :Loan required : 25 L, is already talking ICICI and yes bank, father's income : 7L/ year. Documents have been provided by the student, loan has not been sanctioned yet. 
20/7: Process still going on various banks, have suggested toapply in more banks.
23/7 : Father was in pharma, but there is no proof of income , he recently resigned , after that he is a consultant but there is no income to show. has filed ITR of 10L.</t>
        </is>
      </c>
      <c r="U48" s="2" t="inlineStr">
        <is>
          <t>Yes</t>
        </is>
      </c>
      <c r="V48" s="2" t="inlineStr">
        <is>
          <t>Yes</t>
        </is>
      </c>
      <c r="W48" s="2" t="inlineStr">
        <is>
          <t>No</t>
        </is>
      </c>
      <c r="X48" s="2" t="inlineStr">
        <is>
          <t>Yes</t>
        </is>
      </c>
      <c r="Y48" s="2" t="n"/>
      <c r="Z48" s="2" t="n"/>
      <c r="AA48" s="2" t="inlineStr">
        <is>
          <t>Control</t>
        </is>
      </c>
      <c r="AB48" s="2" t="inlineStr">
        <is>
          <t>Control</t>
        </is>
      </c>
      <c r="AC48" s="2" t="n"/>
      <c r="AD48" s="2" t="n"/>
      <c r="AE48" s="2" t="n"/>
      <c r="AF48" s="2" t="n"/>
      <c r="AG48" s="2" t="inlineStr">
        <is>
          <t>Ongoing</t>
        </is>
      </c>
      <c r="AH48" s="2" t="inlineStr">
        <is>
          <t>Processing by Icici, Processing by GyanDhan, Loan Sanctioned by Proplld</t>
        </is>
      </c>
      <c r="AI48" s="2" t="n"/>
      <c r="AJ48" s="2" t="n"/>
      <c r="AK48" s="2" t="n"/>
      <c r="AL48" s="2" t="n"/>
      <c r="AM48" s="2" t="n"/>
      <c r="AN48" s="2" t="n"/>
      <c r="AO48" s="2" t="n"/>
      <c r="AP48" s="2" t="n"/>
      <c r="AQ48" s="2" t="n"/>
    </row>
    <row r="49">
      <c r="A49" t="n">
        <v>48</v>
      </c>
      <c r="B49" s="2" t="inlineStr">
        <is>
          <t>Hari Kishan Sharma</t>
        </is>
      </c>
      <c r="C49" s="3" t="n">
        <v>9636324452</v>
      </c>
      <c r="D49" s="2" t="inlineStr">
        <is>
          <t>PROV260608906</t>
        </is>
      </c>
      <c r="E49" s="2" t="inlineStr">
        <is>
          <t>SSAHE</t>
        </is>
      </c>
      <c r="F49" s="2" t="inlineStr">
        <is>
          <t>Yes</t>
        </is>
      </c>
      <c r="G49" s="2" t="inlineStr">
        <is>
          <t xml:space="preserve">Non Critical </t>
        </is>
      </c>
      <c r="H49" s="2" t="n">
        <v>0.05</v>
      </c>
      <c r="I49" s="2" t="n">
        <v>11</v>
      </c>
      <c r="J49" s="2" t="n">
        <v>68</v>
      </c>
      <c r="K49" s="2" t="inlineStr">
        <is>
          <t>Father</t>
        </is>
      </c>
      <c r="L49" s="2" t="inlineStr">
        <is>
          <t>Salaried</t>
        </is>
      </c>
      <c r="M49" s="2" t="n">
        <v>4</v>
      </c>
      <c r="N49" s="2" t="inlineStr">
        <is>
          <t>EWS</t>
        </is>
      </c>
      <c r="O49" s="2" t="inlineStr">
        <is>
          <t>Yes</t>
        </is>
      </c>
      <c r="P49" s="2" t="n">
        <v>776</v>
      </c>
      <c r="Q49" s="2" t="inlineStr">
        <is>
          <t>No</t>
        </is>
      </c>
      <c r="R49" s="2" t="inlineStr">
        <is>
          <t>NA</t>
        </is>
      </c>
      <c r="S49" s="2" t="inlineStr">
        <is>
          <t>Waiting for the bank to reach them out Need assitance from us</t>
        </is>
      </c>
      <c r="T49" s="2" t="inlineStr">
        <is>
          <t>12/7 : Loan required : 25 , Co applicant : Father , Father's salary : 6.5L , ITR filed : yes  , requires collateral loan. Student asked me for suggestion which company should he go for, suggested ICICI. 
14/7 : Contacted by multiple people from ICICI. Called to confirm the associate. number 
20/7: In process with ICICI, most probably yes, if not then he has asked to share his leads elsewhere.</t>
        </is>
      </c>
      <c r="U49" s="2" t="inlineStr">
        <is>
          <t>Yes</t>
        </is>
      </c>
      <c r="V49" s="2" t="inlineStr">
        <is>
          <t>Yes</t>
        </is>
      </c>
      <c r="W49" s="2" t="inlineStr">
        <is>
          <t>Yes</t>
        </is>
      </c>
      <c r="X49" s="2" t="inlineStr">
        <is>
          <t>No</t>
        </is>
      </c>
      <c r="Y49" s="2" t="inlineStr">
        <is>
          <t>Yes</t>
        </is>
      </c>
      <c r="Z49" s="2" t="inlineStr">
        <is>
          <t>Yes</t>
        </is>
      </c>
      <c r="AA49" s="2" t="inlineStr">
        <is>
          <t>Control</t>
        </is>
      </c>
      <c r="AB49" s="2" t="inlineStr">
        <is>
          <t>Control</t>
        </is>
      </c>
      <c r="AC49" s="2" t="n"/>
      <c r="AD49" s="2" t="n"/>
      <c r="AE49" s="2" t="n"/>
      <c r="AF49" s="2" t="n"/>
      <c r="AG49" s="2" t="inlineStr">
        <is>
          <t>Ongoing</t>
        </is>
      </c>
      <c r="AH49" s="2" t="inlineStr">
        <is>
          <t>Processing by Icici</t>
        </is>
      </c>
      <c r="AI49" s="2" t="n"/>
      <c r="AJ49" s="2" t="n"/>
      <c r="AK49" s="2" t="n"/>
      <c r="AL49" s="2" t="n"/>
      <c r="AM49" s="2" t="n"/>
      <c r="AN49" s="2" t="n"/>
      <c r="AO49" s="2" t="n"/>
      <c r="AP49" s="2" t="n"/>
      <c r="AQ49" s="2" t="n"/>
    </row>
    <row r="50">
      <c r="A50" t="n">
        <v>49</v>
      </c>
      <c r="B50" s="2" t="inlineStr">
        <is>
          <t>Priyanshu Agrawal</t>
        </is>
      </c>
      <c r="C50" s="3" t="n">
        <v>8269939000</v>
      </c>
      <c r="D50" s="2" t="inlineStr">
        <is>
          <t>PROV260503817</t>
        </is>
      </c>
      <c r="E50" s="2" t="inlineStr">
        <is>
          <t>SSAHE</t>
        </is>
      </c>
      <c r="F50" s="2" t="inlineStr">
        <is>
          <t>Yes</t>
        </is>
      </c>
      <c r="G50" s="2" t="inlineStr">
        <is>
          <t xml:space="preserve">Non Critical </t>
        </is>
      </c>
      <c r="H50" s="2" t="n">
        <v>0.075</v>
      </c>
      <c r="I50" s="2" t="n">
        <v>18</v>
      </c>
      <c r="J50" s="2" t="inlineStr">
        <is>
          <t>N/A</t>
        </is>
      </c>
      <c r="K50" s="2" t="inlineStr">
        <is>
          <t>Father</t>
        </is>
      </c>
      <c r="L50" s="2" t="inlineStr">
        <is>
          <t>Self-Employed</t>
        </is>
      </c>
      <c r="M50" s="2" t="n">
        <v>6</v>
      </c>
      <c r="N50" s="2" t="inlineStr">
        <is>
          <t>ITR</t>
        </is>
      </c>
      <c r="O50" s="2" t="inlineStr">
        <is>
          <t>Yes</t>
        </is>
      </c>
      <c r="P50" s="2" t="inlineStr">
        <is>
          <t>arit</t>
        </is>
      </c>
      <c r="Q50" s="2" t="inlineStr">
        <is>
          <t>No</t>
        </is>
      </c>
      <c r="R50" s="2" t="inlineStr">
        <is>
          <t>NA</t>
        </is>
      </c>
      <c r="S50" s="2" t="inlineStr">
        <is>
          <t>wants to pay the intrest nd principal after BTECH, multiple banks contacted</t>
        </is>
      </c>
      <c r="T50" s="2" t="inlineStr">
        <is>
          <t>12/7 : Requires Loan, 15-18 Lakhs,ITR filed: 6.75 L , father has a shop, have tried in different banks, he requires the loan without collateral, he has already tried public banks and they have told that he will have to pay interest from the first month which he didn't want. I guided him RBI says that any non collateral education loan student will have to bear the interest cost from 1st month , also I have guided him to go with public banks if the loan is getting approved. Also sharing his number with icici. 
20/7: Busy
21/7: Paying first sem fees himself, will take a loan then , have suggested to sanction it now only</t>
        </is>
      </c>
      <c r="U50" s="2" t="inlineStr">
        <is>
          <t>No</t>
        </is>
      </c>
      <c r="V50" s="2" t="inlineStr">
        <is>
          <t>Yes</t>
        </is>
      </c>
      <c r="W50" s="2" t="inlineStr">
        <is>
          <t>No</t>
        </is>
      </c>
      <c r="X50" s="2" t="inlineStr">
        <is>
          <t>No</t>
        </is>
      </c>
      <c r="Y50" s="2" t="n"/>
      <c r="Z50" s="2" t="n"/>
      <c r="AA50" s="2" t="inlineStr">
        <is>
          <t>Not required</t>
        </is>
      </c>
      <c r="AB50" s="2" t="inlineStr">
        <is>
          <t>Not required</t>
        </is>
      </c>
      <c r="AC50" s="2" t="n"/>
      <c r="AD50" s="2" t="n"/>
      <c r="AE50" s="2" t="n"/>
      <c r="AF50" s="2" t="n"/>
      <c r="AG50" s="2" t="inlineStr">
        <is>
          <t>Not required</t>
        </is>
      </c>
      <c r="AH50" s="2" t="n"/>
      <c r="AI50" s="2" t="n"/>
      <c r="AJ50" s="2" t="inlineStr">
        <is>
          <t>No</t>
        </is>
      </c>
      <c r="AK50" s="2" t="n"/>
      <c r="AL50" s="2" t="n"/>
      <c r="AM50" s="2" t="n"/>
      <c r="AN50" s="2" t="n"/>
      <c r="AO50" s="2" t="n"/>
      <c r="AP50" s="2" t="n"/>
      <c r="AQ50" s="2" t="n"/>
    </row>
    <row r="51">
      <c r="A51" t="n">
        <v>50</v>
      </c>
      <c r="B51" s="2" t="inlineStr">
        <is>
          <t>Bipin kumar</t>
        </is>
      </c>
      <c r="C51" s="3" t="n">
        <v>9155013036</v>
      </c>
      <c r="D51" s="2" t="inlineStr">
        <is>
          <t>PROV260608012</t>
        </is>
      </c>
      <c r="E51" s="2" t="inlineStr">
        <is>
          <t>SSAHE</t>
        </is>
      </c>
      <c r="F51" s="2" t="inlineStr">
        <is>
          <t>Yes</t>
        </is>
      </c>
      <c r="G51" s="2" t="inlineStr">
        <is>
          <t xml:space="preserve">Critical </t>
        </is>
      </c>
      <c r="H51" s="2" t="n">
        <v>0.115</v>
      </c>
      <c r="I51" s="2" t="n">
        <v>20</v>
      </c>
      <c r="J51" s="2" t="n">
        <v>77.59999999999999</v>
      </c>
      <c r="K51" s="2" t="inlineStr">
        <is>
          <t>Father</t>
        </is>
      </c>
      <c r="L51" s="2" t="inlineStr">
        <is>
          <t>Farmer</t>
        </is>
      </c>
      <c r="M51" s="2" t="n">
        <v>5</v>
      </c>
      <c r="N51" s="2" t="inlineStr">
        <is>
          <t>NA</t>
        </is>
      </c>
      <c r="O51" s="2" t="inlineStr">
        <is>
          <t>No</t>
        </is>
      </c>
      <c r="P51" s="2" t="inlineStr">
        <is>
          <t>NA</t>
        </is>
      </c>
      <c r="Q51" s="2" t="inlineStr">
        <is>
          <t>No</t>
        </is>
      </c>
      <c r="R51" s="2" t="inlineStr">
        <is>
          <t>NA</t>
        </is>
      </c>
      <c r="S51" s="2" t="inlineStr">
        <is>
          <t>Waiting for the bank to reach them out Need assitance from us</t>
        </is>
      </c>
      <c r="T51" s="2" t="inlineStr">
        <is>
          <t>12/7 : Loan required : 20L, Father's profession : Farmer, Income yearly : 5L , ITR filed : No , He has not received any call from the bank. He belongs from Bihar. He has not tried any loans from anywhere. Not willing to pay interest from the first month. suggested him the collateral loan option as well. Student was worried and have calmed him down and suggested him to reach out to public bank as well 
16/7: Switch off
21/7: Gyandhan offering 15% int, student not comfortable.
27/7 : Student is taking loan from their side , pnb bank. Gyan dhan he is not comfortable with interest. hasn't started the process yet</t>
        </is>
      </c>
      <c r="U51" s="2" t="inlineStr">
        <is>
          <t>Yes</t>
        </is>
      </c>
      <c r="V51" s="2" t="inlineStr">
        <is>
          <t>No</t>
        </is>
      </c>
      <c r="W51" s="2" t="inlineStr">
        <is>
          <t>Yes</t>
        </is>
      </c>
      <c r="X51" s="2" t="inlineStr">
        <is>
          <t>Yes</t>
        </is>
      </c>
      <c r="Y51" s="2" t="n"/>
      <c r="Z51" s="2" t="n"/>
      <c r="AA51" s="2" t="inlineStr">
        <is>
          <t>Risk</t>
        </is>
      </c>
      <c r="AB51" s="2" t="inlineStr">
        <is>
          <t>Risk</t>
        </is>
      </c>
      <c r="AC51" s="2" t="n"/>
      <c r="AD51" s="2" t="n"/>
      <c r="AE51" s="2" t="n"/>
      <c r="AF51" s="2" t="n"/>
      <c r="AG51" s="2" t="inlineStr">
        <is>
          <t>Not even started</t>
        </is>
      </c>
      <c r="AH51" s="2" t="n"/>
      <c r="AI51" s="2" t="inlineStr">
        <is>
          <t>Yes</t>
        </is>
      </c>
      <c r="AJ51" s="2" t="inlineStr">
        <is>
          <t>No</t>
        </is>
      </c>
      <c r="AK51" s="2" t="n"/>
      <c r="AL51" s="2" t="inlineStr">
        <is>
          <t>Student rejected Propelld and  GyanDhan due to high int, got rejected by ICICI, have suggested to reach out to other banks as well.</t>
        </is>
      </c>
      <c r="AM51" s="2" t="n"/>
      <c r="AN51" s="2" t="n"/>
      <c r="AO51" s="2" t="n"/>
      <c r="AP51" s="2" t="n"/>
      <c r="AQ51" s="2" t="n"/>
    </row>
    <row r="52">
      <c r="A52" t="n">
        <v>51</v>
      </c>
      <c r="B52" s="2" t="inlineStr">
        <is>
          <t>DEEPIKA KUMARI</t>
        </is>
      </c>
      <c r="C52" s="3" t="n">
        <v>9908200168</v>
      </c>
      <c r="D52" s="2" t="inlineStr">
        <is>
          <t>PROV260503681</t>
        </is>
      </c>
      <c r="E52" s="2" t="inlineStr">
        <is>
          <t>SSAHE</t>
        </is>
      </c>
      <c r="F52" s="2" t="inlineStr">
        <is>
          <t>Yes</t>
        </is>
      </c>
      <c r="G52" s="2" t="inlineStr">
        <is>
          <t xml:space="preserve">Non Critical </t>
        </is>
      </c>
      <c r="H52" s="2" t="n">
        <v>0.3</v>
      </c>
      <c r="I52" s="2" t="n">
        <v>18</v>
      </c>
      <c r="J52" s="2" t="n">
        <v>82</v>
      </c>
      <c r="K52" s="2" t="inlineStr">
        <is>
          <t>Father</t>
        </is>
      </c>
      <c r="L52" s="2" t="inlineStr">
        <is>
          <t>Self-Employed</t>
        </is>
      </c>
      <c r="M52" s="2" t="n">
        <v>12</v>
      </c>
      <c r="N52" s="2" t="inlineStr">
        <is>
          <t>ITR</t>
        </is>
      </c>
      <c r="O52" s="2" t="inlineStr">
        <is>
          <t>Yes</t>
        </is>
      </c>
      <c r="P52" s="2" t="inlineStr">
        <is>
          <t>NA</t>
        </is>
      </c>
      <c r="Q52" s="2" t="inlineStr">
        <is>
          <t>No</t>
        </is>
      </c>
      <c r="R52" s="2" t="inlineStr">
        <is>
          <t>NA</t>
        </is>
      </c>
      <c r="S52" s="2" t="inlineStr">
        <is>
          <t>Waiting for the bank to reach them out Need assitance from us</t>
        </is>
      </c>
      <c r="T52" s="2" t="inlineStr">
        <is>
          <t>12/7 : Loan required : 20L, mother picked the call, mother suggested that father will talk to him, Father has a transport business. Father will call back on my number. 
13/7 : 1st update : 7075803172, father called , but then he recevied another call , will call back. 
13/7 : 16L Loan required , father's income : 12L, ITR filed : 1cr || HDFC,BOB. 
21/7: Have dropped the leads, everywhere.</t>
        </is>
      </c>
      <c r="U52" s="2" t="inlineStr">
        <is>
          <t>Yes</t>
        </is>
      </c>
      <c r="V52" s="2" t="inlineStr">
        <is>
          <t>Yes</t>
        </is>
      </c>
      <c r="W52" s="2" t="inlineStr">
        <is>
          <t>No</t>
        </is>
      </c>
      <c r="X52" s="2" t="inlineStr">
        <is>
          <t>No</t>
        </is>
      </c>
      <c r="Y52" s="2" t="n"/>
      <c r="Z52" s="2" t="n"/>
      <c r="AA52" s="2" t="inlineStr">
        <is>
          <t>Control</t>
        </is>
      </c>
      <c r="AB52" s="2" t="inlineStr">
        <is>
          <t>Control</t>
        </is>
      </c>
      <c r="AC52" s="2" t="n"/>
      <c r="AD52" s="2" t="n"/>
      <c r="AE52" s="2" t="n"/>
      <c r="AF52" s="2" t="n"/>
      <c r="AG52" s="2" t="inlineStr">
        <is>
          <t>Ongoing</t>
        </is>
      </c>
      <c r="AH52" s="2" t="inlineStr">
        <is>
          <t>Processing by Propelld, Processing by Icici, Processing by GyanDhan</t>
        </is>
      </c>
      <c r="AI52" s="2" t="n"/>
      <c r="AJ52" s="2" t="n"/>
      <c r="AK52" s="2" t="n"/>
      <c r="AL52" s="2" t="n"/>
      <c r="AM52" s="2" t="n"/>
      <c r="AN52" s="2" t="n"/>
      <c r="AO52" s="2" t="n"/>
      <c r="AP52" s="2" t="n"/>
      <c r="AQ52" s="2" t="n"/>
    </row>
    <row r="53">
      <c r="A53" t="n">
        <v>52</v>
      </c>
      <c r="B53" s="2" t="inlineStr">
        <is>
          <t>Piyush Hole</t>
        </is>
      </c>
      <c r="C53" s="3" t="n">
        <v>8237855763</v>
      </c>
      <c r="D53" s="2" t="inlineStr">
        <is>
          <t>PROV1000001309</t>
        </is>
      </c>
      <c r="E53" s="2" t="inlineStr">
        <is>
          <t>ADYPU</t>
        </is>
      </c>
      <c r="F53" s="2" t="inlineStr">
        <is>
          <t>No</t>
        </is>
      </c>
      <c r="G53" s="2" t="inlineStr">
        <is>
          <t>Loan not required</t>
        </is>
      </c>
      <c r="H53" s="2" t="n">
        <v>0.1</v>
      </c>
      <c r="I53" s="2" t="n">
        <v>25</v>
      </c>
      <c r="J53" s="2" t="n">
        <v>55.4</v>
      </c>
      <c r="K53" s="2" t="inlineStr">
        <is>
          <t>Father</t>
        </is>
      </c>
      <c r="L53" s="2" t="inlineStr">
        <is>
          <t>self imployed</t>
        </is>
      </c>
      <c r="M53" s="2" t="n">
        <v>6.5</v>
      </c>
      <c r="N53" s="2" t="inlineStr">
        <is>
          <t>ITR</t>
        </is>
      </c>
      <c r="O53" s="2" t="inlineStr">
        <is>
          <t>Yes</t>
        </is>
      </c>
      <c r="P53" s="2" t="inlineStr">
        <is>
          <t>NA</t>
        </is>
      </c>
      <c r="Q53" s="2" t="inlineStr">
        <is>
          <t>No</t>
        </is>
      </c>
      <c r="R53" s="2" t="inlineStr">
        <is>
          <t>NA</t>
        </is>
      </c>
      <c r="S53" s="2" t="inlineStr">
        <is>
          <t>In discussion with buddy4study,Waiting for the bank to reach them out Need assitance from us</t>
        </is>
      </c>
      <c r="T53" s="2" t="inlineStr">
        <is>
          <t>10/7/26 : Not required loan, need guidance to pay the fees. Have shared it sst team.</t>
        </is>
      </c>
      <c r="U53" s="2" t="inlineStr">
        <is>
          <t>No</t>
        </is>
      </c>
      <c r="V53" s="2" t="inlineStr">
        <is>
          <t>No</t>
        </is>
      </c>
      <c r="W53" s="2" t="inlineStr">
        <is>
          <t>No</t>
        </is>
      </c>
      <c r="X53" s="2" t="n"/>
      <c r="Y53" s="2" t="n"/>
      <c r="Z53" s="2" t="n"/>
      <c r="AA53" s="2" t="inlineStr">
        <is>
          <t>Not required</t>
        </is>
      </c>
      <c r="AB53" s="2" t="inlineStr">
        <is>
          <t>Not required</t>
        </is>
      </c>
      <c r="AC53" s="2" t="n"/>
      <c r="AD53" s="2" t="n"/>
      <c r="AE53" s="2" t="n"/>
      <c r="AF53" s="2" t="n"/>
      <c r="AG53" s="2" t="inlineStr">
        <is>
          <t>Not required</t>
        </is>
      </c>
      <c r="AH53" s="2" t="n"/>
      <c r="AI53" s="2" t="n"/>
      <c r="AJ53" s="2" t="n"/>
      <c r="AK53" s="2" t="n"/>
      <c r="AL53" s="2" t="n"/>
      <c r="AM53" s="2" t="n"/>
      <c r="AN53" s="2" t="n"/>
      <c r="AO53" s="2" t="n"/>
      <c r="AP53" s="2" t="n"/>
      <c r="AQ53" s="2" t="n"/>
    </row>
    <row r="54">
      <c r="A54" t="n">
        <v>53</v>
      </c>
      <c r="B54" s="2" t="inlineStr">
        <is>
          <t>Ankit Kumar(2)</t>
        </is>
      </c>
      <c r="C54" s="3" t="n">
        <v>6205356806</v>
      </c>
      <c r="D54" s="2" t="inlineStr">
        <is>
          <t>PROV260606398</t>
        </is>
      </c>
      <c r="E54" s="2" t="inlineStr">
        <is>
          <t>SSAHE</t>
        </is>
      </c>
      <c r="F54" s="2" t="inlineStr">
        <is>
          <t>Drop</t>
        </is>
      </c>
      <c r="G54" s="2" t="inlineStr">
        <is>
          <t>Loan not required</t>
        </is>
      </c>
      <c r="H54" s="2" t="n">
        <v>0.05</v>
      </c>
      <c r="I54" s="2" t="n">
        <v>8</v>
      </c>
      <c r="J54" s="2" t="n">
        <v>65</v>
      </c>
      <c r="K54" s="2" t="inlineStr">
        <is>
          <t>Father</t>
        </is>
      </c>
      <c r="L54" s="2" t="inlineStr">
        <is>
          <t>Salaried</t>
        </is>
      </c>
      <c r="M54" s="2" t="n">
        <v>14</v>
      </c>
      <c r="N54" s="2" t="inlineStr">
        <is>
          <t>ITR</t>
        </is>
      </c>
      <c r="O54" s="2" t="inlineStr">
        <is>
          <t>No</t>
        </is>
      </c>
      <c r="P54" s="2" t="inlineStr">
        <is>
          <t>NA</t>
        </is>
      </c>
      <c r="Q54" s="2" t="inlineStr">
        <is>
          <t>No</t>
        </is>
      </c>
      <c r="R54" s="2" t="inlineStr">
        <is>
          <t>NA</t>
        </is>
      </c>
      <c r="S54" s="2" t="inlineStr">
        <is>
          <t>Waiting for the bank to reach them out Need assitance from us</t>
        </is>
      </c>
      <c r="T54" s="2" t="inlineStr">
        <is>
          <t xml:space="preserve">12/7 : Student has raised the refund request. </t>
        </is>
      </c>
      <c r="U54" s="2" t="inlineStr">
        <is>
          <t>Refund</t>
        </is>
      </c>
      <c r="V54" s="2" t="inlineStr">
        <is>
          <t>No</t>
        </is>
      </c>
      <c r="W54" s="2" t="inlineStr">
        <is>
          <t>No</t>
        </is>
      </c>
      <c r="X54" s="2" t="n"/>
      <c r="Y54" s="2" t="n"/>
      <c r="Z54" s="2" t="n"/>
      <c r="AA54" s="2" t="inlineStr">
        <is>
          <t>Refund case</t>
        </is>
      </c>
      <c r="AB54" s="2" t="inlineStr">
        <is>
          <t>Refund case</t>
        </is>
      </c>
      <c r="AC54" s="2" t="n"/>
      <c r="AD54" s="2" t="n"/>
      <c r="AE54" s="2" t="n"/>
      <c r="AF54" s="2" t="n"/>
      <c r="AG54" s="2" t="inlineStr">
        <is>
          <t>Not required</t>
        </is>
      </c>
      <c r="AH54" s="2" t="n"/>
      <c r="AI54" s="2" t="n"/>
      <c r="AJ54" s="2" t="n"/>
      <c r="AK54" s="2" t="n"/>
      <c r="AL54" s="2" t="n"/>
      <c r="AM54" s="2" t="n"/>
      <c r="AN54" s="2" t="n"/>
      <c r="AO54" s="2" t="n"/>
      <c r="AP54" s="2" t="n"/>
      <c r="AQ54" s="2" t="n"/>
    </row>
    <row r="55">
      <c r="A55" t="n">
        <v>54</v>
      </c>
      <c r="B55" s="2" t="inlineStr">
        <is>
          <t>Aryan Mishra</t>
        </is>
      </c>
      <c r="C55" s="3" t="n">
        <v>7004672915</v>
      </c>
      <c r="D55" s="2" t="inlineStr">
        <is>
          <t>PROV260501578</t>
        </is>
      </c>
      <c r="E55" s="2" t="inlineStr">
        <is>
          <t>SSAHE</t>
        </is>
      </c>
      <c r="F55" s="2" t="inlineStr">
        <is>
          <t>Yes</t>
        </is>
      </c>
      <c r="G55" s="2" t="inlineStr">
        <is>
          <t xml:space="preserve">Critical </t>
        </is>
      </c>
      <c r="H55" s="2" t="n">
        <v>0.125</v>
      </c>
      <c r="I55" s="2" t="n">
        <v>20</v>
      </c>
      <c r="J55" s="2" t="n">
        <v>59</v>
      </c>
      <c r="K55" s="2" t="inlineStr">
        <is>
          <t>Father</t>
        </is>
      </c>
      <c r="L55" s="2" t="inlineStr">
        <is>
          <t>Salaried</t>
        </is>
      </c>
      <c r="M55" s="2" t="n">
        <v>4</v>
      </c>
      <c r="N55" s="2" t="inlineStr">
        <is>
          <t>EWS</t>
        </is>
      </c>
      <c r="O55" s="2" t="inlineStr">
        <is>
          <t>No</t>
        </is>
      </c>
      <c r="P55" s="2" t="inlineStr">
        <is>
          <t>NA</t>
        </is>
      </c>
      <c r="Q55" s="2" t="inlineStr">
        <is>
          <t>No</t>
        </is>
      </c>
      <c r="R55" s="2" t="inlineStr">
        <is>
          <t>NA</t>
        </is>
      </c>
      <c r="S55" s="2" t="inlineStr">
        <is>
          <t>Waiting for the bank to reach them out Need assitance from us</t>
        </is>
      </c>
      <c r="T55" s="2" t="inlineStr">
        <is>
          <t>12/7 : Loan required : 20L , Father's profession : Hotel sector 
Father Salary : 30000/m , Mother salary : 10000/m , ITR filed : no. 
16/7: Student has been contacted by proplld and study4buddy,
Problem:- Student seemed lethargic on the doc sharing and talking to bank front, have suggested to do all the process and reach out if any problem
23/7: DNP</t>
        </is>
      </c>
      <c r="U55" s="2" t="inlineStr">
        <is>
          <t>Yes</t>
        </is>
      </c>
      <c r="V55" s="2" t="inlineStr">
        <is>
          <t>No</t>
        </is>
      </c>
      <c r="W55" s="2" t="inlineStr">
        <is>
          <t>Yes</t>
        </is>
      </c>
      <c r="X55" s="2" t="inlineStr">
        <is>
          <t>Yes</t>
        </is>
      </c>
      <c r="Y55" s="2" t="n"/>
      <c r="Z55" s="2" t="n"/>
      <c r="AA55" s="2" t="inlineStr">
        <is>
          <t>Control</t>
        </is>
      </c>
      <c r="AB55" s="2" t="inlineStr">
        <is>
          <t>Control</t>
        </is>
      </c>
      <c r="AC55" s="2" t="n"/>
      <c r="AD55" s="2" t="inlineStr">
        <is>
          <t>Needs an intent check</t>
        </is>
      </c>
      <c r="AE55" s="2" t="n"/>
      <c r="AF55" s="2" t="n"/>
      <c r="AG55" s="2" t="inlineStr">
        <is>
          <t>Ongoing</t>
        </is>
      </c>
      <c r="AH55" s="2" t="inlineStr">
        <is>
          <t>Processing by Propelld</t>
        </is>
      </c>
      <c r="AI55" s="2" t="n"/>
      <c r="AJ55" s="2" t="inlineStr">
        <is>
          <t>No</t>
        </is>
      </c>
      <c r="AK55" s="2" t="n"/>
      <c r="AL55" s="2" t="n"/>
      <c r="AM55" s="2" t="n"/>
      <c r="AN55" s="2" t="n"/>
      <c r="AO55" s="2" t="n"/>
      <c r="AP55" s="2" t="n"/>
      <c r="AQ55" s="2" t="n"/>
    </row>
    <row r="56">
      <c r="A56" t="n">
        <v>55</v>
      </c>
      <c r="B56" s="2" t="inlineStr">
        <is>
          <t>Rydham Arora</t>
        </is>
      </c>
      <c r="C56" s="3" t="n">
        <v>8094803647</v>
      </c>
      <c r="D56" s="2" t="inlineStr">
        <is>
          <t>PROV260606411</t>
        </is>
      </c>
      <c r="E56" s="2" t="inlineStr">
        <is>
          <t>SSAHE</t>
        </is>
      </c>
      <c r="F56" s="2" t="inlineStr">
        <is>
          <t>Yes</t>
        </is>
      </c>
      <c r="G56" s="2" t="inlineStr">
        <is>
          <t xml:space="preserve">Non Critical </t>
        </is>
      </c>
      <c r="H56" s="2" t="inlineStr">
        <is>
          <t>NA</t>
        </is>
      </c>
      <c r="I56" s="2" t="n">
        <v>15</v>
      </c>
      <c r="J56" s="2" t="inlineStr">
        <is>
          <t>NA</t>
        </is>
      </c>
      <c r="K56" s="2" t="inlineStr">
        <is>
          <t>Uncle</t>
        </is>
      </c>
      <c r="L56" s="2" t="inlineStr">
        <is>
          <t>Salaried</t>
        </is>
      </c>
      <c r="M56" s="2" t="n">
        <v>20</v>
      </c>
      <c r="N56" s="2" t="inlineStr">
        <is>
          <t>ITR</t>
        </is>
      </c>
      <c r="O56" s="2" t="inlineStr">
        <is>
          <t>Yes</t>
        </is>
      </c>
      <c r="P56" s="2" t="inlineStr">
        <is>
          <t>800+</t>
        </is>
      </c>
      <c r="Q56" s="2" t="inlineStr">
        <is>
          <t>No</t>
        </is>
      </c>
      <c r="R56" s="2" t="inlineStr">
        <is>
          <t>NA</t>
        </is>
      </c>
      <c r="S56" s="2" t="inlineStr">
        <is>
          <t>Waiting for the bank to reach them out Need assitance from us</t>
        </is>
      </c>
      <c r="T56" s="2" t="inlineStr">
        <is>
          <t xml:space="preserve">12/7: Mother picked the call, father wants to take loan and he is coming on thursday and friday to meet vishwa , Father's number : 8824057469, Father wants to first meet vishwa and then take loan. however have told him that I would forward his details to icici. 
18/7: called father, call went busy
21/7 : called father, call DNP
23/7 : Father had come to office will process his file. once he shares the details with me. his brother will be the coapplicant.
29/7 : Student doesnt have PAN card yet, they would get the PAN by next week. Student is not 18 yet, so no PAN card yet. </t>
        </is>
      </c>
      <c r="U56" s="2" t="inlineStr">
        <is>
          <t>Yes</t>
        </is>
      </c>
      <c r="V56" s="2" t="inlineStr"/>
      <c r="W56" s="2" t="inlineStr"/>
      <c r="X56" s="2" t="n"/>
      <c r="Y56" s="2" t="n"/>
      <c r="Z56" s="2" t="n"/>
      <c r="AA56" s="2" t="inlineStr">
        <is>
          <t>Control</t>
        </is>
      </c>
      <c r="AB56" s="2" t="inlineStr">
        <is>
          <t>Control</t>
        </is>
      </c>
      <c r="AC56" s="2" t="n"/>
      <c r="AD56" s="2" t="n"/>
      <c r="AE56" s="2" t="n"/>
      <c r="AF56" s="2" t="n"/>
      <c r="AG56" s="2" t="inlineStr">
        <is>
          <t>Not even started</t>
        </is>
      </c>
      <c r="AH56" s="2" t="n"/>
      <c r="AI56" s="2" t="n"/>
      <c r="AJ56" s="2" t="n"/>
      <c r="AK56" s="2" t="n"/>
      <c r="AL56" s="2" t="inlineStr">
        <is>
          <t>Father is waiting to come to campus, will reach on 22nd july tomorrow</t>
        </is>
      </c>
      <c r="AM56" s="2" t="n"/>
      <c r="AN56" s="2" t="n"/>
      <c r="AO56" s="2" t="n"/>
      <c r="AP56" s="2" t="n"/>
      <c r="AQ56" s="2" t="n"/>
    </row>
    <row r="57">
      <c r="A57" t="n">
        <v>56</v>
      </c>
      <c r="B57" s="2" t="inlineStr">
        <is>
          <t>Rohan Kumar Rai</t>
        </is>
      </c>
      <c r="C57" s="3" t="n">
        <v>7002382047</v>
      </c>
      <c r="D57" s="2" t="inlineStr">
        <is>
          <t>PROV1000000453</t>
        </is>
      </c>
      <c r="E57" s="2" t="inlineStr">
        <is>
          <t>SSAHE</t>
        </is>
      </c>
      <c r="F57" s="2" t="inlineStr">
        <is>
          <t>Yes</t>
        </is>
      </c>
      <c r="G57" s="2" t="inlineStr">
        <is>
          <t xml:space="preserve">Non Critical </t>
        </is>
      </c>
      <c r="H57" s="2" t="n">
        <v>0.1</v>
      </c>
      <c r="I57" s="2" t="n">
        <v>10</v>
      </c>
      <c r="J57" s="2" t="n">
        <v>87</v>
      </c>
      <c r="K57" s="2" t="inlineStr">
        <is>
          <t>Father</t>
        </is>
      </c>
      <c r="L57" s="2" t="inlineStr">
        <is>
          <t>Salaried</t>
        </is>
      </c>
      <c r="M57" s="2" t="n">
        <v>7</v>
      </c>
      <c r="N57" s="2" t="inlineStr">
        <is>
          <t>Income Certificate</t>
        </is>
      </c>
      <c r="O57" s="2" t="inlineStr">
        <is>
          <t>Yes</t>
        </is>
      </c>
      <c r="P57" s="2" t="n">
        <v>750</v>
      </c>
      <c r="Q57" s="2" t="inlineStr">
        <is>
          <t>No</t>
        </is>
      </c>
      <c r="R57" s="2" t="inlineStr">
        <is>
          <t>NA</t>
        </is>
      </c>
      <c r="S57" s="2" t="inlineStr">
        <is>
          <t>Waiting for the bank to reach them out Need assitance from us</t>
        </is>
      </c>
      <c r="T57" s="2" t="inlineStr">
        <is>
          <t>12/7 : Student says he has not decided how he would pay the fees. Loan required : Not sure. He wanted to know the details of the loan which I have given. Have guided the student around loan ROI. He was asking when the fees has to be paid, i told him after the document verification 15 days is the time in which you have to pay the fees. 
21/7: Need loan from 2nd year</t>
        </is>
      </c>
      <c r="U57" s="2" t="inlineStr">
        <is>
          <t>No</t>
        </is>
      </c>
      <c r="V57" s="2" t="inlineStr"/>
      <c r="W57" s="2" t="inlineStr"/>
      <c r="X57" s="2" t="n"/>
      <c r="Y57" s="2" t="n"/>
      <c r="Z57" s="2" t="n"/>
      <c r="AA57" s="2" t="inlineStr">
        <is>
          <t>Not required</t>
        </is>
      </c>
      <c r="AB57" s="2" t="inlineStr">
        <is>
          <t>Not required</t>
        </is>
      </c>
      <c r="AC57" s="2" t="n"/>
      <c r="AD57" s="2" t="n"/>
      <c r="AE57" s="2" t="n"/>
      <c r="AF57" s="2" t="n"/>
      <c r="AG57" s="2" t="inlineStr">
        <is>
          <t>Not required</t>
        </is>
      </c>
      <c r="AH57" s="2" t="n"/>
      <c r="AI57" s="2" t="n"/>
      <c r="AJ57" s="2" t="n"/>
      <c r="AK57" s="2" t="n"/>
      <c r="AL57" s="2" t="n"/>
      <c r="AM57" s="2" t="n"/>
      <c r="AN57" s="2" t="n"/>
      <c r="AO57" s="2" t="n"/>
      <c r="AP57" s="2" t="n"/>
      <c r="AQ57" s="2" t="n"/>
    </row>
    <row r="58">
      <c r="A58" t="n">
        <v>57</v>
      </c>
      <c r="B58" s="2" t="inlineStr">
        <is>
          <t>Raj Ambolikar</t>
        </is>
      </c>
      <c r="C58" s="3" t="n">
        <v>8087388564</v>
      </c>
      <c r="D58" s="2" t="inlineStr">
        <is>
          <t>PROV260609029</t>
        </is>
      </c>
      <c r="E58" s="2" t="inlineStr">
        <is>
          <t>ADYPU</t>
        </is>
      </c>
      <c r="F58" s="2" t="inlineStr">
        <is>
          <t>Yes</t>
        </is>
      </c>
      <c r="G58" s="2" t="inlineStr">
        <is>
          <t xml:space="preserve">Non Critical </t>
        </is>
      </c>
      <c r="H58" s="2" t="n">
        <v>0</v>
      </c>
      <c r="I58" s="2" t="n">
        <v>20</v>
      </c>
      <c r="J58" s="2" t="n">
        <v>68</v>
      </c>
      <c r="K58" s="2" t="inlineStr">
        <is>
          <t>Father</t>
        </is>
      </c>
      <c r="L58" s="2" t="inlineStr">
        <is>
          <t>salaried</t>
        </is>
      </c>
      <c r="M58" s="2" t="n">
        <v>12</v>
      </c>
      <c r="N58" s="2" t="inlineStr">
        <is>
          <t>Salary Slip</t>
        </is>
      </c>
      <c r="O58" s="2" t="inlineStr">
        <is>
          <t>No</t>
        </is>
      </c>
      <c r="P58" s="2" t="inlineStr">
        <is>
          <t>750+</t>
        </is>
      </c>
      <c r="Q58" s="2" t="inlineStr">
        <is>
          <t>No</t>
        </is>
      </c>
      <c r="R58" s="2" t="inlineStr">
        <is>
          <t>NA</t>
        </is>
      </c>
      <c r="S58" s="2" t="inlineStr">
        <is>
          <t>Waiting for the bank to reach them out Need assitance from us</t>
        </is>
      </c>
      <c r="T58" s="2" t="inlineStr">
        <is>
          <t>13/7 : DNP
*15/7 : Student will give a call back when they are free
17/7: student will have someone talk from their family.
risk: seem hesistant to share any info.
28/7: Dont want loan</t>
        </is>
      </c>
      <c r="U58" s="2" t="inlineStr">
        <is>
          <t>No</t>
        </is>
      </c>
      <c r="V58" s="2" t="n"/>
      <c r="W58" s="2" t="n"/>
      <c r="X58" s="2" t="n"/>
      <c r="Y58" s="2" t="n"/>
      <c r="Z58" s="2" t="n"/>
      <c r="AA58" s="2" t="inlineStr">
        <is>
          <t>Not required</t>
        </is>
      </c>
      <c r="AB58" s="2" t="inlineStr">
        <is>
          <t>Not required</t>
        </is>
      </c>
      <c r="AC58" s="2" t="n"/>
      <c r="AD58" s="2" t="inlineStr">
        <is>
          <t xml:space="preserve">Need an intent check.
This student seemed disinterested in sharing any information. Need an intent check.
</t>
        </is>
      </c>
      <c r="AE58" s="2" t="n"/>
      <c r="AF58" s="2" t="n"/>
      <c r="AG58" s="2" t="inlineStr">
        <is>
          <t>Not required</t>
        </is>
      </c>
      <c r="AH58" s="2" t="n"/>
      <c r="AI58" s="2" t="n"/>
      <c r="AJ58" s="2" t="n"/>
      <c r="AK58" s="2" t="n"/>
      <c r="AL58" s="2" t="n"/>
      <c r="AM58" s="2" t="n"/>
      <c r="AN58" s="2" t="n"/>
      <c r="AO58" s="2" t="n"/>
      <c r="AP58" s="2" t="n"/>
      <c r="AQ58" s="2" t="n"/>
    </row>
    <row r="59">
      <c r="A59" t="n">
        <v>58</v>
      </c>
      <c r="B59" s="2" t="inlineStr">
        <is>
          <t>Sarthak Pharande</t>
        </is>
      </c>
      <c r="C59" s="3" t="n">
        <v>8208569611</v>
      </c>
      <c r="D59" s="2" t="inlineStr">
        <is>
          <t>PROV260501326</t>
        </is>
      </c>
      <c r="E59" s="2" t="inlineStr">
        <is>
          <t>ADYPU</t>
        </is>
      </c>
      <c r="F59" s="2" t="inlineStr">
        <is>
          <t>Yes</t>
        </is>
      </c>
      <c r="G59" s="2" t="inlineStr">
        <is>
          <t>Loan not required</t>
        </is>
      </c>
      <c r="H59" s="2" t="n">
        <v>0.1</v>
      </c>
      <c r="I59" s="2" t="n">
        <v>20</v>
      </c>
      <c r="J59" s="2" t="n">
        <v>63</v>
      </c>
      <c r="K59" s="2" t="inlineStr">
        <is>
          <t>Father</t>
        </is>
      </c>
      <c r="L59" s="2" t="inlineStr">
        <is>
          <t>salaried</t>
        </is>
      </c>
      <c r="M59" s="2" t="n">
        <v>7</v>
      </c>
      <c r="N59" s="2" t="inlineStr">
        <is>
          <t>Income Certificate</t>
        </is>
      </c>
      <c r="O59" s="2" t="inlineStr">
        <is>
          <t>No</t>
        </is>
      </c>
      <c r="P59" s="2" t="inlineStr">
        <is>
          <t>Good</t>
        </is>
      </c>
      <c r="Q59" s="2" t="inlineStr">
        <is>
          <t>No</t>
        </is>
      </c>
      <c r="R59" s="2" t="inlineStr">
        <is>
          <t>NA</t>
        </is>
      </c>
      <c r="S59" s="2" t="inlineStr">
        <is>
          <t>Waiting for the bank to reach them out Need assitance from us</t>
        </is>
      </c>
      <c r="T59" s="2" t="inlineStr">
        <is>
          <t>13/7 : DNP
17/7: Student said they dont need any assistance from us right  now.
Action: Based on income level a C+2 callback can be done.</t>
        </is>
      </c>
      <c r="U59" s="2" t="inlineStr">
        <is>
          <t>No</t>
        </is>
      </c>
      <c r="V59" s="2" t="n"/>
      <c r="W59" s="2" t="n"/>
      <c r="X59" s="2" t="n"/>
      <c r="Y59" s="2" t="n"/>
      <c r="Z59" s="2" t="n"/>
      <c r="AA59" s="2" t="inlineStr">
        <is>
          <t>Not required</t>
        </is>
      </c>
      <c r="AB59" s="2" t="inlineStr">
        <is>
          <t>Not required</t>
        </is>
      </c>
      <c r="AC59" s="2" t="n"/>
      <c r="AD59" s="2" t="n"/>
      <c r="AE59" s="2" t="n"/>
      <c r="AF59" s="2" t="n"/>
      <c r="AG59" s="2" t="inlineStr">
        <is>
          <t>Not required</t>
        </is>
      </c>
      <c r="AH59" s="2" t="n"/>
      <c r="AI59" s="2" t="n"/>
      <c r="AJ59" s="2" t="n"/>
      <c r="AK59" s="2" t="n"/>
      <c r="AL59" s="2" t="n"/>
      <c r="AM59" s="2" t="n"/>
      <c r="AN59" s="2" t="n"/>
      <c r="AO59" s="2" t="n"/>
      <c r="AP59" s="2" t="n"/>
      <c r="AQ59" s="2" t="n"/>
    </row>
    <row r="60">
      <c r="A60" t="n">
        <v>59</v>
      </c>
      <c r="B60" s="2" t="inlineStr">
        <is>
          <t>Sarthak Agarwal</t>
        </is>
      </c>
      <c r="C60" s="2" t="n"/>
      <c r="D60" s="2" t="inlineStr">
        <is>
          <t>PROV260611061</t>
        </is>
      </c>
      <c r="E60" s="2" t="inlineStr">
        <is>
          <t>ADYPU</t>
        </is>
      </c>
      <c r="F60" s="2" t="inlineStr">
        <is>
          <t>Yes</t>
        </is>
      </c>
      <c r="G60" s="2" t="inlineStr">
        <is>
          <t xml:space="preserve">Non Critical </t>
        </is>
      </c>
      <c r="H60" s="2" t="n">
        <v>0.2</v>
      </c>
      <c r="I60" s="2" t="n">
        <v>25</v>
      </c>
      <c r="J60" s="2" t="inlineStr">
        <is>
          <t>NA</t>
        </is>
      </c>
      <c r="K60" s="2" t="inlineStr">
        <is>
          <t>Mother</t>
        </is>
      </c>
      <c r="L60" s="2" t="inlineStr">
        <is>
          <t>salaried</t>
        </is>
      </c>
      <c r="M60" s="2" t="n">
        <v>10</v>
      </c>
      <c r="N60" s="2" t="inlineStr">
        <is>
          <t>Income Certificate</t>
        </is>
      </c>
      <c r="O60" s="2" t="inlineStr">
        <is>
          <t>Yes</t>
        </is>
      </c>
      <c r="P60" s="2" t="inlineStr">
        <is>
          <t>NA</t>
        </is>
      </c>
      <c r="Q60" s="2" t="inlineStr">
        <is>
          <t>No</t>
        </is>
      </c>
      <c r="R60" s="2" t="inlineStr">
        <is>
          <t>NA</t>
        </is>
      </c>
      <c r="S60" s="2" t="inlineStr">
        <is>
          <t>Waiting for the bank to reach them out Need assitance from us</t>
        </is>
      </c>
      <c r="T60" s="2" t="inlineStr">
        <is>
          <t>13/7 : Loan required : 25 Father : Unemployed Mother : DPS - teacher Co-applicant : Mother Salary : 10L/A Father number : 9810829998 - Rajeev Agarwal Student requested to call his father 
21/7: Already has 3 loans, wants sister to be co-applicant who will start job next month Has asked not to call before next week."</t>
        </is>
      </c>
      <c r="U60" s="2" t="inlineStr">
        <is>
          <t>Yes</t>
        </is>
      </c>
      <c r="V60" s="2" t="inlineStr">
        <is>
          <t>Yes</t>
        </is>
      </c>
      <c r="W60" s="2" t="inlineStr">
        <is>
          <t>Yes</t>
        </is>
      </c>
      <c r="X60" s="2" t="inlineStr">
        <is>
          <t>No</t>
        </is>
      </c>
      <c r="Y60" s="2" t="n"/>
      <c r="Z60" s="2" t="n"/>
      <c r="AA60" s="2" t="inlineStr">
        <is>
          <t>Control</t>
        </is>
      </c>
      <c r="AB60" s="2" t="inlineStr">
        <is>
          <t>Control</t>
        </is>
      </c>
      <c r="AC60" s="2" t="n"/>
      <c r="AD60" s="2" t="n"/>
      <c r="AE60" s="2" t="n"/>
      <c r="AF60" s="2" t="n"/>
      <c r="AG60" s="2" t="inlineStr">
        <is>
          <t>Not even started</t>
        </is>
      </c>
      <c r="AH60" s="2" t="n"/>
      <c r="AI60" s="2" t="n"/>
      <c r="AJ60" s="2" t="n"/>
      <c r="AK60" s="2" t="n"/>
      <c r="AL60" s="2" t="inlineStr">
        <is>
          <t xml:space="preserve"> Already has 3 loans, wants sister to be co-applicant who will start job next month
Will first ask bank fisrt</t>
        </is>
      </c>
      <c r="AM60" s="2" t="n"/>
      <c r="AN60" s="2" t="n"/>
      <c r="AO60" s="2" t="n"/>
      <c r="AP60" s="2" t="n"/>
      <c r="AQ60" s="2" t="n"/>
    </row>
    <row r="61">
      <c r="A61" t="n">
        <v>60</v>
      </c>
      <c r="B61" s="2" t="inlineStr">
        <is>
          <t>dhruv vaviya</t>
        </is>
      </c>
      <c r="C61" s="3" t="n">
        <v>9769631979</v>
      </c>
      <c r="D61" s="2" t="inlineStr">
        <is>
          <t>PROV260610532</t>
        </is>
      </c>
      <c r="E61" s="2" t="inlineStr">
        <is>
          <t>SSAHE</t>
        </is>
      </c>
      <c r="F61" s="2" t="inlineStr">
        <is>
          <t>Yes</t>
        </is>
      </c>
      <c r="G61" s="2" t="inlineStr">
        <is>
          <t xml:space="preserve">Non Critical </t>
        </is>
      </c>
      <c r="H61" s="2" t="n">
        <v>0.2</v>
      </c>
      <c r="I61" s="2" t="n">
        <v>25</v>
      </c>
      <c r="J61" s="2" t="n">
        <v>45.5</v>
      </c>
      <c r="K61" s="2" t="inlineStr">
        <is>
          <t>Self</t>
        </is>
      </c>
      <c r="L61" s="2" t="inlineStr">
        <is>
          <t>Salaried</t>
        </is>
      </c>
      <c r="M61" s="2" t="n">
        <v>4</v>
      </c>
      <c r="N61" s="2" t="inlineStr">
        <is>
          <t>Salary Slip</t>
        </is>
      </c>
      <c r="O61" s="2" t="inlineStr">
        <is>
          <t>Yes</t>
        </is>
      </c>
      <c r="P61" s="2" t="n">
        <v>750</v>
      </c>
      <c r="Q61" s="2" t="inlineStr">
        <is>
          <t>No</t>
        </is>
      </c>
      <c r="R61" s="2" t="inlineStr">
        <is>
          <t>NA</t>
        </is>
      </c>
      <c r="S61" s="2" t="inlineStr">
        <is>
          <t>Waiting for the bank to reach them out Need assitance from us</t>
        </is>
      </c>
      <c r="T61" s="2" t="inlineStr">
        <is>
          <t>13/7: Student is not sure whether he wants the loan or not. He says he wants to  know the last date of the payment. Have forwarded him to SST.
20/7: Looking for non collateral loan under 10%, seems difficult have shared with out partners.
31/7 : DNP</t>
        </is>
      </c>
      <c r="U61" s="2" t="inlineStr">
        <is>
          <t>Yes</t>
        </is>
      </c>
      <c r="V61" s="2" t="inlineStr"/>
      <c r="W61" s="2" t="inlineStr"/>
      <c r="X61" s="2" t="n"/>
      <c r="Y61" s="2" t="n"/>
      <c r="Z61" s="2" t="n"/>
      <c r="AA61" s="2" t="inlineStr">
        <is>
          <t>Risk</t>
        </is>
      </c>
      <c r="AB61" s="2" t="inlineStr">
        <is>
          <t>Risk</t>
        </is>
      </c>
      <c r="AC61" s="2" t="n"/>
      <c r="AD61" s="2" t="n"/>
      <c r="AE61" s="2" t="n"/>
      <c r="AF61" s="2" t="n"/>
      <c r="AG61" s="2" t="inlineStr">
        <is>
          <t>Ongoing</t>
        </is>
      </c>
      <c r="AH61" s="2" t="inlineStr">
        <is>
          <t>Processing by GyanDhan</t>
        </is>
      </c>
      <c r="AI61" s="2" t="n"/>
      <c r="AJ61" s="2" t="n"/>
      <c r="AK61" s="2" t="n"/>
      <c r="AL61" s="2" t="n"/>
      <c r="AM61" s="2" t="n"/>
      <c r="AN61" s="2" t="n"/>
      <c r="AO61" s="2" t="n"/>
      <c r="AP61" s="2" t="n"/>
      <c r="AQ61" s="2" t="n"/>
    </row>
    <row r="62">
      <c r="A62" t="n">
        <v>61</v>
      </c>
      <c r="B62" s="2" t="inlineStr">
        <is>
          <t>Sanjukta Kalita</t>
        </is>
      </c>
      <c r="C62" s="3" t="n">
        <v>9864256523</v>
      </c>
      <c r="D62" s="2" t="inlineStr">
        <is>
          <t>PROV1000000391</t>
        </is>
      </c>
      <c r="E62" s="2" t="inlineStr">
        <is>
          <t>SSAHE</t>
        </is>
      </c>
      <c r="F62" s="2" t="inlineStr">
        <is>
          <t>Yes</t>
        </is>
      </c>
      <c r="G62" s="2" t="inlineStr">
        <is>
          <t xml:space="preserve">Non Critical </t>
        </is>
      </c>
      <c r="H62" s="2" t="n">
        <v>0.3</v>
      </c>
      <c r="I62" s="2" t="n">
        <v>7.5</v>
      </c>
      <c r="J62" s="2" t="n">
        <v>93.2</v>
      </c>
      <c r="K62" s="2" t="inlineStr">
        <is>
          <t>Father</t>
        </is>
      </c>
      <c r="L62" s="2" t="inlineStr">
        <is>
          <t>Bussiness</t>
        </is>
      </c>
      <c r="M62" s="2" t="n">
        <v>1.5</v>
      </c>
      <c r="N62" s="2" t="inlineStr">
        <is>
          <t>EWS</t>
        </is>
      </c>
      <c r="O62" s="2" t="inlineStr">
        <is>
          <t>No</t>
        </is>
      </c>
      <c r="P62" s="2" t="inlineStr">
        <is>
          <t>NA</t>
        </is>
      </c>
      <c r="Q62" s="2" t="inlineStr">
        <is>
          <t>No</t>
        </is>
      </c>
      <c r="R62" s="2" t="inlineStr">
        <is>
          <t>NA</t>
        </is>
      </c>
      <c r="S62" s="2" t="inlineStr">
        <is>
          <t>Going to apply on PM Vidyalaskhmi portal Want the ,Not a critical case if she goes to pulic bank with PM vidyalaskhni</t>
        </is>
      </c>
      <c r="T62" s="2" t="inlineStr">
        <is>
          <t>11/7/26 : DNP
14/7/26 : Father's income : 1.5 L 
Father : Shop, Business 
Mother, : Homemaker 
Loan : 7.5L 
Already processed with uco, sbi and pnb from vidyalakshmi scheme
21/7: In process</t>
        </is>
      </c>
      <c r="U62" s="2" t="inlineStr">
        <is>
          <t>Yes</t>
        </is>
      </c>
      <c r="V62" s="2" t="inlineStr"/>
      <c r="W62" s="2" t="inlineStr"/>
      <c r="X62" s="2" t="n"/>
      <c r="Y62" s="2" t="n"/>
      <c r="Z62" s="2" t="n"/>
      <c r="AA62" s="2" t="inlineStr">
        <is>
          <t>Control</t>
        </is>
      </c>
      <c r="AB62" s="2" t="inlineStr">
        <is>
          <t>Control</t>
        </is>
      </c>
      <c r="AC62" s="2" t="n"/>
      <c r="AD62" s="2" t="n"/>
      <c r="AE62" s="2" t="n"/>
      <c r="AF62" s="2" t="n"/>
      <c r="AG62" s="2" t="inlineStr">
        <is>
          <t>Ongoing</t>
        </is>
      </c>
      <c r="AH62" s="2" t="inlineStr">
        <is>
          <t>Processing at other bank</t>
        </is>
      </c>
      <c r="AI62" s="2" t="n"/>
      <c r="AJ62" s="2" t="n"/>
      <c r="AK62" s="2" t="n"/>
      <c r="AL62" s="2" t="n"/>
      <c r="AM62" s="2" t="n"/>
      <c r="AN62" s="2" t="n"/>
      <c r="AO62" s="2" t="n"/>
      <c r="AP62" s="2" t="n"/>
      <c r="AQ62" s="2" t="n"/>
    </row>
    <row r="63">
      <c r="A63" t="n">
        <v>62</v>
      </c>
      <c r="B63" s="2" t="inlineStr">
        <is>
          <t>Hritik Nanda</t>
        </is>
      </c>
      <c r="C63" s="3" t="n">
        <v>9350583736</v>
      </c>
      <c r="D63" s="2" t="inlineStr">
        <is>
          <t>PROV260605465</t>
        </is>
      </c>
      <c r="E63" s="2" t="inlineStr">
        <is>
          <t>SSAHE</t>
        </is>
      </c>
      <c r="F63" s="2" t="inlineStr">
        <is>
          <t>Yes</t>
        </is>
      </c>
      <c r="G63" s="2" t="inlineStr">
        <is>
          <t xml:space="preserve">Non Critical </t>
        </is>
      </c>
      <c r="H63" s="2" t="n">
        <v>0.05</v>
      </c>
      <c r="I63" s="2" t="n">
        <v>6.5</v>
      </c>
      <c r="J63" s="2" t="n"/>
      <c r="K63" s="2" t="inlineStr">
        <is>
          <t>Father, Mother</t>
        </is>
      </c>
      <c r="L63" s="2" t="inlineStr">
        <is>
          <t>Rental Income, Salried</t>
        </is>
      </c>
      <c r="M63" s="2" t="n">
        <v>6</v>
      </c>
      <c r="N63" s="2" t="inlineStr">
        <is>
          <t>ITR</t>
        </is>
      </c>
      <c r="O63" s="2" t="n"/>
      <c r="P63" s="2" t="n"/>
      <c r="Q63" s="2" t="n"/>
      <c r="R63" s="2" t="n"/>
      <c r="S63" s="2" t="inlineStr">
        <is>
          <t>already getting the loan (hdfc bank - credilla)</t>
        </is>
      </c>
      <c r="T63" s="2" t="inlineStr">
        <is>
          <t>9/7/26 : Have shared the details with propeld , he requires the loan of 6.5Lakhs. Rental income : 84200. wouldnt be feasible for icici bank.
21/7: Disbursed</t>
        </is>
      </c>
      <c r="U63" s="2" t="inlineStr">
        <is>
          <t>Yes</t>
        </is>
      </c>
      <c r="V63" s="2" t="inlineStr">
        <is>
          <t>No</t>
        </is>
      </c>
      <c r="W63" s="2" t="inlineStr">
        <is>
          <t>Yes</t>
        </is>
      </c>
      <c r="X63" s="2" t="n"/>
      <c r="Y63" s="2" t="n"/>
      <c r="Z63" s="2" t="n"/>
      <c r="AA63" s="2" t="inlineStr">
        <is>
          <t>Control</t>
        </is>
      </c>
      <c r="AB63" s="2" t="inlineStr">
        <is>
          <t>Control</t>
        </is>
      </c>
      <c r="AC63" s="2" t="n"/>
      <c r="AD63" s="2" t="n"/>
      <c r="AE63" s="2" t="n"/>
      <c r="AF63" s="2" t="n"/>
      <c r="AG63" s="2" t="inlineStr">
        <is>
          <t>Disbursed</t>
        </is>
      </c>
      <c r="AH63" s="2" t="inlineStr">
        <is>
          <t>Disbursed</t>
        </is>
      </c>
      <c r="AI63" s="2" t="n"/>
      <c r="AJ63" s="2" t="n"/>
      <c r="AK63" s="2" t="n"/>
      <c r="AL63" s="2" t="n"/>
      <c r="AM63" s="2" t="n"/>
      <c r="AN63" s="2" t="n"/>
      <c r="AO63" s="2" t="n"/>
      <c r="AP63" s="2" t="n"/>
      <c r="AQ63" s="2" t="n"/>
    </row>
    <row r="64">
      <c r="A64" t="n">
        <v>63</v>
      </c>
      <c r="B64" s="2" t="inlineStr">
        <is>
          <t>Naman</t>
        </is>
      </c>
      <c r="C64" s="3" t="n">
        <v>8824685303</v>
      </c>
      <c r="D64" s="2" t="inlineStr">
        <is>
          <t>PROV1000000344</t>
        </is>
      </c>
      <c r="E64" s="2" t="inlineStr">
        <is>
          <t>SSAHE</t>
        </is>
      </c>
      <c r="F64" s="2" t="inlineStr">
        <is>
          <t>Drop</t>
        </is>
      </c>
      <c r="G64" s="2" t="inlineStr">
        <is>
          <t xml:space="preserve">Critical </t>
        </is>
      </c>
      <c r="H64" s="2" t="n">
        <v>0.6</v>
      </c>
      <c r="I64" s="2" t="n">
        <v>25</v>
      </c>
      <c r="J64" s="2" t="n">
        <v>0.9320000000000001</v>
      </c>
      <c r="K64" s="2" t="inlineStr">
        <is>
          <t>Father</t>
        </is>
      </c>
      <c r="L64" s="2" t="inlineStr">
        <is>
          <t>Salaried</t>
        </is>
      </c>
      <c r="M64" s="2" t="n">
        <v>2.4</v>
      </c>
      <c r="N64" s="2" t="inlineStr">
        <is>
          <t>ITR</t>
        </is>
      </c>
      <c r="O64" s="2" t="inlineStr">
        <is>
          <t>Yes</t>
        </is>
      </c>
      <c r="P64" s="2" t="inlineStr">
        <is>
          <t>NA</t>
        </is>
      </c>
      <c r="Q64" s="2" t="inlineStr">
        <is>
          <t>No</t>
        </is>
      </c>
      <c r="R64" s="2" t="inlineStr">
        <is>
          <t>NA</t>
        </is>
      </c>
      <c r="S64" s="2" t="inlineStr">
        <is>
          <t>Waiting for the bank to reach them out Need assitance from us</t>
        </is>
      </c>
      <c r="T64" s="2" t="inlineStr">
        <is>
          <t>9/7 : Spoke today, since the case was not clear yesterday, he has got 60% scholarship. 
Have shared the details to icici.
16/7: Student semmed distressed due to not getting loan and said might drop.
Working to ascertain the reason for the same.</t>
        </is>
      </c>
      <c r="U64" s="2" t="inlineStr">
        <is>
          <t>Refund</t>
        </is>
      </c>
      <c r="V64" s="2" t="inlineStr">
        <is>
          <t>Yes</t>
        </is>
      </c>
      <c r="W64" s="2" t="inlineStr">
        <is>
          <t>No</t>
        </is>
      </c>
      <c r="X64" s="2" t="n"/>
      <c r="Y64" s="2" t="n"/>
      <c r="Z64" s="2" t="inlineStr">
        <is>
          <t>Yes</t>
        </is>
      </c>
      <c r="AA64" s="2" t="inlineStr">
        <is>
          <t>Refund case</t>
        </is>
      </c>
      <c r="AB64" s="2" t="inlineStr">
        <is>
          <t>Refund case</t>
        </is>
      </c>
      <c r="AC64" s="2" t="n"/>
      <c r="AD64" s="2" t="n"/>
      <c r="AE64" s="2" t="n"/>
      <c r="AF64" s="2" t="n"/>
      <c r="AG64" s="2" t="inlineStr">
        <is>
          <t>Not required</t>
        </is>
      </c>
      <c r="AH64" s="2" t="n"/>
      <c r="AI64" s="2" t="n"/>
      <c r="AJ64" s="2" t="inlineStr">
        <is>
          <t>Yes</t>
        </is>
      </c>
      <c r="AK64" s="2" t="n"/>
      <c r="AL64" s="2" t="n"/>
      <c r="AM64" s="2" t="n"/>
      <c r="AN64" s="2" t="n"/>
      <c r="AO64" s="2" t="n"/>
      <c r="AP64" s="2" t="n"/>
      <c r="AQ64" s="2" t="n"/>
    </row>
    <row r="65">
      <c r="A65" t="n">
        <v>64</v>
      </c>
      <c r="B65" s="2" t="inlineStr">
        <is>
          <t>Sarvesh S M</t>
        </is>
      </c>
      <c r="C65" s="3" t="n">
        <v>9353659042</v>
      </c>
      <c r="D65" s="2" t="inlineStr">
        <is>
          <t>PROV260607627</t>
        </is>
      </c>
      <c r="E65" s="2" t="inlineStr">
        <is>
          <t>SSAHE</t>
        </is>
      </c>
      <c r="F65" s="2" t="inlineStr">
        <is>
          <t>Yes</t>
        </is>
      </c>
      <c r="G65" s="2" t="inlineStr">
        <is>
          <t xml:space="preserve">Critical </t>
        </is>
      </c>
      <c r="H65" s="2" t="n">
        <v>0.35</v>
      </c>
      <c r="I65" s="2" t="n">
        <v>18</v>
      </c>
      <c r="J65" s="2" t="n">
        <v>0.9399999999999999</v>
      </c>
      <c r="K65" s="2" t="inlineStr">
        <is>
          <t>Father</t>
        </is>
      </c>
      <c r="L65" s="2" t="inlineStr">
        <is>
          <t>Transportation Business</t>
        </is>
      </c>
      <c r="M65" s="2" t="n">
        <v>0.25</v>
      </c>
      <c r="N65" s="2" t="inlineStr">
        <is>
          <t>Income Certificate</t>
        </is>
      </c>
      <c r="O65" s="2" t="inlineStr">
        <is>
          <t>No</t>
        </is>
      </c>
      <c r="P65" s="2" t="n">
        <v>730</v>
      </c>
      <c r="Q65" s="2" t="inlineStr">
        <is>
          <t>No</t>
        </is>
      </c>
      <c r="R65" s="2" t="inlineStr">
        <is>
          <t>NA</t>
        </is>
      </c>
      <c r="S65" s="2" t="inlineStr">
        <is>
          <t>Student has been contacted by Propelled regarding the loan application.</t>
        </is>
      </c>
      <c r="T65" s="2" t="inlineStr">
        <is>
          <t>10/7 : Had a word with the student, ICICI has rejected the loan. Have shared his details to propelld. 
16/7 : ICICI and IDFC have rejected the loan, proplld has told to update by today evening, suggested gyandhan.
17/7 : Propelld has rejected his loan. low cibil going on through GyanDhan NBFC.
27/7 : Gyandhan would provide the loan to him ,is waiting on the state level exam results, which he has already provided. Moving this case from risk to control
28/8 : Loan approved from gyan dhan</t>
        </is>
      </c>
      <c r="U65" s="2" t="inlineStr">
        <is>
          <t>Yes</t>
        </is>
      </c>
      <c r="V65" s="2" t="inlineStr">
        <is>
          <t>Yes</t>
        </is>
      </c>
      <c r="W65" s="2" t="inlineStr">
        <is>
          <t>Yes</t>
        </is>
      </c>
      <c r="X65" s="2" t="n"/>
      <c r="Y65" s="2" t="n"/>
      <c r="Z65" s="2" t="n"/>
      <c r="AA65" s="2" t="inlineStr">
        <is>
          <t>Control</t>
        </is>
      </c>
      <c r="AB65" s="2" t="inlineStr">
        <is>
          <t>Control</t>
        </is>
      </c>
      <c r="AC65" s="2" t="n"/>
      <c r="AD65" s="2" t="n"/>
      <c r="AE65" s="2" t="n"/>
      <c r="AF65" s="2" t="n"/>
      <c r="AG65" s="2" t="inlineStr">
        <is>
          <t>Loan Proccessed/Accepted</t>
        </is>
      </c>
      <c r="AH65" s="2" t="inlineStr">
        <is>
          <t>Loan sanctioned by gyan dhan</t>
        </is>
      </c>
      <c r="AI65" s="2" t="inlineStr">
        <is>
          <t>No</t>
        </is>
      </c>
      <c r="AJ65" s="2" t="inlineStr">
        <is>
          <t>No</t>
        </is>
      </c>
      <c r="AK65" s="2" t="n"/>
      <c r="AL65" s="2" t="n"/>
      <c r="AM65" s="2" t="n"/>
      <c r="AN65" s="2" t="n"/>
      <c r="AO65" s="2" t="n"/>
      <c r="AP65" s="2" t="n"/>
      <c r="AQ65" s="2" t="n"/>
    </row>
    <row r="66">
      <c r="A66" t="n">
        <v>65</v>
      </c>
      <c r="B66" s="2" t="inlineStr">
        <is>
          <t>Gooty Mukthyaar</t>
        </is>
      </c>
      <c r="C66" s="3" t="n">
        <v>9481468696</v>
      </c>
      <c r="D66" s="2" t="inlineStr">
        <is>
          <t>PROV260613069</t>
        </is>
      </c>
      <c r="E66" s="2" t="inlineStr">
        <is>
          <t>SSAHE</t>
        </is>
      </c>
      <c r="F66" s="2" t="inlineStr">
        <is>
          <t>No</t>
        </is>
      </c>
      <c r="G66" s="2" t="inlineStr">
        <is>
          <t>Loan not required</t>
        </is>
      </c>
      <c r="H66" s="2" t="n">
        <v>0.2</v>
      </c>
      <c r="I66" s="2" t="n">
        <v>8</v>
      </c>
      <c r="J66" s="2" t="n">
        <v>0.88</v>
      </c>
      <c r="K66" s="2" t="inlineStr">
        <is>
          <t>Father</t>
        </is>
      </c>
      <c r="L66" s="2" t="inlineStr">
        <is>
          <t>PVT Employee</t>
        </is>
      </c>
      <c r="M66" s="2" t="n">
        <v>0.32</v>
      </c>
      <c r="N66" s="2" t="inlineStr">
        <is>
          <t>Income Certificate</t>
        </is>
      </c>
      <c r="O66" s="2" t="inlineStr">
        <is>
          <t>Yes</t>
        </is>
      </c>
      <c r="P66" s="2" t="n">
        <v>800</v>
      </c>
      <c r="Q66" s="2" t="inlineStr">
        <is>
          <t>No</t>
        </is>
      </c>
      <c r="R66" s="2" t="inlineStr">
        <is>
          <t>NA</t>
        </is>
      </c>
      <c r="S66" s="2" t="inlineStr">
        <is>
          <t>Student requires assistance with the education loan process.</t>
        </is>
      </c>
      <c r="T66" s="2" t="inlineStr">
        <is>
          <t>- 13/7 : Student took father on the call, as he was unaware of it. Had a word with student's father, Father mentioned they haven't recieved any call, want the loan of 8L. Father income &gt; 10L, ITr filed , Cbil : 800, sending it to icici for approval. Student's father is claiming AC Indu has mentioned him that the fees has to be paid till 24th of August, raised it with Sales team. 
16/7: DNR
21/7 : As per today, student is not planning to take any loan, he would take the loan in sem 3- sem 4</t>
        </is>
      </c>
      <c r="U66" s="2" t="inlineStr">
        <is>
          <t>No</t>
        </is>
      </c>
      <c r="V66" s="2" t="inlineStr">
        <is>
          <t>Yes</t>
        </is>
      </c>
      <c r="W66" s="2" t="inlineStr">
        <is>
          <t>No</t>
        </is>
      </c>
      <c r="X66" s="2" t="inlineStr">
        <is>
          <t xml:space="preserve">No </t>
        </is>
      </c>
      <c r="Y66" s="2" t="n"/>
      <c r="Z66" s="2" t="n"/>
      <c r="AA66" s="2" t="inlineStr">
        <is>
          <t>Not required</t>
        </is>
      </c>
      <c r="AB66" s="2" t="inlineStr">
        <is>
          <t>Not required</t>
        </is>
      </c>
      <c r="AC66" s="2" t="n"/>
      <c r="AD66" s="2" t="n"/>
      <c r="AE66" s="2" t="n"/>
      <c r="AF66" s="2" t="n"/>
      <c r="AG66" s="2" t="inlineStr">
        <is>
          <t>Not required</t>
        </is>
      </c>
      <c r="AH66" s="2" t="n"/>
      <c r="AI66" s="2" t="n"/>
      <c r="AJ66" s="2" t="inlineStr">
        <is>
          <t>No</t>
        </is>
      </c>
      <c r="AK66" s="2" t="n"/>
      <c r="AL66" s="2" t="n"/>
      <c r="AM66" s="2" t="n"/>
      <c r="AN66" s="2" t="n"/>
      <c r="AO66" s="2" t="n"/>
      <c r="AP66" s="2" t="n"/>
      <c r="AQ66" s="2" t="n"/>
    </row>
    <row r="67">
      <c r="A67" t="n">
        <v>66</v>
      </c>
      <c r="B67" s="2" t="inlineStr">
        <is>
          <t>HIMESH PADHAN</t>
        </is>
      </c>
      <c r="C67" s="3" t="n">
        <v>6370810692</v>
      </c>
      <c r="D67" s="2" t="inlineStr">
        <is>
          <t>PROV260506232</t>
        </is>
      </c>
      <c r="E67" s="2" t="inlineStr">
        <is>
          <t>ADYPU</t>
        </is>
      </c>
      <c r="F67" s="2" t="inlineStr">
        <is>
          <t>Yes</t>
        </is>
      </c>
      <c r="G67" s="2" t="inlineStr">
        <is>
          <t xml:space="preserve">Critical </t>
        </is>
      </c>
      <c r="H67" s="2" t="n">
        <v>0.125</v>
      </c>
      <c r="I67" s="2" t="n">
        <v>25</v>
      </c>
      <c r="J67" s="2" t="n">
        <v>59</v>
      </c>
      <c r="K67" s="2" t="inlineStr">
        <is>
          <t>Father</t>
        </is>
      </c>
      <c r="L67" s="2" t="inlineStr">
        <is>
          <t>Farmer</t>
        </is>
      </c>
      <c r="M67" s="2" t="n">
        <v>0.4</v>
      </c>
      <c r="N67" s="2" t="inlineStr">
        <is>
          <t>Income Certificate</t>
        </is>
      </c>
      <c r="O67" s="2" t="inlineStr">
        <is>
          <t>No</t>
        </is>
      </c>
      <c r="P67" s="2" t="inlineStr">
        <is>
          <t>NA</t>
        </is>
      </c>
      <c r="Q67" s="2" t="inlineStr">
        <is>
          <t>No</t>
        </is>
      </c>
      <c r="R67" s="2" t="inlineStr">
        <is>
          <t>NA</t>
        </is>
      </c>
      <c r="S67" s="2" t="inlineStr">
        <is>
          <t>Waiting for the bank to reach them out Need assitance from us</t>
        </is>
      </c>
      <c r="T67" s="2" t="inlineStr">
        <is>
          <t>10/7 : Student is ready to keep collateral for the loan. Have talked to icici bank for this
15/7 : Student got a call from icici, loan rejected from all places. 
16/7 : Have suggested the student to go to sbi home branch and make him talk to me
29/7: Father , PAN Aadhar has gone for correction</t>
        </is>
      </c>
      <c r="U67" s="2" t="inlineStr">
        <is>
          <t>Yes</t>
        </is>
      </c>
      <c r="V67" s="2" t="inlineStr">
        <is>
          <t>Yes</t>
        </is>
      </c>
      <c r="W67" s="2" t="inlineStr">
        <is>
          <t>Yes</t>
        </is>
      </c>
      <c r="X67" s="2" t="n"/>
      <c r="Y67" s="2" t="n"/>
      <c r="Z67" s="2" t="n"/>
      <c r="AA67" s="2" t="inlineStr">
        <is>
          <t>Risk</t>
        </is>
      </c>
      <c r="AB67" s="2" t="inlineStr">
        <is>
          <t>Risk</t>
        </is>
      </c>
      <c r="AC67" s="2" t="n"/>
      <c r="AD67" s="2" t="n"/>
      <c r="AE67" s="2" t="n"/>
      <c r="AF67" s="2" t="n"/>
      <c r="AG67" s="2" t="inlineStr">
        <is>
          <t>Ongoing</t>
        </is>
      </c>
      <c r="AH67" s="2" t="inlineStr">
        <is>
          <t>Processing by PM vidyalakshmi, Processing by GyanDhan</t>
        </is>
      </c>
      <c r="AI67" s="2" t="inlineStr">
        <is>
          <t>Yes</t>
        </is>
      </c>
      <c r="AJ67" s="2" t="inlineStr">
        <is>
          <t>Yes</t>
        </is>
      </c>
      <c r="AK67" s="2" t="inlineStr">
        <is>
          <t>Yes</t>
        </is>
      </c>
      <c r="AL67" s="2" t="n"/>
      <c r="AM67" s="2" t="n"/>
      <c r="AN67" s="2" t="n"/>
      <c r="AO67" s="2" t="n"/>
      <c r="AP67" s="2" t="n"/>
      <c r="AQ67" s="2" t="n"/>
    </row>
    <row r="68">
      <c r="A68" t="n">
        <v>67</v>
      </c>
      <c r="B68" s="2" t="inlineStr">
        <is>
          <t>Anand Pal</t>
        </is>
      </c>
      <c r="C68" s="3" t="n">
        <v>7705025068</v>
      </c>
      <c r="D68" s="2" t="inlineStr">
        <is>
          <t>PROV260502710</t>
        </is>
      </c>
      <c r="E68" s="2" t="inlineStr">
        <is>
          <t>SSAHE</t>
        </is>
      </c>
      <c r="F68" s="2" t="inlineStr">
        <is>
          <t>Yes</t>
        </is>
      </c>
      <c r="G68" s="2" t="inlineStr">
        <is>
          <t xml:space="preserve">Critical </t>
        </is>
      </c>
      <c r="H68" s="2" t="n">
        <v>0.1</v>
      </c>
      <c r="I68" s="2" t="n">
        <v>20</v>
      </c>
      <c r="J68" s="2" t="n">
        <v>0.6707</v>
      </c>
      <c r="K68" s="2" t="inlineStr">
        <is>
          <t>Father</t>
        </is>
      </c>
      <c r="L68" s="2" t="inlineStr">
        <is>
          <t>Farmer</t>
        </is>
      </c>
      <c r="M68" s="2" t="n">
        <v>0.48</v>
      </c>
      <c r="N68" s="2" t="inlineStr">
        <is>
          <t>old income certificate</t>
        </is>
      </c>
      <c r="O68" s="2" t="inlineStr">
        <is>
          <t>NA</t>
        </is>
      </c>
      <c r="P68" s="2" t="inlineStr">
        <is>
          <t>NA</t>
        </is>
      </c>
      <c r="Q68" s="2" t="inlineStr">
        <is>
          <t>No</t>
        </is>
      </c>
      <c r="R68" s="2" t="inlineStr">
        <is>
          <t>NA</t>
        </is>
      </c>
      <c r="S68" s="2" t="inlineStr">
        <is>
          <t>Student requires assistance with the education loan process.</t>
        </is>
      </c>
      <c r="T68" s="2" t="inlineStr">
        <is>
          <t xml:space="preserve">13/7 : Loan required : 18 L, father : farmer : Yearly income : 
16/7/26:Real Risk: Low income + no collateral, not comfortable with high EMI to be paid from day 1
20/7: Not wanting the high rate by Gyandhan , want public or private bank, thinking of canl.
23/7 : Annual Income : 4.5L , concerned about the high interest rate, have informed  
27/7 :  Family is not okay from NBFC , have suggested him from to go from PM vidyalakshmi, he has a agricultural land. 
</t>
        </is>
      </c>
      <c r="U68" s="2" t="inlineStr">
        <is>
          <t>Refund</t>
        </is>
      </c>
      <c r="V68" s="2" t="inlineStr">
        <is>
          <t>Yes</t>
        </is>
      </c>
      <c r="W68" s="2" t="inlineStr">
        <is>
          <t>Yes</t>
        </is>
      </c>
      <c r="X68" s="2" t="n"/>
      <c r="Y68" s="2" t="n"/>
      <c r="Z68" s="2" t="n"/>
      <c r="AA68" s="2" t="inlineStr">
        <is>
          <t>Refund case</t>
        </is>
      </c>
      <c r="AB68" s="2" t="inlineStr">
        <is>
          <t>Refund case</t>
        </is>
      </c>
      <c r="AC68" s="2" t="n"/>
      <c r="AD68" s="2" t="n"/>
      <c r="AE68" s="2" t="n"/>
      <c r="AF68" s="2" t="n"/>
      <c r="AG68" s="2" t="inlineStr">
        <is>
          <t>Not required</t>
        </is>
      </c>
      <c r="AH68" s="2" t="n"/>
      <c r="AI68" s="2" t="inlineStr">
        <is>
          <t>Yes</t>
        </is>
      </c>
      <c r="AJ68" s="2" t="inlineStr">
        <is>
          <t>No</t>
        </is>
      </c>
      <c r="AK68" s="2" t="inlineStr">
        <is>
          <t>Yes</t>
        </is>
      </c>
      <c r="AL68" s="2" t="n"/>
      <c r="AM68" s="2" t="n"/>
      <c r="AN68" s="2" t="n"/>
      <c r="AO68" s="2" t="n"/>
      <c r="AP68" s="2" t="n"/>
      <c r="AQ68" s="2" t="n"/>
    </row>
    <row r="69">
      <c r="A69" t="n">
        <v>68</v>
      </c>
      <c r="B69" s="2" t="inlineStr">
        <is>
          <t>HARSHIT VISHWKARMA</t>
        </is>
      </c>
      <c r="C69" s="3" t="n">
        <v>7617288784</v>
      </c>
      <c r="D69" s="2" t="inlineStr">
        <is>
          <t>PROV1000000337</t>
        </is>
      </c>
      <c r="E69" s="2" t="inlineStr">
        <is>
          <t>SSAHE</t>
        </is>
      </c>
      <c r="F69" s="2" t="inlineStr">
        <is>
          <t>Yes</t>
        </is>
      </c>
      <c r="G69" s="2" t="inlineStr">
        <is>
          <t xml:space="preserve">Non Critical </t>
        </is>
      </c>
      <c r="H69" s="2" t="n">
        <v>0.2</v>
      </c>
      <c r="I69" s="2" t="n">
        <v>8</v>
      </c>
      <c r="J69" s="2" t="n">
        <v>0.758</v>
      </c>
      <c r="K69" s="2" t="inlineStr">
        <is>
          <t>Mother</t>
        </is>
      </c>
      <c r="L69" s="2" t="inlineStr">
        <is>
          <t>Self Emloyed</t>
        </is>
      </c>
      <c r="M69" s="2" t="n">
        <v>0.6</v>
      </c>
      <c r="N69" s="2" t="inlineStr">
        <is>
          <t>Income Certificate</t>
        </is>
      </c>
      <c r="O69" s="2" t="inlineStr">
        <is>
          <t>No</t>
        </is>
      </c>
      <c r="P69" s="2" t="inlineStr">
        <is>
          <t>NA</t>
        </is>
      </c>
      <c r="Q69" s="2" t="inlineStr">
        <is>
          <t>No</t>
        </is>
      </c>
      <c r="R69" s="2" t="inlineStr">
        <is>
          <t>NA</t>
        </is>
      </c>
      <c r="S69" s="2" t="inlineStr">
        <is>
          <t>Student has not yet been contacted by ICICI Bank or Propelled. Follow-up required.</t>
        </is>
      </c>
      <c r="T69" s="2" t="inlineStr">
        <is>
          <t>DNP called at 1:52 pm today,
Called on 9th July : For the remaining amount, already have some savings. A loan of up to ₹8 lakh will be sufficient. He would like to apply under the PM Vidyalaxmi scheme. family's annual income is below ₹75,000</t>
        </is>
      </c>
      <c r="U69" s="2" t="inlineStr">
        <is>
          <t>No</t>
        </is>
      </c>
      <c r="V69" s="2" t="inlineStr">
        <is>
          <t>No</t>
        </is>
      </c>
      <c r="W69" s="2" t="inlineStr">
        <is>
          <t>No</t>
        </is>
      </c>
      <c r="X69" s="2" t="n"/>
      <c r="Y69" s="2" t="n"/>
      <c r="Z69" s="2" t="n"/>
      <c r="AA69" s="2" t="inlineStr">
        <is>
          <t>Not required</t>
        </is>
      </c>
      <c r="AB69" s="2" t="inlineStr">
        <is>
          <t>Not required</t>
        </is>
      </c>
      <c r="AC69" s="2" t="n"/>
      <c r="AD69" s="2" t="n"/>
      <c r="AE69" s="2" t="n"/>
      <c r="AF69" s="2" t="n"/>
      <c r="AG69" s="2" t="inlineStr">
        <is>
          <t>Not required</t>
        </is>
      </c>
      <c r="AH69" s="2" t="n"/>
      <c r="AI69" s="2" t="n"/>
      <c r="AJ69" s="2" t="inlineStr">
        <is>
          <t>No</t>
        </is>
      </c>
      <c r="AK69" s="2" t="n"/>
      <c r="AL69" s="2" t="n"/>
      <c r="AM69" s="2" t="n"/>
      <c r="AN69" s="2" t="n"/>
      <c r="AO69" s="2" t="n"/>
      <c r="AP69" s="2" t="n"/>
      <c r="AQ69" s="2" t="n"/>
    </row>
    <row r="70">
      <c r="A70" t="n">
        <v>69</v>
      </c>
      <c r="B70" s="2" t="inlineStr">
        <is>
          <t>Monika kushwaha</t>
        </is>
      </c>
      <c r="C70" s="3" t="n">
        <v>7225872182</v>
      </c>
      <c r="D70" s="2" t="inlineStr">
        <is>
          <t>PROV260502635</t>
        </is>
      </c>
      <c r="E70" s="2" t="inlineStr">
        <is>
          <t>SSAHE</t>
        </is>
      </c>
      <c r="F70" s="2" t="inlineStr">
        <is>
          <t>Yes</t>
        </is>
      </c>
      <c r="G70" s="2" t="inlineStr">
        <is>
          <t xml:space="preserve">Critical </t>
        </is>
      </c>
      <c r="H70" s="2" t="n">
        <v>0.225</v>
      </c>
      <c r="I70" s="2" t="n">
        <v>20</v>
      </c>
      <c r="J70" s="2" t="n">
        <v>0.856</v>
      </c>
      <c r="K70" s="2" t="inlineStr">
        <is>
          <t>Father</t>
        </is>
      </c>
      <c r="L70" s="2" t="inlineStr">
        <is>
          <t>Farmer</t>
        </is>
      </c>
      <c r="M70" s="2" t="n">
        <v>0.6</v>
      </c>
      <c r="N70" s="2" t="inlineStr">
        <is>
          <t>Income Certificate</t>
        </is>
      </c>
      <c r="O70" s="2" t="inlineStr">
        <is>
          <t>NA</t>
        </is>
      </c>
      <c r="P70" s="2" t="inlineStr">
        <is>
          <t>NA</t>
        </is>
      </c>
      <c r="Q70" s="2" t="inlineStr">
        <is>
          <t>No</t>
        </is>
      </c>
      <c r="R70" s="2" t="inlineStr">
        <is>
          <t>NA</t>
        </is>
      </c>
      <c r="S70" s="2" t="inlineStr">
        <is>
          <t>Student is currently not engaged with any lending institution for an education loan.</t>
        </is>
      </c>
      <c r="T70" s="2" t="inlineStr">
        <is>
          <t>Busy on another call : called at 1:53pm on 8th July.Have Provided friends number, original number : 6261696422. dnp. 
The information previously shared was correct.
16/7:DNP , 18/7 : Monika kushwaha 
Gangadeen kushwaha 
9243359684
gangadeen2009@gmail.com
9617192219
20 lack
No
60000
Gangadeen kushwaha
NE for any loan
29/7: Doc pending with Gyandhan</t>
        </is>
      </c>
      <c r="U70" s="2" t="inlineStr">
        <is>
          <t>Yes</t>
        </is>
      </c>
      <c r="V70" s="2" t="n"/>
      <c r="W70" s="2" t="n"/>
      <c r="X70" s="2" t="n"/>
      <c r="Y70" s="2" t="n"/>
      <c r="Z70" s="2" t="n"/>
      <c r="AA70" s="2" t="inlineStr">
        <is>
          <t>Risk</t>
        </is>
      </c>
      <c r="AB70" s="2" t="inlineStr">
        <is>
          <t>Risk</t>
        </is>
      </c>
      <c r="AC70" s="2" t="n"/>
      <c r="AD70" s="2" t="n"/>
      <c r="AE70" s="2" t="n"/>
      <c r="AF70" s="2" t="n"/>
      <c r="AG70" s="2" t="inlineStr">
        <is>
          <t>Ongoing</t>
        </is>
      </c>
      <c r="AH70" s="2" t="inlineStr">
        <is>
          <t>Processing by PM vidyalakshmi</t>
        </is>
      </c>
      <c r="AI70" s="2" t="inlineStr">
        <is>
          <t>Yes</t>
        </is>
      </c>
      <c r="AJ70" s="2" t="inlineStr">
        <is>
          <t>Yes</t>
        </is>
      </c>
      <c r="AK70" s="2" t="inlineStr">
        <is>
          <t>Yes</t>
        </is>
      </c>
      <c r="AL70" s="2" t="n"/>
      <c r="AM70" s="2" t="n"/>
      <c r="AN70" s="2" t="n"/>
      <c r="AO70" s="2" t="n"/>
      <c r="AP70" s="2" t="n"/>
      <c r="AQ70" s="2" t="n"/>
    </row>
    <row r="71">
      <c r="A71" t="n">
        <v>70</v>
      </c>
      <c r="B71" s="2" t="inlineStr">
        <is>
          <t>Mahadeb Sarkar</t>
        </is>
      </c>
      <c r="C71" s="3" t="n">
        <v>9800367685</v>
      </c>
      <c r="D71" s="2" t="inlineStr">
        <is>
          <t>PROV1000001218</t>
        </is>
      </c>
      <c r="E71" s="2" t="inlineStr">
        <is>
          <t>SSAHE</t>
        </is>
      </c>
      <c r="F71" s="2" t="inlineStr">
        <is>
          <t>Yes</t>
        </is>
      </c>
      <c r="G71" s="2" t="inlineStr">
        <is>
          <t xml:space="preserve">Critical </t>
        </is>
      </c>
      <c r="H71" s="2" t="n">
        <v>0.3</v>
      </c>
      <c r="I71" s="2" t="n">
        <v>25</v>
      </c>
      <c r="J71" s="2" t="n">
        <v>0.82</v>
      </c>
      <c r="K71" s="2" t="inlineStr">
        <is>
          <t>Brother</t>
        </is>
      </c>
      <c r="L71" s="2" t="inlineStr">
        <is>
          <t>Farmer</t>
        </is>
      </c>
      <c r="M71" s="2" t="n">
        <v>0.72</v>
      </c>
      <c r="N71" s="2" t="inlineStr">
        <is>
          <t>Income Certificate</t>
        </is>
      </c>
      <c r="O71" s="2" t="inlineStr">
        <is>
          <t>Yes</t>
        </is>
      </c>
      <c r="P71" s="2" t="n">
        <v>650</v>
      </c>
      <c r="Q71" s="2" t="inlineStr">
        <is>
          <t>No</t>
        </is>
      </c>
      <c r="R71" s="2" t="inlineStr">
        <is>
          <t>NA</t>
        </is>
      </c>
      <c r="S71" s="2" t="inlineStr">
        <is>
          <t>Student has received an initial call from ICICI Bank and is awaiting further communication to proceed.</t>
        </is>
      </c>
      <c r="T71" s="2" t="inlineStr">
        <is>
          <t>13/7 : Loan : Father's income : 3l/year. hostel fees will be managed by the student. Provided it to propelld but chances are low for the student. has shown 1L/ year as income but in real its 3L/year. Father is a farmer. There is no income proof , neither is the father employed anywhere. Total loan required : 14L
16/7: Going with WB SCCS, needs some documents from the university, to share with the bank.
28/7 : DNP, (Shilpa has to confirm the WBCCS , they have already mailed )</t>
        </is>
      </c>
      <c r="U71" s="2" t="inlineStr">
        <is>
          <t>Yes</t>
        </is>
      </c>
      <c r="V71" s="2" t="n"/>
      <c r="W71" s="2" t="n"/>
      <c r="X71" s="2" t="n"/>
      <c r="Y71" s="2" t="n"/>
      <c r="Z71" s="2" t="n"/>
      <c r="AA71" s="2" t="inlineStr">
        <is>
          <t>Risk</t>
        </is>
      </c>
      <c r="AB71" s="2" t="inlineStr">
        <is>
          <t>Risk</t>
        </is>
      </c>
      <c r="AC71" s="2" t="n"/>
      <c r="AD71" s="2" t="n"/>
      <c r="AE71" s="2" t="n"/>
      <c r="AF71" s="2" t="n"/>
      <c r="AG71" s="2" t="inlineStr">
        <is>
          <t>Ongoing</t>
        </is>
      </c>
      <c r="AH71" s="2" t="inlineStr">
        <is>
          <t>Processing at other bank</t>
        </is>
      </c>
      <c r="AI71" s="2" t="inlineStr">
        <is>
          <t>No</t>
        </is>
      </c>
      <c r="AJ71" s="2" t="inlineStr">
        <is>
          <t>No</t>
        </is>
      </c>
      <c r="AK71" s="2" t="n"/>
      <c r="AL71" s="2" t="n"/>
      <c r="AM71" s="2" t="n"/>
      <c r="AN71" s="2" t="n"/>
      <c r="AO71" s="2" t="n"/>
      <c r="AP71" s="2" t="n"/>
      <c r="AQ71" s="2" t="n"/>
    </row>
    <row r="72">
      <c r="A72" t="n">
        <v>71</v>
      </c>
      <c r="B72" s="2" t="inlineStr">
        <is>
          <t>Devasy Keshari</t>
        </is>
      </c>
      <c r="C72" s="3" t="n">
        <v>9120455276</v>
      </c>
      <c r="D72" s="2" t="inlineStr">
        <is>
          <t>PROV260603237</t>
        </is>
      </c>
      <c r="E72" s="2" t="inlineStr">
        <is>
          <t>SSAHE</t>
        </is>
      </c>
      <c r="F72" s="2" t="inlineStr">
        <is>
          <t>Yes</t>
        </is>
      </c>
      <c r="G72" s="2" t="inlineStr">
        <is>
          <t xml:space="preserve">Non Critical </t>
        </is>
      </c>
      <c r="H72" s="2" t="n">
        <v>0.125</v>
      </c>
      <c r="I72" s="2" t="n">
        <v>20</v>
      </c>
      <c r="J72" s="2" t="n">
        <v>0.764</v>
      </c>
      <c r="K72" s="2" t="inlineStr">
        <is>
          <t>Sister</t>
        </is>
      </c>
      <c r="L72" s="2" t="inlineStr">
        <is>
          <t>Business</t>
        </is>
      </c>
      <c r="M72" s="2" t="n">
        <v>0.72</v>
      </c>
      <c r="N72" s="2" t="inlineStr">
        <is>
          <t>Income Certificate</t>
        </is>
      </c>
      <c r="O72" s="2" t="inlineStr">
        <is>
          <t>No</t>
        </is>
      </c>
      <c r="P72" s="2" t="inlineStr">
        <is>
          <t>NA</t>
        </is>
      </c>
      <c r="Q72" s="2" t="inlineStr">
        <is>
          <t>No</t>
        </is>
      </c>
      <c r="R72" s="2" t="inlineStr">
        <is>
          <t>NA</t>
        </is>
      </c>
      <c r="S72" s="2" t="inlineStr">
        <is>
          <t>Student reports that no lending partner has contacted them. Follow-up required.</t>
        </is>
      </c>
      <c r="T72" s="2" t="inlineStr">
        <is>
          <t>DNP called on 13/7 at 5:53pm. 
14/7 : Student called back Loan required : 22L
Father's income : 5L, ITR filed : no
Father profession : Shop 
Co applicant : Uncle , jwellery shop 
21/7: Student rejected Poona &amp; Propell due to high int, have told to apply in public banks but less possibility.
22/7 : Student called wont be able to do interest every month, have suggested him to apply PM Vidyalakshmi 
30/7 : Collateral is there with mama, student went to bank for PM vidyalakshmi, manager has told that the 7.5L will be distributed within 4 years.  have told the student to make me talk to BM since he is not allowing mama to be coapplicant</t>
        </is>
      </c>
      <c r="U72" s="2" t="inlineStr">
        <is>
          <t>Yes</t>
        </is>
      </c>
      <c r="V72" s="2" t="n"/>
      <c r="W72" s="2" t="n"/>
      <c r="X72" s="2" t="n"/>
      <c r="Y72" s="2" t="n"/>
      <c r="Z72" s="2" t="inlineStr">
        <is>
          <t>Yes</t>
        </is>
      </c>
      <c r="AA72" s="2" t="inlineStr">
        <is>
          <t>Control</t>
        </is>
      </c>
      <c r="AB72" s="2" t="inlineStr">
        <is>
          <t>Control</t>
        </is>
      </c>
      <c r="AC72" s="2" t="n"/>
      <c r="AD72" s="2" t="n"/>
      <c r="AE72" s="2" t="n"/>
      <c r="AF72" s="2" t="n"/>
      <c r="AG72" s="2" t="inlineStr">
        <is>
          <t>Ongoing</t>
        </is>
      </c>
      <c r="AH72" s="2" t="inlineStr">
        <is>
          <t>Processing by PM vidyalakshmi</t>
        </is>
      </c>
      <c r="AI72" s="2" t="n"/>
      <c r="AJ72" s="2" t="inlineStr">
        <is>
          <t>No</t>
        </is>
      </c>
      <c r="AK72" s="2" t="inlineStr">
        <is>
          <t>Yes</t>
        </is>
      </c>
      <c r="AL72" s="2" t="n"/>
      <c r="AM72" s="2" t="n"/>
      <c r="AN72" s="2" t="n"/>
      <c r="AO72" s="2" t="n"/>
      <c r="AP72" s="2" t="n"/>
      <c r="AQ72" s="2" t="n"/>
    </row>
    <row r="73">
      <c r="A73" t="n">
        <v>72</v>
      </c>
      <c r="B73" s="2" t="inlineStr">
        <is>
          <t>Shubhashish Sharma</t>
        </is>
      </c>
      <c r="C73" s="3" t="n">
        <v>9009965351</v>
      </c>
      <c r="D73" s="2" t="inlineStr">
        <is>
          <t>PROV1000002099</t>
        </is>
      </c>
      <c r="E73" s="2" t="inlineStr">
        <is>
          <t>SSAHE</t>
        </is>
      </c>
      <c r="F73" s="2" t="inlineStr">
        <is>
          <t>Yes</t>
        </is>
      </c>
      <c r="G73" s="2" t="inlineStr">
        <is>
          <t xml:space="preserve">Critical </t>
        </is>
      </c>
      <c r="H73" s="2" t="n">
        <v>0.3</v>
      </c>
      <c r="I73" s="2" t="n">
        <v>25</v>
      </c>
      <c r="J73" s="2" t="n">
        <v>0.5600000000000001</v>
      </c>
      <c r="K73" s="2" t="inlineStr">
        <is>
          <t>Father</t>
        </is>
      </c>
      <c r="L73" s="2" t="inlineStr">
        <is>
          <t>Business</t>
        </is>
      </c>
      <c r="M73" s="2" t="n">
        <v>0.8</v>
      </c>
      <c r="N73" s="2" t="inlineStr">
        <is>
          <t>EWS</t>
        </is>
      </c>
      <c r="O73" s="2" t="inlineStr">
        <is>
          <t>No</t>
        </is>
      </c>
      <c r="P73" s="2" t="n">
        <v>740</v>
      </c>
      <c r="Q73" s="2" t="inlineStr">
        <is>
          <t>No</t>
        </is>
      </c>
      <c r="R73" s="2" t="inlineStr">
        <is>
          <t>NA</t>
        </is>
      </c>
      <c r="S73" s="2" t="inlineStr">
        <is>
          <t>Student has expressed preference for an education loan through ICICI Bank.</t>
        </is>
      </c>
      <c r="T73" s="2" t="inlineStr">
        <is>
          <t>14/7 : - Loan amount : 20L
- Father : Businessman 
- ITR : 4L
- Annual Income : 5L 
14/7 : Had a word with the Father , and have explained everything, shared the details to propelld
16/6: DNP
17/6: Have started the process, documents pending, NO ETA.
Action: Call checkback C+2.
23/7: DNP</t>
        </is>
      </c>
      <c r="U73" s="2" t="inlineStr">
        <is>
          <t>Yes</t>
        </is>
      </c>
      <c r="V73" s="2" t="inlineStr">
        <is>
          <t>Yes</t>
        </is>
      </c>
      <c r="W73" s="2" t="inlineStr">
        <is>
          <t>Yes</t>
        </is>
      </c>
      <c r="X73" s="2" t="n"/>
      <c r="Y73" s="2" t="n"/>
      <c r="Z73" s="2" t="n"/>
      <c r="AA73" s="2" t="inlineStr">
        <is>
          <t>Risk</t>
        </is>
      </c>
      <c r="AB73" s="2" t="inlineStr">
        <is>
          <t>Risk</t>
        </is>
      </c>
      <c r="AC73" s="2" t="n"/>
      <c r="AD73" s="2" t="inlineStr">
        <is>
          <t>Is DNP for a long time , not picking up banks' call also</t>
        </is>
      </c>
      <c r="AE73" s="2" t="n"/>
      <c r="AF73" s="2" t="inlineStr">
        <is>
          <t>Is active will pick up the next call</t>
        </is>
      </c>
      <c r="AG73" s="2" t="inlineStr">
        <is>
          <t>Ongoing</t>
        </is>
      </c>
      <c r="AH73" s="2" t="inlineStr">
        <is>
          <t>Processing at other bank</t>
        </is>
      </c>
      <c r="AI73" s="2" t="n"/>
      <c r="AJ73" s="2" t="inlineStr">
        <is>
          <t>No</t>
        </is>
      </c>
      <c r="AK73" s="2" t="n"/>
      <c r="AL73" s="2" t="n"/>
      <c r="AM73" s="2" t="n"/>
      <c r="AN73" s="2" t="n"/>
      <c r="AO73" s="2" t="n"/>
      <c r="AP73" s="2" t="n"/>
      <c r="AQ73" s="2" t="n"/>
    </row>
    <row r="74">
      <c r="A74" t="n">
        <v>73</v>
      </c>
      <c r="B74" s="2" t="inlineStr">
        <is>
          <t>Ansh Pratap Singh Tomar</t>
        </is>
      </c>
      <c r="C74" s="3" t="n">
        <v>9340910403</v>
      </c>
      <c r="D74" s="2" t="inlineStr">
        <is>
          <t>PROV1000000455</t>
        </is>
      </c>
      <c r="E74" s="2" t="inlineStr">
        <is>
          <t>SSAHE</t>
        </is>
      </c>
      <c r="F74" s="2" t="inlineStr">
        <is>
          <t>Yes</t>
        </is>
      </c>
      <c r="G74" s="2" t="inlineStr">
        <is>
          <t xml:space="preserve">Non Critical </t>
        </is>
      </c>
      <c r="H74" s="2" t="n">
        <v>0.2</v>
      </c>
      <c r="I74" s="2" t="n">
        <v>10</v>
      </c>
      <c r="J74" s="2" t="n">
        <v>0.78</v>
      </c>
      <c r="K74" s="2" t="inlineStr">
        <is>
          <t>Father</t>
        </is>
      </c>
      <c r="L74" s="2" t="inlineStr">
        <is>
          <t>Self Emloyed</t>
        </is>
      </c>
      <c r="M74" s="2" t="n">
        <v>0.9</v>
      </c>
      <c r="N74" s="2" t="inlineStr">
        <is>
          <t>Income Certificate</t>
        </is>
      </c>
      <c r="O74" s="2" t="inlineStr">
        <is>
          <t>No</t>
        </is>
      </c>
      <c r="P74" s="2" t="n">
        <v>750</v>
      </c>
      <c r="Q74" s="2" t="inlineStr">
        <is>
          <t>Yes</t>
        </is>
      </c>
      <c r="R74" s="2" t="inlineStr">
        <is>
          <t>plots</t>
        </is>
      </c>
      <c r="S74" s="2" t="inlineStr">
        <is>
          <t>Student is interested in the Central Subsidy Scheme and is awaiting communication from ICICI Bank.</t>
        </is>
      </c>
      <c r="T74" s="2" t="inlineStr">
        <is>
          <t>DNP called at 1:54 pm today || DNR 9/7 16:47
*15/7 - Student is exploring loan options through various routes , we have also shared leads (not 100% sure , will take loan or not(based on int))
28/7: Has given through SBI, asking for inc deadline</t>
        </is>
      </c>
      <c r="U74" s="2" t="inlineStr">
        <is>
          <t>Yes</t>
        </is>
      </c>
      <c r="V74" s="2" t="n"/>
      <c r="W74" s="2" t="n"/>
      <c r="X74" s="2" t="n"/>
      <c r="Y74" s="2" t="n"/>
      <c r="Z74" s="2" t="n"/>
      <c r="AA74" s="2" t="inlineStr">
        <is>
          <t>Control</t>
        </is>
      </c>
      <c r="AB74" s="2" t="inlineStr">
        <is>
          <t>Control</t>
        </is>
      </c>
      <c r="AC74" s="2" t="n"/>
      <c r="AD74" s="2" t="n"/>
      <c r="AE74" s="2" t="n"/>
      <c r="AF74" s="2" t="n"/>
      <c r="AG74" s="2" t="inlineStr">
        <is>
          <t>Ongoing</t>
        </is>
      </c>
      <c r="AH74" s="2" t="inlineStr">
        <is>
          <t>Processing at other bank</t>
        </is>
      </c>
      <c r="AI74" s="2" t="n"/>
      <c r="AJ74" s="2" t="n"/>
      <c r="AK74" s="2" t="n"/>
      <c r="AL74" s="2" t="inlineStr">
        <is>
          <t>Not sure, whether want loan or not</t>
        </is>
      </c>
      <c r="AM74" s="2" t="n"/>
      <c r="AN74" s="2" t="n"/>
      <c r="AO74" s="2" t="n"/>
      <c r="AP74" s="2" t="n"/>
      <c r="AQ74" s="2" t="n"/>
    </row>
    <row r="75">
      <c r="A75" t="n">
        <v>74</v>
      </c>
      <c r="B75" s="2" t="inlineStr">
        <is>
          <t>Saifulla Shaik</t>
        </is>
      </c>
      <c r="C75" s="3" t="n">
        <v>7331192674</v>
      </c>
      <c r="D75" s="2" t="inlineStr">
        <is>
          <t>PROV260607530</t>
        </is>
      </c>
      <c r="E75" s="2" t="inlineStr">
        <is>
          <t>SSAHE</t>
        </is>
      </c>
      <c r="F75" s="2" t="inlineStr">
        <is>
          <t>Yes</t>
        </is>
      </c>
      <c r="G75" s="2" t="inlineStr">
        <is>
          <t xml:space="preserve">Critical </t>
        </is>
      </c>
      <c r="H75" s="2" t="n">
        <v>0.25</v>
      </c>
      <c r="I75" s="2" t="n">
        <v>18</v>
      </c>
      <c r="J75" s="2" t="n">
        <v>0.952</v>
      </c>
      <c r="K75" s="2" t="inlineStr">
        <is>
          <t>Father</t>
        </is>
      </c>
      <c r="L75" s="2" t="inlineStr">
        <is>
          <t>Farmer</t>
        </is>
      </c>
      <c r="M75" s="2" t="n">
        <v>0.9</v>
      </c>
      <c r="N75" s="2" t="inlineStr">
        <is>
          <t>Income Certificate</t>
        </is>
      </c>
      <c r="O75" s="2" t="inlineStr">
        <is>
          <t>Yes</t>
        </is>
      </c>
      <c r="P75" s="2" t="inlineStr">
        <is>
          <t>NA</t>
        </is>
      </c>
      <c r="Q75" s="2" t="inlineStr">
        <is>
          <t>No</t>
        </is>
      </c>
      <c r="R75" s="2" t="inlineStr">
        <is>
          <t>NA</t>
        </is>
      </c>
      <c r="S75" s="2" t="inlineStr">
        <is>
          <t>Student reports that no communication has been received from any loan partner.</t>
        </is>
      </c>
      <c r="T75" s="2" t="inlineStr">
        <is>
          <t>- Student says uncle will come in 1 -2 week , and then he will decide. 
16/7: DNP
- 25//7 - Spoke to me today about PM Vidyalakshmi , have guided him and have also provided his number to Gyan Dhan for process.</t>
        </is>
      </c>
      <c r="U75" s="2" t="inlineStr">
        <is>
          <t>Yes</t>
        </is>
      </c>
      <c r="V75" s="2" t="n"/>
      <c r="W75" s="2" t="n"/>
      <c r="X75" s="2" t="n"/>
      <c r="Y75" s="2" t="n"/>
      <c r="Z75" s="2" t="n"/>
      <c r="AA75" s="2" t="inlineStr">
        <is>
          <t>Control</t>
        </is>
      </c>
      <c r="AB75" s="2" t="inlineStr">
        <is>
          <t>Control</t>
        </is>
      </c>
      <c r="AC75" s="2" t="n"/>
      <c r="AD75" s="2" t="n"/>
      <c r="AE75" s="2" t="n"/>
      <c r="AF75" s="2" t="n"/>
      <c r="AG75" s="2" t="inlineStr">
        <is>
          <t>Ongoing</t>
        </is>
      </c>
      <c r="AH75" s="2" t="inlineStr">
        <is>
          <t>Processing by GyanDhan, Processing by PM vidyalakshmi</t>
        </is>
      </c>
      <c r="AI75" s="2" t="n"/>
      <c r="AJ75" s="2" t="inlineStr">
        <is>
          <t>No</t>
        </is>
      </c>
      <c r="AK75" s="2" t="n"/>
      <c r="AL75" s="2" t="inlineStr">
        <is>
          <t>Not sure, whether want loan or not</t>
        </is>
      </c>
      <c r="AM75" s="2" t="n"/>
      <c r="AN75" s="2" t="n"/>
      <c r="AO75" s="2" t="n"/>
      <c r="AP75" s="2" t="n"/>
      <c r="AQ75" s="2" t="n"/>
    </row>
    <row r="76">
      <c r="A76" t="n">
        <v>75</v>
      </c>
      <c r="B76" s="2" t="inlineStr">
        <is>
          <t>Kaushal kumar</t>
        </is>
      </c>
      <c r="C76" s="3" t="n">
        <v>8210627860</v>
      </c>
      <c r="D76" s="2" t="inlineStr">
        <is>
          <t>PROV260503364</t>
        </is>
      </c>
      <c r="E76" s="2" t="inlineStr">
        <is>
          <t>SSAHE</t>
        </is>
      </c>
      <c r="F76" s="2" t="inlineStr">
        <is>
          <t>Yes</t>
        </is>
      </c>
      <c r="G76" s="2" t="inlineStr">
        <is>
          <t>Loan not required</t>
        </is>
      </c>
      <c r="H76" s="2" t="n">
        <v>0.125</v>
      </c>
      <c r="I76" s="2" t="n">
        <v>10</v>
      </c>
      <c r="J76" s="2" t="n">
        <v>0.6899999999999999</v>
      </c>
      <c r="K76" s="2" t="inlineStr">
        <is>
          <t>Brother</t>
        </is>
      </c>
      <c r="L76" s="2" t="inlineStr">
        <is>
          <t>LIC agent</t>
        </is>
      </c>
      <c r="M76" s="2" t="n">
        <v>0.9</v>
      </c>
      <c r="N76" s="2" t="inlineStr">
        <is>
          <t>OBC NCL</t>
        </is>
      </c>
      <c r="O76" s="2" t="inlineStr">
        <is>
          <t>NA</t>
        </is>
      </c>
      <c r="P76" s="2" t="inlineStr">
        <is>
          <t>NA</t>
        </is>
      </c>
      <c r="Q76" s="2" t="inlineStr">
        <is>
          <t>No</t>
        </is>
      </c>
      <c r="R76" s="2" t="inlineStr">
        <is>
          <t>NA</t>
        </is>
      </c>
      <c r="S76" s="2" t="inlineStr">
        <is>
          <t>Student requires assistance with the education loan process.</t>
        </is>
      </c>
      <c r="T76" s="2" t="inlineStr">
        <is>
          <t>15/7 : Called , student's number is switched off, sharing it to SST 
16/7: DNP
17/7:Do not require loan</t>
        </is>
      </c>
      <c r="U76" s="2" t="inlineStr">
        <is>
          <t>No</t>
        </is>
      </c>
      <c r="V76" s="2" t="n"/>
      <c r="W76" s="2" t="n"/>
      <c r="X76" s="2" t="n"/>
      <c r="Y76" s="2" t="n"/>
      <c r="Z76" s="2" t="n"/>
      <c r="AA76" s="2" t="inlineStr">
        <is>
          <t>Not required</t>
        </is>
      </c>
      <c r="AB76" s="2" t="inlineStr">
        <is>
          <t>Not required</t>
        </is>
      </c>
      <c r="AC76" s="2" t="n"/>
      <c r="AD76" s="2" t="n"/>
      <c r="AE76" s="2" t="n"/>
      <c r="AF76" s="2" t="n"/>
      <c r="AG76" s="2" t="inlineStr">
        <is>
          <t>Not required</t>
        </is>
      </c>
      <c r="AH76" s="2" t="n"/>
      <c r="AI76" s="2" t="n"/>
      <c r="AJ76" s="2" t="inlineStr">
        <is>
          <t>No</t>
        </is>
      </c>
      <c r="AK76" s="2" t="n"/>
      <c r="AL76" s="2" t="n"/>
      <c r="AM76" s="2" t="n"/>
      <c r="AN76" s="2" t="n"/>
      <c r="AO76" s="2" t="n"/>
      <c r="AP76" s="2" t="n"/>
      <c r="AQ76" s="2" t="n"/>
    </row>
    <row r="77">
      <c r="A77" t="n">
        <v>76</v>
      </c>
      <c r="B77" s="2" t="inlineStr">
        <is>
          <t>Md Kamran Shah</t>
        </is>
      </c>
      <c r="C77" s="3" t="n">
        <v>9304099240</v>
      </c>
      <c r="D77" s="2" t="inlineStr">
        <is>
          <t>PROV260501165</t>
        </is>
      </c>
      <c r="E77" s="2" t="inlineStr">
        <is>
          <t>SSAHE</t>
        </is>
      </c>
      <c r="F77" s="2" t="inlineStr">
        <is>
          <t>Yes</t>
        </is>
      </c>
      <c r="G77" s="2" t="inlineStr">
        <is>
          <t xml:space="preserve">Critical </t>
        </is>
      </c>
      <c r="H77" s="2" t="n">
        <v>0.2</v>
      </c>
      <c r="I77" s="2" t="n">
        <v>25</v>
      </c>
      <c r="J77" s="2" t="n">
        <v>0.714</v>
      </c>
      <c r="K77" s="2" t="inlineStr">
        <is>
          <t>Father</t>
        </is>
      </c>
      <c r="L77" s="2" t="inlineStr">
        <is>
          <t>Self Emloyed</t>
        </is>
      </c>
      <c r="M77" s="2" t="n">
        <v>0.95</v>
      </c>
      <c r="N77" s="2" t="inlineStr">
        <is>
          <t>Income certificate</t>
        </is>
      </c>
      <c r="O77" s="2" t="inlineStr">
        <is>
          <t>No</t>
        </is>
      </c>
      <c r="P77" s="2" t="inlineStr">
        <is>
          <t>NA</t>
        </is>
      </c>
      <c r="Q77" s="2" t="inlineStr">
        <is>
          <t>No</t>
        </is>
      </c>
      <c r="R77" s="2" t="inlineStr">
        <is>
          <t>NA</t>
        </is>
      </c>
      <c r="S77" s="2" t="inlineStr">
        <is>
          <t>Student has enquired about education loan options through Vijayalakshmi.</t>
        </is>
      </c>
      <c r="T77" s="2" t="inlineStr">
        <is>
          <t>PM vidyalakshmi scheme - Student has already filled the details reach out to them by today evening -8th July. 
9th July : DNP on the call done, call back received , he hasn't submitted it as he has got the notice that the institute that he is registering he wouldn't get the non collateral loan &gt; 7.5 Lakhs. Since he is from bihar , he can avail govt scholarship, will suggest him tomorrow
16/7 :- Student is wishing for PM Vidyalakshmi Scheme, (pending confirmation), have shared profile to NBFC partners(real risk)
23/7: Have talked to kamran he is waiting for the PM vidyalakshmi portal to be sorted out for SSHAE</t>
        </is>
      </c>
      <c r="U77" s="2" t="inlineStr">
        <is>
          <t>Yes</t>
        </is>
      </c>
      <c r="V77" s="2" t="n"/>
      <c r="W77" s="2" t="inlineStr">
        <is>
          <t>Yes</t>
        </is>
      </c>
      <c r="X77" s="2" t="n"/>
      <c r="Y77" s="2" t="n"/>
      <c r="Z77" s="2" t="inlineStr">
        <is>
          <t>Yes</t>
        </is>
      </c>
      <c r="AA77" s="2" t="inlineStr">
        <is>
          <t>Risk</t>
        </is>
      </c>
      <c r="AB77" s="2" t="inlineStr">
        <is>
          <t>Risk</t>
        </is>
      </c>
      <c r="AC77" s="2" t="n"/>
      <c r="AD77" s="2" t="n"/>
      <c r="AE77" s="2" t="n"/>
      <c r="AF77" s="2" t="n"/>
      <c r="AG77" s="2" t="inlineStr">
        <is>
          <t>Ongoing</t>
        </is>
      </c>
      <c r="AH77" s="2" t="inlineStr">
        <is>
          <t>Processing by Propelld, Processing by PM vidyalakshmi</t>
        </is>
      </c>
      <c r="AI77" s="2" t="inlineStr">
        <is>
          <t>Yes</t>
        </is>
      </c>
      <c r="AJ77" s="2" t="inlineStr">
        <is>
          <t>No</t>
        </is>
      </c>
      <c r="AK77" s="2" t="inlineStr">
        <is>
          <t>Yes</t>
        </is>
      </c>
      <c r="AL77" s="2" t="n"/>
      <c r="AM77" s="2" t="n"/>
      <c r="AN77" s="2" t="n"/>
      <c r="AO77" s="2" t="n"/>
      <c r="AP77" s="2" t="n"/>
      <c r="AQ77" s="2" t="n"/>
    </row>
    <row r="78">
      <c r="A78" t="n">
        <v>77</v>
      </c>
      <c r="B78" s="2" t="inlineStr">
        <is>
          <t>Md Adnan</t>
        </is>
      </c>
      <c r="C78" s="3" t="n">
        <v>8581979897</v>
      </c>
      <c r="D78" s="2" t="inlineStr">
        <is>
          <t>PROV260504282</t>
        </is>
      </c>
      <c r="E78" s="2" t="inlineStr">
        <is>
          <t>SSAHE</t>
        </is>
      </c>
      <c r="F78" s="2" t="inlineStr">
        <is>
          <t>Yes</t>
        </is>
      </c>
      <c r="G78" s="2" t="inlineStr">
        <is>
          <t xml:space="preserve">Critical </t>
        </is>
      </c>
      <c r="H78" s="2" t="n">
        <v>0.125</v>
      </c>
      <c r="I78" s="2" t="n">
        <v>22</v>
      </c>
      <c r="J78" s="2" t="inlineStr">
        <is>
          <t>NA</t>
        </is>
      </c>
      <c r="K78" s="2" t="inlineStr">
        <is>
          <t>Father</t>
        </is>
      </c>
      <c r="L78" s="2" t="inlineStr">
        <is>
          <t>Salaried</t>
        </is>
      </c>
      <c r="M78" s="2" t="n">
        <v>0.95</v>
      </c>
      <c r="N78" s="2" t="inlineStr">
        <is>
          <t>Income Certificate</t>
        </is>
      </c>
      <c r="O78" s="2" t="inlineStr">
        <is>
          <t>NA</t>
        </is>
      </c>
      <c r="P78" s="2" t="inlineStr">
        <is>
          <t>NA</t>
        </is>
      </c>
      <c r="Q78" s="2" t="inlineStr">
        <is>
          <t>No</t>
        </is>
      </c>
      <c r="R78" s="2" t="inlineStr">
        <is>
          <t>NA</t>
        </is>
      </c>
      <c r="S78" s="2" t="inlineStr">
        <is>
          <t>Student has indicated that they may opt for a refund if adequate loan assistance is not provided.</t>
        </is>
      </c>
      <c r="T78" s="2" t="inlineStr">
        <is>
          <t>14/7 : Loan required : 24L, has got a call from icici , brother's salary : 24k/monthly. Have sent to propelld, 
16/7: Student rejected propelld due to high int, want loan from ICICI , real risk.
(student wants loan but eligibility is lacking severly)
17/7 : have sent his details to icici today, his uncle will be the coapplicant now . 
23/7: Doc pending stage at propelld, 
27/7 : student called , had issues with Propelld since he doesnt have any coapplicant , his father is no more, so the case passing is difficult
29/7 : 10th Marks: 93.4%
12th Marks: 82.6%
JEE Marks : 95 percentile (137 marks)</t>
        </is>
      </c>
      <c r="U78" s="2" t="inlineStr">
        <is>
          <t>Yes</t>
        </is>
      </c>
      <c r="V78" s="2" t="inlineStr">
        <is>
          <t>Yes</t>
        </is>
      </c>
      <c r="W78" s="2" t="inlineStr">
        <is>
          <t>Yes</t>
        </is>
      </c>
      <c r="X78" s="2" t="n"/>
      <c r="Y78" s="2" t="n"/>
      <c r="Z78" s="2" t="inlineStr">
        <is>
          <t>Yes</t>
        </is>
      </c>
      <c r="AA78" s="2" t="inlineStr">
        <is>
          <t>Risk</t>
        </is>
      </c>
      <c r="AB78" s="2" t="inlineStr">
        <is>
          <t>Risk</t>
        </is>
      </c>
      <c r="AC78" s="2" t="n"/>
      <c r="AD78" s="2" t="n"/>
      <c r="AE78" s="2" t="n"/>
      <c r="AF78" s="2" t="n"/>
      <c r="AG78" s="2" t="inlineStr">
        <is>
          <t>Ongoing</t>
        </is>
      </c>
      <c r="AH78" s="2" t="inlineStr">
        <is>
          <t>Processing by Icici, Processing by GyanDhan</t>
        </is>
      </c>
      <c r="AI78" s="2" t="inlineStr">
        <is>
          <t>Yes</t>
        </is>
      </c>
      <c r="AJ78" s="2" t="n"/>
      <c r="AK78" s="2" t="inlineStr">
        <is>
          <t>Yes</t>
        </is>
      </c>
      <c r="AL78" s="2" t="n"/>
      <c r="AM78" s="2" t="n"/>
      <c r="AN78" s="2" t="n"/>
      <c r="AO78" s="2" t="n"/>
      <c r="AP78" s="2" t="n"/>
      <c r="AQ78" s="2" t="n"/>
    </row>
    <row r="79">
      <c r="A79" t="n">
        <v>78</v>
      </c>
      <c r="B79" s="2" t="inlineStr">
        <is>
          <t>Aashish Tiwari</t>
        </is>
      </c>
      <c r="C79" s="3" t="n">
        <v>9608154327</v>
      </c>
      <c r="D79" s="2" t="inlineStr">
        <is>
          <t>PROV260501984</t>
        </is>
      </c>
      <c r="E79" s="2" t="inlineStr">
        <is>
          <t>SSAHE</t>
        </is>
      </c>
      <c r="F79" s="2" t="inlineStr">
        <is>
          <t>Yes</t>
        </is>
      </c>
      <c r="G79" s="2" t="inlineStr">
        <is>
          <t xml:space="preserve">Critical </t>
        </is>
      </c>
      <c r="H79" s="2" t="n">
        <v>0.225</v>
      </c>
      <c r="I79" s="2" t="n">
        <v>7.5</v>
      </c>
      <c r="J79" s="2" t="n">
        <v>0.796</v>
      </c>
      <c r="K79" s="2" t="inlineStr">
        <is>
          <t>Father</t>
        </is>
      </c>
      <c r="L79" s="2" t="inlineStr">
        <is>
          <t>Farmer</t>
        </is>
      </c>
      <c r="M79" s="2" t="n">
        <v>0.96</v>
      </c>
      <c r="N79" s="2" t="inlineStr">
        <is>
          <t>EWS</t>
        </is>
      </c>
      <c r="O79" s="2" t="inlineStr">
        <is>
          <t>NA</t>
        </is>
      </c>
      <c r="P79" s="2" t="inlineStr">
        <is>
          <t>NA</t>
        </is>
      </c>
      <c r="Q79" s="2" t="inlineStr">
        <is>
          <t>No</t>
        </is>
      </c>
      <c r="R79" s="2" t="inlineStr">
        <is>
          <t>NA</t>
        </is>
      </c>
      <c r="S79" s="2" t="inlineStr">
        <is>
          <t>Student is in discussion with Bandhan Bank and requires assistance with a CSIS-supported education loan with collatera</t>
        </is>
      </c>
      <c r="T79" s="2" t="inlineStr">
        <is>
          <t>15/7 : Loan required : 20L
Father income : 5L, Income proof : No 
Low eligibility
16/7: Loan sanctioned by bank , disbursal by next week.</t>
        </is>
      </c>
      <c r="U79" s="2" t="inlineStr">
        <is>
          <t>Yes</t>
        </is>
      </c>
      <c r="V79" s="2" t="inlineStr">
        <is>
          <t xml:space="preserve">No </t>
        </is>
      </c>
      <c r="W79" s="2" t="inlineStr">
        <is>
          <t>yes</t>
        </is>
      </c>
      <c r="X79" s="2" t="inlineStr">
        <is>
          <t>yes</t>
        </is>
      </c>
      <c r="Y79" s="2" t="n"/>
      <c r="Z79" s="2" t="n"/>
      <c r="AA79" s="2" t="inlineStr">
        <is>
          <t>Control</t>
        </is>
      </c>
      <c r="AB79" s="2" t="inlineStr">
        <is>
          <t>Control</t>
        </is>
      </c>
      <c r="AC79" s="2" t="n"/>
      <c r="AD79" s="2" t="n"/>
      <c r="AE79" s="2" t="n"/>
      <c r="AF79" s="2" t="n"/>
      <c r="AG79" s="2" t="inlineStr">
        <is>
          <t>Loan Proccessed/Accepted</t>
        </is>
      </c>
      <c r="AH79" s="2" t="inlineStr">
        <is>
          <t>Loan sanctioned by other bank</t>
        </is>
      </c>
      <c r="AI79" s="2" t="n"/>
      <c r="AJ79" s="2" t="inlineStr">
        <is>
          <t>No</t>
        </is>
      </c>
      <c r="AK79" s="2" t="n"/>
      <c r="AL79" s="2" t="n"/>
      <c r="AM79" s="2" t="n"/>
      <c r="AN79" s="2" t="n"/>
      <c r="AO79" s="2" t="n"/>
      <c r="AP79" s="2" t="n"/>
      <c r="AQ79" s="2" t="n"/>
    </row>
    <row r="80">
      <c r="A80" t="n">
        <v>79</v>
      </c>
      <c r="B80" s="2" t="inlineStr">
        <is>
          <t>Tawheed Nazeer</t>
        </is>
      </c>
      <c r="C80" s="3" t="n">
        <v>8491900704</v>
      </c>
      <c r="D80" s="2" t="inlineStr">
        <is>
          <t>PROV1000000427</t>
        </is>
      </c>
      <c r="E80" s="2" t="inlineStr">
        <is>
          <t>SSAHE</t>
        </is>
      </c>
      <c r="F80" s="2" t="inlineStr">
        <is>
          <t>Yes</t>
        </is>
      </c>
      <c r="G80" s="2" t="inlineStr">
        <is>
          <t xml:space="preserve">Critical </t>
        </is>
      </c>
      <c r="H80" s="2" t="n">
        <v>0</v>
      </c>
      <c r="I80" s="2" t="n">
        <v>25</v>
      </c>
      <c r="J80" s="2" t="n">
        <v>0.768</v>
      </c>
      <c r="K80" s="2" t="inlineStr">
        <is>
          <t>Father</t>
        </is>
      </c>
      <c r="L80" s="2" t="inlineStr">
        <is>
          <t>Fruit Business</t>
        </is>
      </c>
      <c r="M80" s="2" t="n">
        <v>1</v>
      </c>
      <c r="N80" s="2" t="inlineStr">
        <is>
          <t>Income Certificate</t>
        </is>
      </c>
      <c r="O80" s="2" t="inlineStr">
        <is>
          <t>No</t>
        </is>
      </c>
      <c r="P80" s="2" t="inlineStr">
        <is>
          <t>NA</t>
        </is>
      </c>
      <c r="Q80" s="2" t="inlineStr">
        <is>
          <t>No</t>
        </is>
      </c>
      <c r="R80" s="2" t="inlineStr">
        <is>
          <t>NA</t>
        </is>
      </c>
      <c r="S80" s="2" t="inlineStr">
        <is>
          <t>Student is interested in an education loan; however, low CIBIL score is currently affecting eligibility.</t>
        </is>
      </c>
      <c r="T80" s="2" t="inlineStr">
        <is>
          <t xml:space="preserve">Brother's number : 9682379423 : Mudassir : He is ready to be coaplicant but banks have issues to provide loan in J&amp;K. He files the ITR of 5-6L, yearly income of 10Lakhs, he doesn't have the collateral
13/7 : Spoke to the student again, to check if he has got the call from icici, and he hasn't raised it with icici again. 
15/7 : Poonawala fincorp called them, have informed the student 
29/7: Docs pending with GD.
31/7 : Student is speaking with GD, student is also talking to the  loan from local bank and trying from there. </t>
        </is>
      </c>
      <c r="U80" s="2" t="inlineStr">
        <is>
          <t>Yes</t>
        </is>
      </c>
      <c r="V80" s="2" t="inlineStr">
        <is>
          <t>Yes</t>
        </is>
      </c>
      <c r="W80" s="2" t="inlineStr">
        <is>
          <t>No</t>
        </is>
      </c>
      <c r="X80" s="2" t="inlineStr">
        <is>
          <t>Yes</t>
        </is>
      </c>
      <c r="Y80" s="2" t="inlineStr">
        <is>
          <t>Yes</t>
        </is>
      </c>
      <c r="Z80" s="2" t="inlineStr">
        <is>
          <t>Yes</t>
        </is>
      </c>
      <c r="AA80" s="2" t="inlineStr">
        <is>
          <t>Risk</t>
        </is>
      </c>
      <c r="AB80" s="2" t="inlineStr">
        <is>
          <t>Risk</t>
        </is>
      </c>
      <c r="AC80" s="2" t="n"/>
      <c r="AD80" s="2" t="n"/>
      <c r="AE80" s="2" t="n"/>
      <c r="AF80" s="2" t="n"/>
      <c r="AG80" s="2" t="inlineStr">
        <is>
          <t>Rejected</t>
        </is>
      </c>
      <c r="AH80" s="2" t="inlineStr">
        <is>
          <t>Not eligbile for any loan</t>
        </is>
      </c>
      <c r="AI80" s="2" t="inlineStr">
        <is>
          <t>Yes</t>
        </is>
      </c>
      <c r="AJ80" s="2" t="inlineStr">
        <is>
          <t>No</t>
        </is>
      </c>
      <c r="AK80" s="2" t="n"/>
      <c r="AL80" s="2" t="n"/>
      <c r="AM80" s="2" t="n"/>
      <c r="AN80" s="2" t="n"/>
      <c r="AO80" s="2" t="n"/>
      <c r="AP80" s="2" t="n"/>
      <c r="AQ80" s="2" t="n"/>
    </row>
    <row r="81">
      <c r="A81" t="n">
        <v>80</v>
      </c>
      <c r="B81" s="2" t="inlineStr">
        <is>
          <t>Muhammad Shabaz khan</t>
        </is>
      </c>
      <c r="C81" s="3" t="n">
        <v>8989444746</v>
      </c>
      <c r="D81" s="2" t="inlineStr">
        <is>
          <t>PROV260503502</t>
        </is>
      </c>
      <c r="E81" s="2" t="inlineStr">
        <is>
          <t>SSAHE</t>
        </is>
      </c>
      <c r="F81" s="2" t="inlineStr">
        <is>
          <t>Yes</t>
        </is>
      </c>
      <c r="G81" s="2" t="inlineStr">
        <is>
          <t xml:space="preserve">Critical </t>
        </is>
      </c>
      <c r="H81" s="2" t="n">
        <v>0.075</v>
      </c>
      <c r="I81" s="2" t="n">
        <v>25</v>
      </c>
      <c r="J81" s="2" t="n">
        <v>0.606</v>
      </c>
      <c r="K81" s="2" t="inlineStr">
        <is>
          <t>Father</t>
        </is>
      </c>
      <c r="L81" s="2" t="inlineStr">
        <is>
          <t>Self Emloyed</t>
        </is>
      </c>
      <c r="M81" s="2" t="n">
        <v>1</v>
      </c>
      <c r="N81" s="2" t="inlineStr">
        <is>
          <t>Income Certificate</t>
        </is>
      </c>
      <c r="O81" s="2" t="inlineStr">
        <is>
          <t>No</t>
        </is>
      </c>
      <c r="P81" s="2" t="inlineStr">
        <is>
          <t>NA</t>
        </is>
      </c>
      <c r="Q81" s="2" t="inlineStr">
        <is>
          <t>No</t>
        </is>
      </c>
      <c r="R81" s="2" t="inlineStr">
        <is>
          <t>NA</t>
        </is>
      </c>
      <c r="S81" s="2" t="inlineStr">
        <is>
          <t>Student reports no communication from ICICI Bank or Propelled. Assistance required</t>
        </is>
      </c>
      <c r="T81" s="2" t="inlineStr">
        <is>
          <t>Mother's number : 7972584822 || Have passed on the details to icici
9/7/26 : ICICI had called the student and mother told they would be sharing the documents
16/7: Student will call later.
17/7: Mother said they are not getting loan locally, have dropped the leads.
Real risk: Mother highlights they dont have any means to fund the education.
Action: Check on the application status after c+2.
17/7 : Pranjal :  Yearly income : 1.5 Lakhs, own house. doesnt have registry of the house. Income tax filed : no
Have rejected his loan. 
23/7: DNP</t>
        </is>
      </c>
      <c r="U81" s="2" t="inlineStr">
        <is>
          <t>Yes</t>
        </is>
      </c>
      <c r="V81" s="2" t="n"/>
      <c r="W81" s="2" t="n"/>
      <c r="X81" s="2" t="n"/>
      <c r="Y81" s="2" t="n"/>
      <c r="Z81" s="2" t="n"/>
      <c r="AA81" s="2" t="inlineStr">
        <is>
          <t>Risk</t>
        </is>
      </c>
      <c r="AB81" s="2" t="inlineStr">
        <is>
          <t>Risk</t>
        </is>
      </c>
      <c r="AC81" s="2" t="n"/>
      <c r="AD81" s="2" t="n"/>
      <c r="AE81" s="2" t="n"/>
      <c r="AF81" s="2" t="n"/>
      <c r="AG81" s="2" t="inlineStr">
        <is>
          <t>Rejected</t>
        </is>
      </c>
      <c r="AH81" s="2" t="inlineStr">
        <is>
          <t>Not eligbile for any loan</t>
        </is>
      </c>
      <c r="AI81" s="2" t="inlineStr">
        <is>
          <t>Yes</t>
        </is>
      </c>
      <c r="AJ81" s="2" t="inlineStr">
        <is>
          <t>No</t>
        </is>
      </c>
      <c r="AK81" s="2" t="inlineStr">
        <is>
          <t>Yes</t>
        </is>
      </c>
      <c r="AL81" s="2" t="n"/>
      <c r="AM81" s="2" t="n"/>
      <c r="AN81" s="2" t="n"/>
      <c r="AO81" s="2" t="n"/>
      <c r="AP81" s="2" t="n"/>
      <c r="AQ81" s="2" t="n"/>
    </row>
    <row r="82">
      <c r="A82" t="n">
        <v>81</v>
      </c>
      <c r="B82" s="2" t="inlineStr">
        <is>
          <t>Rohit Kumar sharma</t>
        </is>
      </c>
      <c r="C82" s="3" t="n">
        <v>7645941951</v>
      </c>
      <c r="D82" s="2" t="inlineStr">
        <is>
          <t>PROV260600182</t>
        </is>
      </c>
      <c r="E82" s="2" t="inlineStr">
        <is>
          <t>SSAHE</t>
        </is>
      </c>
      <c r="F82" s="2" t="inlineStr">
        <is>
          <t>Yes</t>
        </is>
      </c>
      <c r="G82" s="2" t="inlineStr">
        <is>
          <t xml:space="preserve">Critical </t>
        </is>
      </c>
      <c r="H82" s="2" t="n">
        <v>0.075</v>
      </c>
      <c r="I82" s="2" t="n">
        <v>22</v>
      </c>
      <c r="J82" s="2" t="n">
        <v>0.68</v>
      </c>
      <c r="K82" s="2" t="inlineStr">
        <is>
          <t>Father</t>
        </is>
      </c>
      <c r="L82" s="2" t="inlineStr">
        <is>
          <t>Private Sector</t>
        </is>
      </c>
      <c r="M82" s="2" t="n">
        <v>1</v>
      </c>
      <c r="N82" s="2" t="inlineStr">
        <is>
          <t>Salary Slip</t>
        </is>
      </c>
      <c r="O82" s="2" t="inlineStr">
        <is>
          <t>No</t>
        </is>
      </c>
      <c r="P82" s="2" t="n">
        <v>750</v>
      </c>
      <c r="Q82" s="2" t="inlineStr">
        <is>
          <t>No</t>
        </is>
      </c>
      <c r="R82" s="2" t="inlineStr">
        <is>
          <t>NA</t>
        </is>
      </c>
      <c r="S82" s="2" t="inlineStr">
        <is>
          <t>Student reports that no communication has been received from any loan partner.</t>
        </is>
      </c>
      <c r="T82" s="2" t="inlineStr">
        <is>
          <t xml:space="preserve">15/7 : Student voice was too feeble to understand anything, have suggested to call me back . 
16/7 : 22L loan , father profession : Mechanic, Yearly income : 2.4L, 
23/7: Gyandhan rejected, as father not good enough for co applicant , no collateral, and processing for propelld but chances look slim
31/7: In credit review with PPL. </t>
        </is>
      </c>
      <c r="U82" s="2" t="inlineStr">
        <is>
          <t>Yes</t>
        </is>
      </c>
      <c r="V82" s="2" t="inlineStr">
        <is>
          <t>No</t>
        </is>
      </c>
      <c r="W82" s="2" t="inlineStr">
        <is>
          <t>No</t>
        </is>
      </c>
      <c r="X82" s="2" t="n"/>
      <c r="Y82" s="2" t="n"/>
      <c r="Z82" s="2" t="inlineStr">
        <is>
          <t>Yes</t>
        </is>
      </c>
      <c r="AA82" s="2" t="inlineStr">
        <is>
          <t>Risk</t>
        </is>
      </c>
      <c r="AB82" s="2" t="inlineStr">
        <is>
          <t>Risk</t>
        </is>
      </c>
      <c r="AC82" s="2" t="n"/>
      <c r="AD82" s="2" t="n"/>
      <c r="AE82" s="2" t="n"/>
      <c r="AF82" s="2" t="n"/>
      <c r="AG82" s="2" t="inlineStr">
        <is>
          <t>Ongoing</t>
        </is>
      </c>
      <c r="AH82" s="2" t="inlineStr">
        <is>
          <t>Processing by Propelld</t>
        </is>
      </c>
      <c r="AI82" s="2" t="inlineStr">
        <is>
          <t>Yes</t>
        </is>
      </c>
      <c r="AJ82" s="2" t="inlineStr">
        <is>
          <t>Yes</t>
        </is>
      </c>
      <c r="AK82" s="2" t="n"/>
      <c r="AL82" s="2" t="n"/>
      <c r="AM82" s="2" t="n"/>
      <c r="AN82" s="2" t="n"/>
      <c r="AO82" s="2" t="n"/>
      <c r="AP82" s="2" t="n"/>
      <c r="AQ82" s="2" t="n"/>
    </row>
    <row r="83">
      <c r="A83" t="n">
        <v>82</v>
      </c>
      <c r="B83" s="2" t="inlineStr">
        <is>
          <t>Suhani Dhanaji Mahingade</t>
        </is>
      </c>
      <c r="C83" s="3" t="n">
        <v>9822116094</v>
      </c>
      <c r="D83" s="2" t="inlineStr">
        <is>
          <t>PROV260501685</t>
        </is>
      </c>
      <c r="E83" s="2" t="inlineStr">
        <is>
          <t>SSAHE</t>
        </is>
      </c>
      <c r="F83" s="2" t="inlineStr">
        <is>
          <t>No</t>
        </is>
      </c>
      <c r="G83" s="2" t="inlineStr">
        <is>
          <t>Loan not required</t>
        </is>
      </c>
      <c r="H83" s="2" t="n">
        <v>0.205</v>
      </c>
      <c r="I83" s="2" t="n">
        <v>25</v>
      </c>
      <c r="J83" s="2" t="n">
        <v>76.83</v>
      </c>
      <c r="K83" s="2" t="inlineStr">
        <is>
          <t>Father</t>
        </is>
      </c>
      <c r="L83" s="2" t="inlineStr">
        <is>
          <t>Farmer</t>
        </is>
      </c>
      <c r="M83" s="2" t="n">
        <v>1</v>
      </c>
      <c r="N83" s="2" t="inlineStr">
        <is>
          <t>Income Certificate</t>
        </is>
      </c>
      <c r="O83" s="2" t="inlineStr">
        <is>
          <t>NA</t>
        </is>
      </c>
      <c r="P83" s="2" t="inlineStr">
        <is>
          <t>NA</t>
        </is>
      </c>
      <c r="Q83" s="2" t="inlineStr">
        <is>
          <t>No</t>
        </is>
      </c>
      <c r="R83" s="2" t="inlineStr">
        <is>
          <t>NA</t>
        </is>
      </c>
      <c r="S83" s="2" t="inlineStr">
        <is>
          <t>Student has received a call from ICICI Bank regarding the loan application.</t>
        </is>
      </c>
      <c r="T83" s="2" t="inlineStr">
        <is>
          <t>15/7 : dnp, have shared with SST 
Loan not required for 1st year , wants it from the second year</t>
        </is>
      </c>
      <c r="U83" s="2" t="inlineStr">
        <is>
          <t>No</t>
        </is>
      </c>
      <c r="V83" s="2" t="n"/>
      <c r="W83" s="2" t="n"/>
      <c r="X83" s="2" t="n"/>
      <c r="Y83" s="2" t="n"/>
      <c r="Z83" s="2" t="n"/>
      <c r="AA83" s="2" t="inlineStr">
        <is>
          <t>Not required</t>
        </is>
      </c>
      <c r="AB83" s="2" t="inlineStr">
        <is>
          <t>Not required</t>
        </is>
      </c>
      <c r="AC83" s="2" t="n"/>
      <c r="AD83" s="2" t="n"/>
      <c r="AE83" s="2" t="n"/>
      <c r="AF83" s="2" t="n"/>
      <c r="AG83" s="2" t="inlineStr">
        <is>
          <t>Not required</t>
        </is>
      </c>
      <c r="AH83" s="2" t="n"/>
      <c r="AI83" s="2" t="n"/>
      <c r="AJ83" s="2" t="n"/>
      <c r="AK83" s="2" t="n"/>
      <c r="AL83" s="2" t="n"/>
      <c r="AM83" s="2" t="n"/>
      <c r="AN83" s="2" t="n"/>
      <c r="AO83" s="2" t="n"/>
      <c r="AP83" s="2" t="n"/>
      <c r="AQ83" s="2" t="n"/>
    </row>
    <row r="84">
      <c r="A84" t="n">
        <v>83</v>
      </c>
      <c r="B84" s="2" t="inlineStr">
        <is>
          <t>Nitesh Kumar</t>
        </is>
      </c>
      <c r="C84" s="3" t="n">
        <v>6202467610</v>
      </c>
      <c r="D84" s="2" t="inlineStr">
        <is>
          <t>PROV1000000433</t>
        </is>
      </c>
      <c r="E84" s="2" t="inlineStr">
        <is>
          <t>SSAHE</t>
        </is>
      </c>
      <c r="F84" s="2" t="inlineStr">
        <is>
          <t>Yes</t>
        </is>
      </c>
      <c r="G84" s="2" t="inlineStr">
        <is>
          <t xml:space="preserve">Non Critical </t>
        </is>
      </c>
      <c r="H84" s="2" t="n">
        <v>0.075</v>
      </c>
      <c r="I84" s="2" t="n">
        <v>20</v>
      </c>
      <c r="J84" s="2" t="n">
        <v>0.8</v>
      </c>
      <c r="K84" s="2" t="inlineStr">
        <is>
          <t>Father</t>
        </is>
      </c>
      <c r="L84" s="2" t="inlineStr">
        <is>
          <t>Bussiness</t>
        </is>
      </c>
      <c r="M84" s="2" t="n">
        <v>1.2</v>
      </c>
      <c r="N84" s="2" t="inlineStr">
        <is>
          <t>Income Certificate</t>
        </is>
      </c>
      <c r="O84" s="2" t="inlineStr">
        <is>
          <t>No</t>
        </is>
      </c>
      <c r="P84" s="2" t="inlineStr">
        <is>
          <t>NA</t>
        </is>
      </c>
      <c r="Q84" s="2" t="inlineStr">
        <is>
          <t>NA</t>
        </is>
      </c>
      <c r="R84" s="2" t="inlineStr">
        <is>
          <t>NA</t>
        </is>
      </c>
      <c r="S84" s="2" t="inlineStr">
        <is>
          <t>Student requires assistance with the education loan process.</t>
        </is>
      </c>
      <c r="T84" s="2" t="inlineStr">
        <is>
          <t>DNP || 1st year will be paid by the student || He would be requiring loan for the second year.</t>
        </is>
      </c>
      <c r="U84" s="2" t="inlineStr">
        <is>
          <t>No</t>
        </is>
      </c>
      <c r="V84" s="2" t="n"/>
      <c r="W84" s="2" t="n"/>
      <c r="X84" s="2" t="n"/>
      <c r="Y84" s="2" t="n"/>
      <c r="Z84" s="2" t="n"/>
      <c r="AA84" s="2" t="inlineStr">
        <is>
          <t>Not required</t>
        </is>
      </c>
      <c r="AB84" s="2" t="inlineStr">
        <is>
          <t>Not required</t>
        </is>
      </c>
      <c r="AC84" s="2" t="n"/>
      <c r="AD84" s="2" t="n"/>
      <c r="AE84" s="2" t="n"/>
      <c r="AF84" s="2" t="n"/>
      <c r="AG84" s="2" t="inlineStr">
        <is>
          <t>Not required</t>
        </is>
      </c>
      <c r="AH84" s="2" t="n"/>
      <c r="AI84" s="2" t="n"/>
      <c r="AJ84" s="2" t="inlineStr">
        <is>
          <t>No</t>
        </is>
      </c>
      <c r="AK84" s="2" t="n"/>
      <c r="AL84" s="2" t="n"/>
      <c r="AM84" s="2" t="n"/>
      <c r="AN84" s="2" t="n"/>
      <c r="AO84" s="2" t="n"/>
      <c r="AP84" s="2" t="n"/>
      <c r="AQ84" s="2" t="n"/>
    </row>
    <row r="85">
      <c r="A85" t="n">
        <v>84</v>
      </c>
      <c r="B85" s="2" t="inlineStr">
        <is>
          <t>Manas Santosh Thikekar</t>
        </is>
      </c>
      <c r="C85" s="3" t="n">
        <v>7058860840</v>
      </c>
      <c r="D85" s="2" t="inlineStr">
        <is>
          <t>PROV260602512</t>
        </is>
      </c>
      <c r="E85" s="2" t="inlineStr">
        <is>
          <t>ADYPU</t>
        </is>
      </c>
      <c r="F85" s="2" t="inlineStr">
        <is>
          <t>Yes</t>
        </is>
      </c>
      <c r="G85" s="2" t="inlineStr">
        <is>
          <t xml:space="preserve">Critical </t>
        </is>
      </c>
      <c r="H85" s="2" t="n">
        <v>0.075</v>
      </c>
      <c r="I85" s="2" t="n">
        <v>20</v>
      </c>
      <c r="J85" s="2" t="n">
        <v>83</v>
      </c>
      <c r="K85" s="2" t="inlineStr">
        <is>
          <t>Brother</t>
        </is>
      </c>
      <c r="L85" s="2" t="inlineStr">
        <is>
          <t>Farmer</t>
        </is>
      </c>
      <c r="M85" s="2" t="n">
        <v>0.6</v>
      </c>
      <c r="N85" s="2" t="inlineStr">
        <is>
          <t>Income Certificate</t>
        </is>
      </c>
      <c r="O85" s="2" t="inlineStr">
        <is>
          <t>No</t>
        </is>
      </c>
      <c r="P85" s="2" t="inlineStr">
        <is>
          <t>NA</t>
        </is>
      </c>
      <c r="Q85" s="2" t="inlineStr">
        <is>
          <t>No</t>
        </is>
      </c>
      <c r="R85" s="2" t="inlineStr">
        <is>
          <t>NA</t>
        </is>
      </c>
      <c r="S85" s="2" t="inlineStr">
        <is>
          <t>Waiting for the bank to reach them out Need assitance from us</t>
        </is>
      </c>
      <c r="T85" s="2" t="inlineStr">
        <is>
          <t>7 lakh from SBI, BOB and Union Bank,  Agricultural Land works as a colletral , BOB said that ADYPU is not on BOB List , no more income above it. 
Second update (10/7/26) : BOB would be ready to give 25 lakhs , but would require ADYPU to be listed on BOB list
15/7 : Third update : Student called again for BOB
28/7 : DNP || Student called back, 7.5L , student is taking , non collateral education loan, after education. emi has to be paid+ Gold loan they'll be taking, student is also trying private scholarship. Student went to the bank yesterday for 7.5L from BOB and submitted his documents. Moving from Risk to control.</t>
        </is>
      </c>
      <c r="U85" s="2" t="inlineStr">
        <is>
          <t>Yes</t>
        </is>
      </c>
      <c r="V85" s="2" t="inlineStr">
        <is>
          <t xml:space="preserve">NO </t>
        </is>
      </c>
      <c r="W85" s="2" t="inlineStr">
        <is>
          <t xml:space="preserve">NO </t>
        </is>
      </c>
      <c r="X85" s="2" t="inlineStr">
        <is>
          <t xml:space="preserve">NO </t>
        </is>
      </c>
      <c r="Y85" s="2" t="inlineStr">
        <is>
          <t xml:space="preserve">NO </t>
        </is>
      </c>
      <c r="Z85" s="2" t="inlineStr">
        <is>
          <t xml:space="preserve">NO </t>
        </is>
      </c>
      <c r="AA85" s="2" t="inlineStr">
        <is>
          <t>Control</t>
        </is>
      </c>
      <c r="AB85" s="2" t="inlineStr">
        <is>
          <t>Control</t>
        </is>
      </c>
      <c r="AC85" s="2" t="n"/>
      <c r="AD85" s="2" t="n"/>
      <c r="AE85" s="2" t="n"/>
      <c r="AF85" s="2" t="n"/>
      <c r="AG85" s="2" t="inlineStr">
        <is>
          <t>Ongoing</t>
        </is>
      </c>
      <c r="AH85" s="2" t="inlineStr">
        <is>
          <t>Processing at other bank</t>
        </is>
      </c>
      <c r="AI85" s="2" t="n"/>
      <c r="AJ85" s="2" t="inlineStr">
        <is>
          <t>Yes</t>
        </is>
      </c>
      <c r="AK85" s="2" t="n"/>
      <c r="AL85" s="2" t="n"/>
      <c r="AM85" s="2" t="n"/>
      <c r="AN85" s="2" t="n"/>
      <c r="AO85" s="2" t="n"/>
      <c r="AP85" s="2" t="n"/>
      <c r="AQ85" s="2" t="n"/>
    </row>
    <row r="86">
      <c r="A86" t="n">
        <v>85</v>
      </c>
      <c r="B86" s="2" t="inlineStr">
        <is>
          <t>Tek Singh</t>
        </is>
      </c>
      <c r="C86" s="3" t="n">
        <v>8295461768</v>
      </c>
      <c r="D86" s="2" t="inlineStr">
        <is>
          <t>PROV260503720</t>
        </is>
      </c>
      <c r="E86" s="2" t="inlineStr">
        <is>
          <t>ADYPU</t>
        </is>
      </c>
      <c r="F86" s="2" t="inlineStr">
        <is>
          <t>Yes</t>
        </is>
      </c>
      <c r="G86" s="2" t="inlineStr">
        <is>
          <t xml:space="preserve">Critical </t>
        </is>
      </c>
      <c r="H86" s="2" t="n">
        <v>0.225</v>
      </c>
      <c r="I86" s="2" t="n">
        <v>25</v>
      </c>
      <c r="J86" s="2" t="n">
        <v>82.2</v>
      </c>
      <c r="K86" s="2" t="inlineStr">
        <is>
          <t>Mother</t>
        </is>
      </c>
      <c r="L86" s="2" t="inlineStr">
        <is>
          <t>Farmer</t>
        </is>
      </c>
      <c r="M86" s="2" t="n">
        <v>1</v>
      </c>
      <c r="N86" s="2" t="inlineStr">
        <is>
          <t>EWS</t>
        </is>
      </c>
      <c r="O86" s="2" t="inlineStr">
        <is>
          <t>No</t>
        </is>
      </c>
      <c r="P86" s="2" t="inlineStr">
        <is>
          <t>NA</t>
        </is>
      </c>
      <c r="Q86" s="2" t="inlineStr">
        <is>
          <t>No</t>
        </is>
      </c>
      <c r="R86" s="2" t="inlineStr">
        <is>
          <t>NA</t>
        </is>
      </c>
      <c r="S86" s="2" t="inlineStr">
        <is>
          <t>Waiting for the bank to reach them out Need assitance from us</t>
        </is>
      </c>
      <c r="T86" s="2" t="inlineStr">
        <is>
          <t>Its actual case but looking for some other co-applicant. 
17/7 : Loan required : 26 , Father : Farmer, Brother : Job , Income for the year : 2L/year / Provided to gyan dhan, rejected
Co app - 2 lakh yearly income
no ITR or any other income proof
no additional co app
NOT DOABLE
29/7: Has been suggested to with PM Vidya as is a bright student</t>
        </is>
      </c>
      <c r="U86" s="2" t="inlineStr">
        <is>
          <t>Yes</t>
        </is>
      </c>
      <c r="V86" s="2" t="n"/>
      <c r="W86" s="2" t="inlineStr">
        <is>
          <t>Yes</t>
        </is>
      </c>
      <c r="X86" s="2" t="inlineStr">
        <is>
          <t>No</t>
        </is>
      </c>
      <c r="Y86" s="2" t="inlineStr">
        <is>
          <t xml:space="preserve">No </t>
        </is>
      </c>
      <c r="Z86" s="2" t="inlineStr">
        <is>
          <t>Yes</t>
        </is>
      </c>
      <c r="AA86" s="2" t="inlineStr">
        <is>
          <t>Risk</t>
        </is>
      </c>
      <c r="AB86" s="2" t="inlineStr">
        <is>
          <t>Risk</t>
        </is>
      </c>
      <c r="AC86" s="2" t="n"/>
      <c r="AD86" s="2" t="n"/>
      <c r="AE86" s="2" t="n"/>
      <c r="AF86" s="2" t="n"/>
      <c r="AG86" s="2" t="inlineStr">
        <is>
          <t>Rejected</t>
        </is>
      </c>
      <c r="AH86" s="2" t="inlineStr">
        <is>
          <t>Processing at other bank</t>
        </is>
      </c>
      <c r="AI86" s="2" t="inlineStr">
        <is>
          <t>Yes</t>
        </is>
      </c>
      <c r="AJ86" s="2" t="inlineStr">
        <is>
          <t>No</t>
        </is>
      </c>
      <c r="AK86" s="2" t="inlineStr">
        <is>
          <t>Yes</t>
        </is>
      </c>
      <c r="AL86" s="2" t="n"/>
      <c r="AM86" s="2" t="n"/>
      <c r="AN86" s="2" t="n"/>
      <c r="AO86" s="2" t="n"/>
      <c r="AP86" s="2" t="n"/>
      <c r="AQ86" s="2" t="n"/>
    </row>
    <row r="87">
      <c r="A87" t="n">
        <v>86</v>
      </c>
      <c r="B87" s="2" t="inlineStr">
        <is>
          <t>Deepesh Sharma</t>
        </is>
      </c>
      <c r="C87" s="3" t="n">
        <v>8305323128</v>
      </c>
      <c r="D87" s="2" t="inlineStr">
        <is>
          <t>PROV260606621</t>
        </is>
      </c>
      <c r="E87" s="2" t="inlineStr">
        <is>
          <t>ADYPU</t>
        </is>
      </c>
      <c r="F87" s="2" t="inlineStr">
        <is>
          <t>Yes</t>
        </is>
      </c>
      <c r="G87" s="2" t="inlineStr">
        <is>
          <t xml:space="preserve">Non Critical </t>
        </is>
      </c>
      <c r="H87" s="2" t="n">
        <v>0.075</v>
      </c>
      <c r="I87" s="2" t="n">
        <v>28</v>
      </c>
      <c r="J87" s="2" t="n">
        <v>71.40000000000001</v>
      </c>
      <c r="K87" s="2" t="inlineStr">
        <is>
          <t>Father</t>
        </is>
      </c>
      <c r="L87" s="2" t="inlineStr">
        <is>
          <t>Business</t>
        </is>
      </c>
      <c r="M87" s="2" t="n">
        <v>1</v>
      </c>
      <c r="N87" s="2" t="inlineStr">
        <is>
          <t>Income Certificate</t>
        </is>
      </c>
      <c r="O87" s="2" t="inlineStr">
        <is>
          <t>No</t>
        </is>
      </c>
      <c r="P87" s="2" t="inlineStr">
        <is>
          <t>NA</t>
        </is>
      </c>
      <c r="Q87" s="2" t="inlineStr">
        <is>
          <t>Yes</t>
        </is>
      </c>
      <c r="R87" s="2" t="inlineStr">
        <is>
          <t>NA</t>
        </is>
      </c>
      <c r="S87" s="2" t="inlineStr">
        <is>
          <t>in conversation with SBI Bank already regarding the loan</t>
        </is>
      </c>
      <c r="T87" s="2" t="inlineStr">
        <is>
          <t>Student is already in talks with SBI, waiting on updated POL with 17.5% scholarship. Have been sent today with the updation
23/7: In process, collateral so will get</t>
        </is>
      </c>
      <c r="U87" s="2" t="inlineStr">
        <is>
          <t>Yes</t>
        </is>
      </c>
      <c r="V87" s="2" t="n"/>
      <c r="W87" s="2" t="n"/>
      <c r="X87" s="2" t="n"/>
      <c r="Y87" s="2" t="n"/>
      <c r="Z87" s="2" t="n"/>
      <c r="AA87" s="2" t="inlineStr">
        <is>
          <t>Control</t>
        </is>
      </c>
      <c r="AB87" s="2" t="inlineStr">
        <is>
          <t>Control</t>
        </is>
      </c>
      <c r="AC87" s="2" t="n"/>
      <c r="AD87" s="2" t="n"/>
      <c r="AE87" s="2" t="n"/>
      <c r="AF87" s="2" t="n"/>
      <c r="AG87" s="2" t="inlineStr">
        <is>
          <t>Ongoing</t>
        </is>
      </c>
      <c r="AH87" s="2" t="inlineStr">
        <is>
          <t>Processing at other bank</t>
        </is>
      </c>
      <c r="AI87" s="2" t="n"/>
      <c r="AJ87" s="2" t="n"/>
      <c r="AK87" s="2" t="n"/>
      <c r="AL87" s="2" t="n"/>
      <c r="AM87" s="2" t="n"/>
      <c r="AN87" s="2" t="n"/>
      <c r="AO87" s="2" t="n"/>
      <c r="AP87" s="2" t="n"/>
      <c r="AQ87" s="2" t="n"/>
    </row>
    <row r="88">
      <c r="A88" t="n">
        <v>87</v>
      </c>
      <c r="B88" s="2" t="inlineStr">
        <is>
          <t>Omkar Bhagwat</t>
        </is>
      </c>
      <c r="C88" s="3" t="n">
        <v>7249768047</v>
      </c>
      <c r="D88" s="2" t="inlineStr">
        <is>
          <t>PROV1000000251</t>
        </is>
      </c>
      <c r="E88" s="2" t="inlineStr">
        <is>
          <t>ADYPU</t>
        </is>
      </c>
      <c r="F88" s="2" t="inlineStr">
        <is>
          <t>Yes</t>
        </is>
      </c>
      <c r="G88" s="2" t="inlineStr">
        <is>
          <t xml:space="preserve">Non Critical </t>
        </is>
      </c>
      <c r="H88" s="2" t="n">
        <v>0.3</v>
      </c>
      <c r="I88" s="2" t="n">
        <v>15.5</v>
      </c>
      <c r="J88" s="2" t="n">
        <v>67</v>
      </c>
      <c r="K88" s="2" t="inlineStr">
        <is>
          <t>Father</t>
        </is>
      </c>
      <c r="L88" s="2" t="inlineStr">
        <is>
          <t>Business</t>
        </is>
      </c>
      <c r="M88" s="2" t="n">
        <v>1.4</v>
      </c>
      <c r="N88" s="2" t="inlineStr">
        <is>
          <t>Income Certificate</t>
        </is>
      </c>
      <c r="O88" s="2" t="inlineStr">
        <is>
          <t>Yes</t>
        </is>
      </c>
      <c r="P88" s="2" t="inlineStr">
        <is>
          <t>NA</t>
        </is>
      </c>
      <c r="Q88" s="2" t="inlineStr">
        <is>
          <t>No</t>
        </is>
      </c>
      <c r="R88" s="2" t="inlineStr">
        <is>
          <t>NA</t>
        </is>
      </c>
      <c r="S88" s="2" t="inlineStr">
        <is>
          <t>Waiting for the bank to reach them out Need assitance from us</t>
        </is>
      </c>
      <c r="T88" s="2" t="inlineStr">
        <is>
          <t>Spoke with him, need to share his details to icici. 
Had a word with him , he has applied for PM vidyalakshmi
23/7 : wants to talk to gyandhan and propelld, have shared lead.
23/7 : Annual income : 50k, itr filed : yes, coapplicant 
31/7: PF paid and loan sanctioned</t>
        </is>
      </c>
      <c r="U88" s="2" t="inlineStr">
        <is>
          <t>Yes</t>
        </is>
      </c>
      <c r="V88" s="2" t="n"/>
      <c r="W88" s="2" t="n"/>
      <c r="X88" s="2" t="n"/>
      <c r="Y88" s="2" t="n"/>
      <c r="Z88" s="2" t="n"/>
      <c r="AA88" s="2" t="inlineStr">
        <is>
          <t>Risk</t>
        </is>
      </c>
      <c r="AB88" s="2" t="inlineStr">
        <is>
          <t>Control</t>
        </is>
      </c>
      <c r="AC88" s="2" t="n"/>
      <c r="AD88" s="2" t="n"/>
      <c r="AE88" s="2" t="n"/>
      <c r="AF88" s="2" t="n"/>
      <c r="AG88" s="2" t="inlineStr">
        <is>
          <t>Loan Proccessed/Accepted</t>
        </is>
      </c>
      <c r="AH88" s="2" t="inlineStr">
        <is>
          <t>Processing by PM vidyalakshmi, Processing by Propelld, Processing by GyanDhan</t>
        </is>
      </c>
      <c r="AI88" s="2" t="n"/>
      <c r="AJ88" s="2" t="inlineStr">
        <is>
          <t>No</t>
        </is>
      </c>
      <c r="AK88" s="2" t="inlineStr">
        <is>
          <t>Yes</t>
        </is>
      </c>
      <c r="AL88" s="2" t="n"/>
      <c r="AM88" s="2" t="n"/>
      <c r="AN88" s="2" t="n"/>
      <c r="AO88" s="2" t="n"/>
      <c r="AP88" s="2" t="n"/>
      <c r="AQ88" s="2" t="n"/>
    </row>
    <row r="89">
      <c r="A89" t="n">
        <v>88</v>
      </c>
      <c r="B89" s="2" t="inlineStr">
        <is>
          <t>Khushal Gupta</t>
        </is>
      </c>
      <c r="C89" s="3" t="n">
        <v>6377128330</v>
      </c>
      <c r="D89" s="2" t="inlineStr">
        <is>
          <t>PROV260505477</t>
        </is>
      </c>
      <c r="E89" s="2" t="inlineStr">
        <is>
          <t>ADYPU</t>
        </is>
      </c>
      <c r="F89" s="2" t="inlineStr">
        <is>
          <t>Drop</t>
        </is>
      </c>
      <c r="G89" s="2" t="inlineStr">
        <is>
          <t xml:space="preserve">Critical </t>
        </is>
      </c>
      <c r="H89" s="2" t="n">
        <v>0.275</v>
      </c>
      <c r="I89" s="2" t="n">
        <v>28</v>
      </c>
      <c r="J89" s="2" t="n">
        <v>90.8</v>
      </c>
      <c r="K89" s="2" t="inlineStr">
        <is>
          <t>Father</t>
        </is>
      </c>
      <c r="L89" s="2" t="inlineStr">
        <is>
          <t>Bussiness</t>
        </is>
      </c>
      <c r="M89" s="2" t="n">
        <v>1.5</v>
      </c>
      <c r="N89" s="2" t="inlineStr">
        <is>
          <t>Income Certificate</t>
        </is>
      </c>
      <c r="O89" s="2" t="inlineStr">
        <is>
          <t>No</t>
        </is>
      </c>
      <c r="P89" s="2" t="inlineStr">
        <is>
          <t>NA</t>
        </is>
      </c>
      <c r="Q89" s="2" t="inlineStr">
        <is>
          <t>No</t>
        </is>
      </c>
      <c r="R89" s="2" t="inlineStr">
        <is>
          <t>NA</t>
        </is>
      </c>
      <c r="S89" s="2" t="inlineStr">
        <is>
          <t>Waiting for the bank to reach them out Need assitance from us</t>
        </is>
      </c>
      <c r="T89" s="2" t="inlineStr">
        <is>
          <t>Drop Case - Not moving  forward with the Admission || too high fees</t>
        </is>
      </c>
      <c r="U89" s="2" t="inlineStr">
        <is>
          <t>Refund</t>
        </is>
      </c>
      <c r="V89" s="2" t="n"/>
      <c r="W89" s="2" t="n"/>
      <c r="X89" s="2" t="n"/>
      <c r="Y89" s="2" t="n"/>
      <c r="Z89" s="2" t="n"/>
      <c r="AA89" s="2" t="inlineStr">
        <is>
          <t>Refund case</t>
        </is>
      </c>
      <c r="AB89" s="2" t="inlineStr">
        <is>
          <t>Refund case</t>
        </is>
      </c>
      <c r="AC89" s="2" t="n"/>
      <c r="AD89" s="2" t="n"/>
      <c r="AE89" s="2" t="n"/>
      <c r="AF89" s="2" t="n"/>
      <c r="AG89" s="2" t="n"/>
      <c r="AH89" s="2" t="n"/>
      <c r="AI89" s="2" t="n"/>
      <c r="AJ89" s="2" t="inlineStr">
        <is>
          <t>Yes</t>
        </is>
      </c>
      <c r="AK89" s="2" t="n"/>
      <c r="AL89" s="2" t="n"/>
      <c r="AM89" s="2" t="n"/>
      <c r="AN89" s="2" t="n"/>
      <c r="AO89" s="2" t="n"/>
      <c r="AP89" s="2" t="n"/>
      <c r="AQ89" s="2" t="n"/>
    </row>
    <row r="90">
      <c r="A90" t="n">
        <v>89</v>
      </c>
      <c r="B90" s="2" t="inlineStr">
        <is>
          <t>Harsha M</t>
        </is>
      </c>
      <c r="C90" s="3" t="n">
        <v>9731789273</v>
      </c>
      <c r="D90" s="2" t="inlineStr">
        <is>
          <t>PROV1000000434</t>
        </is>
      </c>
      <c r="E90" s="2" t="inlineStr">
        <is>
          <t>SSAHE</t>
        </is>
      </c>
      <c r="F90" s="2" t="inlineStr">
        <is>
          <t>Yes</t>
        </is>
      </c>
      <c r="G90" s="2" t="inlineStr">
        <is>
          <t xml:space="preserve">Critical </t>
        </is>
      </c>
      <c r="H90" s="2" t="n">
        <v>0.125</v>
      </c>
      <c r="I90" s="2" t="n">
        <v>25</v>
      </c>
      <c r="J90" s="2" t="n">
        <v>0.71</v>
      </c>
      <c r="K90" s="2" t="inlineStr">
        <is>
          <t>Brother</t>
        </is>
      </c>
      <c r="L90" s="2" t="inlineStr">
        <is>
          <t>Self Emloyed</t>
        </is>
      </c>
      <c r="M90" s="2" t="n">
        <v>1.2</v>
      </c>
      <c r="N90" s="2" t="inlineStr">
        <is>
          <t>Income certificate</t>
        </is>
      </c>
      <c r="O90" s="2" t="inlineStr">
        <is>
          <t>Yes</t>
        </is>
      </c>
      <c r="P90" s="2" t="inlineStr">
        <is>
          <t>NA</t>
        </is>
      </c>
      <c r="Q90" s="2" t="inlineStr">
        <is>
          <t>No</t>
        </is>
      </c>
      <c r="R90" s="2" t="inlineStr">
        <is>
          <t>NA</t>
        </is>
      </c>
      <c r="S90" s="2" t="inlineStr">
        <is>
          <t>Student's loan application is currently under process with Propelled</t>
        </is>
      </c>
      <c r="T90" s="2" t="inlineStr">
        <is>
          <t>15/7 : dnp, have shared wth sst
23/7: Going on with gyandhan and propelld
28/7 : No one called</t>
        </is>
      </c>
      <c r="U90" s="2" t="inlineStr">
        <is>
          <t>Yes</t>
        </is>
      </c>
      <c r="V90" s="2" t="n"/>
      <c r="W90" s="2" t="inlineStr">
        <is>
          <t>Yes</t>
        </is>
      </c>
      <c r="X90" s="2" t="n"/>
      <c r="Y90" s="2" t="n"/>
      <c r="Z90" s="2" t="n"/>
      <c r="AA90" s="2" t="inlineStr">
        <is>
          <t>Risk</t>
        </is>
      </c>
      <c r="AB90" s="2" t="inlineStr">
        <is>
          <t>Risk</t>
        </is>
      </c>
      <c r="AC90" s="2" t="n"/>
      <c r="AD90" s="2" t="n"/>
      <c r="AE90" s="2" t="n"/>
      <c r="AF90" s="2" t="n"/>
      <c r="AG90" s="2" t="inlineStr">
        <is>
          <t>Ongoing</t>
        </is>
      </c>
      <c r="AH90" s="2" t="inlineStr">
        <is>
          <t>Processing by Propelld, Processing by GyanDhan</t>
        </is>
      </c>
      <c r="AI90" s="2" t="n"/>
      <c r="AJ90" s="2" t="inlineStr">
        <is>
          <t>No</t>
        </is>
      </c>
      <c r="AK90" s="2" t="n"/>
      <c r="AL90" s="2" t="n"/>
      <c r="AM90" s="2" t="n"/>
      <c r="AN90" s="2" t="n"/>
      <c r="AO90" s="2" t="n"/>
      <c r="AP90" s="2" t="n"/>
      <c r="AQ90" s="2" t="n"/>
    </row>
    <row r="91">
      <c r="A91" t="n">
        <v>90</v>
      </c>
      <c r="B91" s="2" t="inlineStr">
        <is>
          <t>Rajeev yadav</t>
        </is>
      </c>
      <c r="C91" s="3" t="n">
        <v>7903653403</v>
      </c>
      <c r="D91" s="2" t="inlineStr">
        <is>
          <t>PROV260504859</t>
        </is>
      </c>
      <c r="E91" s="2" t="inlineStr">
        <is>
          <t>SSAHE</t>
        </is>
      </c>
      <c r="F91" s="2" t="inlineStr">
        <is>
          <t>Yes</t>
        </is>
      </c>
      <c r="G91" s="2" t="inlineStr">
        <is>
          <t xml:space="preserve">Critical </t>
        </is>
      </c>
      <c r="H91" s="2" t="n">
        <v>0.125</v>
      </c>
      <c r="I91" s="2" t="n">
        <v>20</v>
      </c>
      <c r="J91" s="2" t="n">
        <v>0.68</v>
      </c>
      <c r="K91" s="2" t="inlineStr">
        <is>
          <t>Father</t>
        </is>
      </c>
      <c r="L91" s="2" t="inlineStr">
        <is>
          <t>Farmer</t>
        </is>
      </c>
      <c r="M91" s="2" t="n">
        <v>7.5</v>
      </c>
      <c r="N91" s="2" t="inlineStr">
        <is>
          <t>EWS</t>
        </is>
      </c>
      <c r="O91" s="2" t="inlineStr">
        <is>
          <t>NA</t>
        </is>
      </c>
      <c r="P91" s="2" t="inlineStr">
        <is>
          <t>NA</t>
        </is>
      </c>
      <c r="Q91" s="2" t="inlineStr">
        <is>
          <t>No</t>
        </is>
      </c>
      <c r="R91" s="2" t="inlineStr">
        <is>
          <t>NA</t>
        </is>
      </c>
      <c r="S91" s="2" t="inlineStr">
        <is>
          <t>Student's loan application with ICICI Bank was declined due to insufficient father's income as per eligibility criteria.</t>
        </is>
      </c>
      <c r="T91" s="2" t="inlineStr">
        <is>
          <t>13/7 : Father name - Manu Yadav 
Occupation - Transport  Bussiness 
Annual income -6lpa
Itr -  Filed this year of 7.5 lpa
Sharing it to propelld, since cibil is 685 for the coapplicant 
16/7 : Appid - 3681 - Propelld
23/7: Processing with Propelld , sharing with gyandhan
28/7 : Student called, connecting him with gyandhan again</t>
        </is>
      </c>
      <c r="U91" s="2" t="inlineStr">
        <is>
          <t>Yes</t>
        </is>
      </c>
      <c r="V91" s="2" t="n"/>
      <c r="W91" s="2" t="inlineStr">
        <is>
          <t>Yes</t>
        </is>
      </c>
      <c r="X91" s="2" t="n"/>
      <c r="Y91" s="2" t="inlineStr">
        <is>
          <t>Yes</t>
        </is>
      </c>
      <c r="Z91" s="2" t="n"/>
      <c r="AA91" s="2" t="inlineStr">
        <is>
          <t>Risk</t>
        </is>
      </c>
      <c r="AB91" s="2" t="inlineStr">
        <is>
          <t>Risk</t>
        </is>
      </c>
      <c r="AC91" s="2" t="n"/>
      <c r="AD91" s="2" t="n"/>
      <c r="AE91" s="2" t="n"/>
      <c r="AF91" s="2" t="n"/>
      <c r="AG91" s="2" t="inlineStr">
        <is>
          <t>Ongoing</t>
        </is>
      </c>
      <c r="AH91" s="2" t="inlineStr">
        <is>
          <t>Processing by Propelld</t>
        </is>
      </c>
      <c r="AI91" s="2" t="n"/>
      <c r="AJ91" s="2" t="inlineStr">
        <is>
          <t>No</t>
        </is>
      </c>
      <c r="AK91" s="2" t="n"/>
      <c r="AL91" s="2" t="n"/>
      <c r="AM91" s="2" t="n"/>
      <c r="AN91" s="2" t="n"/>
      <c r="AO91" s="2" t="n"/>
      <c r="AP91" s="2" t="n"/>
      <c r="AQ91" s="2" t="n"/>
    </row>
    <row r="92">
      <c r="A92" t="n">
        <v>91</v>
      </c>
      <c r="B92" s="2" t="inlineStr">
        <is>
          <t>Jhansi Urmila</t>
        </is>
      </c>
      <c r="C92" s="3" t="n">
        <v>9949273339</v>
      </c>
      <c r="D92" s="2" t="inlineStr">
        <is>
          <t>PROV1000001045</t>
        </is>
      </c>
      <c r="E92" s="2" t="inlineStr">
        <is>
          <t>SSAHE</t>
        </is>
      </c>
      <c r="F92" s="2" t="inlineStr">
        <is>
          <t>Yes</t>
        </is>
      </c>
      <c r="G92" s="2" t="inlineStr">
        <is>
          <t xml:space="preserve">Critical </t>
        </is>
      </c>
      <c r="H92" s="2" t="n">
        <v>0.44</v>
      </c>
      <c r="I92" s="2" t="n">
        <v>25</v>
      </c>
      <c r="J92" s="2" t="n">
        <v>0.83</v>
      </c>
      <c r="K92" s="2" t="inlineStr">
        <is>
          <t>Father</t>
        </is>
      </c>
      <c r="L92" s="2" t="inlineStr">
        <is>
          <t>Business</t>
        </is>
      </c>
      <c r="M92" s="2" t="n">
        <v>1.5</v>
      </c>
      <c r="N92" s="2" t="inlineStr">
        <is>
          <t>Income Certificate</t>
        </is>
      </c>
      <c r="O92" s="2" t="inlineStr">
        <is>
          <t>No</t>
        </is>
      </c>
      <c r="P92" s="2" t="n">
        <v>700</v>
      </c>
      <c r="Q92" s="2" t="inlineStr">
        <is>
          <t>No</t>
        </is>
      </c>
      <c r="R92" s="2" t="inlineStr">
        <is>
          <t>NA</t>
        </is>
      </c>
      <c r="S92" s="2" t="inlineStr">
        <is>
          <t>Student reports no communication from ICICI Bank or Propelled. Assistance required</t>
        </is>
      </c>
      <c r="T92" s="2" t="inlineStr">
        <is>
          <t>DNP
10/7/26: Total loan required , father's profession : business ,Yearly income : 6L , No ITR. Have to share the details with ICICI and Propeld
21/7: Rejected propelld due to high rate of int, trying in other banks.</t>
        </is>
      </c>
      <c r="U92" s="2" t="inlineStr">
        <is>
          <t>Yes</t>
        </is>
      </c>
      <c r="V92" s="2" t="inlineStr">
        <is>
          <t>Yes</t>
        </is>
      </c>
      <c r="W92" s="2" t="inlineStr">
        <is>
          <t>Yes</t>
        </is>
      </c>
      <c r="X92" s="2" t="n"/>
      <c r="Y92" s="2" t="n"/>
      <c r="Z92" s="2" t="n"/>
      <c r="AA92" s="2" t="inlineStr">
        <is>
          <t>Control</t>
        </is>
      </c>
      <c r="AB92" s="2" t="inlineStr">
        <is>
          <t>Control</t>
        </is>
      </c>
      <c r="AC92" s="2" t="n"/>
      <c r="AD92" s="2" t="n"/>
      <c r="AE92" s="2" t="n"/>
      <c r="AF92" s="2" t="n"/>
      <c r="AG92" s="2" t="inlineStr">
        <is>
          <t>Ongoing</t>
        </is>
      </c>
      <c r="AH92" s="2" t="inlineStr">
        <is>
          <t>Processing at other bank</t>
        </is>
      </c>
      <c r="AI92" s="2" t="n"/>
      <c r="AJ92" s="2" t="inlineStr">
        <is>
          <t>No</t>
        </is>
      </c>
      <c r="AK92" s="2" t="n"/>
      <c r="AL92" s="2" t="n"/>
      <c r="AM92" s="2" t="n"/>
      <c r="AN92" s="2" t="n"/>
      <c r="AO92" s="2" t="n"/>
      <c r="AP92" s="2" t="n"/>
      <c r="AQ92" s="2" t="n"/>
    </row>
    <row r="93">
      <c r="A93" t="n">
        <v>92</v>
      </c>
      <c r="B93" s="2" t="inlineStr">
        <is>
          <t>Dilkhush Kumar</t>
        </is>
      </c>
      <c r="C93" s="3" t="n">
        <v>7763994601</v>
      </c>
      <c r="D93" s="2" t="inlineStr">
        <is>
          <t>PROV260503046</t>
        </is>
      </c>
      <c r="E93" s="2" t="inlineStr">
        <is>
          <t>SSAHE</t>
        </is>
      </c>
      <c r="F93" s="2" t="inlineStr">
        <is>
          <t>Yes</t>
        </is>
      </c>
      <c r="G93" s="2" t="inlineStr">
        <is>
          <t xml:space="preserve">Critical </t>
        </is>
      </c>
      <c r="H93" s="2" t="n">
        <v>0.075</v>
      </c>
      <c r="I93" s="2" t="n">
        <v>18</v>
      </c>
      <c r="J93" s="2" t="n">
        <v>0.726</v>
      </c>
      <c r="K93" s="2" t="inlineStr">
        <is>
          <t>Father</t>
        </is>
      </c>
      <c r="L93" s="2" t="inlineStr">
        <is>
          <t>Factory worker (construction)</t>
        </is>
      </c>
      <c r="M93" s="2" t="n">
        <v>1.5</v>
      </c>
      <c r="N93" s="2" t="inlineStr">
        <is>
          <t>Income certificate</t>
        </is>
      </c>
      <c r="O93" s="2" t="inlineStr">
        <is>
          <t>NA</t>
        </is>
      </c>
      <c r="P93" s="2" t="inlineStr">
        <is>
          <t>NA</t>
        </is>
      </c>
      <c r="Q93" s="2" t="inlineStr">
        <is>
          <t>No</t>
        </is>
      </c>
      <c r="R93" s="2" t="inlineStr">
        <is>
          <t>NA</t>
        </is>
      </c>
      <c r="S93" s="2" t="inlineStr">
        <is>
          <t>Student requires assistance with the education loan process.</t>
        </is>
      </c>
      <c r="T93" s="2" t="inlineStr">
        <is>
          <t>Annual Income : 3.6 Lakhs || Form has been filed as sent by us from icici team.
Prefer it for GYAN DHAN
23/7: Going on with Credilla and GyanDhan through Gyandhan, closed in ICICI. 
28/7 : Student called as he had few doubts related to the processing fees</t>
        </is>
      </c>
      <c r="U93" s="2" t="inlineStr">
        <is>
          <t>Yes</t>
        </is>
      </c>
      <c r="V93" s="2" t="n"/>
      <c r="W93" s="2" t="n"/>
      <c r="X93" s="2" t="n"/>
      <c r="Y93" s="2" t="n"/>
      <c r="Z93" s="2" t="inlineStr">
        <is>
          <t>Yes</t>
        </is>
      </c>
      <c r="AA93" s="2" t="inlineStr">
        <is>
          <t>Control</t>
        </is>
      </c>
      <c r="AB93" s="2" t="inlineStr">
        <is>
          <t>Control</t>
        </is>
      </c>
      <c r="AC93" s="2" t="n"/>
      <c r="AD93" s="2" t="n"/>
      <c r="AE93" s="2" t="n"/>
      <c r="AF93" s="2" t="n"/>
      <c r="AG93" s="2" t="inlineStr">
        <is>
          <t>Ongoing</t>
        </is>
      </c>
      <c r="AH93" s="2" t="inlineStr">
        <is>
          <t>Loan sanctioned by gyan dhan</t>
        </is>
      </c>
      <c r="AI93" s="2" t="n"/>
      <c r="AJ93" s="2" t="inlineStr">
        <is>
          <t>No</t>
        </is>
      </c>
      <c r="AK93" s="2" t="n"/>
      <c r="AL93" s="2" t="n"/>
      <c r="AM93" s="2" t="n"/>
      <c r="AN93" s="2" t="n"/>
      <c r="AO93" s="2" t="n"/>
      <c r="AP93" s="2" t="n"/>
      <c r="AQ93" s="2" t="n"/>
    </row>
    <row r="94">
      <c r="A94" t="n">
        <v>93</v>
      </c>
      <c r="B94" s="2" t="inlineStr">
        <is>
          <t>ankit kumar(1)</t>
        </is>
      </c>
      <c r="C94" s="3" t="n">
        <v>9229246323</v>
      </c>
      <c r="D94" s="2" t="inlineStr">
        <is>
          <t>PROV1000000439</t>
        </is>
      </c>
      <c r="E94" s="2" t="inlineStr">
        <is>
          <t>SSAHE</t>
        </is>
      </c>
      <c r="F94" s="2" t="inlineStr">
        <is>
          <t>Drop</t>
        </is>
      </c>
      <c r="G94" s="2" t="inlineStr">
        <is>
          <t xml:space="preserve">Critical </t>
        </is>
      </c>
      <c r="H94" s="2" t="n">
        <v>0.075</v>
      </c>
      <c r="I94" s="2" t="n">
        <v>14</v>
      </c>
      <c r="J94" s="2" t="n">
        <v>0.742</v>
      </c>
      <c r="K94" s="2" t="inlineStr">
        <is>
          <t>Father</t>
        </is>
      </c>
      <c r="L94" s="2" t="inlineStr">
        <is>
          <t>House wife (rents)</t>
        </is>
      </c>
      <c r="M94" s="2" t="n">
        <v>1.5</v>
      </c>
      <c r="N94" s="2" t="inlineStr">
        <is>
          <t>Income Certificate</t>
        </is>
      </c>
      <c r="O94" s="2" t="inlineStr">
        <is>
          <t>NA</t>
        </is>
      </c>
      <c r="P94" s="2" t="inlineStr">
        <is>
          <t>NA</t>
        </is>
      </c>
      <c r="Q94" s="2" t="inlineStr">
        <is>
          <t>No</t>
        </is>
      </c>
      <c r="R94" s="2" t="inlineStr">
        <is>
          <t>NA</t>
        </is>
      </c>
      <c r="S94" s="2" t="inlineStr">
        <is>
          <t>Student requires assistance with the education loan process.</t>
        </is>
      </c>
      <c r="T94" s="2" t="inlineStr">
        <is>
          <t>DNP 9/7/26 : DNP 10/7/26 : Mother' is a housewife, no income documents are available : 74.2% in 12th and JEE : XX. Not fit for loan Father has passed away, and the brother requested if we can hold the fees of 2 years till 2 year. "
- 30/7 :  Student doesnt want the refund, suggested him PM vidyalakshmi and poor situation, father is no more and 2 brothers, doesnt have any collateral</t>
        </is>
      </c>
      <c r="U94" s="2" t="inlineStr">
        <is>
          <t>Yes</t>
        </is>
      </c>
      <c r="V94" s="2" t="n"/>
      <c r="W94" s="2" t="n"/>
      <c r="X94" s="2" t="n"/>
      <c r="Y94" s="2" t="n"/>
      <c r="Z94" s="2" t="n"/>
      <c r="AA94" s="2" t="inlineStr">
        <is>
          <t>Risk</t>
        </is>
      </c>
      <c r="AB94" s="2" t="inlineStr">
        <is>
          <t>Risk</t>
        </is>
      </c>
      <c r="AC94" s="2" t="n"/>
      <c r="AD94" s="2" t="n"/>
      <c r="AE94" s="2" t="n"/>
      <c r="AF94" s="2" t="n"/>
      <c r="AG94" s="2" t="inlineStr">
        <is>
          <t>Rejected</t>
        </is>
      </c>
      <c r="AH94" s="2" t="inlineStr">
        <is>
          <t>Not eligbile for any loan</t>
        </is>
      </c>
      <c r="AI94" s="2" t="n"/>
      <c r="AJ94" s="2" t="inlineStr">
        <is>
          <t>Yes</t>
        </is>
      </c>
      <c r="AK94" s="2" t="n"/>
      <c r="AL94" s="2" t="n"/>
      <c r="AM94" s="2" t="n"/>
      <c r="AN94" s="2" t="n"/>
      <c r="AO94" s="2" t="n"/>
      <c r="AP94" s="2" t="n"/>
      <c r="AQ94" s="2" t="n"/>
    </row>
    <row r="95">
      <c r="A95" t="n">
        <v>94</v>
      </c>
      <c r="B95" s="2" t="inlineStr">
        <is>
          <t>Suhani pandey</t>
        </is>
      </c>
      <c r="C95" s="3" t="n">
        <v>7307958714</v>
      </c>
      <c r="D95" s="2" t="inlineStr">
        <is>
          <t>PROV260613731</t>
        </is>
      </c>
      <c r="E95" s="2" t="inlineStr">
        <is>
          <t>SSAHE</t>
        </is>
      </c>
      <c r="F95" s="2" t="inlineStr">
        <is>
          <t>Drop</t>
        </is>
      </c>
      <c r="G95" s="2" t="inlineStr">
        <is>
          <t xml:space="preserve">Critical </t>
        </is>
      </c>
      <c r="H95" s="2" t="n">
        <v>0.15</v>
      </c>
      <c r="I95" s="2" t="n">
        <v>23</v>
      </c>
      <c r="J95" s="2" t="n">
        <v>0.8100000000000001</v>
      </c>
      <c r="K95" s="2" t="inlineStr">
        <is>
          <t>Father</t>
        </is>
      </c>
      <c r="L95" s="2" t="inlineStr">
        <is>
          <t>Driver (Pvt job)</t>
        </is>
      </c>
      <c r="M95" s="2" t="n">
        <v>1.5</v>
      </c>
      <c r="N95" s="2" t="inlineStr">
        <is>
          <t>EWS</t>
        </is>
      </c>
      <c r="O95" s="2" t="inlineStr">
        <is>
          <t>NA</t>
        </is>
      </c>
      <c r="P95" s="2" t="inlineStr">
        <is>
          <t>NA</t>
        </is>
      </c>
      <c r="Q95" s="2" t="inlineStr">
        <is>
          <t>No</t>
        </is>
      </c>
      <c r="R95" s="2" t="inlineStr">
        <is>
          <t>NA</t>
        </is>
      </c>
      <c r="S95" s="2" t="inlineStr">
        <is>
          <t>Student requires assistance with the education loan process.</t>
        </is>
      </c>
      <c r="T95" s="2" t="inlineStr">
        <is>
          <t xml:space="preserve">Have forwarded the contact to study4buddy. 
She wants the EMI to be paid after 4 years and not now. </t>
        </is>
      </c>
      <c r="U95" s="2" t="inlineStr">
        <is>
          <t>Refund</t>
        </is>
      </c>
      <c r="V95" s="2" t="n"/>
      <c r="W95" s="2" t="n"/>
      <c r="X95" s="2" t="n"/>
      <c r="Y95" s="2" t="n"/>
      <c r="Z95" s="2" t="n"/>
      <c r="AA95" s="2" t="inlineStr">
        <is>
          <t>Refund case</t>
        </is>
      </c>
      <c r="AB95" s="2" t="inlineStr">
        <is>
          <t>Refund case</t>
        </is>
      </c>
      <c r="AC95" s="2" t="n"/>
      <c r="AD95" s="2" t="n"/>
      <c r="AE95" s="2" t="n"/>
      <c r="AF95" s="2" t="n"/>
      <c r="AG95" s="2" t="inlineStr">
        <is>
          <t>Rejected</t>
        </is>
      </c>
      <c r="AH95" s="2" t="inlineStr">
        <is>
          <t>Not eligbile for any loan</t>
        </is>
      </c>
      <c r="AI95" s="2" t="n"/>
      <c r="AJ95" s="2" t="inlineStr">
        <is>
          <t>Yes</t>
        </is>
      </c>
      <c r="AK95" s="2" t="n"/>
      <c r="AL95" s="2" t="n"/>
      <c r="AM95" s="2" t="n"/>
      <c r="AN95" s="2" t="n"/>
      <c r="AO95" s="2" t="n"/>
      <c r="AP95" s="2" t="n"/>
      <c r="AQ95" s="2" t="n"/>
    </row>
    <row r="96">
      <c r="A96" t="n">
        <v>95</v>
      </c>
      <c r="B96" s="2" t="inlineStr">
        <is>
          <t>Shubham kumar gupta</t>
        </is>
      </c>
      <c r="C96" s="3" t="n">
        <v>8956762898</v>
      </c>
      <c r="D96" s="2" t="inlineStr">
        <is>
          <t>PROV260503782</t>
        </is>
      </c>
      <c r="E96" s="2" t="inlineStr">
        <is>
          <t>SSAHE</t>
        </is>
      </c>
      <c r="F96" s="2" t="inlineStr">
        <is>
          <t>Yes</t>
        </is>
      </c>
      <c r="G96" s="2" t="inlineStr">
        <is>
          <t xml:space="preserve">Critical </t>
        </is>
      </c>
      <c r="H96" s="2" t="n">
        <v>0.15</v>
      </c>
      <c r="I96" s="2" t="n">
        <v>25</v>
      </c>
      <c r="J96" s="2" t="n">
        <v>0.728</v>
      </c>
      <c r="K96" s="2" t="inlineStr">
        <is>
          <t>Father</t>
        </is>
      </c>
      <c r="L96" s="2" t="inlineStr">
        <is>
          <t>Salaried</t>
        </is>
      </c>
      <c r="M96" s="2" t="n">
        <v>2</v>
      </c>
      <c r="N96" s="2" t="inlineStr">
        <is>
          <t>Salary Slip</t>
        </is>
      </c>
      <c r="O96" s="2" t="inlineStr">
        <is>
          <t>Yes</t>
        </is>
      </c>
      <c r="P96" s="2" t="inlineStr">
        <is>
          <t>NA</t>
        </is>
      </c>
      <c r="Q96" s="2" t="inlineStr">
        <is>
          <t>No</t>
        </is>
      </c>
      <c r="R96" s="2" t="inlineStr">
        <is>
          <t>NA</t>
        </is>
      </c>
      <c r="S96" s="2" t="inlineStr">
        <is>
          <t>Student reports that no lending partner has contacted them. Follow-up required.</t>
        </is>
      </c>
      <c r="T96" s="2" t="inlineStr">
        <is>
          <t>16/7:No calls have been received by ICICI Bank. He has total income of 3L/annum, salary (2L) + 1L ( home rent ) and all.
27/7 : Student wanted help with PM vidyalakshmi , have logged in his account and doing it 
29/7 : Have spoken to the student, will set up a meeting with Vishwa, for interview</t>
        </is>
      </c>
      <c r="U96" s="2" t="inlineStr">
        <is>
          <t>Yes</t>
        </is>
      </c>
      <c r="V96" s="2" t="n"/>
      <c r="W96" s="2" t="n"/>
      <c r="X96" s="2" t="n"/>
      <c r="Y96" s="2" t="n"/>
      <c r="Z96" s="2" t="n"/>
      <c r="AA96" s="2" t="inlineStr">
        <is>
          <t>Risk</t>
        </is>
      </c>
      <c r="AB96" s="2" t="inlineStr">
        <is>
          <t>Risk</t>
        </is>
      </c>
      <c r="AC96" s="2" t="n"/>
      <c r="AD96" s="2" t="n"/>
      <c r="AE96" s="2" t="n"/>
      <c r="AF96" s="2" t="n"/>
      <c r="AG96" s="2" t="inlineStr">
        <is>
          <t>Rejected</t>
        </is>
      </c>
      <c r="AH96" s="2" t="inlineStr">
        <is>
          <t>Not eligbile for any loan</t>
        </is>
      </c>
      <c r="AI96" s="2" t="inlineStr">
        <is>
          <t>Yes</t>
        </is>
      </c>
      <c r="AJ96" s="2" t="inlineStr">
        <is>
          <t>Yes</t>
        </is>
      </c>
      <c r="AK96" s="2" t="inlineStr">
        <is>
          <t>Yes</t>
        </is>
      </c>
      <c r="AL96" s="2" t="n"/>
      <c r="AM96" s="2" t="n"/>
      <c r="AN96" s="2" t="n"/>
      <c r="AO96" s="2" t="n"/>
      <c r="AP96" s="2" t="n"/>
      <c r="AQ96" s="2" t="n"/>
    </row>
    <row r="97">
      <c r="A97" t="n">
        <v>96</v>
      </c>
      <c r="B97" s="2" t="inlineStr">
        <is>
          <t>Atanu Nath</t>
        </is>
      </c>
      <c r="C97" s="3" t="n">
        <v>7628928018</v>
      </c>
      <c r="D97" s="2" t="inlineStr">
        <is>
          <t>PROV260502314</t>
        </is>
      </c>
      <c r="E97" s="2" t="inlineStr">
        <is>
          <t>SSAHE</t>
        </is>
      </c>
      <c r="F97" s="2" t="inlineStr">
        <is>
          <t>Yes</t>
        </is>
      </c>
      <c r="G97" s="2" t="inlineStr">
        <is>
          <t xml:space="preserve">Critical </t>
        </is>
      </c>
      <c r="H97" s="2" t="n">
        <v>0.125</v>
      </c>
      <c r="I97" s="2" t="n">
        <v>25</v>
      </c>
      <c r="J97" s="2" t="n">
        <v>0.77</v>
      </c>
      <c r="K97" s="2" t="inlineStr">
        <is>
          <t>Father</t>
        </is>
      </c>
      <c r="L97" s="2" t="inlineStr">
        <is>
          <t>House wife/ Teacher</t>
        </is>
      </c>
      <c r="M97" s="2" t="n">
        <v>2.4</v>
      </c>
      <c r="N97" s="2" t="inlineStr">
        <is>
          <t>Income Certificate</t>
        </is>
      </c>
      <c r="O97" s="2" t="inlineStr">
        <is>
          <t>NA</t>
        </is>
      </c>
      <c r="P97" s="2" t="inlineStr">
        <is>
          <t>NA</t>
        </is>
      </c>
      <c r="Q97" s="2" t="inlineStr">
        <is>
          <t>No</t>
        </is>
      </c>
      <c r="R97" s="2" t="inlineStr">
        <is>
          <t>NA</t>
        </is>
      </c>
      <c r="S97" s="2" t="inlineStr">
        <is>
          <t>Student is currently not engaged with any lending institution for an education loan.</t>
        </is>
      </c>
      <c r="T97" s="2" t="inlineStr">
        <is>
          <t>Haven't received the call from icici bank, have forwarded the details.
10/7 : Atanu has received the call from ICICI bank.
20/7 : Have got call from icici and everywhere. Buddy4Study rejected the loan , in process with gyan dhan and poonawala
24/7 : Spoke to the student , he is worried about the EMI starting from first month, have informed him that it would be interest that would be starting , connected gyan dhan on the same call , and cleared him. Gyan dhan mentioned that Atanu has to share the bank statement of the sister and now he would be sending the bank statement. 
28/7 : Sanctioned by  GyanDhan</t>
        </is>
      </c>
      <c r="U97" s="2" t="inlineStr">
        <is>
          <t>Yes</t>
        </is>
      </c>
      <c r="V97" s="2" t="inlineStr">
        <is>
          <t>Yes</t>
        </is>
      </c>
      <c r="W97" s="2" t="inlineStr">
        <is>
          <t>Yes</t>
        </is>
      </c>
      <c r="X97" s="2" t="inlineStr">
        <is>
          <t>Yes</t>
        </is>
      </c>
      <c r="Y97" s="2" t="inlineStr">
        <is>
          <t>Yes</t>
        </is>
      </c>
      <c r="Z97" s="2" t="inlineStr">
        <is>
          <t>Yes</t>
        </is>
      </c>
      <c r="AA97" s="2" t="inlineStr">
        <is>
          <t>Risk</t>
        </is>
      </c>
      <c r="AB97" s="2" t="inlineStr">
        <is>
          <t>Control</t>
        </is>
      </c>
      <c r="AC97" s="2" t="n"/>
      <c r="AD97" s="2" t="n"/>
      <c r="AE97" s="2" t="n"/>
      <c r="AF97" s="2" t="n"/>
      <c r="AG97" s="2" t="inlineStr">
        <is>
          <t>Ongoing</t>
        </is>
      </c>
      <c r="AH97" s="2" t="inlineStr">
        <is>
          <t>Loan sanctioned by gyan dhan</t>
        </is>
      </c>
      <c r="AI97" s="2" t="n"/>
      <c r="AJ97" s="2" t="inlineStr">
        <is>
          <t>No</t>
        </is>
      </c>
      <c r="AK97" s="2" t="n"/>
      <c r="AL97" s="2" t="n"/>
      <c r="AM97" s="2" t="n"/>
      <c r="AN97" s="2" t="n"/>
      <c r="AO97" s="2" t="n"/>
      <c r="AP97" s="2" t="n"/>
      <c r="AQ97" s="2" t="n"/>
    </row>
    <row r="98">
      <c r="A98" t="n">
        <v>97</v>
      </c>
      <c r="B98" s="2" t="inlineStr">
        <is>
          <t>junaid maruf</t>
        </is>
      </c>
      <c r="C98" s="3" t="n">
        <v>6900724625</v>
      </c>
      <c r="D98" s="2" t="inlineStr">
        <is>
          <t>PROV260502382</t>
        </is>
      </c>
      <c r="E98" s="2" t="inlineStr">
        <is>
          <t>SSAHE</t>
        </is>
      </c>
      <c r="F98" s="2" t="inlineStr">
        <is>
          <t>Yes</t>
        </is>
      </c>
      <c r="G98" s="2" t="inlineStr">
        <is>
          <t xml:space="preserve">Non Critical </t>
        </is>
      </c>
      <c r="H98" s="2" t="n">
        <v>0.225</v>
      </c>
      <c r="I98" s="2" t="n">
        <v>15</v>
      </c>
      <c r="J98" s="2" t="n">
        <v>0.792</v>
      </c>
      <c r="K98" s="2" t="inlineStr">
        <is>
          <t>Mother</t>
        </is>
      </c>
      <c r="L98" s="2" t="inlineStr">
        <is>
          <t>Farmer</t>
        </is>
      </c>
      <c r="M98" s="2" t="n">
        <v>3</v>
      </c>
      <c r="N98" s="2" t="inlineStr">
        <is>
          <t>EWS</t>
        </is>
      </c>
      <c r="O98" s="2" t="inlineStr">
        <is>
          <t>NA</t>
        </is>
      </c>
      <c r="P98" s="2" t="inlineStr">
        <is>
          <t>NA</t>
        </is>
      </c>
      <c r="Q98" s="2" t="inlineStr">
        <is>
          <t>No</t>
        </is>
      </c>
      <c r="R98" s="2" t="inlineStr">
        <is>
          <t>NA</t>
        </is>
      </c>
      <c r="S98" s="2" t="inlineStr">
        <is>
          <t>Student is in discussion with Axis Bank and requires additional support to complete the loan process</t>
        </is>
      </c>
      <c r="T98" s="2" t="inlineStr">
        <is>
          <t>16/7:Might require in the near future, he is already processing with SBI.
29/7: DNP</t>
        </is>
      </c>
      <c r="U98" s="2" t="inlineStr">
        <is>
          <t>Yes</t>
        </is>
      </c>
      <c r="V98" s="2" t="inlineStr">
        <is>
          <t>No</t>
        </is>
      </c>
      <c r="W98" s="2" t="inlineStr">
        <is>
          <t>No</t>
        </is>
      </c>
      <c r="X98" s="2" t="n"/>
      <c r="Y98" s="2" t="n"/>
      <c r="Z98" s="2" t="n"/>
      <c r="AA98" s="2" t="inlineStr">
        <is>
          <t>Control</t>
        </is>
      </c>
      <c r="AB98" s="2" t="inlineStr">
        <is>
          <t>Control</t>
        </is>
      </c>
      <c r="AC98" s="2" t="n"/>
      <c r="AD98" s="2" t="n"/>
      <c r="AE98" s="2" t="n"/>
      <c r="AF98" s="2" t="n"/>
      <c r="AG98" s="2" t="inlineStr">
        <is>
          <t>Ongoing</t>
        </is>
      </c>
      <c r="AH98" s="2" t="inlineStr">
        <is>
          <t>Processing at other bank</t>
        </is>
      </c>
      <c r="AI98" s="2" t="n"/>
      <c r="AJ98" s="2" t="inlineStr">
        <is>
          <t>No</t>
        </is>
      </c>
      <c r="AK98" s="2" t="n"/>
      <c r="AL98" s="2" t="n"/>
      <c r="AM98" s="2" t="n"/>
      <c r="AN98" s="2" t="n"/>
      <c r="AO98" s="2" t="n"/>
      <c r="AP98" s="2" t="n"/>
      <c r="AQ98" s="2" t="n"/>
    </row>
    <row r="99">
      <c r="A99" t="n">
        <v>98</v>
      </c>
      <c r="B99" s="2" t="inlineStr">
        <is>
          <t>Ashish Kumar</t>
        </is>
      </c>
      <c r="C99" s="3" t="n">
        <v>7294180072</v>
      </c>
      <c r="D99" s="2" t="inlineStr">
        <is>
          <t>PROV260505005</t>
        </is>
      </c>
      <c r="E99" s="2" t="inlineStr">
        <is>
          <t>SSAHE</t>
        </is>
      </c>
      <c r="F99" s="2" t="inlineStr">
        <is>
          <t>Yes</t>
        </is>
      </c>
      <c r="G99" s="2" t="inlineStr">
        <is>
          <t xml:space="preserve">Critical </t>
        </is>
      </c>
      <c r="H99" s="2" t="n">
        <v>0.125</v>
      </c>
      <c r="I99" s="2" t="n">
        <v>23</v>
      </c>
      <c r="J99" s="2" t="n">
        <v>0.76</v>
      </c>
      <c r="K99" s="2" t="inlineStr">
        <is>
          <t>Father</t>
        </is>
      </c>
      <c r="L99" s="2" t="inlineStr">
        <is>
          <t>Shop owner</t>
        </is>
      </c>
      <c r="M99" s="2" t="n">
        <v>3</v>
      </c>
      <c r="N99" s="2" t="inlineStr">
        <is>
          <t>Income Certificate</t>
        </is>
      </c>
      <c r="O99" s="2" t="inlineStr">
        <is>
          <t>NA</t>
        </is>
      </c>
      <c r="P99" s="2" t="inlineStr">
        <is>
          <t>NA</t>
        </is>
      </c>
      <c r="Q99" s="2" t="inlineStr">
        <is>
          <t>No</t>
        </is>
      </c>
      <c r="R99" s="2" t="inlineStr">
        <is>
          <t>NA</t>
        </is>
      </c>
      <c r="S99" s="2" t="inlineStr">
        <is>
          <t>Student has not received the required loan assistance and requests support.</t>
        </is>
      </c>
      <c r="T99" s="2" t="inlineStr">
        <is>
          <t>Get him called on monday
17/7 : Income : 5L, father profession : shop 
Loan req : 20L, 
27/7: ITR pending to be filed, got the bank statement</t>
        </is>
      </c>
      <c r="U99" s="2" t="inlineStr">
        <is>
          <t>Yes</t>
        </is>
      </c>
      <c r="V99" s="2" t="inlineStr">
        <is>
          <t>No</t>
        </is>
      </c>
      <c r="W99" s="2" t="inlineStr">
        <is>
          <t>yes</t>
        </is>
      </c>
      <c r="X99" s="2" t="inlineStr">
        <is>
          <t>No</t>
        </is>
      </c>
      <c r="Y99" s="2" t="inlineStr">
        <is>
          <t>yes</t>
        </is>
      </c>
      <c r="Z99" s="2" t="n"/>
      <c r="AA99" s="2" t="inlineStr">
        <is>
          <t>Control</t>
        </is>
      </c>
      <c r="AB99" s="2" t="inlineStr">
        <is>
          <t>Control</t>
        </is>
      </c>
      <c r="AC99" s="2" t="n"/>
      <c r="AD99" s="2" t="n"/>
      <c r="AE99" s="2" t="n"/>
      <c r="AF99" s="2" t="n"/>
      <c r="AG99" s="2" t="inlineStr">
        <is>
          <t>Ongoing</t>
        </is>
      </c>
      <c r="AH99" s="2" t="inlineStr">
        <is>
          <t>Processing by Poonawala Fincorp, Processing by GyanDhan</t>
        </is>
      </c>
      <c r="AI99" s="2" t="n"/>
      <c r="AJ99" s="2" t="inlineStr">
        <is>
          <t>No</t>
        </is>
      </c>
      <c r="AK99" s="2" t="n"/>
      <c r="AL99" s="2" t="n"/>
      <c r="AM99" s="2" t="n"/>
      <c r="AN99" s="2" t="n"/>
      <c r="AO99" s="2" t="n"/>
      <c r="AP99" s="2" t="n"/>
      <c r="AQ99" s="2" t="n"/>
    </row>
    <row r="100">
      <c r="A100" t="n">
        <v>99</v>
      </c>
      <c r="B100" s="2" t="inlineStr">
        <is>
          <t>Dipak kumar</t>
        </is>
      </c>
      <c r="C100" s="3" t="n">
        <v>6203899217</v>
      </c>
      <c r="D100" s="2" t="inlineStr">
        <is>
          <t>PROV260600907</t>
        </is>
      </c>
      <c r="E100" s="2" t="inlineStr">
        <is>
          <t>SSAHE</t>
        </is>
      </c>
      <c r="F100" s="2" t="inlineStr">
        <is>
          <t>Yes</t>
        </is>
      </c>
      <c r="G100" s="2" t="inlineStr">
        <is>
          <t xml:space="preserve">Critical </t>
        </is>
      </c>
      <c r="H100" s="2" t="n">
        <v>0.15</v>
      </c>
      <c r="I100" s="2" t="n">
        <v>20</v>
      </c>
      <c r="J100" s="2" t="n">
        <v>0.8</v>
      </c>
      <c r="K100" s="2" t="inlineStr">
        <is>
          <t>Father</t>
        </is>
      </c>
      <c r="L100" s="2" t="inlineStr">
        <is>
          <t>Private job</t>
        </is>
      </c>
      <c r="M100" s="2" t="n">
        <v>3</v>
      </c>
      <c r="N100" s="2" t="inlineStr">
        <is>
          <t>Income Certificate</t>
        </is>
      </c>
      <c r="O100" s="2" t="inlineStr">
        <is>
          <t>No</t>
        </is>
      </c>
      <c r="P100" s="2" t="inlineStr">
        <is>
          <t>Good</t>
        </is>
      </c>
      <c r="Q100" s="2" t="inlineStr">
        <is>
          <t>No</t>
        </is>
      </c>
      <c r="R100" s="2" t="inlineStr">
        <is>
          <t>NA</t>
        </is>
      </c>
      <c r="S100" s="2" t="inlineStr">
        <is>
          <t>Student requires assistance with the education loan process.</t>
        </is>
      </c>
      <c r="T100" s="2" t="inlineStr">
        <is>
          <t>DNP
*15/7/26: Student starting to looks for loans, have shared their profile to propelled
21/7: Student gave feedback to propelld, not intrested.</t>
        </is>
      </c>
      <c r="U100" s="2" t="inlineStr">
        <is>
          <t>Yes</t>
        </is>
      </c>
      <c r="V100" s="2" t="n"/>
      <c r="W100" s="2" t="inlineStr">
        <is>
          <t>Yes</t>
        </is>
      </c>
      <c r="X100" s="2" t="n"/>
      <c r="Y100" s="2" t="n"/>
      <c r="Z100" s="2" t="inlineStr">
        <is>
          <t>Yes</t>
        </is>
      </c>
      <c r="AA100" s="2" t="inlineStr">
        <is>
          <t>Control</t>
        </is>
      </c>
      <c r="AB100" s="2" t="inlineStr">
        <is>
          <t>Control</t>
        </is>
      </c>
      <c r="AC100" s="2" t="n"/>
      <c r="AD100" s="2" t="n"/>
      <c r="AE100" s="2" t="n"/>
      <c r="AF100" s="2" t="n"/>
      <c r="AG100" s="2" t="inlineStr">
        <is>
          <t>Not even started</t>
        </is>
      </c>
      <c r="AH100" s="2" t="inlineStr">
        <is>
          <t>Processing by GyanDhan</t>
        </is>
      </c>
      <c r="AI100" s="2" t="n"/>
      <c r="AJ100" s="2" t="inlineStr">
        <is>
          <t>No</t>
        </is>
      </c>
      <c r="AK100" s="2" t="n"/>
      <c r="AL100" s="2" t="inlineStr">
        <is>
          <t>Student rejected propelled due to high int</t>
        </is>
      </c>
      <c r="AM100" s="2" t="n"/>
      <c r="AN100" s="2" t="n"/>
      <c r="AO100" s="2" t="n"/>
      <c r="AP100" s="2" t="n"/>
      <c r="AQ100" s="2" t="n"/>
    </row>
    <row r="101">
      <c r="A101" t="n">
        <v>100</v>
      </c>
      <c r="B101" s="2" t="inlineStr">
        <is>
          <t>Saksham Upadhyay</t>
        </is>
      </c>
      <c r="C101" s="3" t="n">
        <v>8448174064</v>
      </c>
      <c r="D101" s="2" t="inlineStr">
        <is>
          <t>PROV260501316</t>
        </is>
      </c>
      <c r="E101" s="2" t="inlineStr">
        <is>
          <t>SSAHE</t>
        </is>
      </c>
      <c r="F101" s="2" t="inlineStr">
        <is>
          <t>Yes</t>
        </is>
      </c>
      <c r="G101" s="2" t="inlineStr">
        <is>
          <t xml:space="preserve">Critical </t>
        </is>
      </c>
      <c r="H101" s="2" t="n">
        <v>0.05</v>
      </c>
      <c r="I101" s="2" t="n">
        <v>25</v>
      </c>
      <c r="J101" s="2" t="n">
        <v>0.788</v>
      </c>
      <c r="K101" s="2" t="inlineStr">
        <is>
          <t>Father</t>
        </is>
      </c>
      <c r="L101" s="2" t="inlineStr">
        <is>
          <t>Private Sector</t>
        </is>
      </c>
      <c r="M101" s="2" t="n">
        <v>3</v>
      </c>
      <c r="N101" s="2" t="inlineStr">
        <is>
          <t>NA</t>
        </is>
      </c>
      <c r="O101" s="2" t="inlineStr">
        <is>
          <t>NA</t>
        </is>
      </c>
      <c r="P101" s="2" t="inlineStr">
        <is>
          <t>NA</t>
        </is>
      </c>
      <c r="Q101" s="2" t="n"/>
      <c r="R101" s="2" t="inlineStr">
        <is>
          <t>NA</t>
        </is>
      </c>
      <c r="S101" s="2" t="inlineStr">
        <is>
          <t>Student has been contacted by ICICI Bank regarding the loan application.</t>
        </is>
      </c>
      <c r="T101" s="2" t="inlineStr">
        <is>
          <t xml:space="preserve">DNP || will talk to father, have sent them to icici bank
*15/7/26 : DNP, have mailed
25/7 : 25K, father's profession : , annual income : 1.9L, itr : No, father has a agricultural propertly, guided him about PM vidyalakshmi , father looking for scholarship </t>
        </is>
      </c>
      <c r="U101" s="2" t="inlineStr">
        <is>
          <t>Yes</t>
        </is>
      </c>
      <c r="V101" s="2" t="n"/>
      <c r="W101" s="2" t="n"/>
      <c r="X101" s="2" t="n"/>
      <c r="Y101" s="2" t="n"/>
      <c r="Z101" s="2" t="n"/>
      <c r="AA101" s="2" t="inlineStr">
        <is>
          <t>Risk</t>
        </is>
      </c>
      <c r="AB101" s="2" t="inlineStr">
        <is>
          <t>Risk</t>
        </is>
      </c>
      <c r="AC101" s="2" t="n"/>
      <c r="AD101" s="2" t="inlineStr">
        <is>
          <t>This student is DNP from a long time, pls check</t>
        </is>
      </c>
      <c r="AE101" s="2" t="n"/>
      <c r="AF101" s="2" t="n"/>
      <c r="AG101" s="2" t="inlineStr">
        <is>
          <t>Not even started</t>
        </is>
      </c>
      <c r="AH101" s="2" t="n"/>
      <c r="AI101" s="2" t="n"/>
      <c r="AJ101" s="2" t="inlineStr">
        <is>
          <t>No</t>
        </is>
      </c>
      <c r="AK101" s="2" t="n"/>
      <c r="AL101" s="2" t="inlineStr">
        <is>
          <t>DNP</t>
        </is>
      </c>
      <c r="AM101" s="2" t="n"/>
      <c r="AN101" s="2" t="n"/>
      <c r="AO101" s="2" t="n"/>
      <c r="AP101" s="2" t="n"/>
      <c r="AQ101" s="2" t="n"/>
    </row>
    <row r="102">
      <c r="A102" t="n">
        <v>101</v>
      </c>
      <c r="B102" s="2" t="inlineStr">
        <is>
          <t>AYAAN GADAG</t>
        </is>
      </c>
      <c r="C102" s="3" t="n">
        <v>8867786237</v>
      </c>
      <c r="D102" s="2" t="inlineStr">
        <is>
          <t>PROV260500868</t>
        </is>
      </c>
      <c r="E102" s="2" t="inlineStr">
        <is>
          <t>SSAHE</t>
        </is>
      </c>
      <c r="F102" s="2" t="inlineStr">
        <is>
          <t>Yes</t>
        </is>
      </c>
      <c r="G102" s="2" t="inlineStr">
        <is>
          <t xml:space="preserve">Critical </t>
        </is>
      </c>
      <c r="H102" s="2" t="n">
        <v>0.075</v>
      </c>
      <c r="I102" s="2" t="n">
        <v>25</v>
      </c>
      <c r="J102" s="2" t="n">
        <v>0.78</v>
      </c>
      <c r="K102" s="2" t="inlineStr">
        <is>
          <t>Father</t>
        </is>
      </c>
      <c r="L102" s="2" t="inlineStr">
        <is>
          <t>Private Sector</t>
        </is>
      </c>
      <c r="M102" s="2" t="n">
        <v>3</v>
      </c>
      <c r="N102" s="2" t="inlineStr">
        <is>
          <t>Income Certificate</t>
        </is>
      </c>
      <c r="O102" s="2" t="inlineStr">
        <is>
          <t>NA</t>
        </is>
      </c>
      <c r="P102" s="2" t="inlineStr">
        <is>
          <t>NA</t>
        </is>
      </c>
      <c r="Q102" s="2" t="inlineStr">
        <is>
          <t>No</t>
        </is>
      </c>
      <c r="R102" s="2" t="inlineStr">
        <is>
          <t>NA</t>
        </is>
      </c>
      <c r="S102" s="2" t="inlineStr">
        <is>
          <t>Student was contacted by ICICI Bank; however, the application could not proceed due to insufficient family income. Student has requested follow-up support from B4S and Propelled.</t>
        </is>
      </c>
      <c r="T102" s="2" t="inlineStr">
        <is>
          <t xml:space="preserve">14/7 : Loan required : 23
FAther : Self employed ( Fish )
Annual income : 40K. month 
ITR filed : no || Is already in touch with propelld. || Propelld rejected
23/7: Ongoing with Gyandhan
30/7 :  Gyandhan rejected the loan on the context of missing documents such as UMang certificate 
31/7 : Student is applying through PM vidyalakshmi collateral loan.
31/7 : Credilla approved the loan , student is dicey about the interest, have sppoken to GD team to resolve this, moving this case from risk to control </t>
        </is>
      </c>
      <c r="U102" s="2" t="inlineStr">
        <is>
          <t>Yes</t>
        </is>
      </c>
      <c r="V102" s="2" t="inlineStr">
        <is>
          <t>Yes</t>
        </is>
      </c>
      <c r="W102" s="2" t="inlineStr">
        <is>
          <t>Yes</t>
        </is>
      </c>
      <c r="X102" s="2" t="n"/>
      <c r="Y102" s="2" t="n"/>
      <c r="Z102" s="2" t="inlineStr">
        <is>
          <t>Yes</t>
        </is>
      </c>
      <c r="AA102" s="2" t="inlineStr">
        <is>
          <t>Risk</t>
        </is>
      </c>
      <c r="AB102" s="2" t="inlineStr">
        <is>
          <t>Risk</t>
        </is>
      </c>
      <c r="AC102" s="2" t="n"/>
      <c r="AD102" s="2" t="n"/>
      <c r="AE102" s="2" t="n"/>
      <c r="AF102" s="2" t="n"/>
      <c r="AG102" s="2" t="inlineStr">
        <is>
          <t>Ongoing</t>
        </is>
      </c>
      <c r="AH102" s="2" t="inlineStr">
        <is>
          <t>Processing by GyanDhan</t>
        </is>
      </c>
      <c r="AI102" s="2" t="n"/>
      <c r="AJ102" s="2" t="inlineStr">
        <is>
          <t>Yes</t>
        </is>
      </c>
      <c r="AK102" s="2" t="n"/>
      <c r="AL102" s="2" t="n"/>
      <c r="AM102" s="2" t="n"/>
      <c r="AN102" s="2" t="n"/>
      <c r="AO102" s="2" t="n"/>
      <c r="AP102" s="2" t="n"/>
      <c r="AQ102" s="2" t="n"/>
    </row>
    <row r="103">
      <c r="A103" t="n">
        <v>102</v>
      </c>
      <c r="B103" s="2" t="inlineStr">
        <is>
          <t>Sakcham Goyal</t>
        </is>
      </c>
      <c r="C103" s="3" t="n">
        <v>7001517732</v>
      </c>
      <c r="D103" s="2" t="inlineStr">
        <is>
          <t>PROV1000000413</t>
        </is>
      </c>
      <c r="E103" s="2" t="inlineStr">
        <is>
          <t>SSAHE</t>
        </is>
      </c>
      <c r="F103" s="2" t="inlineStr">
        <is>
          <t>Yes</t>
        </is>
      </c>
      <c r="G103" s="2" t="inlineStr">
        <is>
          <t xml:space="preserve">Critical </t>
        </is>
      </c>
      <c r="H103" s="2" t="n">
        <v>0.35</v>
      </c>
      <c r="I103" s="2" t="n">
        <v>26</v>
      </c>
      <c r="J103" s="2" t="n"/>
      <c r="K103" s="2" t="inlineStr">
        <is>
          <t>Father</t>
        </is>
      </c>
      <c r="L103" s="2" t="inlineStr">
        <is>
          <t>Housewife</t>
        </is>
      </c>
      <c r="M103" s="2" t="n">
        <v>3</v>
      </c>
      <c r="N103" s="2" t="inlineStr">
        <is>
          <t>Income Certificate</t>
        </is>
      </c>
      <c r="O103" s="2" t="inlineStr">
        <is>
          <t>NA</t>
        </is>
      </c>
      <c r="P103" s="2" t="inlineStr">
        <is>
          <t>NA</t>
        </is>
      </c>
      <c r="Q103" s="2" t="inlineStr">
        <is>
          <t>No</t>
        </is>
      </c>
      <c r="R103" s="2" t="inlineStr">
        <is>
          <t>NA</t>
        </is>
      </c>
      <c r="S103" s="2" t="inlineStr">
        <is>
          <t>Student requires assistance with the education loan process.</t>
        </is>
      </c>
      <c r="T103" s="2" t="inlineStr">
        <is>
          <t xml:space="preserve">10/7/26 : Had a conversation with the student, Student says he wants the loan keeping mother as co aplicant, he would confirm the actual income with the mother and then come back. IF the mother income doesnt suffice , uncle has his own factory, he would be the coaplicant 
14/7 : spoke with the student again and the student is pending to provide documents from their end. 
16/7 : Student have got the call from icici and is sharing the documents to them. 
20/7 : Student called back and waiting for icici bank to revert. He has given the documents and icici confirmed he would have 3 days to come back but they haven't reached. Student has tried reaching the associates multiple times
31/7 : Gyandhan called him. student has given all the documents to prashanth. student has got a call from gyan dhan for credit check. </t>
        </is>
      </c>
      <c r="U103" s="2" t="inlineStr">
        <is>
          <t>Yes</t>
        </is>
      </c>
      <c r="V103" s="2" t="n"/>
      <c r="W103" s="2" t="inlineStr">
        <is>
          <t>Yes</t>
        </is>
      </c>
      <c r="X103" s="2" t="n"/>
      <c r="Y103" s="2" t="n"/>
      <c r="Z103" s="2" t="n"/>
      <c r="AA103" s="2" t="inlineStr">
        <is>
          <t>Control</t>
        </is>
      </c>
      <c r="AB103" s="2" t="inlineStr">
        <is>
          <t>Control</t>
        </is>
      </c>
      <c r="AC103" s="2" t="n"/>
      <c r="AD103" s="2" t="n"/>
      <c r="AE103" s="2" t="n"/>
      <c r="AF103" s="2" t="n"/>
      <c r="AG103" s="2" t="inlineStr">
        <is>
          <t>Ongoing</t>
        </is>
      </c>
      <c r="AH103" s="2" t="inlineStr">
        <is>
          <t>Processing by Icici, Processing by GyanDhan</t>
        </is>
      </c>
      <c r="AI103" s="2" t="n"/>
      <c r="AJ103" s="2" t="inlineStr">
        <is>
          <t>No</t>
        </is>
      </c>
      <c r="AK103" s="2" t="n"/>
      <c r="AL103" s="2" t="n"/>
      <c r="AM103" s="2" t="n"/>
      <c r="AN103" s="2" t="n"/>
      <c r="AO103" s="2" t="n"/>
      <c r="AP103" s="2" t="n"/>
      <c r="AQ103" s="2" t="n"/>
    </row>
    <row r="104">
      <c r="A104" t="n">
        <v>103</v>
      </c>
      <c r="B104" s="2" t="inlineStr">
        <is>
          <t>kartikay trivedi</t>
        </is>
      </c>
      <c r="C104" s="3" t="n">
        <v>9198771278</v>
      </c>
      <c r="D104" s="2" t="inlineStr">
        <is>
          <t>PROV260503041</t>
        </is>
      </c>
      <c r="E104" s="2" t="inlineStr">
        <is>
          <t>SSAHE</t>
        </is>
      </c>
      <c r="F104" s="2" t="inlineStr">
        <is>
          <t>Yes</t>
        </is>
      </c>
      <c r="G104" s="2" t="inlineStr">
        <is>
          <t xml:space="preserve">Critical </t>
        </is>
      </c>
      <c r="H104" s="2" t="n">
        <v>0.125</v>
      </c>
      <c r="I104" s="2" t="n">
        <v>12</v>
      </c>
      <c r="J104" s="2" t="n">
        <v>0.54</v>
      </c>
      <c r="K104" s="2" t="inlineStr">
        <is>
          <t>Father</t>
        </is>
      </c>
      <c r="L104" s="2" t="inlineStr">
        <is>
          <t>Self Emloyed</t>
        </is>
      </c>
      <c r="M104" s="2" t="n">
        <v>3.5</v>
      </c>
      <c r="N104" s="2" t="inlineStr">
        <is>
          <t>Income certificate</t>
        </is>
      </c>
      <c r="O104" s="2" t="inlineStr">
        <is>
          <t>NA</t>
        </is>
      </c>
      <c r="P104" s="2" t="inlineStr">
        <is>
          <t>NA</t>
        </is>
      </c>
      <c r="Q104" s="2" t="inlineStr">
        <is>
          <t>No</t>
        </is>
      </c>
      <c r="R104" s="2" t="inlineStr">
        <is>
          <t>NA</t>
        </is>
      </c>
      <c r="S104" s="2" t="inlineStr">
        <is>
          <t>Student requires assistance with the education loan process</t>
        </is>
      </c>
      <c r="T104" s="2" t="inlineStr">
        <is>
          <t>15/7 : Voice mail 
15/7 : Student called back . Father's number : 9987376443, father couldnt be connected, tried twice
21/7: Will take loan after two years.</t>
        </is>
      </c>
      <c r="U104" s="2" t="inlineStr">
        <is>
          <t>No</t>
        </is>
      </c>
      <c r="V104" s="2" t="n"/>
      <c r="W104" s="2" t="n"/>
      <c r="X104" s="2" t="n"/>
      <c r="Y104" s="2" t="n"/>
      <c r="Z104" s="2" t="n"/>
      <c r="AA104" s="2" t="inlineStr">
        <is>
          <t>Not required</t>
        </is>
      </c>
      <c r="AB104" s="2" t="inlineStr">
        <is>
          <t>Not required</t>
        </is>
      </c>
      <c r="AC104" s="2" t="n"/>
      <c r="AD104" s="2" t="n"/>
      <c r="AE104" s="2" t="n"/>
      <c r="AF104" s="2" t="n"/>
      <c r="AG104" s="2" t="inlineStr">
        <is>
          <t>Not required</t>
        </is>
      </c>
      <c r="AH104" s="2" t="n"/>
      <c r="AI104" s="2" t="n"/>
      <c r="AJ104" s="2" t="inlineStr">
        <is>
          <t>No</t>
        </is>
      </c>
      <c r="AK104" s="2" t="n"/>
      <c r="AL104" s="2" t="inlineStr">
        <is>
          <t>DNP</t>
        </is>
      </c>
      <c r="AM104" s="2" t="n"/>
      <c r="AN104" s="2" t="n"/>
      <c r="AO104" s="2" t="n"/>
      <c r="AP104" s="2" t="n"/>
      <c r="AQ104" s="2" t="n"/>
    </row>
    <row r="105">
      <c r="A105" t="n">
        <v>104</v>
      </c>
      <c r="B105" s="2" t="inlineStr">
        <is>
          <t>Sudip Das</t>
        </is>
      </c>
      <c r="C105" s="3" t="n">
        <v>9547325133</v>
      </c>
      <c r="D105" s="2" t="inlineStr">
        <is>
          <t>PROV260504212</t>
        </is>
      </c>
      <c r="E105" s="2" t="inlineStr">
        <is>
          <t>SSAHE</t>
        </is>
      </c>
      <c r="F105" s="2" t="inlineStr">
        <is>
          <t>Yes</t>
        </is>
      </c>
      <c r="G105" s="2" t="inlineStr">
        <is>
          <t xml:space="preserve">Critical </t>
        </is>
      </c>
      <c r="H105" s="2" t="n">
        <v>0.1</v>
      </c>
      <c r="I105" s="2" t="n">
        <v>25</v>
      </c>
      <c r="J105" s="2" t="n">
        <v>0.74</v>
      </c>
      <c r="K105" s="2" t="inlineStr">
        <is>
          <t>Father</t>
        </is>
      </c>
      <c r="L105" s="2" t="inlineStr">
        <is>
          <t>Pensenior</t>
        </is>
      </c>
      <c r="M105" s="2" t="n">
        <v>3.5</v>
      </c>
      <c r="N105" s="2" t="inlineStr">
        <is>
          <t>Yes</t>
        </is>
      </c>
      <c r="O105" s="2" t="inlineStr">
        <is>
          <t>Yes</t>
        </is>
      </c>
      <c r="P105" s="2" t="n">
        <v>700</v>
      </c>
      <c r="Q105" s="2" t="inlineStr">
        <is>
          <t>No</t>
        </is>
      </c>
      <c r="R105" s="2" t="inlineStr">
        <is>
          <t>NA</t>
        </is>
      </c>
      <c r="S105" s="2" t="inlineStr">
        <is>
          <t xml:space="preserve">Student has tried in SBI at personal Level </t>
        </is>
      </c>
      <c r="T105" s="2" t="inlineStr">
        <is>
          <t xml:space="preserve">15/7 : dnp, have shared wth sst
21/7 : Loan required : 22L, Father income : Army retired, works in pvt company , with no fixed income from there but he does earn 30K from there as well. Proceessing his loan through gyan dhan and propelld. SBI told it wouldn't be possible . 
Father : 7307944285
30/7 : Student called, they have been waiting the document list to be shared with gyan dhan </t>
        </is>
      </c>
      <c r="U105" s="2" t="inlineStr">
        <is>
          <t>Yes</t>
        </is>
      </c>
      <c r="V105" s="2" t="inlineStr">
        <is>
          <t>Yes</t>
        </is>
      </c>
      <c r="W105" s="2" t="inlineStr">
        <is>
          <t>Yes</t>
        </is>
      </c>
      <c r="X105" s="2" t="inlineStr">
        <is>
          <t>No</t>
        </is>
      </c>
      <c r="Y105" s="2" t="inlineStr">
        <is>
          <t>No</t>
        </is>
      </c>
      <c r="Z105" s="2" t="inlineStr">
        <is>
          <t>Yes</t>
        </is>
      </c>
      <c r="AA105" s="2" t="inlineStr">
        <is>
          <t>Control</t>
        </is>
      </c>
      <c r="AB105" s="2" t="inlineStr">
        <is>
          <t>Control</t>
        </is>
      </c>
      <c r="AC105" s="2" t="n"/>
      <c r="AD105" s="2" t="n"/>
      <c r="AE105" s="2" t="n"/>
      <c r="AF105" s="2" t="n"/>
      <c r="AG105" s="2" t="inlineStr">
        <is>
          <t>Ongoing</t>
        </is>
      </c>
      <c r="AH105" s="2" t="inlineStr">
        <is>
          <t>Processing by Propelld, Processing by GyanDhan</t>
        </is>
      </c>
      <c r="AI105" s="2" t="n"/>
      <c r="AJ105" s="2" t="inlineStr">
        <is>
          <t>No</t>
        </is>
      </c>
      <c r="AK105" s="2" t="n"/>
      <c r="AL105" s="2" t="n"/>
      <c r="AM105" s="2" t="n"/>
      <c r="AN105" s="2" t="n"/>
      <c r="AO105" s="2" t="n"/>
      <c r="AP105" s="2" t="n"/>
      <c r="AQ105" s="2" t="n"/>
    </row>
    <row r="106">
      <c r="A106" t="n">
        <v>105</v>
      </c>
      <c r="B106" s="2" t="inlineStr">
        <is>
          <t>Abhi Tyagi</t>
        </is>
      </c>
      <c r="C106" s="3" t="n">
        <v>8126595015</v>
      </c>
      <c r="D106" s="2" t="inlineStr">
        <is>
          <t>PROV260503710</t>
        </is>
      </c>
      <c r="E106" s="2" t="inlineStr">
        <is>
          <t>SSAHE</t>
        </is>
      </c>
      <c r="F106" s="2" t="inlineStr">
        <is>
          <t>No</t>
        </is>
      </c>
      <c r="G106" s="2" t="inlineStr">
        <is>
          <t>Loan not required</t>
        </is>
      </c>
      <c r="H106" s="2" t="n">
        <v>0.1</v>
      </c>
      <c r="I106" s="2" t="n">
        <v>18</v>
      </c>
      <c r="J106" s="2" t="n">
        <v>0.66</v>
      </c>
      <c r="K106" s="2" t="inlineStr">
        <is>
          <t>Father</t>
        </is>
      </c>
      <c r="L106" s="2" t="inlineStr">
        <is>
          <t>BSF Retired</t>
        </is>
      </c>
      <c r="M106" s="2" t="n">
        <v>3.54</v>
      </c>
      <c r="N106" s="2" t="inlineStr">
        <is>
          <t>Income Certificate</t>
        </is>
      </c>
      <c r="O106" s="2" t="inlineStr">
        <is>
          <t>NA</t>
        </is>
      </c>
      <c r="P106" s="2" t="inlineStr">
        <is>
          <t>NA</t>
        </is>
      </c>
      <c r="Q106" s="2" t="inlineStr">
        <is>
          <t>No</t>
        </is>
      </c>
      <c r="R106" s="2" t="inlineStr">
        <is>
          <t>NA</t>
        </is>
      </c>
      <c r="S106" s="2" t="inlineStr">
        <is>
          <t>Student has opted to proceed with an SBI education loan.</t>
        </is>
      </c>
      <c r="T106" s="2" t="inlineStr">
        <is>
          <t xml:space="preserve">15/7 : Loan not required , student wants to pay the fees </t>
        </is>
      </c>
      <c r="U106" s="2" t="inlineStr">
        <is>
          <t>No</t>
        </is>
      </c>
      <c r="V106" s="2" t="n"/>
      <c r="W106" s="2" t="n"/>
      <c r="X106" s="2" t="n"/>
      <c r="Y106" s="2" t="n"/>
      <c r="Z106" s="2" t="n"/>
      <c r="AA106" s="2" t="inlineStr">
        <is>
          <t>Not required</t>
        </is>
      </c>
      <c r="AB106" s="2" t="inlineStr">
        <is>
          <t>Not required</t>
        </is>
      </c>
      <c r="AC106" s="2" t="n"/>
      <c r="AD106" s="2" t="n"/>
      <c r="AE106" s="2" t="n"/>
      <c r="AF106" s="2" t="n"/>
      <c r="AG106" s="2" t="inlineStr">
        <is>
          <t>Not required</t>
        </is>
      </c>
      <c r="AH106" s="2" t="n"/>
      <c r="AI106" s="2" t="n"/>
      <c r="AJ106" s="2" t="n"/>
      <c r="AK106" s="2" t="n"/>
      <c r="AL106" s="2" t="n"/>
      <c r="AM106" s="2" t="n"/>
      <c r="AN106" s="2" t="n"/>
      <c r="AO106" s="2" t="n"/>
      <c r="AP106" s="2" t="n"/>
      <c r="AQ106" s="2" t="n"/>
    </row>
    <row r="107">
      <c r="A107" t="n">
        <v>106</v>
      </c>
      <c r="B107" s="2" t="inlineStr">
        <is>
          <t>jainam Vachhani</t>
        </is>
      </c>
      <c r="C107" s="3" t="n">
        <v>9213475572</v>
      </c>
      <c r="D107" s="2" t="inlineStr">
        <is>
          <t>PROV260605613</t>
        </is>
      </c>
      <c r="E107" s="2" t="inlineStr">
        <is>
          <t>ADYPU</t>
        </is>
      </c>
      <c r="F107" s="2" t="inlineStr">
        <is>
          <t>Yes</t>
        </is>
      </c>
      <c r="G107" s="2" t="inlineStr">
        <is>
          <t xml:space="preserve">Non Critical </t>
        </is>
      </c>
      <c r="H107" s="2" t="n">
        <v>0.225</v>
      </c>
      <c r="I107" s="2" t="n">
        <v>28</v>
      </c>
      <c r="J107" s="2" t="n">
        <v>74.92</v>
      </c>
      <c r="K107" s="2" t="inlineStr">
        <is>
          <t>Father</t>
        </is>
      </c>
      <c r="L107" s="2" t="inlineStr">
        <is>
          <t>Business</t>
        </is>
      </c>
      <c r="M107" s="2" t="n">
        <v>1.8</v>
      </c>
      <c r="N107" s="2" t="inlineStr">
        <is>
          <t>Income Certificate</t>
        </is>
      </c>
      <c r="O107" s="2" t="inlineStr">
        <is>
          <t>No</t>
        </is>
      </c>
      <c r="P107" s="2" t="inlineStr">
        <is>
          <t>NA</t>
        </is>
      </c>
      <c r="Q107" s="2" t="inlineStr">
        <is>
          <t>No</t>
        </is>
      </c>
      <c r="R107" s="2" t="inlineStr">
        <is>
          <t>NA</t>
        </is>
      </c>
      <c r="S107" s="2" t="inlineStr">
        <is>
          <t>needs time to decide which loan and what amount but will take loan</t>
        </is>
      </c>
      <c r="T107" s="2" t="inlineStr">
        <is>
          <t xml:space="preserve">Haven't Decided to go for loan right now </t>
        </is>
      </c>
      <c r="U107" s="2" t="inlineStr">
        <is>
          <t>No</t>
        </is>
      </c>
      <c r="V107" s="2" t="n"/>
      <c r="W107" s="2" t="n"/>
      <c r="X107" s="2" t="n"/>
      <c r="Y107" s="2" t="n"/>
      <c r="Z107" s="2" t="n"/>
      <c r="AA107" s="2" t="inlineStr">
        <is>
          <t>Not required</t>
        </is>
      </c>
      <c r="AB107" s="2" t="inlineStr">
        <is>
          <t>Not required</t>
        </is>
      </c>
      <c r="AC107" s="2" t="n"/>
      <c r="AD107" s="2" t="n"/>
      <c r="AE107" s="2" t="n"/>
      <c r="AF107" s="2" t="n"/>
      <c r="AG107" s="2" t="inlineStr">
        <is>
          <t>Not required</t>
        </is>
      </c>
      <c r="AH107" s="2" t="n"/>
      <c r="AI107" s="2" t="n"/>
      <c r="AJ107" s="2" t="inlineStr">
        <is>
          <t>No</t>
        </is>
      </c>
      <c r="AK107" s="2" t="n"/>
      <c r="AL107" s="2" t="n"/>
      <c r="AM107" s="2" t="n"/>
      <c r="AN107" s="2" t="n"/>
      <c r="AO107" s="2" t="n"/>
      <c r="AP107" s="2" t="n"/>
      <c r="AQ107" s="2" t="n"/>
    </row>
    <row r="108">
      <c r="A108" t="n">
        <v>107</v>
      </c>
      <c r="B108" s="2" t="inlineStr">
        <is>
          <t>Vishal Kumar Chaubey</t>
        </is>
      </c>
      <c r="C108" s="3" t="n">
        <v>6386956044</v>
      </c>
      <c r="D108" s="2" t="inlineStr">
        <is>
          <t>PROV1000000479</t>
        </is>
      </c>
      <c r="E108" s="2" t="inlineStr">
        <is>
          <t>ADYPU</t>
        </is>
      </c>
      <c r="F108" s="2" t="inlineStr">
        <is>
          <t>Yes</t>
        </is>
      </c>
      <c r="G108" s="2" t="inlineStr">
        <is>
          <t xml:space="preserve">Critical </t>
        </is>
      </c>
      <c r="H108" s="2" t="n">
        <v>0.125</v>
      </c>
      <c r="I108" s="2" t="n">
        <v>20</v>
      </c>
      <c r="J108" s="2" t="n">
        <v>77</v>
      </c>
      <c r="K108" s="2" t="inlineStr">
        <is>
          <t>Father</t>
        </is>
      </c>
      <c r="L108" s="2" t="inlineStr">
        <is>
          <t>Business</t>
        </is>
      </c>
      <c r="M108" s="2" t="n">
        <v>2</v>
      </c>
      <c r="N108" s="2" t="inlineStr">
        <is>
          <t>Income Certificate</t>
        </is>
      </c>
      <c r="O108" s="2" t="inlineStr">
        <is>
          <t>No</t>
        </is>
      </c>
      <c r="P108" s="2" t="inlineStr">
        <is>
          <t>NA</t>
        </is>
      </c>
      <c r="Q108" s="2" t="inlineStr">
        <is>
          <t>No</t>
        </is>
      </c>
      <c r="R108" s="2" t="inlineStr">
        <is>
          <t>NA</t>
        </is>
      </c>
      <c r="S108" s="2" t="inlineStr">
        <is>
          <t>Waiting for the bank to reach them out Need assitance from us</t>
        </is>
      </c>
      <c r="T108" s="2" t="inlineStr">
        <is>
          <t xml:space="preserve">ICICI Bank for the called , 2.4 Lakhs is the actual income(All Cash)
21/7: Student said they are not comfortable with the high rate of int and payment from first month cause it puts a lots of unnecessary burden, wants to know that for him and other students from low background what options are available.
27/7 : 12th : 77.8 , JEE : 66 , 10th : 88%. Have suggested the student to PM vidyalakshmi , hostel fees is also required. Student is looking for refund. Explored other members for coapplicant which he currently doesnt have. Gyan dhan contacted him, they also denied. </t>
        </is>
      </c>
      <c r="U108" s="2" t="inlineStr">
        <is>
          <t>Refund</t>
        </is>
      </c>
      <c r="V108" s="2" t="n"/>
      <c r="W108" s="2" t="n"/>
      <c r="X108" s="2" t="n"/>
      <c r="Y108" s="2" t="n"/>
      <c r="Z108" s="2" t="inlineStr">
        <is>
          <t>Yes</t>
        </is>
      </c>
      <c r="AA108" s="2" t="inlineStr">
        <is>
          <t>Refund case</t>
        </is>
      </c>
      <c r="AB108" s="2" t="inlineStr">
        <is>
          <t>Refund case</t>
        </is>
      </c>
      <c r="AC108" s="2" t="n"/>
      <c r="AD108" s="2" t="n"/>
      <c r="AE108" s="2" t="n"/>
      <c r="AF108" s="2" t="n"/>
      <c r="AG108" s="2" t="inlineStr">
        <is>
          <t>Not required</t>
        </is>
      </c>
      <c r="AH108" s="2" t="n"/>
      <c r="AI108" s="2" t="inlineStr">
        <is>
          <t>Yes</t>
        </is>
      </c>
      <c r="AJ108" s="2" t="inlineStr">
        <is>
          <t>No</t>
        </is>
      </c>
      <c r="AK108" s="2" t="n"/>
      <c r="AL108" s="2" t="inlineStr">
        <is>
          <t xml:space="preserve"> Student said they are not comfortable with the high rate of int and payment from first month cause it puts a lots of unnecessary burden, wants to know that for him and other students from low background what options are available.</t>
        </is>
      </c>
      <c r="AM108" s="2" t="n"/>
      <c r="AN108" s="2" t="n"/>
      <c r="AO108" s="2" t="n"/>
      <c r="AP108" s="2" t="n"/>
      <c r="AQ108" s="2" t="n"/>
    </row>
    <row r="109">
      <c r="A109" t="n">
        <v>108</v>
      </c>
      <c r="B109" s="2" t="inlineStr">
        <is>
          <t>shebaz malik</t>
        </is>
      </c>
      <c r="C109" s="3" t="n">
        <v>7400421258</v>
      </c>
      <c r="D109" s="2" t="inlineStr">
        <is>
          <t>PROV260502002</t>
        </is>
      </c>
      <c r="E109" s="2" t="inlineStr">
        <is>
          <t>ADYPU</t>
        </is>
      </c>
      <c r="F109" s="2" t="inlineStr">
        <is>
          <t>No</t>
        </is>
      </c>
      <c r="G109" s="2" t="inlineStr">
        <is>
          <t>Loan not required</t>
        </is>
      </c>
      <c r="H109" s="2" t="n">
        <v>0.075</v>
      </c>
      <c r="I109" s="2" t="n">
        <v>25</v>
      </c>
      <c r="J109" s="2" t="n">
        <v>52</v>
      </c>
      <c r="K109" s="2" t="inlineStr">
        <is>
          <t>Father</t>
        </is>
      </c>
      <c r="L109" s="2" t="inlineStr">
        <is>
          <t>Self-Employed</t>
        </is>
      </c>
      <c r="M109" s="2" t="n">
        <v>3</v>
      </c>
      <c r="N109" s="2" t="inlineStr">
        <is>
          <t>NA</t>
        </is>
      </c>
      <c r="O109" s="2" t="inlineStr">
        <is>
          <t>No</t>
        </is>
      </c>
      <c r="P109" s="2" t="inlineStr">
        <is>
          <t>NA</t>
        </is>
      </c>
      <c r="Q109" s="2" t="inlineStr">
        <is>
          <t>No</t>
        </is>
      </c>
      <c r="R109" s="2" t="inlineStr">
        <is>
          <t>NA</t>
        </is>
      </c>
      <c r="S109" s="2" t="inlineStr">
        <is>
          <t>Waiting for the bank to reach them out Need assitance from us</t>
        </is>
      </c>
      <c r="T109" s="2" t="inlineStr">
        <is>
          <t xml:space="preserve">Not need loan , family is very strong financial background but not ready to disclose. own a truck and can get a loan. He own assest above </t>
        </is>
      </c>
      <c r="U109" s="2" t="inlineStr">
        <is>
          <t>No</t>
        </is>
      </c>
      <c r="V109" s="2" t="n"/>
      <c r="W109" s="2" t="n"/>
      <c r="X109" s="2" t="n"/>
      <c r="Y109" s="2" t="n"/>
      <c r="Z109" s="2" t="n"/>
      <c r="AA109" s="2" t="inlineStr">
        <is>
          <t>Not required</t>
        </is>
      </c>
      <c r="AB109" s="2" t="inlineStr">
        <is>
          <t>Not required</t>
        </is>
      </c>
      <c r="AC109" s="2" t="n"/>
      <c r="AD109" s="2" t="n"/>
      <c r="AE109" s="2" t="n"/>
      <c r="AF109" s="2" t="n"/>
      <c r="AG109" s="2" t="inlineStr">
        <is>
          <t>Not required</t>
        </is>
      </c>
      <c r="AH109" s="2" t="n"/>
      <c r="AI109" s="2" t="n"/>
      <c r="AJ109" s="2" t="inlineStr">
        <is>
          <t>No</t>
        </is>
      </c>
      <c r="AK109" s="2" t="n"/>
      <c r="AL109" s="2" t="n"/>
      <c r="AM109" s="2" t="n"/>
      <c r="AN109" s="2" t="n"/>
      <c r="AO109" s="2" t="n"/>
      <c r="AP109" s="2" t="n"/>
      <c r="AQ109" s="2" t="n"/>
    </row>
    <row r="110">
      <c r="A110" t="n">
        <v>109</v>
      </c>
      <c r="B110" s="2" t="inlineStr">
        <is>
          <t>Arit Ghosh</t>
        </is>
      </c>
      <c r="C110" s="3" t="n">
        <v>9732671532</v>
      </c>
      <c r="D110" s="2" t="inlineStr">
        <is>
          <t>PROV260605799</t>
        </is>
      </c>
      <c r="E110" s="2" t="inlineStr">
        <is>
          <t>ADYPU</t>
        </is>
      </c>
      <c r="F110" s="2" t="inlineStr">
        <is>
          <t>Yes</t>
        </is>
      </c>
      <c r="G110" s="2" t="inlineStr">
        <is>
          <t xml:space="preserve">Non Critical </t>
        </is>
      </c>
      <c r="H110" s="2" t="n">
        <v>0.125</v>
      </c>
      <c r="I110" s="2" t="n">
        <v>10</v>
      </c>
      <c r="J110" s="2" t="n">
        <v>80</v>
      </c>
      <c r="K110" s="2" t="inlineStr">
        <is>
          <t>Father</t>
        </is>
      </c>
      <c r="L110" s="2" t="inlineStr">
        <is>
          <t>Bussiness</t>
        </is>
      </c>
      <c r="M110" s="2" t="n">
        <v>3</v>
      </c>
      <c r="N110" s="2" t="inlineStr">
        <is>
          <t>EWS</t>
        </is>
      </c>
      <c r="O110" s="2" t="inlineStr">
        <is>
          <t>Yes</t>
        </is>
      </c>
      <c r="P110" s="2" t="n">
        <v>640</v>
      </c>
      <c r="Q110" s="2" t="inlineStr">
        <is>
          <t>No</t>
        </is>
      </c>
      <c r="R110" s="2" t="inlineStr">
        <is>
          <t>NA</t>
        </is>
      </c>
      <c r="S110" s="2" t="inlineStr">
        <is>
          <t>Going with west bengal givernment for 10L rest need loan</t>
        </is>
      </c>
      <c r="T110" s="2" t="inlineStr">
        <is>
          <t>ICICI Bank asked for the documents. 6LPA income which he confiermed on call . Father dont understadn hindi so he will discuss and inform me if number is higher
12/7 : Had a word with him, he would require loan, have to share his details wtih icici. 
21/7: In talks with Gyandhan and other banks.
31/7: Logged in with GyanDhan</t>
        </is>
      </c>
      <c r="U110" s="2" t="inlineStr">
        <is>
          <t>Yes</t>
        </is>
      </c>
      <c r="V110" s="2" t="n"/>
      <c r="W110" s="2" t="n"/>
      <c r="X110" s="2" t="n"/>
      <c r="Y110" s="2" t="n"/>
      <c r="Z110" s="2" t="n"/>
      <c r="AA110" s="2" t="inlineStr">
        <is>
          <t>Control</t>
        </is>
      </c>
      <c r="AB110" s="2" t="inlineStr">
        <is>
          <t>Control</t>
        </is>
      </c>
      <c r="AC110" s="2" t="n"/>
      <c r="AD110" s="2" t="n"/>
      <c r="AE110" s="2" t="n"/>
      <c r="AF110" s="2" t="n"/>
      <c r="AG110" s="2" t="inlineStr">
        <is>
          <t>Ongoing</t>
        </is>
      </c>
      <c r="AH110" s="2" t="inlineStr">
        <is>
          <t>Processing by GyanDhan, Processing at other bank</t>
        </is>
      </c>
      <c r="AI110" s="2" t="n"/>
      <c r="AJ110" s="2" t="inlineStr">
        <is>
          <t>No</t>
        </is>
      </c>
      <c r="AK110" s="2" t="n"/>
      <c r="AL110" s="2" t="n"/>
      <c r="AM110" s="2" t="n"/>
      <c r="AN110" s="2" t="n"/>
      <c r="AO110" s="2" t="n"/>
      <c r="AP110" s="2" t="n"/>
      <c r="AQ110" s="2" t="n"/>
    </row>
    <row r="111">
      <c r="A111" t="n">
        <v>110</v>
      </c>
      <c r="B111" s="2" t="inlineStr">
        <is>
          <t>RIJU GOSWAMI</t>
        </is>
      </c>
      <c r="C111" s="3" t="n">
        <v>6296613439</v>
      </c>
      <c r="D111" s="2" t="inlineStr">
        <is>
          <t>PROV260501990</t>
        </is>
      </c>
      <c r="E111" s="2" t="inlineStr">
        <is>
          <t>ADYPU</t>
        </is>
      </c>
      <c r="F111" s="2" t="inlineStr">
        <is>
          <t>Yes</t>
        </is>
      </c>
      <c r="G111" s="2" t="inlineStr">
        <is>
          <t xml:space="preserve">Critical </t>
        </is>
      </c>
      <c r="H111" s="2" t="n">
        <v>0.125</v>
      </c>
      <c r="I111" s="2" t="n">
        <v>15</v>
      </c>
      <c r="J111" s="2" t="n">
        <v>81</v>
      </c>
      <c r="K111" s="2" t="inlineStr">
        <is>
          <t>Father</t>
        </is>
      </c>
      <c r="L111" s="2" t="inlineStr">
        <is>
          <t>Business</t>
        </is>
      </c>
      <c r="M111" s="2" t="n">
        <v>4</v>
      </c>
      <c r="N111" s="2" t="inlineStr">
        <is>
          <t>NA</t>
        </is>
      </c>
      <c r="O111" s="2" t="inlineStr">
        <is>
          <t>No</t>
        </is>
      </c>
      <c r="P111" s="2" t="inlineStr">
        <is>
          <t>NA</t>
        </is>
      </c>
      <c r="Q111" s="2" t="inlineStr">
        <is>
          <t>No</t>
        </is>
      </c>
      <c r="R111" s="2" t="inlineStr">
        <is>
          <t>NA</t>
        </is>
      </c>
      <c r="S111" s="2" t="inlineStr">
        <is>
          <t>Waiting for the bank to reach them out Need assitance from us</t>
        </is>
      </c>
      <c r="T111" s="2" t="inlineStr">
        <is>
          <t>DNR
*15/7/26 : DNP, have mailed 
17/7: DNP
21/7 : DNP
27/7 : DNP</t>
        </is>
      </c>
      <c r="U111" s="2" t="inlineStr">
        <is>
          <t>Yes</t>
        </is>
      </c>
      <c r="V111" s="2" t="n"/>
      <c r="W111" s="2" t="n"/>
      <c r="X111" s="2" t="n"/>
      <c r="Y111" s="2" t="n"/>
      <c r="Z111" s="2" t="n"/>
      <c r="AA111" s="2" t="inlineStr">
        <is>
          <t>Control</t>
        </is>
      </c>
      <c r="AB111" s="2" t="inlineStr">
        <is>
          <t>Control</t>
        </is>
      </c>
      <c r="AC111" s="2" t="n"/>
      <c r="AD111" s="2" t="inlineStr">
        <is>
          <t>She is DNP for a long time, can we have an update on here profile.</t>
        </is>
      </c>
      <c r="AE111" s="2" t="n"/>
      <c r="AF111" s="2" t="n"/>
      <c r="AG111" s="2" t="inlineStr">
        <is>
          <t>Not even started</t>
        </is>
      </c>
      <c r="AH111" s="2" t="n"/>
      <c r="AI111" s="2" t="n"/>
      <c r="AJ111" s="2" t="inlineStr">
        <is>
          <t>No</t>
        </is>
      </c>
      <c r="AK111" s="2" t="n"/>
      <c r="AL111" s="2" t="inlineStr">
        <is>
          <t>DNP, even partners said DNP</t>
        </is>
      </c>
      <c r="AM111" s="2" t="n"/>
      <c r="AN111" s="2" t="n"/>
      <c r="AO111" s="2" t="n"/>
      <c r="AP111" s="2" t="n"/>
      <c r="AQ111" s="2" t="n"/>
    </row>
    <row r="112">
      <c r="A112" t="n">
        <v>111</v>
      </c>
      <c r="B112" s="2" t="inlineStr">
        <is>
          <t>Ranjan prajapati</t>
        </is>
      </c>
      <c r="C112" s="3" t="n">
        <v>7741970340</v>
      </c>
      <c r="D112" s="2" t="inlineStr">
        <is>
          <t>PROV260604500</t>
        </is>
      </c>
      <c r="E112" s="2" t="inlineStr">
        <is>
          <t>SSAHE</t>
        </is>
      </c>
      <c r="F112" s="2" t="inlineStr">
        <is>
          <t>Yes</t>
        </is>
      </c>
      <c r="G112" s="2" t="inlineStr">
        <is>
          <t xml:space="preserve">Non Critical </t>
        </is>
      </c>
      <c r="H112" s="2" t="n">
        <v>0.075</v>
      </c>
      <c r="I112" s="2" t="n">
        <v>25</v>
      </c>
      <c r="J112" s="2" t="n">
        <v>0.63</v>
      </c>
      <c r="K112" s="2" t="inlineStr">
        <is>
          <t>Father</t>
        </is>
      </c>
      <c r="L112" s="2" t="inlineStr">
        <is>
          <t>Salaried</t>
        </is>
      </c>
      <c r="M112" s="2" t="n">
        <v>1.6</v>
      </c>
      <c r="N112" s="2" t="inlineStr">
        <is>
          <t>Salary slip</t>
        </is>
      </c>
      <c r="O112" s="2" t="inlineStr">
        <is>
          <t>No</t>
        </is>
      </c>
      <c r="P112" s="2" t="inlineStr">
        <is>
          <t>N/A</t>
        </is>
      </c>
      <c r="Q112" s="2" t="inlineStr">
        <is>
          <t>N/A</t>
        </is>
      </c>
      <c r="R112" s="2" t="inlineStr">
        <is>
          <t>N/A</t>
        </is>
      </c>
      <c r="S112" s="2" t="inlineStr">
        <is>
          <t>Incoming call not available, Contact on whatsapp Call</t>
        </is>
      </c>
      <c r="T112" s="2" t="inlineStr">
        <is>
          <t>DNP
9/7/26 : had a word with father, father + mother income : 3.5L annual, forwarded it to propelld at 6:36pm. 
21/7 : Loan amount confirmation is pending with the student to propelld 
24/7: Gyandhan rejected</t>
        </is>
      </c>
      <c r="U112" s="2" t="inlineStr">
        <is>
          <t>Yes</t>
        </is>
      </c>
      <c r="V112" s="2" t="inlineStr">
        <is>
          <t>No</t>
        </is>
      </c>
      <c r="W112" s="2" t="inlineStr">
        <is>
          <t>Yes</t>
        </is>
      </c>
      <c r="X112" s="2" t="n"/>
      <c r="Y112" s="2" t="n"/>
      <c r="Z112" s="2" t="n"/>
      <c r="AA112" s="2" t="inlineStr">
        <is>
          <t>Risk</t>
        </is>
      </c>
      <c r="AB112" s="2" t="inlineStr">
        <is>
          <t>Risk</t>
        </is>
      </c>
      <c r="AC112" s="2" t="n"/>
      <c r="AD112" s="2" t="n"/>
      <c r="AE112" s="2" t="n"/>
      <c r="AF112" s="2" t="n"/>
      <c r="AG112" s="2" t="inlineStr">
        <is>
          <t>Ongoing</t>
        </is>
      </c>
      <c r="AH112" s="2" t="inlineStr">
        <is>
          <t>Processing by Propelld</t>
        </is>
      </c>
      <c r="AI112" s="2" t="n"/>
      <c r="AJ112" s="2" t="inlineStr">
        <is>
          <t>No</t>
        </is>
      </c>
      <c r="AK112" s="2" t="n"/>
      <c r="AL112" s="2" t="n"/>
      <c r="AM112" s="2" t="n"/>
      <c r="AN112" s="2" t="n"/>
      <c r="AO112" s="2" t="n"/>
      <c r="AP112" s="2" t="n"/>
      <c r="AQ112" s="2" t="n"/>
    </row>
    <row r="113">
      <c r="A113" t="n">
        <v>112</v>
      </c>
      <c r="B113" s="2" t="inlineStr">
        <is>
          <t>Aditya Kumar(1)</t>
        </is>
      </c>
      <c r="C113" s="3" t="n">
        <v>8840675406</v>
      </c>
      <c r="D113" s="2" t="inlineStr">
        <is>
          <t>PROV1000000364</t>
        </is>
      </c>
      <c r="E113" s="2" t="inlineStr">
        <is>
          <t>SSAHE</t>
        </is>
      </c>
      <c r="F113" s="2" t="inlineStr">
        <is>
          <t>Drop</t>
        </is>
      </c>
      <c r="G113" s="2" t="inlineStr">
        <is>
          <t>Loan not required</t>
        </is>
      </c>
      <c r="H113" s="2" t="n"/>
      <c r="I113" s="2" t="n"/>
      <c r="J113" s="2" t="n"/>
      <c r="K113" s="2" t="n"/>
      <c r="L113" s="2" t="n"/>
      <c r="M113" s="2" t="n"/>
      <c r="N113" s="2" t="n"/>
      <c r="O113" s="2" t="n"/>
      <c r="P113" s="2" t="n"/>
      <c r="Q113" s="2" t="n"/>
      <c r="R113" s="2" t="n"/>
      <c r="S113" s="2" t="inlineStr">
        <is>
          <t>he's taking loan from local bank</t>
        </is>
      </c>
      <c r="T113" s="2" t="inlineStr">
        <is>
          <t>- 24/7 : Refund case</t>
        </is>
      </c>
      <c r="U113" s="2" t="inlineStr">
        <is>
          <t>Refund</t>
        </is>
      </c>
      <c r="V113" s="2" t="inlineStr"/>
      <c r="W113" s="2" t="inlineStr"/>
      <c r="X113" s="2" t="n"/>
      <c r="Y113" s="2" t="n"/>
      <c r="Z113" s="2" t="n"/>
      <c r="AA113" s="2" t="inlineStr">
        <is>
          <t>Refund case</t>
        </is>
      </c>
      <c r="AB113" s="2" t="inlineStr">
        <is>
          <t>Refund case</t>
        </is>
      </c>
      <c r="AC113" s="2" t="n"/>
      <c r="AD113" s="2" t="n"/>
      <c r="AE113" s="2" t="n"/>
      <c r="AF113" s="2" t="n"/>
      <c r="AG113" s="2" t="inlineStr">
        <is>
          <t>Not required</t>
        </is>
      </c>
      <c r="AH113" s="2" t="n"/>
      <c r="AI113" s="2" t="n"/>
      <c r="AJ113" s="2" t="n"/>
      <c r="AK113" s="2" t="n"/>
      <c r="AL113" s="2" t="n"/>
      <c r="AM113" s="2" t="n"/>
      <c r="AN113" s="2" t="n"/>
      <c r="AO113" s="2" t="n"/>
      <c r="AP113" s="2" t="n"/>
      <c r="AQ113" s="2" t="n"/>
    </row>
    <row r="114">
      <c r="A114" t="n">
        <v>113</v>
      </c>
      <c r="B114" s="2" t="inlineStr">
        <is>
          <t>Utkarsh Tuwani</t>
        </is>
      </c>
      <c r="C114" s="3" t="n">
        <v>8889810003</v>
      </c>
      <c r="D114" s="2" t="inlineStr">
        <is>
          <t>PROV1000001365</t>
        </is>
      </c>
      <c r="E114" s="2" t="inlineStr">
        <is>
          <t>SSAHE</t>
        </is>
      </c>
      <c r="F114" s="2" t="inlineStr">
        <is>
          <t>Yes</t>
        </is>
      </c>
      <c r="G114" s="2" t="inlineStr">
        <is>
          <t xml:space="preserve">Non Critical </t>
        </is>
      </c>
      <c r="H114" s="2" t="n"/>
      <c r="I114" s="2" t="n"/>
      <c r="J114" s="2" t="n"/>
      <c r="K114" s="2" t="inlineStr">
        <is>
          <t>Father</t>
        </is>
      </c>
      <c r="L114" s="2" t="inlineStr">
        <is>
          <t>Busness</t>
        </is>
      </c>
      <c r="M114" s="2" t="n">
        <v>7</v>
      </c>
      <c r="N114" s="2" t="inlineStr">
        <is>
          <t>ITR</t>
        </is>
      </c>
      <c r="O114" s="2" t="n"/>
      <c r="P114" s="2" t="inlineStr">
        <is>
          <t>NA</t>
        </is>
      </c>
      <c r="Q114" s="2" t="inlineStr">
        <is>
          <t>Yes</t>
        </is>
      </c>
      <c r="R114" s="2" t="inlineStr">
        <is>
          <t>NS</t>
        </is>
      </c>
      <c r="S114" s="2" t="inlineStr">
        <is>
          <t>he's taking loan from local bank</t>
        </is>
      </c>
      <c r="T114" s="2" t="inlineStr">
        <is>
          <t>17/7 , tried collateral loan from BOB , and now have decied to move ahead with collateral loan with gyan dhan , have shared his number to gyan dhan, this will be approved.
21/7 : Processing it with gyan Dhan
31/7: Processing with GD</t>
        </is>
      </c>
      <c r="U114" s="2" t="inlineStr">
        <is>
          <t>Yes</t>
        </is>
      </c>
      <c r="V114" s="2" t="inlineStr">
        <is>
          <t>No</t>
        </is>
      </c>
      <c r="W114" s="2" t="inlineStr">
        <is>
          <t>No</t>
        </is>
      </c>
      <c r="X114" s="2" t="inlineStr">
        <is>
          <t>NO</t>
        </is>
      </c>
      <c r="Y114" s="2" t="inlineStr">
        <is>
          <t>NO</t>
        </is>
      </c>
      <c r="Z114" s="2" t="inlineStr">
        <is>
          <t>Yes</t>
        </is>
      </c>
      <c r="AA114" s="2" t="inlineStr">
        <is>
          <t>Control</t>
        </is>
      </c>
      <c r="AB114" s="2" t="inlineStr">
        <is>
          <t>Control</t>
        </is>
      </c>
      <c r="AC114" s="2" t="n"/>
      <c r="AD114" s="2" t="n"/>
      <c r="AE114" s="2" t="n"/>
      <c r="AF114" s="2" t="n"/>
      <c r="AG114" s="2" t="inlineStr">
        <is>
          <t>Ongoing</t>
        </is>
      </c>
      <c r="AH114" s="2" t="inlineStr">
        <is>
          <t>Processing by GyanDhan</t>
        </is>
      </c>
      <c r="AI114" s="2" t="n"/>
      <c r="AJ114" s="2" t="n"/>
      <c r="AK114" s="2" t="n"/>
      <c r="AL114" s="2" t="n"/>
      <c r="AM114" s="2" t="n"/>
      <c r="AN114" s="2" t="n"/>
      <c r="AO114" s="2" t="n"/>
      <c r="AP114" s="2" t="n"/>
      <c r="AQ114" s="2" t="n"/>
    </row>
    <row r="115">
      <c r="A115" t="n">
        <v>114</v>
      </c>
      <c r="B115" s="2" t="inlineStr">
        <is>
          <t>Shivam Maurya</t>
        </is>
      </c>
      <c r="C115" s="3" t="n">
        <v>9369901468</v>
      </c>
      <c r="D115" s="2" t="inlineStr">
        <is>
          <t>PROV1000000443</t>
        </is>
      </c>
      <c r="E115" s="2" t="inlineStr">
        <is>
          <t>SSAHE</t>
        </is>
      </c>
      <c r="F115" s="2" t="inlineStr">
        <is>
          <t>Yes</t>
        </is>
      </c>
      <c r="G115" s="2" t="inlineStr">
        <is>
          <t xml:space="preserve">Non Critical </t>
        </is>
      </c>
      <c r="H115" s="2" t="n"/>
      <c r="I115" s="2" t="n"/>
      <c r="J115" s="2" t="n"/>
      <c r="K115" s="2" t="n"/>
      <c r="L115" s="2" t="n"/>
      <c r="M115" s="2" t="n"/>
      <c r="N115" s="2" t="n"/>
      <c r="O115" s="2" t="n"/>
      <c r="P115" s="2" t="n"/>
      <c r="Q115" s="2" t="n"/>
      <c r="R115" s="2" t="n"/>
      <c r="S115" s="2" t="inlineStr">
        <is>
          <t>student is not looking for loan from us</t>
        </is>
      </c>
      <c r="T115" s="2" t="inlineStr">
        <is>
          <t>- 17/7 : Want to apply for PM vidyalakshmi , also gave his number to gyan dhan. Loan : 16L, father : carpentor. student will be taking a collateral loan for this. co app - carpenter
income - 6000 per month as per the income certificate
No ITR 
not doable
28/7 : DNP</t>
        </is>
      </c>
      <c r="U115" s="2" t="inlineStr">
        <is>
          <t>Yes</t>
        </is>
      </c>
      <c r="V115" s="2" t="inlineStr">
        <is>
          <t>No</t>
        </is>
      </c>
      <c r="W115" s="2" t="inlineStr">
        <is>
          <t>No</t>
        </is>
      </c>
      <c r="X115" s="2" t="inlineStr">
        <is>
          <t>NO</t>
        </is>
      </c>
      <c r="Y115" s="2" t="inlineStr">
        <is>
          <t>NO</t>
        </is>
      </c>
      <c r="Z115" s="2" t="inlineStr">
        <is>
          <t>Yes</t>
        </is>
      </c>
      <c r="AA115" s="2" t="inlineStr">
        <is>
          <t>Control</t>
        </is>
      </c>
      <c r="AB115" s="2" t="inlineStr">
        <is>
          <t>Control</t>
        </is>
      </c>
      <c r="AC115" s="2" t="n"/>
      <c r="AD115" s="2" t="n"/>
      <c r="AE115" s="2" t="n"/>
      <c r="AF115" s="2" t="n"/>
      <c r="AG115" s="2" t="inlineStr">
        <is>
          <t>Ongoing</t>
        </is>
      </c>
      <c r="AH115" s="2" t="inlineStr">
        <is>
          <t>Processing by PM vidyalakshmi</t>
        </is>
      </c>
      <c r="AI115" s="2" t="n"/>
      <c r="AJ115" s="2" t="n"/>
      <c r="AK115" s="2" t="n"/>
      <c r="AL115" s="2" t="n"/>
      <c r="AM115" s="2" t="n"/>
      <c r="AN115" s="2" t="n"/>
      <c r="AO115" s="2" t="n"/>
      <c r="AP115" s="2" t="n"/>
      <c r="AQ115" s="2" t="n"/>
    </row>
    <row r="116">
      <c r="A116" t="n">
        <v>115</v>
      </c>
      <c r="B116" s="2" t="inlineStr">
        <is>
          <t>Md Sahil</t>
        </is>
      </c>
      <c r="C116" s="3" t="n">
        <v>9905509098</v>
      </c>
      <c r="D116" s="2" t="inlineStr">
        <is>
          <t>PROV260500258</t>
        </is>
      </c>
      <c r="E116" s="2" t="inlineStr">
        <is>
          <t>SSAHE</t>
        </is>
      </c>
      <c r="F116" s="2" t="inlineStr">
        <is>
          <t>No</t>
        </is>
      </c>
      <c r="G116" s="2" t="inlineStr">
        <is>
          <t>Loan not required</t>
        </is>
      </c>
      <c r="H116" s="2" t="n"/>
      <c r="I116" s="2" t="n"/>
      <c r="J116" s="2" t="n"/>
      <c r="K116" s="2" t="n"/>
      <c r="L116" s="2" t="n"/>
      <c r="M116" s="2" t="n"/>
      <c r="N116" s="2" t="n"/>
      <c r="O116" s="2" t="n"/>
      <c r="P116" s="2" t="n"/>
      <c r="Q116" s="2" t="n"/>
      <c r="R116" s="2" t="n"/>
      <c r="S116" s="2" t="n"/>
      <c r="T116" s="2" t="inlineStr"/>
      <c r="U116" s="2" t="inlineStr">
        <is>
          <t>No</t>
        </is>
      </c>
      <c r="V116" s="2" t="inlineStr"/>
      <c r="W116" s="2" t="inlineStr"/>
      <c r="X116" s="2" t="n"/>
      <c r="Y116" s="2" t="n"/>
      <c r="Z116" s="2" t="n"/>
      <c r="AA116" s="2" t="inlineStr">
        <is>
          <t>Not required</t>
        </is>
      </c>
      <c r="AB116" s="2" t="inlineStr">
        <is>
          <t>Not required</t>
        </is>
      </c>
      <c r="AC116" s="2" t="n"/>
      <c r="AD116" s="2" t="n"/>
      <c r="AE116" s="2" t="n"/>
      <c r="AF116" s="2" t="n"/>
      <c r="AG116" s="2" t="inlineStr">
        <is>
          <t>Not required</t>
        </is>
      </c>
      <c r="AH116" s="2" t="n"/>
      <c r="AI116" s="2" t="n"/>
      <c r="AJ116" s="2" t="n"/>
      <c r="AK116" s="2" t="n"/>
      <c r="AL116" s="2" t="n"/>
      <c r="AM116" s="2" t="n"/>
      <c r="AN116" s="2" t="n"/>
      <c r="AO116" s="2" t="n"/>
      <c r="AP116" s="2" t="n"/>
      <c r="AQ116" s="2" t="n"/>
    </row>
    <row r="117">
      <c r="A117" t="n">
        <v>116</v>
      </c>
      <c r="B117" s="2" t="inlineStr">
        <is>
          <t>Loka Suchith Reddy</t>
        </is>
      </c>
      <c r="C117" s="3" t="n">
        <v>9542806668</v>
      </c>
      <c r="D117" s="2" t="inlineStr">
        <is>
          <t>PROV1000001201</t>
        </is>
      </c>
      <c r="E117" s="2" t="inlineStr">
        <is>
          <t>SSAHE</t>
        </is>
      </c>
      <c r="F117" s="2" t="inlineStr">
        <is>
          <t>No</t>
        </is>
      </c>
      <c r="G117" s="2" t="inlineStr">
        <is>
          <t>Loan not required</t>
        </is>
      </c>
      <c r="H117" s="2" t="n"/>
      <c r="I117" s="2" t="n"/>
      <c r="J117" s="2" t="n"/>
      <c r="K117" s="2" t="n"/>
      <c r="L117" s="2" t="n"/>
      <c r="M117" s="2" t="n"/>
      <c r="N117" s="2" t="n"/>
      <c r="O117" s="2" t="n"/>
      <c r="P117" s="2" t="n"/>
      <c r="Q117" s="2" t="n"/>
      <c r="R117" s="2" t="n"/>
      <c r="S117" s="2" t="inlineStr">
        <is>
          <t xml:space="preserve">dont want loan in 1st year </t>
        </is>
      </c>
      <c r="T117" s="2" t="inlineStr"/>
      <c r="U117" s="2" t="inlineStr">
        <is>
          <t>No</t>
        </is>
      </c>
      <c r="V117" s="2" t="inlineStr"/>
      <c r="W117" s="2" t="inlineStr"/>
      <c r="X117" s="2" t="n"/>
      <c r="Y117" s="2" t="n"/>
      <c r="Z117" s="2" t="n"/>
      <c r="AA117" s="2" t="inlineStr">
        <is>
          <t>Not required</t>
        </is>
      </c>
      <c r="AB117" s="2" t="inlineStr">
        <is>
          <t>Not required</t>
        </is>
      </c>
      <c r="AC117" s="2" t="n"/>
      <c r="AD117" s="2" t="n"/>
      <c r="AE117" s="2" t="n"/>
      <c r="AF117" s="2" t="n"/>
      <c r="AG117" s="2" t="inlineStr">
        <is>
          <t>Not required</t>
        </is>
      </c>
      <c r="AH117" s="2" t="n"/>
      <c r="AI117" s="2" t="n"/>
      <c r="AJ117" s="2" t="n"/>
      <c r="AK117" s="2" t="n"/>
      <c r="AL117" s="2" t="n"/>
      <c r="AM117" s="2" t="n"/>
      <c r="AN117" s="2" t="n"/>
      <c r="AO117" s="2" t="n"/>
      <c r="AP117" s="2" t="n"/>
      <c r="AQ117" s="2" t="n"/>
    </row>
    <row r="118">
      <c r="A118" t="n">
        <v>117</v>
      </c>
      <c r="B118" s="2" t="inlineStr">
        <is>
          <t>Pranav talwar</t>
        </is>
      </c>
      <c r="C118" s="3" t="n">
        <v>9305912303</v>
      </c>
      <c r="D118" s="2" t="inlineStr">
        <is>
          <t>PROV260505044</t>
        </is>
      </c>
      <c r="E118" s="2" t="inlineStr">
        <is>
          <t>SSAHE</t>
        </is>
      </c>
      <c r="F118" s="2" t="inlineStr">
        <is>
          <t>No</t>
        </is>
      </c>
      <c r="G118" s="2" t="inlineStr">
        <is>
          <t>Loan not required</t>
        </is>
      </c>
      <c r="H118" s="2" t="n"/>
      <c r="I118" s="2" t="n"/>
      <c r="J118" s="2" t="n"/>
      <c r="K118" s="2" t="n"/>
      <c r="L118" s="2" t="n"/>
      <c r="M118" s="2" t="n"/>
      <c r="N118" s="2" t="n"/>
      <c r="O118" s="2" t="n"/>
      <c r="P118" s="2" t="n"/>
      <c r="Q118" s="2" t="n"/>
      <c r="R118" s="2" t="n"/>
      <c r="S118" s="2" t="inlineStr">
        <is>
          <t xml:space="preserve">LOAN NOT REQUIRED </t>
        </is>
      </c>
      <c r="T118" s="2" t="inlineStr"/>
      <c r="U118" s="2" t="inlineStr">
        <is>
          <t>No</t>
        </is>
      </c>
      <c r="V118" s="2" t="inlineStr"/>
      <c r="W118" s="2" t="inlineStr"/>
      <c r="X118" s="2" t="n"/>
      <c r="Y118" s="2" t="n"/>
      <c r="Z118" s="2" t="n"/>
      <c r="AA118" s="2" t="inlineStr">
        <is>
          <t>Not required</t>
        </is>
      </c>
      <c r="AB118" s="2" t="inlineStr">
        <is>
          <t>Not required</t>
        </is>
      </c>
      <c r="AC118" s="2" t="n"/>
      <c r="AD118" s="2" t="n"/>
      <c r="AE118" s="2" t="n"/>
      <c r="AF118" s="2" t="n"/>
      <c r="AG118" s="2" t="inlineStr">
        <is>
          <t>Not required</t>
        </is>
      </c>
      <c r="AH118" s="2" t="n"/>
      <c r="AI118" s="2" t="n"/>
      <c r="AJ118" s="2" t="n"/>
      <c r="AK118" s="2" t="n"/>
      <c r="AL118" s="2" t="n"/>
      <c r="AM118" s="2" t="n"/>
      <c r="AN118" s="2" t="n"/>
      <c r="AO118" s="2" t="n"/>
      <c r="AP118" s="2" t="n"/>
      <c r="AQ118" s="2" t="n"/>
    </row>
    <row r="119">
      <c r="A119" t="n">
        <v>118</v>
      </c>
      <c r="B119" s="2" t="inlineStr">
        <is>
          <t>Naitry Savaliya</t>
        </is>
      </c>
      <c r="C119" s="3" t="n">
        <v>8128898861</v>
      </c>
      <c r="D119" s="2" t="inlineStr">
        <is>
          <t>PROV260505325</t>
        </is>
      </c>
      <c r="E119" s="2" t="inlineStr">
        <is>
          <t>SSAHE</t>
        </is>
      </c>
      <c r="F119" s="2" t="inlineStr">
        <is>
          <t>No</t>
        </is>
      </c>
      <c r="G119" s="2" t="inlineStr">
        <is>
          <t>Loan not required</t>
        </is>
      </c>
      <c r="H119" s="2" t="n"/>
      <c r="I119" s="2" t="n"/>
      <c r="J119" s="2" t="n"/>
      <c r="K119" s="2" t="n"/>
      <c r="L119" s="2" t="n"/>
      <c r="M119" s="2" t="n"/>
      <c r="N119" s="2" t="n"/>
      <c r="O119" s="2" t="n"/>
      <c r="P119" s="2" t="n"/>
      <c r="Q119" s="2" t="n"/>
      <c r="R119" s="2" t="n"/>
      <c r="S119" s="2" t="n"/>
      <c r="T119" s="2" t="inlineStr"/>
      <c r="U119" s="2" t="inlineStr">
        <is>
          <t>No</t>
        </is>
      </c>
      <c r="V119" s="2" t="inlineStr"/>
      <c r="W119" s="2" t="inlineStr"/>
      <c r="X119" s="2" t="n"/>
      <c r="Y119" s="2" t="n"/>
      <c r="Z119" s="2" t="n"/>
      <c r="AA119" s="2" t="inlineStr">
        <is>
          <t>Not required</t>
        </is>
      </c>
      <c r="AB119" s="2" t="inlineStr">
        <is>
          <t>Not required</t>
        </is>
      </c>
      <c r="AC119" s="2" t="n"/>
      <c r="AD119" s="2" t="n"/>
      <c r="AE119" s="2" t="n"/>
      <c r="AF119" s="2" t="n"/>
      <c r="AG119" s="2" t="inlineStr">
        <is>
          <t>Not required</t>
        </is>
      </c>
      <c r="AH119" s="2" t="n"/>
      <c r="AI119" s="2" t="n"/>
      <c r="AJ119" s="2" t="n"/>
      <c r="AK119" s="2" t="n"/>
      <c r="AL119" s="2" t="n"/>
      <c r="AM119" s="2" t="n"/>
      <c r="AN119" s="2" t="n"/>
      <c r="AO119" s="2" t="n"/>
      <c r="AP119" s="2" t="n"/>
      <c r="AQ119" s="2" t="n"/>
    </row>
    <row r="120">
      <c r="A120" t="n">
        <v>119</v>
      </c>
      <c r="B120" s="2" t="inlineStr">
        <is>
          <t>Ananyan kumar</t>
        </is>
      </c>
      <c r="C120" s="3" t="n">
        <v>8102809028</v>
      </c>
      <c r="D120" s="2" t="inlineStr">
        <is>
          <t>PROV260501986</t>
        </is>
      </c>
      <c r="E120" s="2" t="inlineStr">
        <is>
          <t>SSAHE</t>
        </is>
      </c>
      <c r="F120" s="2" t="inlineStr">
        <is>
          <t>No</t>
        </is>
      </c>
      <c r="G120" s="2" t="inlineStr">
        <is>
          <t>Loan not required</t>
        </is>
      </c>
      <c r="H120" s="2" t="n"/>
      <c r="I120" s="2" t="n"/>
      <c r="J120" s="2" t="n"/>
      <c r="K120" s="2" t="n"/>
      <c r="L120" s="2" t="n"/>
      <c r="M120" s="2" t="n"/>
      <c r="N120" s="2" t="n"/>
      <c r="O120" s="2" t="n"/>
      <c r="P120" s="2" t="n"/>
      <c r="Q120" s="2" t="n"/>
      <c r="R120" s="2" t="n"/>
      <c r="S120" s="2" t="inlineStr">
        <is>
          <t>dont need loan - will pay by its own money</t>
        </is>
      </c>
      <c r="T120" s="2" t="inlineStr"/>
      <c r="U120" s="2" t="inlineStr">
        <is>
          <t>No</t>
        </is>
      </c>
      <c r="V120" s="2" t="inlineStr"/>
      <c r="W120" s="2" t="inlineStr"/>
      <c r="X120" s="2" t="n"/>
      <c r="Y120" s="2" t="n"/>
      <c r="Z120" s="2" t="n"/>
      <c r="AA120" s="2" t="inlineStr">
        <is>
          <t>Not required</t>
        </is>
      </c>
      <c r="AB120" s="2" t="inlineStr">
        <is>
          <t>Not required</t>
        </is>
      </c>
      <c r="AC120" s="2" t="n"/>
      <c r="AD120" s="2" t="n"/>
      <c r="AE120" s="2" t="n"/>
      <c r="AF120" s="2" t="n"/>
      <c r="AG120" s="2" t="inlineStr">
        <is>
          <t>Not required</t>
        </is>
      </c>
      <c r="AH120" s="2" t="n"/>
      <c r="AI120" s="2" t="n"/>
      <c r="AJ120" s="2" t="n"/>
      <c r="AK120" s="2" t="n"/>
      <c r="AL120" s="2" t="n"/>
      <c r="AM120" s="2" t="n"/>
      <c r="AN120" s="2" t="n"/>
      <c r="AO120" s="2" t="n"/>
      <c r="AP120" s="2" t="n"/>
      <c r="AQ120" s="2" t="n"/>
    </row>
    <row r="121">
      <c r="A121" t="n">
        <v>120</v>
      </c>
      <c r="B121" s="2" t="inlineStr">
        <is>
          <t>YUVRAJ GARG</t>
        </is>
      </c>
      <c r="C121" s="3" t="n">
        <v>7988356853</v>
      </c>
      <c r="D121" s="2" t="inlineStr">
        <is>
          <t>PROV260603365</t>
        </is>
      </c>
      <c r="E121" s="2" t="inlineStr">
        <is>
          <t>SSAHE</t>
        </is>
      </c>
      <c r="F121" s="2" t="inlineStr">
        <is>
          <t>No</t>
        </is>
      </c>
      <c r="G121" s="2" t="inlineStr">
        <is>
          <t>Loan not required</t>
        </is>
      </c>
      <c r="H121" s="2" t="n"/>
      <c r="I121" s="2" t="n"/>
      <c r="J121" s="2" t="n"/>
      <c r="K121" s="2" t="n"/>
      <c r="L121" s="2" t="n"/>
      <c r="M121" s="2" t="n"/>
      <c r="N121" s="2" t="n"/>
      <c r="O121" s="2" t="n"/>
      <c r="P121" s="2" t="n"/>
      <c r="Q121" s="2" t="n"/>
      <c r="R121" s="2" t="n"/>
      <c r="S121" s="2" t="inlineStr">
        <is>
          <t xml:space="preserve">dont need in 1st yr - will deciude later for following yrs </t>
        </is>
      </c>
      <c r="T121" s="2" t="inlineStr"/>
      <c r="U121" s="2" t="inlineStr">
        <is>
          <t>No</t>
        </is>
      </c>
      <c r="V121" s="2" t="inlineStr"/>
      <c r="W121" s="2" t="inlineStr"/>
      <c r="X121" s="2" t="n"/>
      <c r="Y121" s="2" t="n"/>
      <c r="Z121" s="2" t="n"/>
      <c r="AA121" s="2" t="inlineStr">
        <is>
          <t>Not required</t>
        </is>
      </c>
      <c r="AB121" s="2" t="inlineStr">
        <is>
          <t>Not required</t>
        </is>
      </c>
      <c r="AC121" s="2" t="n"/>
      <c r="AD121" s="2" t="n"/>
      <c r="AE121" s="2" t="n"/>
      <c r="AF121" s="2" t="n"/>
      <c r="AG121" s="2" t="inlineStr">
        <is>
          <t>Not required</t>
        </is>
      </c>
      <c r="AH121" s="2" t="n"/>
      <c r="AI121" s="2" t="n"/>
      <c r="AJ121" s="2" t="n"/>
      <c r="AK121" s="2" t="n"/>
      <c r="AL121" s="2" t="n"/>
      <c r="AM121" s="2" t="n"/>
      <c r="AN121" s="2" t="n"/>
      <c r="AO121" s="2" t="n"/>
      <c r="AP121" s="2" t="n"/>
      <c r="AQ121" s="2" t="n"/>
    </row>
    <row r="122">
      <c r="A122" t="n">
        <v>121</v>
      </c>
      <c r="B122" s="2" t="inlineStr">
        <is>
          <t>Arkaprava Sarkar</t>
        </is>
      </c>
      <c r="C122" s="3" t="n">
        <v>6297715019</v>
      </c>
      <c r="D122" s="2" t="inlineStr">
        <is>
          <t>PROV260506056</t>
        </is>
      </c>
      <c r="E122" s="2" t="inlineStr">
        <is>
          <t>SSAHE</t>
        </is>
      </c>
      <c r="F122" s="2" t="inlineStr">
        <is>
          <t>No</t>
        </is>
      </c>
      <c r="G122" s="2" t="inlineStr">
        <is>
          <t>Loan not required</t>
        </is>
      </c>
      <c r="H122" s="2" t="n"/>
      <c r="I122" s="2" t="n"/>
      <c r="J122" s="2" t="n"/>
      <c r="K122" s="2" t="n"/>
      <c r="L122" s="2" t="n"/>
      <c r="M122" s="2" t="n"/>
      <c r="N122" s="2" t="n"/>
      <c r="O122" s="2" t="n"/>
      <c r="P122" s="2" t="n"/>
      <c r="Q122" s="2" t="n"/>
      <c r="R122" s="2" t="n"/>
      <c r="S122" s="2" t="inlineStr">
        <is>
          <t>Going with lona agaist pf by own</t>
        </is>
      </c>
      <c r="T122" s="2" t="inlineStr"/>
      <c r="U122" s="2" t="inlineStr">
        <is>
          <t>No</t>
        </is>
      </c>
      <c r="V122" s="2" t="inlineStr"/>
      <c r="W122" s="2" t="inlineStr"/>
      <c r="X122" s="2" t="n"/>
      <c r="Y122" s="2" t="n"/>
      <c r="Z122" s="2" t="n"/>
      <c r="AA122" s="2" t="inlineStr">
        <is>
          <t>Not required</t>
        </is>
      </c>
      <c r="AB122" s="2" t="inlineStr">
        <is>
          <t>Not required</t>
        </is>
      </c>
      <c r="AC122" s="2" t="n"/>
      <c r="AD122" s="2" t="n"/>
      <c r="AE122" s="2" t="n"/>
      <c r="AF122" s="2" t="n"/>
      <c r="AG122" s="2" t="inlineStr">
        <is>
          <t>Not required</t>
        </is>
      </c>
      <c r="AH122" s="2" t="n"/>
      <c r="AI122" s="2" t="n"/>
      <c r="AJ122" s="2" t="n"/>
      <c r="AK122" s="2" t="n"/>
      <c r="AL122" s="2" t="n"/>
      <c r="AM122" s="2" t="n"/>
      <c r="AN122" s="2" t="n"/>
      <c r="AO122" s="2" t="n"/>
      <c r="AP122" s="2" t="n"/>
      <c r="AQ122" s="2" t="n"/>
    </row>
    <row r="123">
      <c r="A123" t="n">
        <v>122</v>
      </c>
      <c r="B123" s="2" t="inlineStr">
        <is>
          <t>Krishna Gupta</t>
        </is>
      </c>
      <c r="C123" s="3" t="n">
        <v>9821519005</v>
      </c>
      <c r="D123" s="2" t="inlineStr">
        <is>
          <t>PROV260506251</t>
        </is>
      </c>
      <c r="E123" s="2" t="inlineStr">
        <is>
          <t>SSAHE</t>
        </is>
      </c>
      <c r="F123" s="2" t="inlineStr">
        <is>
          <t>No</t>
        </is>
      </c>
      <c r="G123" s="2" t="inlineStr">
        <is>
          <t>Loan not required</t>
        </is>
      </c>
      <c r="H123" s="2" t="n"/>
      <c r="I123" s="2" t="n"/>
      <c r="J123" s="2" t="n"/>
      <c r="K123" s="2" t="n"/>
      <c r="L123" s="2" t="n"/>
      <c r="M123" s="2" t="n"/>
      <c r="N123" s="2" t="n"/>
      <c r="O123" s="2" t="n"/>
      <c r="P123" s="2" t="n"/>
      <c r="Q123" s="2" t="n"/>
      <c r="R123" s="2" t="n"/>
      <c r="S123" s="2" t="inlineStr">
        <is>
          <t>Kotak manihdra bank -self</t>
        </is>
      </c>
      <c r="T123" s="2" t="inlineStr"/>
      <c r="U123" s="2" t="inlineStr">
        <is>
          <t>No</t>
        </is>
      </c>
      <c r="V123" s="2" t="inlineStr"/>
      <c r="W123" s="2" t="inlineStr"/>
      <c r="X123" s="2" t="n"/>
      <c r="Y123" s="2" t="n"/>
      <c r="Z123" s="2" t="n"/>
      <c r="AA123" s="2" t="inlineStr">
        <is>
          <t>Not required</t>
        </is>
      </c>
      <c r="AB123" s="2" t="inlineStr">
        <is>
          <t>Not required</t>
        </is>
      </c>
      <c r="AC123" s="2" t="n"/>
      <c r="AD123" s="2" t="n"/>
      <c r="AE123" s="2" t="n"/>
      <c r="AF123" s="2" t="n"/>
      <c r="AG123" s="2" t="inlineStr">
        <is>
          <t>Not required</t>
        </is>
      </c>
      <c r="AH123" s="2" t="n"/>
      <c r="AI123" s="2" t="n"/>
      <c r="AJ123" s="2" t="n"/>
      <c r="AK123" s="2" t="n"/>
      <c r="AL123" s="2" t="n"/>
      <c r="AM123" s="2" t="n"/>
      <c r="AN123" s="2" t="n"/>
      <c r="AO123" s="2" t="n"/>
      <c r="AP123" s="2" t="n"/>
      <c r="AQ123" s="2" t="n"/>
    </row>
    <row r="124">
      <c r="A124" t="n">
        <v>123</v>
      </c>
      <c r="B124" s="2" t="inlineStr">
        <is>
          <t>Abhinav Pathak</t>
        </is>
      </c>
      <c r="C124" s="3" t="n">
        <v>7080101707</v>
      </c>
      <c r="D124" s="2" t="inlineStr">
        <is>
          <t>PROV1000000365</t>
        </is>
      </c>
      <c r="E124" s="2" t="inlineStr">
        <is>
          <t>ADYPU</t>
        </is>
      </c>
      <c r="F124" s="2" t="inlineStr">
        <is>
          <t>No</t>
        </is>
      </c>
      <c r="G124" s="2" t="inlineStr">
        <is>
          <t>Loan not required</t>
        </is>
      </c>
      <c r="H124" s="2" t="n"/>
      <c r="I124" s="2" t="n"/>
      <c r="J124" s="2" t="n"/>
      <c r="K124" s="2" t="n"/>
      <c r="L124" s="2" t="n"/>
      <c r="M124" s="2" t="n"/>
      <c r="N124" s="2" t="n"/>
      <c r="O124" s="2" t="n"/>
      <c r="P124" s="2" t="n"/>
      <c r="Q124" s="2" t="n"/>
      <c r="R124" s="2" t="n"/>
      <c r="S124" s="2" t="n"/>
      <c r="T124" s="2" t="inlineStr"/>
      <c r="U124" s="2" t="inlineStr">
        <is>
          <t>No</t>
        </is>
      </c>
      <c r="V124" s="2" t="inlineStr"/>
      <c r="W124" s="2" t="inlineStr"/>
      <c r="X124" s="2" t="n"/>
      <c r="Y124" s="2" t="n"/>
      <c r="Z124" s="2" t="n"/>
      <c r="AA124" s="2" t="inlineStr">
        <is>
          <t>Not required</t>
        </is>
      </c>
      <c r="AB124" s="2" t="inlineStr">
        <is>
          <t>Not required</t>
        </is>
      </c>
      <c r="AC124" s="2" t="n"/>
      <c r="AD124" s="2" t="n"/>
      <c r="AE124" s="2" t="n"/>
      <c r="AF124" s="2" t="n"/>
      <c r="AG124" s="2" t="inlineStr">
        <is>
          <t>Not required</t>
        </is>
      </c>
      <c r="AH124" s="2" t="n"/>
      <c r="AI124" s="2" t="n"/>
      <c r="AJ124" s="2" t="n"/>
      <c r="AK124" s="2" t="n"/>
      <c r="AL124" s="2" t="n"/>
      <c r="AM124" s="2" t="n"/>
      <c r="AN124" s="2" t="n"/>
      <c r="AO124" s="2" t="n"/>
      <c r="AP124" s="2" t="n"/>
      <c r="AQ124" s="2" t="n"/>
    </row>
    <row r="125">
      <c r="A125" t="n">
        <v>124</v>
      </c>
      <c r="B125" s="2" t="inlineStr">
        <is>
          <t>Harshit Dwivedi</t>
        </is>
      </c>
      <c r="C125" s="3" t="n">
        <v>9140986289</v>
      </c>
      <c r="D125" s="2" t="inlineStr">
        <is>
          <t>PROV1000001576</t>
        </is>
      </c>
      <c r="E125" s="2" t="inlineStr">
        <is>
          <t>ADYPU</t>
        </is>
      </c>
      <c r="F125" s="2" t="inlineStr">
        <is>
          <t>No</t>
        </is>
      </c>
      <c r="G125" s="2" t="inlineStr">
        <is>
          <t>Loan not required</t>
        </is>
      </c>
      <c r="H125" s="2" t="n"/>
      <c r="I125" s="2" t="n"/>
      <c r="J125" s="2" t="n"/>
      <c r="K125" s="2" t="n"/>
      <c r="L125" s="2" t="n"/>
      <c r="M125" s="2" t="n"/>
      <c r="N125" s="2" t="n"/>
      <c r="O125" s="2" t="n"/>
      <c r="P125" s="2" t="n"/>
      <c r="Q125" s="2" t="n"/>
      <c r="R125" s="2" t="n"/>
      <c r="S125" s="2" t="inlineStr">
        <is>
          <t>Don't need Loan</t>
        </is>
      </c>
      <c r="T125" s="2" t="inlineStr"/>
      <c r="U125" s="2" t="inlineStr">
        <is>
          <t>No</t>
        </is>
      </c>
      <c r="V125" s="2" t="inlineStr"/>
      <c r="W125" s="2" t="inlineStr"/>
      <c r="X125" s="2" t="n"/>
      <c r="Y125" s="2" t="n"/>
      <c r="Z125" s="2" t="n"/>
      <c r="AA125" s="2" t="inlineStr">
        <is>
          <t>Not required</t>
        </is>
      </c>
      <c r="AB125" s="2" t="inlineStr">
        <is>
          <t>Not required</t>
        </is>
      </c>
      <c r="AC125" s="2" t="n"/>
      <c r="AD125" s="2" t="n"/>
      <c r="AE125" s="2" t="n"/>
      <c r="AF125" s="2" t="n"/>
      <c r="AG125" s="2" t="inlineStr">
        <is>
          <t>Not required</t>
        </is>
      </c>
      <c r="AH125" s="2" t="n"/>
      <c r="AI125" s="2" t="n"/>
      <c r="AJ125" s="2" t="n"/>
      <c r="AK125" s="2" t="n"/>
      <c r="AL125" s="2" t="n"/>
      <c r="AM125" s="2" t="n"/>
      <c r="AN125" s="2" t="n"/>
      <c r="AO125" s="2" t="n"/>
      <c r="AP125" s="2" t="n"/>
      <c r="AQ125" s="2" t="n"/>
    </row>
    <row r="126">
      <c r="A126" t="n">
        <v>125</v>
      </c>
      <c r="B126" s="2" t="inlineStr">
        <is>
          <t>Nagesh singh</t>
        </is>
      </c>
      <c r="C126" s="3" t="n">
        <v>8865814177</v>
      </c>
      <c r="D126" s="2" t="inlineStr">
        <is>
          <t>PROV260500112</t>
        </is>
      </c>
      <c r="E126" s="2" t="inlineStr">
        <is>
          <t>ADYPU</t>
        </is>
      </c>
      <c r="F126" s="2" t="inlineStr">
        <is>
          <t>No</t>
        </is>
      </c>
      <c r="G126" s="2" t="inlineStr">
        <is>
          <t>Loan not required</t>
        </is>
      </c>
      <c r="H126" s="2" t="n"/>
      <c r="I126" s="2" t="n"/>
      <c r="J126" s="2" t="n"/>
      <c r="K126" s="2" t="n"/>
      <c r="L126" s="2" t="n"/>
      <c r="M126" s="2" t="n"/>
      <c r="N126" s="2" t="n"/>
      <c r="O126" s="2" t="n"/>
      <c r="P126" s="2" t="n"/>
      <c r="Q126" s="2" t="n"/>
      <c r="R126" s="2" t="n"/>
      <c r="S126" s="2" t="inlineStr">
        <is>
          <t>Already got loan from Propelld</t>
        </is>
      </c>
      <c r="T126" s="2" t="inlineStr">
        <is>
          <t>24/7 : Already paid by propelld.</t>
        </is>
      </c>
      <c r="U126" s="2" t="inlineStr">
        <is>
          <t>Yes</t>
        </is>
      </c>
      <c r="V126" s="2" t="inlineStr"/>
      <c r="W126" s="2" t="inlineStr"/>
      <c r="X126" s="2" t="n"/>
      <c r="Y126" s="2" t="n"/>
      <c r="Z126" s="2" t="n"/>
      <c r="AA126" s="2" t="inlineStr">
        <is>
          <t>Control</t>
        </is>
      </c>
      <c r="AB126" s="2" t="inlineStr">
        <is>
          <t>Control</t>
        </is>
      </c>
      <c r="AC126" s="2" t="n"/>
      <c r="AD126" s="2" t="n"/>
      <c r="AE126" s="2" t="n"/>
      <c r="AF126" s="2" t="n"/>
      <c r="AG126" s="2" t="inlineStr">
        <is>
          <t>Disbursed</t>
        </is>
      </c>
      <c r="AH126" s="2" t="inlineStr">
        <is>
          <t>Loan sanctioned by Propelld</t>
        </is>
      </c>
      <c r="AI126" s="2" t="n"/>
      <c r="AJ126" s="2" t="n"/>
      <c r="AK126" s="2" t="n"/>
      <c r="AL126" s="2" t="n"/>
      <c r="AM126" s="2" t="n"/>
      <c r="AN126" s="2" t="n"/>
      <c r="AO126" s="2" t="n"/>
      <c r="AP126" s="2" t="n"/>
      <c r="AQ126" s="2" t="n"/>
    </row>
    <row r="127">
      <c r="A127" t="n">
        <v>126</v>
      </c>
      <c r="B127" s="2" t="inlineStr">
        <is>
          <t>Siluveru Kartheek</t>
        </is>
      </c>
      <c r="C127" s="3" t="n">
        <v>8790416518</v>
      </c>
      <c r="D127" s="2" t="inlineStr">
        <is>
          <t>PROV1000000377</t>
        </is>
      </c>
      <c r="E127" s="2" t="inlineStr">
        <is>
          <t>SSAHE</t>
        </is>
      </c>
      <c r="F127" s="2" t="inlineStr">
        <is>
          <t>Drop</t>
        </is>
      </c>
      <c r="G127" s="2" t="inlineStr">
        <is>
          <t>Loan not required</t>
        </is>
      </c>
      <c r="H127" s="2" t="n"/>
      <c r="I127" s="2" t="n"/>
      <c r="J127" s="2" t="n"/>
      <c r="K127" s="2" t="n"/>
      <c r="L127" s="2" t="n"/>
      <c r="M127" s="2" t="n"/>
      <c r="N127" s="2" t="n"/>
      <c r="O127" s="2" t="n"/>
      <c r="P127" s="2" t="n"/>
      <c r="Q127" s="2" t="n"/>
      <c r="R127" s="2" t="n"/>
      <c r="S127" s="2" t="inlineStr">
        <is>
          <t>Don't know if he wil take loan or not</t>
        </is>
      </c>
      <c r="T127" s="2" t="inlineStr"/>
      <c r="U127" s="2" t="inlineStr">
        <is>
          <t>Refund</t>
        </is>
      </c>
      <c r="V127" s="2" t="inlineStr"/>
      <c r="W127" s="2" t="inlineStr"/>
      <c r="X127" s="2" t="n"/>
      <c r="Y127" s="2" t="n"/>
      <c r="Z127" s="2" t="n"/>
      <c r="AA127" s="2" t="inlineStr">
        <is>
          <t>Refund case</t>
        </is>
      </c>
      <c r="AB127" s="2" t="inlineStr">
        <is>
          <t>Refund case</t>
        </is>
      </c>
      <c r="AC127" s="2" t="n"/>
      <c r="AD127" s="2" t="n"/>
      <c r="AE127" s="2" t="n"/>
      <c r="AF127" s="2" t="n"/>
      <c r="AG127" s="2" t="n"/>
      <c r="AH127" s="2" t="n"/>
      <c r="AI127" s="2" t="n"/>
      <c r="AJ127" s="2" t="n"/>
      <c r="AK127" s="2" t="n"/>
      <c r="AL127" s="2" t="n"/>
      <c r="AM127" s="2" t="n"/>
      <c r="AN127" s="2" t="n"/>
      <c r="AO127" s="2" t="n"/>
      <c r="AP127" s="2" t="n"/>
      <c r="AQ127" s="2" t="n"/>
    </row>
    <row r="128">
      <c r="A128" t="n">
        <v>127</v>
      </c>
      <c r="B128" s="2" t="inlineStr">
        <is>
          <t>Tushin Jadon</t>
        </is>
      </c>
      <c r="C128" s="3" t="n">
        <v>8000320214</v>
      </c>
      <c r="D128" s="2" t="inlineStr">
        <is>
          <t>PROV1000000480</t>
        </is>
      </c>
      <c r="E128" s="2" t="inlineStr">
        <is>
          <t>ADYPU</t>
        </is>
      </c>
      <c r="F128" s="2" t="inlineStr">
        <is>
          <t>No</t>
        </is>
      </c>
      <c r="G128" s="2" t="inlineStr">
        <is>
          <t>Loan not required</t>
        </is>
      </c>
      <c r="H128" s="2" t="n"/>
      <c r="I128" s="2" t="n"/>
      <c r="J128" s="2" t="n"/>
      <c r="K128" s="2" t="n"/>
      <c r="L128" s="2" t="n"/>
      <c r="M128" s="2" t="n"/>
      <c r="N128" s="2" t="n"/>
      <c r="O128" s="2" t="n"/>
      <c r="P128" s="2" t="n"/>
      <c r="Q128" s="2" t="n"/>
      <c r="R128" s="2" t="n"/>
      <c r="S128" s="2" t="inlineStr">
        <is>
          <t>Don't need Loan</t>
        </is>
      </c>
      <c r="T128" s="2" t="inlineStr"/>
      <c r="U128" s="2" t="inlineStr">
        <is>
          <t>No</t>
        </is>
      </c>
      <c r="V128" s="2" t="inlineStr"/>
      <c r="W128" s="2" t="inlineStr"/>
      <c r="X128" s="2" t="n"/>
      <c r="Y128" s="2" t="n"/>
      <c r="Z128" s="2" t="n"/>
      <c r="AA128" s="2" t="inlineStr">
        <is>
          <t>Not required</t>
        </is>
      </c>
      <c r="AB128" s="2" t="inlineStr">
        <is>
          <t>Not required</t>
        </is>
      </c>
      <c r="AC128" s="2" t="n"/>
      <c r="AD128" s="2" t="n"/>
      <c r="AE128" s="2" t="n"/>
      <c r="AF128" s="2" t="n"/>
      <c r="AG128" s="2" t="inlineStr">
        <is>
          <t>Not required</t>
        </is>
      </c>
      <c r="AH128" s="2" t="n"/>
      <c r="AI128" s="2" t="n"/>
      <c r="AJ128" s="2" t="n"/>
      <c r="AK128" s="2" t="n"/>
      <c r="AL128" s="2" t="n"/>
      <c r="AM128" s="2" t="n"/>
      <c r="AN128" s="2" t="n"/>
      <c r="AO128" s="2" t="n"/>
      <c r="AP128" s="2" t="n"/>
      <c r="AQ128" s="2" t="n"/>
    </row>
    <row r="129">
      <c r="A129" t="n">
        <v>128</v>
      </c>
      <c r="B129" s="2" t="inlineStr">
        <is>
          <t>Anant Kumar</t>
        </is>
      </c>
      <c r="C129" s="3" t="n">
        <v>7050976290</v>
      </c>
      <c r="D129" s="2" t="inlineStr">
        <is>
          <t>PROV260502420</t>
        </is>
      </c>
      <c r="E129" s="2" t="inlineStr">
        <is>
          <t>SSAHE</t>
        </is>
      </c>
      <c r="F129" s="2" t="inlineStr">
        <is>
          <t>Yes</t>
        </is>
      </c>
      <c r="G129" s="2" t="inlineStr">
        <is>
          <t>Loan not required</t>
        </is>
      </c>
      <c r="H129" s="2" t="n"/>
      <c r="I129" s="2" t="n"/>
      <c r="J129" s="2" t="n"/>
      <c r="K129" s="2" t="n"/>
      <c r="L129" s="2" t="n"/>
      <c r="M129" s="2" t="n"/>
      <c r="N129" s="2" t="n"/>
      <c r="O129" s="2" t="n"/>
      <c r="P129" s="2" t="n"/>
      <c r="Q129" s="2" t="n"/>
      <c r="R129" s="2" t="n"/>
      <c r="S129" s="2" t="inlineStr">
        <is>
          <t>going eith bihar govt loan himself</t>
        </is>
      </c>
      <c r="T129" s="2" t="inlineStr">
        <is>
          <t xml:space="preserve">- 24/7 : The student had an accident and he is not in a situation to talk today. Rude student.
29/7 : Student enquired about the loan process, will apply through PM vidyalakshmi. </t>
        </is>
      </c>
      <c r="U129" s="2" t="inlineStr">
        <is>
          <t>Yes</t>
        </is>
      </c>
      <c r="V129" s="2" t="inlineStr"/>
      <c r="W129" s="2" t="inlineStr"/>
      <c r="X129" s="2" t="n"/>
      <c r="Y129" s="2" t="n"/>
      <c r="Z129" s="2" t="n"/>
      <c r="AA129" s="2" t="inlineStr">
        <is>
          <t>Control</t>
        </is>
      </c>
      <c r="AB129" s="2" t="inlineStr">
        <is>
          <t>Control</t>
        </is>
      </c>
      <c r="AC129" s="2" t="n"/>
      <c r="AD129" s="2" t="n"/>
      <c r="AE129" s="2" t="n"/>
      <c r="AF129" s="2" t="n"/>
      <c r="AG129" s="2" t="inlineStr">
        <is>
          <t>Ongoing</t>
        </is>
      </c>
      <c r="AH129" s="2" t="inlineStr">
        <is>
          <t>Processing at other bank</t>
        </is>
      </c>
      <c r="AI129" s="2" t="n"/>
      <c r="AJ129" s="2" t="n"/>
      <c r="AK129" s="2" t="n"/>
      <c r="AL129" s="2" t="n"/>
      <c r="AM129" s="2" t="n"/>
      <c r="AN129" s="2" t="n"/>
      <c r="AO129" s="2" t="n"/>
      <c r="AP129" s="2" t="n"/>
      <c r="AQ129" s="2" t="n"/>
    </row>
    <row r="130">
      <c r="A130" t="n">
        <v>129</v>
      </c>
      <c r="B130" s="2" t="inlineStr">
        <is>
          <t>Mishree Raiyani</t>
        </is>
      </c>
      <c r="C130" s="3" t="n">
        <v>9586369684</v>
      </c>
      <c r="D130" s="2" t="inlineStr">
        <is>
          <t>PROV260506301</t>
        </is>
      </c>
      <c r="E130" s="2" t="inlineStr">
        <is>
          <t>ADYPU</t>
        </is>
      </c>
      <c r="F130" s="2" t="inlineStr">
        <is>
          <t>No</t>
        </is>
      </c>
      <c r="G130" s="2" t="inlineStr">
        <is>
          <t>Loan not required</t>
        </is>
      </c>
      <c r="H130" s="2" t="n"/>
      <c r="I130" s="2" t="n"/>
      <c r="J130" s="2" t="n"/>
      <c r="K130" s="2" t="n"/>
      <c r="L130" s="2" t="n"/>
      <c r="M130" s="2" t="n"/>
      <c r="N130" s="2" t="n"/>
      <c r="O130" s="2" t="n"/>
      <c r="P130" s="2" t="n"/>
      <c r="Q130" s="2" t="n"/>
      <c r="R130" s="2" t="n"/>
      <c r="S130" s="2" t="n"/>
      <c r="T130" s="2" t="inlineStr"/>
      <c r="U130" s="2" t="inlineStr">
        <is>
          <t>No</t>
        </is>
      </c>
      <c r="V130" s="2" t="inlineStr"/>
      <c r="W130" s="2" t="inlineStr"/>
      <c r="X130" s="2" t="n"/>
      <c r="Y130" s="2" t="n"/>
      <c r="Z130" s="2" t="n"/>
      <c r="AA130" s="2" t="inlineStr">
        <is>
          <t>Not required</t>
        </is>
      </c>
      <c r="AB130" s="2" t="inlineStr">
        <is>
          <t>Not required</t>
        </is>
      </c>
      <c r="AC130" s="2" t="n"/>
      <c r="AD130" s="2" t="n"/>
      <c r="AE130" s="2" t="n"/>
      <c r="AF130" s="2" t="n"/>
      <c r="AG130" s="2" t="inlineStr">
        <is>
          <t>Not required</t>
        </is>
      </c>
      <c r="AH130" s="2" t="n"/>
      <c r="AI130" s="2" t="n"/>
      <c r="AJ130" s="2" t="n"/>
      <c r="AK130" s="2" t="n"/>
      <c r="AL130" s="2" t="n"/>
      <c r="AM130" s="2" t="n"/>
      <c r="AN130" s="2" t="n"/>
      <c r="AO130" s="2" t="n"/>
      <c r="AP130" s="2" t="n"/>
      <c r="AQ130" s="2" t="n"/>
    </row>
    <row r="131">
      <c r="A131" t="n">
        <v>130</v>
      </c>
      <c r="B131" s="2" t="inlineStr">
        <is>
          <t>Kartik Gupta</t>
        </is>
      </c>
      <c r="C131" s="3" t="n">
        <v>8619357544</v>
      </c>
      <c r="D131" s="2" t="inlineStr">
        <is>
          <t>PROV260600315</t>
        </is>
      </c>
      <c r="E131" s="2" t="inlineStr">
        <is>
          <t>SSAHE</t>
        </is>
      </c>
      <c r="F131" s="2" t="inlineStr">
        <is>
          <t>No</t>
        </is>
      </c>
      <c r="G131" s="2" t="inlineStr">
        <is>
          <t>Loan not required</t>
        </is>
      </c>
      <c r="H131" s="2" t="n"/>
      <c r="I131" s="2" t="n"/>
      <c r="J131" s="2" t="n"/>
      <c r="K131" s="2" t="n"/>
      <c r="L131" s="2" t="n"/>
      <c r="M131" s="2" t="n"/>
      <c r="N131" s="2" t="n"/>
      <c r="O131" s="2" t="n"/>
      <c r="P131" s="2" t="n"/>
      <c r="Q131" s="2" t="n"/>
      <c r="R131" s="2" t="n"/>
      <c r="S131" s="2" t="inlineStr">
        <is>
          <t>DNR</t>
        </is>
      </c>
      <c r="T131" s="2" t="inlineStr"/>
      <c r="U131" s="2" t="inlineStr">
        <is>
          <t>No</t>
        </is>
      </c>
      <c r="V131" s="2" t="inlineStr"/>
      <c r="W131" s="2" t="inlineStr"/>
      <c r="X131" s="2" t="n"/>
      <c r="Y131" s="2" t="n"/>
      <c r="Z131" s="2" t="n"/>
      <c r="AA131" s="2" t="inlineStr">
        <is>
          <t>Not required</t>
        </is>
      </c>
      <c r="AB131" s="2" t="inlineStr">
        <is>
          <t>Not required</t>
        </is>
      </c>
      <c r="AC131" s="2" t="n"/>
      <c r="AD131" s="2" t="n"/>
      <c r="AE131" s="2" t="n"/>
      <c r="AF131" s="2" t="n"/>
      <c r="AG131" s="2" t="inlineStr">
        <is>
          <t>Not required</t>
        </is>
      </c>
      <c r="AH131" s="2" t="n"/>
      <c r="AI131" s="2" t="n"/>
      <c r="AJ131" s="2" t="n"/>
      <c r="AK131" s="2" t="n"/>
      <c r="AL131" s="2" t="n"/>
      <c r="AM131" s="2" t="n"/>
      <c r="AN131" s="2" t="n"/>
      <c r="AO131" s="2" t="n"/>
      <c r="AP131" s="2" t="n"/>
      <c r="AQ131" s="2" t="n"/>
    </row>
    <row r="132">
      <c r="A132" t="n">
        <v>131</v>
      </c>
      <c r="B132" s="2" t="inlineStr">
        <is>
          <t>Sufiya suhana Gouri</t>
        </is>
      </c>
      <c r="C132" s="3" t="n">
        <v>9131321503</v>
      </c>
      <c r="D132" s="2" t="inlineStr">
        <is>
          <t>PROV260503712</t>
        </is>
      </c>
      <c r="E132" s="2" t="inlineStr">
        <is>
          <t>ADYPU</t>
        </is>
      </c>
      <c r="F132" s="2" t="inlineStr">
        <is>
          <t>Yes</t>
        </is>
      </c>
      <c r="G132" s="2" t="inlineStr">
        <is>
          <t>Loan not required</t>
        </is>
      </c>
      <c r="H132" s="2" t="n"/>
      <c r="I132" s="2" t="n"/>
      <c r="J132" s="2" t="n"/>
      <c r="K132" s="2" t="n"/>
      <c r="L132" s="2" t="n"/>
      <c r="M132" s="2" t="n"/>
      <c r="N132" s="2" t="n"/>
      <c r="O132" s="2" t="n"/>
      <c r="P132" s="2" t="n"/>
      <c r="Q132" s="2" t="n"/>
      <c r="R132" s="2" t="n"/>
      <c r="S132" s="2" t="inlineStr">
        <is>
          <t>Might consider after a year</t>
        </is>
      </c>
      <c r="T132" s="2" t="inlineStr">
        <is>
          <t>1/8 : Loan required : 20L, Father's profession : Retired govt employee , income : 10L , will share it wth gyan dhan</t>
        </is>
      </c>
      <c r="U132" s="2" t="inlineStr">
        <is>
          <t>Yes</t>
        </is>
      </c>
      <c r="V132" s="2" t="inlineStr"/>
      <c r="W132" s="2" t="inlineStr"/>
      <c r="X132" s="2" t="n"/>
      <c r="Y132" s="2" t="n"/>
      <c r="Z132" s="2" t="n"/>
      <c r="AA132" s="2" t="inlineStr">
        <is>
          <t>Risk</t>
        </is>
      </c>
      <c r="AB132" s="2" t="inlineStr">
        <is>
          <t>Risk</t>
        </is>
      </c>
      <c r="AC132" s="2" t="n"/>
      <c r="AD132" s="2" t="n"/>
      <c r="AE132" s="2" t="n"/>
      <c r="AF132" s="2" t="n"/>
      <c r="AG132" s="2" t="inlineStr">
        <is>
          <t>Not even started</t>
        </is>
      </c>
      <c r="AH132" s="2" t="n"/>
      <c r="AI132" s="2" t="n"/>
      <c r="AJ132" s="2" t="n"/>
      <c r="AK132" s="2" t="n"/>
      <c r="AL132" s="2" t="n"/>
      <c r="AM132" s="2" t="n"/>
      <c r="AN132" s="2" t="n"/>
      <c r="AO132" s="2" t="n"/>
      <c r="AP132" s="2" t="n"/>
      <c r="AQ132" s="2" t="n"/>
    </row>
    <row r="133">
      <c r="A133" t="n">
        <v>132</v>
      </c>
      <c r="B133" s="2" t="inlineStr">
        <is>
          <t>Rounak Kumar</t>
        </is>
      </c>
      <c r="C133" s="3" t="n">
        <v>9031406847</v>
      </c>
      <c r="D133" s="2" t="inlineStr">
        <is>
          <t>PROV260503716</t>
        </is>
      </c>
      <c r="E133" s="2" t="inlineStr">
        <is>
          <t>SSAHE</t>
        </is>
      </c>
      <c r="F133" s="2" t="inlineStr">
        <is>
          <t>No</t>
        </is>
      </c>
      <c r="G133" s="2" t="inlineStr">
        <is>
          <t>Loan not required</t>
        </is>
      </c>
      <c r="H133" s="2" t="n"/>
      <c r="I133" s="2" t="n"/>
      <c r="J133" s="2" t="n"/>
      <c r="K133" s="2" t="n"/>
      <c r="L133" s="2" t="n"/>
      <c r="M133" s="2" t="n"/>
      <c r="N133" s="2" t="n"/>
      <c r="O133" s="2" t="n"/>
      <c r="P133" s="2" t="n"/>
      <c r="Q133" s="2" t="n"/>
      <c r="R133" s="2" t="n"/>
      <c r="S133" s="2" t="inlineStr">
        <is>
          <t>Bihar credit card , bank is the last option</t>
        </is>
      </c>
      <c r="T133" s="2" t="inlineStr"/>
      <c r="U133" s="2" t="inlineStr">
        <is>
          <t>No</t>
        </is>
      </c>
      <c r="V133" s="2" t="inlineStr"/>
      <c r="W133" s="2" t="inlineStr"/>
      <c r="X133" s="2" t="n"/>
      <c r="Y133" s="2" t="n"/>
      <c r="Z133" s="2" t="n"/>
      <c r="AA133" s="2" t="inlineStr">
        <is>
          <t>Not required</t>
        </is>
      </c>
      <c r="AB133" s="2" t="inlineStr">
        <is>
          <t>Not required</t>
        </is>
      </c>
      <c r="AC133" s="2" t="n"/>
      <c r="AD133" s="2" t="n"/>
      <c r="AE133" s="2" t="n"/>
      <c r="AF133" s="2" t="n"/>
      <c r="AG133" s="2" t="inlineStr">
        <is>
          <t>Not required</t>
        </is>
      </c>
      <c r="AH133" s="2" t="n"/>
      <c r="AI133" s="2" t="n"/>
      <c r="AJ133" s="2" t="n"/>
      <c r="AK133" s="2" t="n"/>
      <c r="AL133" s="2" t="n"/>
      <c r="AM133" s="2" t="n"/>
      <c r="AN133" s="2" t="n"/>
      <c r="AO133" s="2" t="n"/>
      <c r="AP133" s="2" t="n"/>
      <c r="AQ133" s="2" t="n"/>
    </row>
    <row r="134">
      <c r="A134" t="n">
        <v>133</v>
      </c>
      <c r="B134" s="2" t="inlineStr">
        <is>
          <t>Koustav Nayak</t>
        </is>
      </c>
      <c r="C134" s="3" t="n">
        <v>7205679706</v>
      </c>
      <c r="D134" s="2" t="inlineStr">
        <is>
          <t>PROV260503147</t>
        </is>
      </c>
      <c r="E134" s="2" t="inlineStr">
        <is>
          <t>ADYPU</t>
        </is>
      </c>
      <c r="F134" s="2" t="inlineStr">
        <is>
          <t>No</t>
        </is>
      </c>
      <c r="G134" s="2" t="inlineStr">
        <is>
          <t>Loan not required</t>
        </is>
      </c>
      <c r="H134" s="2" t="n"/>
      <c r="I134" s="2" t="n"/>
      <c r="J134" s="2" t="n"/>
      <c r="K134" s="2" t="n"/>
      <c r="L134" s="2" t="n"/>
      <c r="M134" s="2" t="n"/>
      <c r="N134" s="2" t="n"/>
      <c r="O134" s="2" t="n"/>
      <c r="P134" s="2" t="n"/>
      <c r="Q134" s="2" t="n"/>
      <c r="R134" s="2" t="n"/>
      <c r="S134" s="2" t="inlineStr">
        <is>
          <t>DNR</t>
        </is>
      </c>
      <c r="T134" s="2" t="inlineStr"/>
      <c r="U134" s="2" t="inlineStr">
        <is>
          <t>No</t>
        </is>
      </c>
      <c r="V134" s="2" t="inlineStr"/>
      <c r="W134" s="2" t="inlineStr"/>
      <c r="X134" s="2" t="n"/>
      <c r="Y134" s="2" t="n"/>
      <c r="Z134" s="2" t="n"/>
      <c r="AA134" s="2" t="inlineStr">
        <is>
          <t>Not required</t>
        </is>
      </c>
      <c r="AB134" s="2" t="inlineStr">
        <is>
          <t>Not required</t>
        </is>
      </c>
      <c r="AC134" s="2" t="n"/>
      <c r="AD134" s="2" t="n"/>
      <c r="AE134" s="2" t="n"/>
      <c r="AF134" s="2" t="n"/>
      <c r="AG134" s="2" t="inlineStr">
        <is>
          <t>Not required</t>
        </is>
      </c>
      <c r="AH134" s="2" t="n"/>
      <c r="AI134" s="2" t="n"/>
      <c r="AJ134" s="2" t="n"/>
      <c r="AK134" s="2" t="n"/>
      <c r="AL134" s="2" t="n"/>
      <c r="AM134" s="2" t="n"/>
      <c r="AN134" s="2" t="n"/>
      <c r="AO134" s="2" t="n"/>
      <c r="AP134" s="2" t="n"/>
      <c r="AQ134" s="2" t="n"/>
    </row>
    <row r="135">
      <c r="A135" t="n">
        <v>134</v>
      </c>
      <c r="B135" s="2" t="inlineStr">
        <is>
          <t>OM  WAGH</t>
        </is>
      </c>
      <c r="C135" s="3" t="n">
        <v>7499020990</v>
      </c>
      <c r="D135" s="2" t="inlineStr">
        <is>
          <t>PROV260606565</t>
        </is>
      </c>
      <c r="E135" s="2" t="inlineStr">
        <is>
          <t>ADYPU</t>
        </is>
      </c>
      <c r="F135" s="2" t="inlineStr">
        <is>
          <t>Yes</t>
        </is>
      </c>
      <c r="G135" s="2" t="inlineStr">
        <is>
          <t>Loan not required</t>
        </is>
      </c>
      <c r="H135" s="2" t="n"/>
      <c r="I135" s="2" t="n"/>
      <c r="J135" s="2" t="n"/>
      <c r="K135" s="2" t="n"/>
      <c r="L135" s="2" t="n"/>
      <c r="M135" s="2" t="n"/>
      <c r="N135" s="2" t="n"/>
      <c r="O135" s="2" t="n"/>
      <c r="P135" s="2" t="n"/>
      <c r="Q135" s="2" t="n"/>
      <c r="R135" s="2" t="n"/>
      <c r="S135" s="2" t="inlineStr">
        <is>
          <t>GOing with bank of maharasta -self</t>
        </is>
      </c>
      <c r="T135" s="2" t="inlineStr">
        <is>
          <t>24/7 : DNp</t>
        </is>
      </c>
      <c r="U135" s="2" t="inlineStr">
        <is>
          <t>Not sure</t>
        </is>
      </c>
      <c r="V135" s="2" t="inlineStr"/>
      <c r="W135" s="2" t="inlineStr"/>
      <c r="X135" s="2" t="n"/>
      <c r="Y135" s="2" t="n"/>
      <c r="Z135" s="2" t="n"/>
      <c r="AA135" s="2" t="inlineStr">
        <is>
          <t>Not Sure</t>
        </is>
      </c>
      <c r="AB135" s="2" t="inlineStr">
        <is>
          <t>Not Sure</t>
        </is>
      </c>
      <c r="AC135" s="2" t="n"/>
      <c r="AD135" s="2" t="n"/>
      <c r="AE135" s="2" t="n"/>
      <c r="AF135" s="2" t="n"/>
      <c r="AG135" s="2" t="inlineStr">
        <is>
          <t>Ongoing</t>
        </is>
      </c>
      <c r="AH135" s="2" t="inlineStr">
        <is>
          <t>Processing at other bank</t>
        </is>
      </c>
      <c r="AI135" s="2" t="n"/>
      <c r="AJ135" s="2" t="n"/>
      <c r="AK135" s="2" t="n"/>
      <c r="AL135" s="2" t="n"/>
      <c r="AM135" s="2" t="n"/>
      <c r="AN135" s="2" t="n"/>
      <c r="AO135" s="2" t="n"/>
      <c r="AP135" s="2" t="n"/>
      <c r="AQ135" s="2" t="n"/>
    </row>
    <row r="136">
      <c r="A136" t="n">
        <v>135</v>
      </c>
      <c r="B136" s="2" t="inlineStr">
        <is>
          <t>Jasmini Sunil Sherje</t>
        </is>
      </c>
      <c r="C136" s="3" t="n">
        <v>7507437501</v>
      </c>
      <c r="D136" s="2" t="inlineStr">
        <is>
          <t>PROV260506562</t>
        </is>
      </c>
      <c r="E136" s="2" t="inlineStr">
        <is>
          <t>ADYPU</t>
        </is>
      </c>
      <c r="F136" s="2" t="inlineStr">
        <is>
          <t>No</t>
        </is>
      </c>
      <c r="G136" s="2" t="inlineStr">
        <is>
          <t>Loan not required</t>
        </is>
      </c>
      <c r="H136" s="2" t="n"/>
      <c r="I136" s="2" t="n"/>
      <c r="J136" s="2" t="n"/>
      <c r="K136" s="2" t="n"/>
      <c r="L136" s="2" t="n"/>
      <c r="M136" s="2" t="n"/>
      <c r="N136" s="2" t="n"/>
      <c r="O136" s="2" t="n"/>
      <c r="P136" s="2" t="n"/>
      <c r="Q136" s="2" t="n"/>
      <c r="R136" s="2" t="n"/>
      <c r="S136" s="2" t="n"/>
      <c r="T136" s="2" t="inlineStr"/>
      <c r="U136" s="2" t="inlineStr">
        <is>
          <t>No</t>
        </is>
      </c>
      <c r="V136" s="2" t="inlineStr"/>
      <c r="W136" s="2" t="inlineStr"/>
      <c r="X136" s="2" t="n"/>
      <c r="Y136" s="2" t="n"/>
      <c r="Z136" s="2" t="n"/>
      <c r="AA136" s="2" t="inlineStr">
        <is>
          <t>Not required</t>
        </is>
      </c>
      <c r="AB136" s="2" t="inlineStr">
        <is>
          <t>Not required</t>
        </is>
      </c>
      <c r="AC136" s="2" t="n"/>
      <c r="AD136" s="2" t="n"/>
      <c r="AE136" s="2" t="n"/>
      <c r="AF136" s="2" t="n"/>
      <c r="AG136" s="2" t="inlineStr">
        <is>
          <t>Not required</t>
        </is>
      </c>
      <c r="AH136" s="2" t="n"/>
      <c r="AI136" s="2" t="n"/>
      <c r="AJ136" s="2" t="n"/>
      <c r="AK136" s="2" t="n"/>
      <c r="AL136" s="2" t="n"/>
      <c r="AM136" s="2" t="n"/>
      <c r="AN136" s="2" t="n"/>
      <c r="AO136" s="2" t="n"/>
      <c r="AP136" s="2" t="n"/>
      <c r="AQ136" s="2" t="n"/>
    </row>
    <row r="137">
      <c r="A137" t="n">
        <v>136</v>
      </c>
      <c r="B137" s="2" t="inlineStr">
        <is>
          <t>Karan Chauhan</t>
        </is>
      </c>
      <c r="C137" s="3" t="n">
        <v>8081249583</v>
      </c>
      <c r="D137" s="2" t="inlineStr">
        <is>
          <t>PROV260502584</t>
        </is>
      </c>
      <c r="E137" s="2" t="inlineStr">
        <is>
          <t>ADYPU</t>
        </is>
      </c>
      <c r="F137" s="2" t="inlineStr">
        <is>
          <t>No</t>
        </is>
      </c>
      <c r="G137" s="2" t="inlineStr">
        <is>
          <t>Loan not required</t>
        </is>
      </c>
      <c r="H137" s="2" t="n"/>
      <c r="I137" s="2" t="n"/>
      <c r="J137" s="2" t="n"/>
      <c r="K137" s="2" t="n"/>
      <c r="L137" s="2" t="n"/>
      <c r="M137" s="2" t="n"/>
      <c r="N137" s="2" t="n"/>
      <c r="O137" s="2" t="n"/>
      <c r="P137" s="2" t="n"/>
      <c r="Q137" s="2" t="n"/>
      <c r="R137" s="2" t="n"/>
      <c r="S137" s="2" t="inlineStr">
        <is>
          <t>Callback Morning after father  comes</t>
        </is>
      </c>
      <c r="T137" s="2" t="inlineStr"/>
      <c r="U137" s="2" t="inlineStr">
        <is>
          <t>No</t>
        </is>
      </c>
      <c r="V137" s="2" t="inlineStr"/>
      <c r="W137" s="2" t="inlineStr"/>
      <c r="X137" s="2" t="n"/>
      <c r="Y137" s="2" t="n"/>
      <c r="Z137" s="2" t="n"/>
      <c r="AA137" s="2" t="inlineStr">
        <is>
          <t>Not required</t>
        </is>
      </c>
      <c r="AB137" s="2" t="inlineStr">
        <is>
          <t>Not required</t>
        </is>
      </c>
      <c r="AC137" s="2" t="n"/>
      <c r="AD137" s="2" t="n"/>
      <c r="AE137" s="2" t="n"/>
      <c r="AF137" s="2" t="n"/>
      <c r="AG137" s="2" t="inlineStr">
        <is>
          <t>Not required</t>
        </is>
      </c>
      <c r="AH137" s="2" t="n"/>
      <c r="AI137" s="2" t="n"/>
      <c r="AJ137" s="2" t="n"/>
      <c r="AK137" s="2" t="n"/>
      <c r="AL137" s="2" t="n"/>
      <c r="AM137" s="2" t="n"/>
      <c r="AN137" s="2" t="n"/>
      <c r="AO137" s="2" t="n"/>
      <c r="AP137" s="2" t="n"/>
      <c r="AQ137" s="2" t="n"/>
    </row>
    <row r="138">
      <c r="A138" t="n">
        <v>137</v>
      </c>
      <c r="B138" s="2" t="inlineStr">
        <is>
          <t>NAVEEN Kumar</t>
        </is>
      </c>
      <c r="C138" s="3" t="n">
        <v>9631195457</v>
      </c>
      <c r="D138" s="2" t="inlineStr">
        <is>
          <t>PROV260607657</t>
        </is>
      </c>
      <c r="E138" s="2" t="inlineStr">
        <is>
          <t>ADYPU</t>
        </is>
      </c>
      <c r="F138" s="2" t="inlineStr">
        <is>
          <t>Yes</t>
        </is>
      </c>
      <c r="G138" s="2" t="inlineStr">
        <is>
          <t>Loan not required</t>
        </is>
      </c>
      <c r="H138" s="2" t="n">
        <v>0.1</v>
      </c>
      <c r="I138" s="2" t="n">
        <v>15</v>
      </c>
      <c r="J138" s="2" t="n">
        <v>76</v>
      </c>
      <c r="K138" s="2" t="inlineStr">
        <is>
          <t>Father, Uncle</t>
        </is>
      </c>
      <c r="L138" s="2" t="inlineStr">
        <is>
          <t xml:space="preserve">- Farmer , Priest ,  ITr - 5L , </t>
        </is>
      </c>
      <c r="M138" s="2" t="inlineStr">
        <is>
          <t>5L</t>
        </is>
      </c>
      <c r="N138" s="2" t="inlineStr">
        <is>
          <t xml:space="preserve">ITR </t>
        </is>
      </c>
      <c r="O138" s="2" t="n"/>
      <c r="P138" s="2" t="inlineStr">
        <is>
          <t xml:space="preserve">Don't know </t>
        </is>
      </c>
      <c r="Q138" s="2" t="n"/>
      <c r="R138" s="2" t="n"/>
      <c r="S138" s="2" t="inlineStr">
        <is>
          <t>self-bank</t>
        </is>
      </c>
      <c r="T138" s="2" t="inlineStr">
        <is>
          <t>20/07: DNP
27/07 : DNP</t>
        </is>
      </c>
      <c r="U138" s="2" t="inlineStr">
        <is>
          <t>Not sure</t>
        </is>
      </c>
      <c r="V138" s="2" t="inlineStr">
        <is>
          <t>Yes</t>
        </is>
      </c>
      <c r="W138" s="2" t="inlineStr">
        <is>
          <t>No</t>
        </is>
      </c>
      <c r="X138" s="2" t="n"/>
      <c r="Y138" s="2" t="n"/>
      <c r="Z138" s="2" t="n"/>
      <c r="AA138" s="2" t="inlineStr">
        <is>
          <t>Not Sure</t>
        </is>
      </c>
      <c r="AB138" s="2" t="inlineStr">
        <is>
          <t>Not Sure</t>
        </is>
      </c>
      <c r="AC138" s="2" t="n"/>
      <c r="AD138" s="2" t="inlineStr">
        <is>
          <t>He has been DNP for long and as  per bank has said "not interested" to the loan part. Need an intent check.</t>
        </is>
      </c>
      <c r="AE138" s="2" t="n"/>
      <c r="AF138" s="2" t="n"/>
      <c r="AG138" s="2" t="inlineStr">
        <is>
          <t>Not even started</t>
        </is>
      </c>
      <c r="AH138" s="2" t="n"/>
      <c r="AI138" s="2" t="n"/>
      <c r="AJ138" s="2" t="n"/>
      <c r="AK138" s="2" t="n"/>
      <c r="AL138" s="2" t="inlineStr">
        <is>
          <t>DNP</t>
        </is>
      </c>
      <c r="AM138" s="2" t="n"/>
      <c r="AN138" s="2" t="n"/>
      <c r="AO138" s="2" t="n"/>
      <c r="AP138" s="2" t="n"/>
      <c r="AQ138" s="2" t="n"/>
    </row>
    <row r="139">
      <c r="A139" t="n">
        <v>138</v>
      </c>
      <c r="B139" s="2" t="inlineStr">
        <is>
          <t>Aditya Kumar</t>
        </is>
      </c>
      <c r="C139" s="3" t="n">
        <v>9135311529</v>
      </c>
      <c r="D139" s="2" t="inlineStr">
        <is>
          <t>PROV260607546</t>
        </is>
      </c>
      <c r="E139" s="2" t="inlineStr">
        <is>
          <t>SSAHE</t>
        </is>
      </c>
      <c r="F139" s="2" t="inlineStr">
        <is>
          <t>No</t>
        </is>
      </c>
      <c r="G139" s="2" t="inlineStr">
        <is>
          <t>Loan not required</t>
        </is>
      </c>
      <c r="H139" s="2" t="n"/>
      <c r="I139" s="2" t="n"/>
      <c r="J139" s="2" t="n"/>
      <c r="K139" s="2" t="n"/>
      <c r="L139" s="2" t="n"/>
      <c r="M139" s="2" t="n"/>
      <c r="N139" s="2" t="n"/>
      <c r="O139" s="2" t="n"/>
      <c r="P139" s="2" t="n"/>
      <c r="Q139" s="2" t="n"/>
      <c r="R139" s="2" t="n"/>
      <c r="S139" s="2" t="inlineStr">
        <is>
          <t>dont want loan</t>
        </is>
      </c>
      <c r="T139" s="2" t="inlineStr"/>
      <c r="U139" s="2" t="inlineStr">
        <is>
          <t>No</t>
        </is>
      </c>
      <c r="V139" s="2" t="inlineStr"/>
      <c r="W139" s="2" t="inlineStr"/>
      <c r="X139" s="2" t="n"/>
      <c r="Y139" s="2" t="n"/>
      <c r="Z139" s="2" t="n"/>
      <c r="AA139" s="2" t="inlineStr">
        <is>
          <t>Not required</t>
        </is>
      </c>
      <c r="AB139" s="2" t="inlineStr">
        <is>
          <t>Not required</t>
        </is>
      </c>
      <c r="AC139" s="2" t="n"/>
      <c r="AD139" s="2" t="n"/>
      <c r="AE139" s="2" t="n"/>
      <c r="AF139" s="2" t="n"/>
      <c r="AG139" s="2" t="inlineStr">
        <is>
          <t>Not required</t>
        </is>
      </c>
      <c r="AH139" s="2" t="n"/>
      <c r="AI139" s="2" t="n"/>
      <c r="AJ139" s="2" t="n"/>
      <c r="AK139" s="2" t="n"/>
      <c r="AL139" s="2" t="n"/>
      <c r="AM139" s="2" t="n"/>
      <c r="AN139" s="2" t="n"/>
      <c r="AO139" s="2" t="n"/>
      <c r="AP139" s="2" t="n"/>
      <c r="AQ139" s="2" t="n"/>
    </row>
    <row r="140">
      <c r="A140" t="n">
        <v>139</v>
      </c>
      <c r="B140" s="2" t="inlineStr">
        <is>
          <t>Aditya Thakur</t>
        </is>
      </c>
      <c r="C140" s="3" t="n">
        <v>8437751682</v>
      </c>
      <c r="D140" s="2" t="inlineStr">
        <is>
          <t>PROV260606251</t>
        </is>
      </c>
      <c r="E140" s="2" t="inlineStr">
        <is>
          <t>SSAHE</t>
        </is>
      </c>
      <c r="F140" s="2" t="inlineStr">
        <is>
          <t>No</t>
        </is>
      </c>
      <c r="G140" s="2" t="inlineStr">
        <is>
          <t>Loan not required</t>
        </is>
      </c>
      <c r="H140" s="2" t="n"/>
      <c r="I140" s="2" t="n"/>
      <c r="J140" s="2" t="n"/>
      <c r="K140" s="2" t="n"/>
      <c r="L140" s="2" t="n"/>
      <c r="M140" s="2" t="n"/>
      <c r="N140" s="2" t="n"/>
      <c r="O140" s="2" t="n"/>
      <c r="P140" s="2" t="n"/>
      <c r="Q140" s="2" t="n"/>
      <c r="R140" s="2" t="n"/>
      <c r="S140" s="2" t="inlineStr">
        <is>
          <t>dont want loan</t>
        </is>
      </c>
      <c r="T140" s="2" t="inlineStr"/>
      <c r="U140" s="2" t="inlineStr">
        <is>
          <t>No</t>
        </is>
      </c>
      <c r="V140" s="2" t="inlineStr"/>
      <c r="W140" s="2" t="inlineStr"/>
      <c r="X140" s="2" t="n"/>
      <c r="Y140" s="2" t="n"/>
      <c r="Z140" s="2" t="n"/>
      <c r="AA140" s="2" t="inlineStr">
        <is>
          <t>Not required</t>
        </is>
      </c>
      <c r="AB140" s="2" t="inlineStr">
        <is>
          <t>Not required</t>
        </is>
      </c>
      <c r="AC140" s="2" t="n"/>
      <c r="AD140" s="2" t="n"/>
      <c r="AE140" s="2" t="n"/>
      <c r="AF140" s="2" t="n"/>
      <c r="AG140" s="2" t="inlineStr">
        <is>
          <t>Not required</t>
        </is>
      </c>
      <c r="AH140" s="2" t="n"/>
      <c r="AI140" s="2" t="n"/>
      <c r="AJ140" s="2" t="n"/>
      <c r="AK140" s="2" t="n"/>
      <c r="AL140" s="2" t="n"/>
      <c r="AM140" s="2" t="n"/>
      <c r="AN140" s="2" t="n"/>
      <c r="AO140" s="2" t="n"/>
      <c r="AP140" s="2" t="n"/>
      <c r="AQ140" s="2" t="n"/>
    </row>
    <row r="141">
      <c r="A141" t="n">
        <v>140</v>
      </c>
      <c r="B141" s="2" t="inlineStr">
        <is>
          <t>JAI VARDHAN SINGH</t>
        </is>
      </c>
      <c r="C141" s="3" t="n">
        <v>9068744506</v>
      </c>
      <c r="D141" s="2" t="inlineStr">
        <is>
          <t>PROV260506212</t>
        </is>
      </c>
      <c r="E141" s="2" t="inlineStr">
        <is>
          <t>SSAHE</t>
        </is>
      </c>
      <c r="F141" s="2" t="inlineStr">
        <is>
          <t>No</t>
        </is>
      </c>
      <c r="G141" s="2" t="inlineStr">
        <is>
          <t>Loan not required</t>
        </is>
      </c>
      <c r="H141" s="2" t="n"/>
      <c r="I141" s="2" t="n"/>
      <c r="J141" s="2" t="n"/>
      <c r="K141" s="2" t="n"/>
      <c r="L141" s="2" t="n"/>
      <c r="M141" s="2" t="n"/>
      <c r="N141" s="2" t="n"/>
      <c r="O141" s="2" t="n"/>
      <c r="P141" s="2" t="n"/>
      <c r="Q141" s="2" t="n"/>
      <c r="R141" s="2" t="n"/>
      <c r="S141" s="2" t="inlineStr">
        <is>
          <t>Self Funded Father will be paying</t>
        </is>
      </c>
      <c r="T141" s="2" t="inlineStr"/>
      <c r="U141" s="2" t="inlineStr">
        <is>
          <t>No</t>
        </is>
      </c>
      <c r="V141" s="2" t="inlineStr"/>
      <c r="W141" s="2" t="inlineStr"/>
      <c r="X141" s="2" t="n"/>
      <c r="Y141" s="2" t="n"/>
      <c r="Z141" s="2" t="n"/>
      <c r="AA141" s="2" t="inlineStr">
        <is>
          <t>Not required</t>
        </is>
      </c>
      <c r="AB141" s="2" t="inlineStr">
        <is>
          <t>Not required</t>
        </is>
      </c>
      <c r="AC141" s="2" t="n"/>
      <c r="AD141" s="2" t="n"/>
      <c r="AE141" s="2" t="n"/>
      <c r="AF141" s="2" t="n"/>
      <c r="AG141" s="2" t="inlineStr">
        <is>
          <t>Not required</t>
        </is>
      </c>
      <c r="AH141" s="2" t="n"/>
      <c r="AI141" s="2" t="n"/>
      <c r="AJ141" s="2" t="n"/>
      <c r="AK141" s="2" t="n"/>
      <c r="AL141" s="2" t="n"/>
      <c r="AM141" s="2" t="n"/>
      <c r="AN141" s="2" t="n"/>
      <c r="AO141" s="2" t="n"/>
      <c r="AP141" s="2" t="n"/>
      <c r="AQ141" s="2" t="n"/>
    </row>
    <row r="142">
      <c r="A142" t="n">
        <v>141</v>
      </c>
      <c r="B142" s="2" t="inlineStr">
        <is>
          <t>MD REHAN</t>
        </is>
      </c>
      <c r="C142" s="3" t="n">
        <v>9431397678</v>
      </c>
      <c r="D142" s="2" t="inlineStr">
        <is>
          <t>PROV260606060</t>
        </is>
      </c>
      <c r="E142" s="2" t="inlineStr">
        <is>
          <t>SSAHE</t>
        </is>
      </c>
      <c r="F142" s="2" t="inlineStr">
        <is>
          <t>No</t>
        </is>
      </c>
      <c r="G142" s="2" t="inlineStr">
        <is>
          <t>Loan not required</t>
        </is>
      </c>
      <c r="H142" s="2" t="n"/>
      <c r="I142" s="2" t="n"/>
      <c r="J142" s="2" t="n"/>
      <c r="K142" s="2" t="n"/>
      <c r="L142" s="2" t="n"/>
      <c r="M142" s="2" t="n"/>
      <c r="N142" s="2" t="n"/>
      <c r="O142" s="2" t="n"/>
      <c r="P142" s="2" t="n"/>
      <c r="Q142" s="2" t="n"/>
      <c r="R142" s="2" t="n"/>
      <c r="S142" s="2" t="inlineStr">
        <is>
          <t>talked with his father he said no he want any loan</t>
        </is>
      </c>
      <c r="T142" s="2" t="inlineStr"/>
      <c r="U142" s="2" t="inlineStr">
        <is>
          <t>No</t>
        </is>
      </c>
      <c r="V142" s="2" t="inlineStr"/>
      <c r="W142" s="2" t="inlineStr"/>
      <c r="X142" s="2" t="n"/>
      <c r="Y142" s="2" t="n"/>
      <c r="Z142" s="2" t="n"/>
      <c r="AA142" s="2" t="inlineStr">
        <is>
          <t>Not required</t>
        </is>
      </c>
      <c r="AB142" s="2" t="inlineStr">
        <is>
          <t>Not required</t>
        </is>
      </c>
      <c r="AC142" s="2" t="n"/>
      <c r="AD142" s="2" t="n"/>
      <c r="AE142" s="2" t="n"/>
      <c r="AF142" s="2" t="n"/>
      <c r="AG142" s="2" t="inlineStr">
        <is>
          <t>Not required</t>
        </is>
      </c>
      <c r="AH142" s="2" t="n"/>
      <c r="AI142" s="2" t="n"/>
      <c r="AJ142" s="2" t="n"/>
      <c r="AK142" s="2" t="n"/>
      <c r="AL142" s="2" t="n"/>
      <c r="AM142" s="2" t="n"/>
      <c r="AN142" s="2" t="n"/>
      <c r="AO142" s="2" t="n"/>
      <c r="AP142" s="2" t="n"/>
      <c r="AQ142" s="2" t="n"/>
    </row>
    <row r="143">
      <c r="A143" t="n">
        <v>142</v>
      </c>
      <c r="B143" s="2" t="inlineStr">
        <is>
          <t>Rishant Chandra</t>
        </is>
      </c>
      <c r="C143" s="3" t="n">
        <v>9709953303</v>
      </c>
      <c r="D143" s="2" t="inlineStr">
        <is>
          <t>PROV260501654</t>
        </is>
      </c>
      <c r="E143" s="2" t="inlineStr">
        <is>
          <t>SSAHE</t>
        </is>
      </c>
      <c r="F143" s="2" t="inlineStr">
        <is>
          <t>No</t>
        </is>
      </c>
      <c r="G143" s="2" t="inlineStr">
        <is>
          <t>Loan not required</t>
        </is>
      </c>
      <c r="H143" s="2" t="n"/>
      <c r="I143" s="2" t="n"/>
      <c r="J143" s="2" t="n"/>
      <c r="K143" s="2" t="n"/>
      <c r="L143" s="2" t="n"/>
      <c r="M143" s="2" t="n"/>
      <c r="N143" s="2" t="n"/>
      <c r="O143" s="2" t="n"/>
      <c r="P143" s="2" t="n"/>
      <c r="Q143" s="2" t="n"/>
      <c r="R143" s="2" t="n"/>
      <c r="S143" s="2" t="inlineStr">
        <is>
          <t>Self Funded Father will be paying</t>
        </is>
      </c>
      <c r="T143" s="2" t="inlineStr"/>
      <c r="U143" s="2" t="inlineStr">
        <is>
          <t>No</t>
        </is>
      </c>
      <c r="V143" s="2" t="inlineStr"/>
      <c r="W143" s="2" t="inlineStr"/>
      <c r="X143" s="2" t="n"/>
      <c r="Y143" s="2" t="n"/>
      <c r="Z143" s="2" t="n"/>
      <c r="AA143" s="2" t="inlineStr">
        <is>
          <t>Not required</t>
        </is>
      </c>
      <c r="AB143" s="2" t="inlineStr">
        <is>
          <t>Not required</t>
        </is>
      </c>
      <c r="AC143" s="2" t="n"/>
      <c r="AD143" s="2" t="n"/>
      <c r="AE143" s="2" t="n"/>
      <c r="AF143" s="2" t="n"/>
      <c r="AG143" s="2" t="inlineStr">
        <is>
          <t>Not required</t>
        </is>
      </c>
      <c r="AH143" s="2" t="n"/>
      <c r="AI143" s="2" t="n"/>
      <c r="AJ143" s="2" t="n"/>
      <c r="AK143" s="2" t="n"/>
      <c r="AL143" s="2" t="n"/>
      <c r="AM143" s="2" t="n"/>
      <c r="AN143" s="2" t="n"/>
      <c r="AO143" s="2" t="n"/>
      <c r="AP143" s="2" t="n"/>
      <c r="AQ143" s="2" t="n"/>
    </row>
    <row r="144">
      <c r="A144" t="n">
        <v>143</v>
      </c>
      <c r="B144" s="2" t="inlineStr">
        <is>
          <t>Vansh Shah</t>
        </is>
      </c>
      <c r="C144" s="3" t="n">
        <v>9558662955</v>
      </c>
      <c r="D144" s="2" t="inlineStr">
        <is>
          <t>PROV260608411</t>
        </is>
      </c>
      <c r="E144" s="2" t="inlineStr">
        <is>
          <t>SSAHE</t>
        </is>
      </c>
      <c r="F144" s="2" t="inlineStr">
        <is>
          <t>No</t>
        </is>
      </c>
      <c r="G144" s="2" t="inlineStr">
        <is>
          <t>Loan not required</t>
        </is>
      </c>
      <c r="H144" s="2" t="n"/>
      <c r="I144" s="2" t="n"/>
      <c r="J144" s="2" t="n"/>
      <c r="K144" s="2" t="n"/>
      <c r="L144" s="2" t="n"/>
      <c r="M144" s="2" t="n"/>
      <c r="N144" s="2" t="n"/>
      <c r="O144" s="2" t="n"/>
      <c r="P144" s="2" t="n"/>
      <c r="Q144" s="2" t="n"/>
      <c r="R144" s="2" t="n"/>
      <c r="S144" s="2" t="inlineStr">
        <is>
          <t>Self Funded relative will pay</t>
        </is>
      </c>
      <c r="T144" s="2" t="inlineStr"/>
      <c r="U144" s="2" t="inlineStr">
        <is>
          <t>No</t>
        </is>
      </c>
      <c r="V144" s="2" t="inlineStr"/>
      <c r="W144" s="2" t="inlineStr"/>
      <c r="X144" s="2" t="n"/>
      <c r="Y144" s="2" t="n"/>
      <c r="Z144" s="2" t="n"/>
      <c r="AA144" s="2" t="inlineStr">
        <is>
          <t>Not required</t>
        </is>
      </c>
      <c r="AB144" s="2" t="inlineStr">
        <is>
          <t>Not required</t>
        </is>
      </c>
      <c r="AC144" s="2" t="n"/>
      <c r="AD144" s="2" t="n"/>
      <c r="AE144" s="2" t="n"/>
      <c r="AF144" s="2" t="n"/>
      <c r="AG144" s="2" t="inlineStr">
        <is>
          <t>Not required</t>
        </is>
      </c>
      <c r="AH144" s="2" t="n"/>
      <c r="AI144" s="2" t="n"/>
      <c r="AJ144" s="2" t="n"/>
      <c r="AK144" s="2" t="n"/>
      <c r="AL144" s="2" t="n"/>
      <c r="AM144" s="2" t="n"/>
      <c r="AN144" s="2" t="n"/>
      <c r="AO144" s="2" t="n"/>
      <c r="AP144" s="2" t="n"/>
      <c r="AQ144" s="2" t="n"/>
    </row>
    <row r="145">
      <c r="A145" t="n">
        <v>144</v>
      </c>
      <c r="B145" s="2" t="inlineStr">
        <is>
          <t>Vaibhav Mishra</t>
        </is>
      </c>
      <c r="C145" s="3" t="n">
        <v>7379716613</v>
      </c>
      <c r="D145" s="2" t="inlineStr">
        <is>
          <t>PROV260604885</t>
        </is>
      </c>
      <c r="E145" s="2" t="inlineStr">
        <is>
          <t>SSAHE</t>
        </is>
      </c>
      <c r="F145" s="2" t="inlineStr">
        <is>
          <t>No</t>
        </is>
      </c>
      <c r="G145" s="2" t="inlineStr">
        <is>
          <t>Loan not required</t>
        </is>
      </c>
      <c r="H145" s="2" t="n"/>
      <c r="I145" s="2" t="n"/>
      <c r="J145" s="2" t="n"/>
      <c r="K145" s="2" t="n"/>
      <c r="L145" s="2" t="n"/>
      <c r="M145" s="2" t="n"/>
      <c r="N145" s="2" t="n"/>
      <c r="O145" s="2" t="n"/>
      <c r="P145" s="2" t="n"/>
      <c r="Q145" s="2" t="n"/>
      <c r="R145" s="2" t="n"/>
      <c r="S145" s="2" t="inlineStr">
        <is>
          <t>Self Funded Father will pay</t>
        </is>
      </c>
      <c r="T145" s="2" t="inlineStr"/>
      <c r="U145" s="2" t="inlineStr">
        <is>
          <t>No</t>
        </is>
      </c>
      <c r="V145" s="2" t="inlineStr"/>
      <c r="W145" s="2" t="inlineStr"/>
      <c r="X145" s="2" t="n"/>
      <c r="Y145" s="2" t="n"/>
      <c r="Z145" s="2" t="n"/>
      <c r="AA145" s="2" t="inlineStr">
        <is>
          <t>Not required</t>
        </is>
      </c>
      <c r="AB145" s="2" t="inlineStr">
        <is>
          <t>Not required</t>
        </is>
      </c>
      <c r="AC145" s="2" t="n"/>
      <c r="AD145" s="2" t="n"/>
      <c r="AE145" s="2" t="n"/>
      <c r="AF145" s="2" t="n"/>
      <c r="AG145" s="2" t="inlineStr">
        <is>
          <t>Not required</t>
        </is>
      </c>
      <c r="AH145" s="2" t="n"/>
      <c r="AI145" s="2" t="n"/>
      <c r="AJ145" s="2" t="n"/>
      <c r="AK145" s="2" t="n"/>
      <c r="AL145" s="2" t="n"/>
      <c r="AM145" s="2" t="n"/>
      <c r="AN145" s="2" t="n"/>
      <c r="AO145" s="2" t="n"/>
      <c r="AP145" s="2" t="n"/>
      <c r="AQ145" s="2" t="n"/>
    </row>
    <row r="146">
      <c r="A146" t="n">
        <v>145</v>
      </c>
      <c r="B146" s="2" t="inlineStr">
        <is>
          <t>Kayak M WADGAON</t>
        </is>
      </c>
      <c r="C146" s="3" t="n">
        <v>8431131742</v>
      </c>
      <c r="D146" s="2" t="inlineStr">
        <is>
          <t>PROV260505198</t>
        </is>
      </c>
      <c r="E146" s="2" t="inlineStr">
        <is>
          <t>SSAHE</t>
        </is>
      </c>
      <c r="F146" s="2" t="inlineStr">
        <is>
          <t>No</t>
        </is>
      </c>
      <c r="G146" s="2" t="inlineStr">
        <is>
          <t>Loan not required</t>
        </is>
      </c>
      <c r="H146" s="2" t="n"/>
      <c r="I146" s="2" t="n"/>
      <c r="J146" s="2" t="n"/>
      <c r="K146" s="2" t="n"/>
      <c r="L146" s="2" t="n"/>
      <c r="M146" s="2" t="n"/>
      <c r="N146" s="2" t="n"/>
      <c r="O146" s="2" t="n"/>
      <c r="P146" s="2" t="n"/>
      <c r="Q146" s="2" t="n"/>
      <c r="R146" s="2" t="n"/>
      <c r="S146" s="2" t="n"/>
      <c r="T146" s="2" t="inlineStr"/>
      <c r="U146" s="2" t="inlineStr">
        <is>
          <t>No</t>
        </is>
      </c>
      <c r="V146" s="2" t="inlineStr"/>
      <c r="W146" s="2" t="inlineStr"/>
      <c r="X146" s="2" t="n"/>
      <c r="Y146" s="2" t="n"/>
      <c r="Z146" s="2" t="n"/>
      <c r="AA146" s="2" t="inlineStr">
        <is>
          <t>Not required</t>
        </is>
      </c>
      <c r="AB146" s="2" t="inlineStr">
        <is>
          <t>Not required</t>
        </is>
      </c>
      <c r="AC146" s="2" t="n"/>
      <c r="AD146" s="2" t="n"/>
      <c r="AE146" s="2" t="n"/>
      <c r="AF146" s="2" t="n"/>
      <c r="AG146" s="2" t="inlineStr">
        <is>
          <t>Not required</t>
        </is>
      </c>
      <c r="AH146" s="2" t="n"/>
      <c r="AI146" s="2" t="n"/>
      <c r="AJ146" s="2" t="n"/>
      <c r="AK146" s="2" t="n"/>
      <c r="AL146" s="2" t="n"/>
      <c r="AM146" s="2" t="n"/>
      <c r="AN146" s="2" t="n"/>
      <c r="AO146" s="2" t="n"/>
      <c r="AP146" s="2" t="n"/>
      <c r="AQ146" s="2" t="n"/>
    </row>
    <row r="147">
      <c r="A147" t="n">
        <v>146</v>
      </c>
      <c r="B147" s="2" t="inlineStr">
        <is>
          <t>Mary Burman</t>
        </is>
      </c>
      <c r="C147" s="3" t="n">
        <v>6294196288</v>
      </c>
      <c r="D147" s="2" t="inlineStr">
        <is>
          <t>PROV260606730</t>
        </is>
      </c>
      <c r="E147" s="2" t="inlineStr">
        <is>
          <t>SSAHE</t>
        </is>
      </c>
      <c r="F147" s="2" t="inlineStr">
        <is>
          <t>No</t>
        </is>
      </c>
      <c r="G147" s="2" t="inlineStr">
        <is>
          <t>Loan not required</t>
        </is>
      </c>
      <c r="H147" s="2" t="n"/>
      <c r="I147" s="2" t="n"/>
      <c r="J147" s="2" t="n"/>
      <c r="K147" s="2" t="n"/>
      <c r="L147" s="2" t="n"/>
      <c r="M147" s="2" t="n"/>
      <c r="N147" s="2" t="n"/>
      <c r="O147" s="2" t="n"/>
      <c r="P147" s="2" t="n"/>
      <c r="Q147" s="2" t="n"/>
      <c r="R147" s="2" t="n"/>
      <c r="S147" s="2" t="n"/>
      <c r="T147" s="2" t="inlineStr"/>
      <c r="U147" s="2" t="inlineStr">
        <is>
          <t>No</t>
        </is>
      </c>
      <c r="V147" s="2" t="inlineStr"/>
      <c r="W147" s="2" t="inlineStr"/>
      <c r="X147" s="2" t="n"/>
      <c r="Y147" s="2" t="n"/>
      <c r="Z147" s="2" t="n"/>
      <c r="AA147" s="2" t="inlineStr">
        <is>
          <t>Not required</t>
        </is>
      </c>
      <c r="AB147" s="2" t="inlineStr">
        <is>
          <t>Not required</t>
        </is>
      </c>
      <c r="AC147" s="2" t="n"/>
      <c r="AD147" s="2" t="n"/>
      <c r="AE147" s="2" t="n"/>
      <c r="AF147" s="2" t="n"/>
      <c r="AG147" s="2" t="inlineStr">
        <is>
          <t>Not required</t>
        </is>
      </c>
      <c r="AH147" s="2" t="n"/>
      <c r="AI147" s="2" t="n"/>
      <c r="AJ147" s="2" t="n"/>
      <c r="AK147" s="2" t="n"/>
      <c r="AL147" s="2" t="n"/>
      <c r="AM147" s="2" t="n"/>
      <c r="AN147" s="2" t="n"/>
      <c r="AO147" s="2" t="n"/>
      <c r="AP147" s="2" t="n"/>
      <c r="AQ147" s="2" t="n"/>
    </row>
    <row r="148">
      <c r="A148" t="n">
        <v>147</v>
      </c>
      <c r="B148" s="2" t="inlineStr">
        <is>
          <t>Kavyashree R</t>
        </is>
      </c>
      <c r="C148" s="3" t="n">
        <v>7204726940</v>
      </c>
      <c r="D148" s="2" t="inlineStr">
        <is>
          <t>PROV260502964</t>
        </is>
      </c>
      <c r="E148" s="2" t="inlineStr">
        <is>
          <t>SSAHE</t>
        </is>
      </c>
      <c r="F148" s="2" t="inlineStr">
        <is>
          <t>No</t>
        </is>
      </c>
      <c r="G148" s="2" t="inlineStr">
        <is>
          <t>Loan not required</t>
        </is>
      </c>
      <c r="H148" s="2" t="n"/>
      <c r="I148" s="2" t="n"/>
      <c r="J148" s="2" t="n"/>
      <c r="K148" s="2" t="n"/>
      <c r="L148" s="2" t="n"/>
      <c r="M148" s="2" t="n"/>
      <c r="N148" s="2" t="n"/>
      <c r="O148" s="2" t="n"/>
      <c r="P148" s="2" t="n"/>
      <c r="Q148" s="2" t="n"/>
      <c r="R148" s="2" t="n"/>
      <c r="S148" s="2" t="n"/>
      <c r="T148" s="2" t="inlineStr"/>
      <c r="U148" s="2" t="inlineStr">
        <is>
          <t>No</t>
        </is>
      </c>
      <c r="V148" s="2" t="inlineStr"/>
      <c r="W148" s="2" t="inlineStr"/>
      <c r="X148" s="2" t="n"/>
      <c r="Y148" s="2" t="n"/>
      <c r="Z148" s="2" t="n"/>
      <c r="AA148" s="2" t="inlineStr">
        <is>
          <t>Not required</t>
        </is>
      </c>
      <c r="AB148" s="2" t="inlineStr">
        <is>
          <t>Not required</t>
        </is>
      </c>
      <c r="AC148" s="2" t="n"/>
      <c r="AD148" s="2" t="n"/>
      <c r="AE148" s="2" t="n"/>
      <c r="AF148" s="2" t="n"/>
      <c r="AG148" s="2" t="inlineStr">
        <is>
          <t>Not required</t>
        </is>
      </c>
      <c r="AH148" s="2" t="n"/>
      <c r="AI148" s="2" t="n"/>
      <c r="AJ148" s="2" t="n"/>
      <c r="AK148" s="2" t="n"/>
      <c r="AL148" s="2" t="n"/>
      <c r="AM148" s="2" t="n"/>
      <c r="AN148" s="2" t="n"/>
      <c r="AO148" s="2" t="n"/>
      <c r="AP148" s="2" t="n"/>
      <c r="AQ148" s="2" t="n"/>
    </row>
    <row r="149">
      <c r="A149" t="n">
        <v>148</v>
      </c>
      <c r="B149" s="2" t="inlineStr">
        <is>
          <t>Amit Das</t>
        </is>
      </c>
      <c r="C149" s="3" t="n">
        <v>8822875127</v>
      </c>
      <c r="D149" s="2" t="inlineStr">
        <is>
          <t>PROV260506306</t>
        </is>
      </c>
      <c r="E149" s="2" t="inlineStr">
        <is>
          <t>SSAHE</t>
        </is>
      </c>
      <c r="F149" s="2" t="inlineStr">
        <is>
          <t>No</t>
        </is>
      </c>
      <c r="G149" s="2" t="inlineStr">
        <is>
          <t>Loan not required</t>
        </is>
      </c>
      <c r="H149" s="2" t="n"/>
      <c r="I149" s="2" t="n"/>
      <c r="J149" s="2" t="n"/>
      <c r="K149" s="2" t="n"/>
      <c r="L149" s="2" t="n"/>
      <c r="M149" s="2" t="n"/>
      <c r="N149" s="2" t="n"/>
      <c r="O149" s="2" t="n"/>
      <c r="P149" s="2" t="n"/>
      <c r="Q149" s="2" t="n"/>
      <c r="R149" s="2" t="n"/>
      <c r="S149" s="2" t="n"/>
      <c r="T149" s="2" t="inlineStr"/>
      <c r="U149" s="2" t="inlineStr">
        <is>
          <t>No</t>
        </is>
      </c>
      <c r="V149" s="2" t="inlineStr"/>
      <c r="W149" s="2" t="inlineStr"/>
      <c r="X149" s="2" t="n"/>
      <c r="Y149" s="2" t="n"/>
      <c r="Z149" s="2" t="n"/>
      <c r="AA149" s="2" t="inlineStr">
        <is>
          <t>Not required</t>
        </is>
      </c>
      <c r="AB149" s="2" t="inlineStr">
        <is>
          <t>Not required</t>
        </is>
      </c>
      <c r="AC149" s="2" t="n"/>
      <c r="AD149" s="2" t="n"/>
      <c r="AE149" s="2" t="n"/>
      <c r="AF149" s="2" t="n"/>
      <c r="AG149" s="2" t="inlineStr">
        <is>
          <t>Not required</t>
        </is>
      </c>
      <c r="AH149" s="2" t="n"/>
      <c r="AI149" s="2" t="n"/>
      <c r="AJ149" s="2" t="n"/>
      <c r="AK149" s="2" t="n"/>
      <c r="AL149" s="2" t="n"/>
      <c r="AM149" s="2" t="n"/>
      <c r="AN149" s="2" t="n"/>
      <c r="AO149" s="2" t="n"/>
      <c r="AP149" s="2" t="n"/>
      <c r="AQ149" s="2" t="n"/>
    </row>
    <row r="150">
      <c r="A150" t="n">
        <v>149</v>
      </c>
      <c r="B150" s="2" t="inlineStr">
        <is>
          <t>Amit Anand</t>
        </is>
      </c>
      <c r="C150" s="3" t="n">
        <v>7488839437</v>
      </c>
      <c r="D150" s="2" t="inlineStr">
        <is>
          <t>PROV260606782</t>
        </is>
      </c>
      <c r="E150" s="2" t="inlineStr">
        <is>
          <t>SSAHE</t>
        </is>
      </c>
      <c r="F150" s="2" t="inlineStr">
        <is>
          <t>No</t>
        </is>
      </c>
      <c r="G150" s="2" t="inlineStr">
        <is>
          <t>Loan not required</t>
        </is>
      </c>
      <c r="H150" s="2" t="n"/>
      <c r="I150" s="2" t="n"/>
      <c r="J150" s="2" t="n"/>
      <c r="K150" s="2" t="n"/>
      <c r="L150" s="2" t="n"/>
      <c r="M150" s="2" t="n"/>
      <c r="N150" s="2" t="n"/>
      <c r="O150" s="2" t="n"/>
      <c r="P150" s="2" t="n"/>
      <c r="Q150" s="2" t="n"/>
      <c r="R150" s="2" t="n"/>
      <c r="S150" s="2" t="n"/>
      <c r="T150" s="2" t="inlineStr"/>
      <c r="U150" s="2" t="inlineStr">
        <is>
          <t>No</t>
        </is>
      </c>
      <c r="V150" s="2" t="inlineStr"/>
      <c r="W150" s="2" t="inlineStr"/>
      <c r="X150" s="2" t="n"/>
      <c r="Y150" s="2" t="n"/>
      <c r="Z150" s="2" t="n"/>
      <c r="AA150" s="2" t="inlineStr">
        <is>
          <t>Not required</t>
        </is>
      </c>
      <c r="AB150" s="2" t="inlineStr">
        <is>
          <t>Not required</t>
        </is>
      </c>
      <c r="AC150" s="2" t="n"/>
      <c r="AD150" s="2" t="n"/>
      <c r="AE150" s="2" t="n"/>
      <c r="AF150" s="2" t="n"/>
      <c r="AG150" s="2" t="inlineStr">
        <is>
          <t>Not required</t>
        </is>
      </c>
      <c r="AH150" s="2" t="n"/>
      <c r="AI150" s="2" t="n"/>
      <c r="AJ150" s="2" t="n"/>
      <c r="AK150" s="2" t="n"/>
      <c r="AL150" s="2" t="n"/>
      <c r="AM150" s="2" t="n"/>
      <c r="AN150" s="2" t="n"/>
      <c r="AO150" s="2" t="n"/>
      <c r="AP150" s="2" t="n"/>
      <c r="AQ150" s="2" t="n"/>
    </row>
    <row r="151">
      <c r="A151" t="n">
        <v>150</v>
      </c>
      <c r="B151" s="2" t="inlineStr">
        <is>
          <t>Sahil Sanjay dere</t>
        </is>
      </c>
      <c r="C151" s="3" t="n">
        <v>9665970545</v>
      </c>
      <c r="D151" s="2" t="inlineStr">
        <is>
          <t>PROV260503906</t>
        </is>
      </c>
      <c r="E151" s="2" t="inlineStr">
        <is>
          <t>SSAHE</t>
        </is>
      </c>
      <c r="F151" s="2" t="inlineStr">
        <is>
          <t>No</t>
        </is>
      </c>
      <c r="G151" s="2" t="inlineStr">
        <is>
          <t>Loan not required</t>
        </is>
      </c>
      <c r="H151" s="2" t="n"/>
      <c r="I151" s="2" t="n"/>
      <c r="J151" s="2" t="n"/>
      <c r="K151" s="2" t="n"/>
      <c r="L151" s="2" t="n"/>
      <c r="M151" s="2" t="n"/>
      <c r="N151" s="2" t="n"/>
      <c r="O151" s="2" t="n"/>
      <c r="P151" s="2" t="n"/>
      <c r="Q151" s="2" t="n"/>
      <c r="R151" s="2" t="n"/>
      <c r="S151" s="2" t="n"/>
      <c r="T151" s="2" t="inlineStr"/>
      <c r="U151" s="2" t="inlineStr">
        <is>
          <t>No</t>
        </is>
      </c>
      <c r="V151" s="2" t="inlineStr"/>
      <c r="W151" s="2" t="inlineStr"/>
      <c r="X151" s="2" t="n"/>
      <c r="Y151" s="2" t="n"/>
      <c r="Z151" s="2" t="n"/>
      <c r="AA151" s="2" t="inlineStr">
        <is>
          <t>Not required</t>
        </is>
      </c>
      <c r="AB151" s="2" t="inlineStr">
        <is>
          <t>Not required</t>
        </is>
      </c>
      <c r="AC151" s="2" t="n"/>
      <c r="AD151" s="2" t="n"/>
      <c r="AE151" s="2" t="n"/>
      <c r="AF151" s="2" t="n"/>
      <c r="AG151" s="2" t="inlineStr">
        <is>
          <t>Not required</t>
        </is>
      </c>
      <c r="AH151" s="2" t="n"/>
      <c r="AI151" s="2" t="n"/>
      <c r="AJ151" s="2" t="n"/>
      <c r="AK151" s="2" t="n"/>
      <c r="AL151" s="2" t="n"/>
      <c r="AM151" s="2" t="n"/>
      <c r="AN151" s="2" t="n"/>
      <c r="AO151" s="2" t="n"/>
      <c r="AP151" s="2" t="n"/>
      <c r="AQ151" s="2" t="n"/>
    </row>
    <row r="152">
      <c r="A152" t="n">
        <v>151</v>
      </c>
      <c r="B152" s="2" t="inlineStr">
        <is>
          <t>AARAV ROBIN DESAI</t>
        </is>
      </c>
      <c r="C152" s="3" t="n">
        <v>8758035556</v>
      </c>
      <c r="D152" s="2" t="inlineStr">
        <is>
          <t>PROV260605579</t>
        </is>
      </c>
      <c r="E152" s="2" t="inlineStr">
        <is>
          <t>SSAHE</t>
        </is>
      </c>
      <c r="F152" s="2" t="inlineStr">
        <is>
          <t>No</t>
        </is>
      </c>
      <c r="G152" s="2" t="inlineStr">
        <is>
          <t>Loan not required</t>
        </is>
      </c>
      <c r="H152" s="2" t="n"/>
      <c r="I152" s="2" t="n"/>
      <c r="J152" s="2" t="n"/>
      <c r="K152" s="2" t="n"/>
      <c r="L152" s="2" t="n"/>
      <c r="M152" s="2" t="n"/>
      <c r="N152" s="2" t="n"/>
      <c r="O152" s="2" t="n"/>
      <c r="P152" s="2" t="n"/>
      <c r="Q152" s="2" t="n"/>
      <c r="R152" s="2" t="n"/>
      <c r="S152" s="2" t="n"/>
      <c r="T152" s="2" t="inlineStr"/>
      <c r="U152" s="2" t="inlineStr">
        <is>
          <t>No</t>
        </is>
      </c>
      <c r="V152" s="2" t="inlineStr"/>
      <c r="W152" s="2" t="inlineStr"/>
      <c r="X152" s="2" t="n"/>
      <c r="Y152" s="2" t="n"/>
      <c r="Z152" s="2" t="n"/>
      <c r="AA152" s="2" t="inlineStr">
        <is>
          <t>Not required</t>
        </is>
      </c>
      <c r="AB152" s="2" t="inlineStr">
        <is>
          <t>Not required</t>
        </is>
      </c>
      <c r="AC152" s="2" t="n"/>
      <c r="AD152" s="2" t="n"/>
      <c r="AE152" s="2" t="n"/>
      <c r="AF152" s="2" t="n"/>
      <c r="AG152" s="2" t="inlineStr">
        <is>
          <t>Not required</t>
        </is>
      </c>
      <c r="AH152" s="2" t="n"/>
      <c r="AI152" s="2" t="n"/>
      <c r="AJ152" s="2" t="n"/>
      <c r="AK152" s="2" t="n"/>
      <c r="AL152" s="2" t="n"/>
      <c r="AM152" s="2" t="n"/>
      <c r="AN152" s="2" t="n"/>
      <c r="AO152" s="2" t="n"/>
      <c r="AP152" s="2" t="n"/>
      <c r="AQ152" s="2" t="n"/>
    </row>
    <row r="153">
      <c r="A153" t="n">
        <v>152</v>
      </c>
      <c r="B153" s="2" t="inlineStr">
        <is>
          <t>Aryan Kumar</t>
        </is>
      </c>
      <c r="C153" s="3" t="n">
        <v>9241941123</v>
      </c>
      <c r="D153" s="2" t="inlineStr">
        <is>
          <t>PROV260501215</t>
        </is>
      </c>
      <c r="E153" s="2" t="inlineStr">
        <is>
          <t>SSAHE</t>
        </is>
      </c>
      <c r="F153" s="2" t="inlineStr">
        <is>
          <t>No</t>
        </is>
      </c>
      <c r="G153" s="2" t="inlineStr">
        <is>
          <t>Loan not required</t>
        </is>
      </c>
      <c r="H153" s="2" t="n"/>
      <c r="I153" s="2" t="n"/>
      <c r="J153" s="2" t="n"/>
      <c r="K153" s="2" t="n"/>
      <c r="L153" s="2" t="n"/>
      <c r="M153" s="2" t="n"/>
      <c r="N153" s="2" t="n"/>
      <c r="O153" s="2" t="n"/>
      <c r="P153" s="2" t="n"/>
      <c r="Q153" s="2" t="n"/>
      <c r="R153" s="2" t="n"/>
      <c r="S153" s="2" t="n"/>
      <c r="T153" s="2" t="inlineStr"/>
      <c r="U153" s="2" t="inlineStr">
        <is>
          <t>No</t>
        </is>
      </c>
      <c r="V153" s="2" t="inlineStr"/>
      <c r="W153" s="2" t="inlineStr"/>
      <c r="X153" s="2" t="n"/>
      <c r="Y153" s="2" t="n"/>
      <c r="Z153" s="2" t="n"/>
      <c r="AA153" s="2" t="inlineStr">
        <is>
          <t>Not required</t>
        </is>
      </c>
      <c r="AB153" s="2" t="inlineStr">
        <is>
          <t>Not required</t>
        </is>
      </c>
      <c r="AC153" s="2" t="n"/>
      <c r="AD153" s="2" t="n"/>
      <c r="AE153" s="2" t="n"/>
      <c r="AF153" s="2" t="n"/>
      <c r="AG153" s="2" t="inlineStr">
        <is>
          <t>Not required</t>
        </is>
      </c>
      <c r="AH153" s="2" t="n"/>
      <c r="AI153" s="2" t="n"/>
      <c r="AJ153" s="2" t="n"/>
      <c r="AK153" s="2" t="n"/>
      <c r="AL153" s="2" t="n"/>
      <c r="AM153" s="2" t="n"/>
      <c r="AN153" s="2" t="n"/>
      <c r="AO153" s="2" t="n"/>
      <c r="AP153" s="2" t="n"/>
      <c r="AQ153" s="2" t="n"/>
    </row>
    <row r="154">
      <c r="A154" t="n">
        <v>153</v>
      </c>
      <c r="B154" s="2" t="inlineStr">
        <is>
          <t>Ghanavanth P</t>
        </is>
      </c>
      <c r="C154" s="3" t="n">
        <v>9108567038</v>
      </c>
      <c r="D154" s="2" t="inlineStr">
        <is>
          <t>PROV260502037</t>
        </is>
      </c>
      <c r="E154" s="2" t="inlineStr">
        <is>
          <t>SSAHE</t>
        </is>
      </c>
      <c r="F154" s="2" t="inlineStr">
        <is>
          <t>No</t>
        </is>
      </c>
      <c r="G154" s="2" t="inlineStr">
        <is>
          <t>Loan not required</t>
        </is>
      </c>
      <c r="H154" s="2" t="n"/>
      <c r="I154" s="2" t="n"/>
      <c r="J154" s="2" t="n"/>
      <c r="K154" s="2" t="n"/>
      <c r="L154" s="2" t="n"/>
      <c r="M154" s="2" t="n"/>
      <c r="N154" s="2" t="n"/>
      <c r="O154" s="2" t="n"/>
      <c r="P154" s="2" t="n"/>
      <c r="Q154" s="2" t="n"/>
      <c r="R154" s="2" t="n"/>
      <c r="S154" s="2" t="n"/>
      <c r="T154" s="2" t="inlineStr"/>
      <c r="U154" s="2" t="inlineStr">
        <is>
          <t>No</t>
        </is>
      </c>
      <c r="V154" s="2" t="inlineStr"/>
      <c r="W154" s="2" t="inlineStr"/>
      <c r="X154" s="2" t="n"/>
      <c r="Y154" s="2" t="n"/>
      <c r="Z154" s="2" t="n"/>
      <c r="AA154" s="2" t="inlineStr">
        <is>
          <t>Not required</t>
        </is>
      </c>
      <c r="AB154" s="2" t="inlineStr">
        <is>
          <t>Not required</t>
        </is>
      </c>
      <c r="AC154" s="2" t="n"/>
      <c r="AD154" s="2" t="n"/>
      <c r="AE154" s="2" t="n"/>
      <c r="AF154" s="2" t="n"/>
      <c r="AG154" s="2" t="inlineStr">
        <is>
          <t>Not required</t>
        </is>
      </c>
      <c r="AH154" s="2" t="n"/>
      <c r="AI154" s="2" t="n"/>
      <c r="AJ154" s="2" t="n"/>
      <c r="AK154" s="2" t="n"/>
      <c r="AL154" s="2" t="n"/>
      <c r="AM154" s="2" t="n"/>
      <c r="AN154" s="2" t="n"/>
      <c r="AO154" s="2" t="n"/>
      <c r="AP154" s="2" t="n"/>
      <c r="AQ154" s="2" t="n"/>
    </row>
    <row r="155">
      <c r="A155" t="n">
        <v>154</v>
      </c>
      <c r="B155" s="2" t="inlineStr">
        <is>
          <t>Soumen Hait</t>
        </is>
      </c>
      <c r="C155" s="3" t="n">
        <v>8391988984</v>
      </c>
      <c r="D155" s="2" t="inlineStr">
        <is>
          <t>PROV1000001204</t>
        </is>
      </c>
      <c r="E155" s="2" t="inlineStr">
        <is>
          <t>SSAHE</t>
        </is>
      </c>
      <c r="F155" s="2" t="inlineStr">
        <is>
          <t>Yes</t>
        </is>
      </c>
      <c r="G155" s="2" t="inlineStr">
        <is>
          <t xml:space="preserve">Critical </t>
        </is>
      </c>
      <c r="H155" s="2" t="n">
        <v>0.3</v>
      </c>
      <c r="I155" s="2" t="n">
        <v>7</v>
      </c>
      <c r="J155" s="2" t="n">
        <v>65</v>
      </c>
      <c r="K155" s="2" t="inlineStr">
        <is>
          <t>Father</t>
        </is>
      </c>
      <c r="L155" s="2" t="inlineStr">
        <is>
          <t>- Farmer</t>
        </is>
      </c>
      <c r="M155" s="2" t="inlineStr">
        <is>
          <t>1.20L</t>
        </is>
      </c>
      <c r="N155" s="2" t="inlineStr">
        <is>
          <t>-</t>
        </is>
      </c>
      <c r="O155" s="2" t="inlineStr">
        <is>
          <t>-</t>
        </is>
      </c>
      <c r="P155" s="2" t="inlineStr">
        <is>
          <t>-</t>
        </is>
      </c>
      <c r="Q155" s="2" t="inlineStr">
        <is>
          <t>-</t>
        </is>
      </c>
      <c r="R155" s="2" t="inlineStr">
        <is>
          <t>-</t>
        </is>
      </c>
      <c r="S155" s="2" t="n"/>
      <c r="T155" s="2" t="inlineStr">
        <is>
          <t>14/7 - Student only wants the loan of 7.5L , suggested him for pm vidyalakshmi loan. 
15/7 : Student went to pnb, they have asked for track record of last 3 years. 
21/7: Asked to call back</t>
        </is>
      </c>
      <c r="U155" s="2" t="inlineStr">
        <is>
          <t>Yes</t>
        </is>
      </c>
      <c r="V155" s="2" t="inlineStr">
        <is>
          <t xml:space="preserve">No </t>
        </is>
      </c>
      <c r="W155" s="2" t="inlineStr">
        <is>
          <t>No</t>
        </is>
      </c>
      <c r="X155" s="2" t="inlineStr">
        <is>
          <t>Yes</t>
        </is>
      </c>
      <c r="Y155" s="2" t="n"/>
      <c r="Z155" s="2" t="n"/>
      <c r="AA155" s="2" t="inlineStr">
        <is>
          <t>Risk</t>
        </is>
      </c>
      <c r="AB155" s="2" t="inlineStr">
        <is>
          <t>Risk</t>
        </is>
      </c>
      <c r="AC155" s="2" t="n"/>
      <c r="AD155" s="2" t="n"/>
      <c r="AE155" s="2" t="n"/>
      <c r="AF155" s="2" t="n"/>
      <c r="AG155" s="2" t="inlineStr">
        <is>
          <t>Ongoing</t>
        </is>
      </c>
      <c r="AH155" s="2" t="inlineStr">
        <is>
          <t>Processing by PM vidyalakshmi</t>
        </is>
      </c>
      <c r="AI155" s="2" t="inlineStr">
        <is>
          <t>No</t>
        </is>
      </c>
      <c r="AJ155" s="2" t="inlineStr">
        <is>
          <t>No</t>
        </is>
      </c>
      <c r="AK155" s="2" t="n"/>
      <c r="AL155" s="2" t="n"/>
      <c r="AM155" s="2" t="n"/>
      <c r="AN155" s="2" t="n"/>
      <c r="AO155" s="2" t="n"/>
      <c r="AP155" s="2" t="n"/>
      <c r="AQ155" s="2" t="n"/>
    </row>
    <row r="156">
      <c r="A156" t="n">
        <v>155</v>
      </c>
      <c r="B156" s="2" t="inlineStr">
        <is>
          <t>Pratham Jain</t>
        </is>
      </c>
      <c r="C156" s="3" t="n">
        <v>8448716968</v>
      </c>
      <c r="D156" s="2" t="inlineStr">
        <is>
          <t>PROV1000000256</t>
        </is>
      </c>
      <c r="E156" s="2" t="inlineStr">
        <is>
          <t>SSAHE</t>
        </is>
      </c>
      <c r="F156" s="2" t="inlineStr">
        <is>
          <t>No</t>
        </is>
      </c>
      <c r="G156" s="2" t="inlineStr">
        <is>
          <t>Loan not required</t>
        </is>
      </c>
      <c r="H156" s="2" t="n"/>
      <c r="I156" s="2" t="n"/>
      <c r="J156" s="2" t="n"/>
      <c r="K156" s="2" t="n"/>
      <c r="L156" s="2" t="n"/>
      <c r="M156" s="2" t="n"/>
      <c r="N156" s="2" t="n"/>
      <c r="O156" s="2" t="n"/>
      <c r="P156" s="2" t="n"/>
      <c r="Q156" s="2" t="n"/>
      <c r="R156" s="2" t="n"/>
      <c r="S156" s="2" t="n"/>
      <c r="T156" s="2" t="inlineStr"/>
      <c r="U156" s="2" t="inlineStr">
        <is>
          <t>No</t>
        </is>
      </c>
      <c r="V156" s="2" t="inlineStr"/>
      <c r="W156" s="2" t="inlineStr"/>
      <c r="X156" s="2" t="n"/>
      <c r="Y156" s="2" t="n"/>
      <c r="Z156" s="2" t="n"/>
      <c r="AA156" s="2" t="inlineStr">
        <is>
          <t>Not required</t>
        </is>
      </c>
      <c r="AB156" s="2" t="inlineStr">
        <is>
          <t>Not required</t>
        </is>
      </c>
      <c r="AC156" s="2" t="n"/>
      <c r="AD156" s="2" t="n"/>
      <c r="AE156" s="2" t="n"/>
      <c r="AF156" s="2" t="n"/>
      <c r="AG156" s="2" t="inlineStr">
        <is>
          <t>Not required</t>
        </is>
      </c>
      <c r="AH156" s="2" t="n"/>
      <c r="AI156" s="2" t="n"/>
      <c r="AJ156" s="2" t="n"/>
      <c r="AK156" s="2" t="n"/>
      <c r="AL156" s="2" t="n"/>
      <c r="AM156" s="2" t="n"/>
      <c r="AN156" s="2" t="n"/>
      <c r="AO156" s="2" t="n"/>
      <c r="AP156" s="2" t="n"/>
      <c r="AQ156" s="2" t="n"/>
    </row>
    <row r="157">
      <c r="A157" t="n">
        <v>156</v>
      </c>
      <c r="B157" s="2" t="inlineStr">
        <is>
          <t>Jay kumar</t>
        </is>
      </c>
      <c r="C157" s="3" t="n">
        <v>9204160629</v>
      </c>
      <c r="D157" s="2" t="inlineStr">
        <is>
          <t>PROV1000000270</t>
        </is>
      </c>
      <c r="E157" s="2" t="inlineStr">
        <is>
          <t>SSAHE</t>
        </is>
      </c>
      <c r="F157" s="2" t="inlineStr">
        <is>
          <t>No</t>
        </is>
      </c>
      <c r="G157" s="2" t="inlineStr">
        <is>
          <t>Loan not required</t>
        </is>
      </c>
      <c r="H157" s="2" t="n"/>
      <c r="I157" s="2" t="n"/>
      <c r="J157" s="2" t="n"/>
      <c r="K157" s="2" t="n"/>
      <c r="L157" s="2" t="n"/>
      <c r="M157" s="2" t="n"/>
      <c r="N157" s="2" t="n"/>
      <c r="O157" s="2" t="n"/>
      <c r="P157" s="2" t="n"/>
      <c r="Q157" s="2" t="n"/>
      <c r="R157" s="2" t="n"/>
      <c r="S157" s="2" t="n"/>
      <c r="T157" s="2" t="inlineStr"/>
      <c r="U157" s="2" t="inlineStr">
        <is>
          <t>No</t>
        </is>
      </c>
      <c r="V157" s="2" t="inlineStr"/>
      <c r="W157" s="2" t="inlineStr"/>
      <c r="X157" s="2" t="n"/>
      <c r="Y157" s="2" t="n"/>
      <c r="Z157" s="2" t="n"/>
      <c r="AA157" s="2" t="inlineStr">
        <is>
          <t>Not required</t>
        </is>
      </c>
      <c r="AB157" s="2" t="inlineStr">
        <is>
          <t>Not required</t>
        </is>
      </c>
      <c r="AC157" s="2" t="n"/>
      <c r="AD157" s="2" t="n"/>
      <c r="AE157" s="2" t="n"/>
      <c r="AF157" s="2" t="n"/>
      <c r="AG157" s="2" t="inlineStr">
        <is>
          <t>Not required</t>
        </is>
      </c>
      <c r="AH157" s="2" t="n"/>
      <c r="AI157" s="2" t="n"/>
      <c r="AJ157" s="2" t="n"/>
      <c r="AK157" s="2" t="n"/>
      <c r="AL157" s="2" t="n"/>
      <c r="AM157" s="2" t="n"/>
      <c r="AN157" s="2" t="n"/>
      <c r="AO157" s="2" t="n"/>
      <c r="AP157" s="2" t="n"/>
      <c r="AQ157" s="2" t="n"/>
    </row>
    <row r="158">
      <c r="A158" t="n">
        <v>157</v>
      </c>
      <c r="B158" s="2" t="inlineStr">
        <is>
          <t>PEDDOJU VENKATA SAI MAHEESH</t>
        </is>
      </c>
      <c r="C158" s="3" t="n">
        <v>7207873018</v>
      </c>
      <c r="D158" s="2" t="inlineStr">
        <is>
          <t>PROV1000000252</t>
        </is>
      </c>
      <c r="E158" s="2" t="inlineStr">
        <is>
          <t>SSAHE</t>
        </is>
      </c>
      <c r="F158" s="2" t="inlineStr">
        <is>
          <t>No</t>
        </is>
      </c>
      <c r="G158" s="2" t="inlineStr">
        <is>
          <t>Loan not required</t>
        </is>
      </c>
      <c r="H158" s="2" t="n"/>
      <c r="I158" s="2" t="n"/>
      <c r="J158" s="2" t="n"/>
      <c r="K158" s="2" t="n"/>
      <c r="L158" s="2" t="n"/>
      <c r="M158" s="2" t="n"/>
      <c r="N158" s="2" t="n"/>
      <c r="O158" s="2" t="n"/>
      <c r="P158" s="2" t="n"/>
      <c r="Q158" s="2" t="n"/>
      <c r="R158" s="2" t="n"/>
      <c r="S158" s="2" t="n"/>
      <c r="T158" s="2" t="inlineStr"/>
      <c r="U158" s="2" t="inlineStr">
        <is>
          <t>No</t>
        </is>
      </c>
      <c r="V158" s="2" t="inlineStr"/>
      <c r="W158" s="2" t="inlineStr"/>
      <c r="X158" s="2" t="n"/>
      <c r="Y158" s="2" t="n"/>
      <c r="Z158" s="2" t="n"/>
      <c r="AA158" s="2" t="inlineStr">
        <is>
          <t>Not required</t>
        </is>
      </c>
      <c r="AB158" s="2" t="inlineStr">
        <is>
          <t>Not required</t>
        </is>
      </c>
      <c r="AC158" s="2" t="n"/>
      <c r="AD158" s="2" t="n"/>
      <c r="AE158" s="2" t="n"/>
      <c r="AF158" s="2" t="n"/>
      <c r="AG158" s="2" t="inlineStr">
        <is>
          <t>Not required</t>
        </is>
      </c>
      <c r="AH158" s="2" t="n"/>
      <c r="AI158" s="2" t="n"/>
      <c r="AJ158" s="2" t="n"/>
      <c r="AK158" s="2" t="n"/>
      <c r="AL158" s="2" t="n"/>
      <c r="AM158" s="2" t="n"/>
      <c r="AN158" s="2" t="n"/>
      <c r="AO158" s="2" t="n"/>
      <c r="AP158" s="2" t="n"/>
      <c r="AQ158" s="2" t="n"/>
    </row>
    <row r="159">
      <c r="A159" t="n">
        <v>158</v>
      </c>
      <c r="B159" s="2" t="inlineStr">
        <is>
          <t>Mokshit Hirwani</t>
        </is>
      </c>
      <c r="C159" s="3" t="n">
        <v>9424291588</v>
      </c>
      <c r="D159" s="2" t="inlineStr">
        <is>
          <t>PROV1000001420</t>
        </is>
      </c>
      <c r="E159" s="2" t="inlineStr">
        <is>
          <t>SSAHE</t>
        </is>
      </c>
      <c r="F159" s="2" t="inlineStr">
        <is>
          <t>No</t>
        </is>
      </c>
      <c r="G159" s="2" t="inlineStr">
        <is>
          <t>Loan not required</t>
        </is>
      </c>
      <c r="H159" s="2" t="n"/>
      <c r="I159" s="2" t="n"/>
      <c r="J159" s="2" t="n"/>
      <c r="K159" s="2" t="n"/>
      <c r="L159" s="2" t="n"/>
      <c r="M159" s="2" t="n"/>
      <c r="N159" s="2" t="n"/>
      <c r="O159" s="2" t="n"/>
      <c r="P159" s="2" t="n"/>
      <c r="Q159" s="2" t="n"/>
      <c r="R159" s="2" t="n"/>
      <c r="S159" s="2" t="n"/>
      <c r="T159" s="2" t="inlineStr"/>
      <c r="U159" s="2" t="inlineStr">
        <is>
          <t>No</t>
        </is>
      </c>
      <c r="V159" s="2" t="inlineStr"/>
      <c r="W159" s="2" t="inlineStr"/>
      <c r="X159" s="2" t="n"/>
      <c r="Y159" s="2" t="n"/>
      <c r="Z159" s="2" t="n"/>
      <c r="AA159" s="2" t="inlineStr">
        <is>
          <t>Not required</t>
        </is>
      </c>
      <c r="AB159" s="2" t="inlineStr">
        <is>
          <t>Not required</t>
        </is>
      </c>
      <c r="AC159" s="2" t="n"/>
      <c r="AD159" s="2" t="n"/>
      <c r="AE159" s="2" t="n"/>
      <c r="AF159" s="2" t="n"/>
      <c r="AG159" s="2" t="inlineStr">
        <is>
          <t>Not required</t>
        </is>
      </c>
      <c r="AH159" s="2" t="n"/>
      <c r="AI159" s="2" t="n"/>
      <c r="AJ159" s="2" t="n"/>
      <c r="AK159" s="2" t="n"/>
      <c r="AL159" s="2" t="n"/>
      <c r="AM159" s="2" t="n"/>
      <c r="AN159" s="2" t="n"/>
      <c r="AO159" s="2" t="n"/>
      <c r="AP159" s="2" t="n"/>
      <c r="AQ159" s="2" t="n"/>
    </row>
    <row r="160">
      <c r="A160" t="n">
        <v>159</v>
      </c>
      <c r="B160" s="2" t="inlineStr">
        <is>
          <t>Chavda Siddharth Pradipbhai</t>
        </is>
      </c>
      <c r="C160" s="3" t="n">
        <v>8849389800</v>
      </c>
      <c r="D160" s="2" t="inlineStr">
        <is>
          <t>PROV1000000302</t>
        </is>
      </c>
      <c r="E160" s="2" t="inlineStr">
        <is>
          <t>SSAHE</t>
        </is>
      </c>
      <c r="F160" s="2" t="inlineStr">
        <is>
          <t>No</t>
        </is>
      </c>
      <c r="G160" s="2" t="inlineStr">
        <is>
          <t>Loan not required</t>
        </is>
      </c>
      <c r="H160" s="2" t="n"/>
      <c r="I160" s="2" t="n"/>
      <c r="J160" s="2" t="n"/>
      <c r="K160" s="2" t="n"/>
      <c r="L160" s="2" t="n"/>
      <c r="M160" s="2" t="n"/>
      <c r="N160" s="2" t="n"/>
      <c r="O160" s="2" t="n"/>
      <c r="P160" s="2" t="n"/>
      <c r="Q160" s="2" t="n"/>
      <c r="R160" s="2" t="n"/>
      <c r="S160" s="2" t="n"/>
      <c r="T160" s="2" t="inlineStr"/>
      <c r="U160" s="2" t="inlineStr">
        <is>
          <t>No</t>
        </is>
      </c>
      <c r="V160" s="2" t="inlineStr"/>
      <c r="W160" s="2" t="inlineStr"/>
      <c r="X160" s="2" t="n"/>
      <c r="Y160" s="2" t="n"/>
      <c r="Z160" s="2" t="n"/>
      <c r="AA160" s="2" t="inlineStr">
        <is>
          <t>Not required</t>
        </is>
      </c>
      <c r="AB160" s="2" t="inlineStr">
        <is>
          <t>Not required</t>
        </is>
      </c>
      <c r="AC160" s="2" t="n"/>
      <c r="AD160" s="2" t="n"/>
      <c r="AE160" s="2" t="n"/>
      <c r="AF160" s="2" t="n"/>
      <c r="AG160" s="2" t="inlineStr">
        <is>
          <t>Not required</t>
        </is>
      </c>
      <c r="AH160" s="2" t="n"/>
      <c r="AI160" s="2" t="n"/>
      <c r="AJ160" s="2" t="n"/>
      <c r="AK160" s="2" t="n"/>
      <c r="AL160" s="2" t="n"/>
      <c r="AM160" s="2" t="n"/>
      <c r="AN160" s="2" t="n"/>
      <c r="AO160" s="2" t="n"/>
      <c r="AP160" s="2" t="n"/>
      <c r="AQ160" s="2" t="n"/>
    </row>
    <row r="161">
      <c r="A161" t="n">
        <v>160</v>
      </c>
      <c r="B161" s="2" t="inlineStr">
        <is>
          <t>Shankuri Rohith Reddy</t>
        </is>
      </c>
      <c r="C161" s="3" t="n">
        <v>8466853123</v>
      </c>
      <c r="D161" s="2" t="inlineStr">
        <is>
          <t>PROV1000001317</t>
        </is>
      </c>
      <c r="E161" s="2" t="inlineStr">
        <is>
          <t>SSAHE</t>
        </is>
      </c>
      <c r="F161" s="2" t="inlineStr">
        <is>
          <t>No</t>
        </is>
      </c>
      <c r="G161" s="2" t="inlineStr">
        <is>
          <t>Loan not required</t>
        </is>
      </c>
      <c r="H161" s="2" t="n"/>
      <c r="I161" s="2" t="n"/>
      <c r="J161" s="2" t="n"/>
      <c r="K161" s="2" t="n"/>
      <c r="L161" s="2" t="n"/>
      <c r="M161" s="2" t="n"/>
      <c r="N161" s="2" t="n"/>
      <c r="O161" s="2" t="n"/>
      <c r="P161" s="2" t="n"/>
      <c r="Q161" s="2" t="n"/>
      <c r="R161" s="2" t="n"/>
      <c r="S161" s="2" t="n"/>
      <c r="T161" s="2" t="inlineStr"/>
      <c r="U161" s="2" t="inlineStr">
        <is>
          <t>No</t>
        </is>
      </c>
      <c r="V161" s="2" t="inlineStr"/>
      <c r="W161" s="2" t="inlineStr"/>
      <c r="X161" s="2" t="n"/>
      <c r="Y161" s="2" t="n"/>
      <c r="Z161" s="2" t="n"/>
      <c r="AA161" s="2" t="inlineStr">
        <is>
          <t>Not required</t>
        </is>
      </c>
      <c r="AB161" s="2" t="inlineStr">
        <is>
          <t>Not required</t>
        </is>
      </c>
      <c r="AC161" s="2" t="n"/>
      <c r="AD161" s="2" t="n"/>
      <c r="AE161" s="2" t="n"/>
      <c r="AF161" s="2" t="n"/>
      <c r="AG161" s="2" t="inlineStr">
        <is>
          <t>Not required</t>
        </is>
      </c>
      <c r="AH161" s="2" t="n"/>
      <c r="AI161" s="2" t="n"/>
      <c r="AJ161" s="2" t="n"/>
      <c r="AK161" s="2" t="n"/>
      <c r="AL161" s="2" t="n"/>
      <c r="AM161" s="2" t="n"/>
      <c r="AN161" s="2" t="n"/>
      <c r="AO161" s="2" t="n"/>
      <c r="AP161" s="2" t="n"/>
      <c r="AQ161" s="2" t="n"/>
    </row>
    <row r="162">
      <c r="A162" t="n">
        <v>161</v>
      </c>
      <c r="B162" s="2" t="inlineStr">
        <is>
          <t>S K Manoj</t>
        </is>
      </c>
      <c r="C162" s="3" t="n">
        <v>9187480212</v>
      </c>
      <c r="D162" s="2" t="inlineStr">
        <is>
          <t>PROV1000001565</t>
        </is>
      </c>
      <c r="E162" s="2" t="inlineStr">
        <is>
          <t>SSAHE</t>
        </is>
      </c>
      <c r="F162" s="2" t="inlineStr">
        <is>
          <t>No</t>
        </is>
      </c>
      <c r="G162" s="2" t="inlineStr">
        <is>
          <t>Loan not required</t>
        </is>
      </c>
      <c r="H162" s="2" t="n"/>
      <c r="I162" s="2" t="n"/>
      <c r="J162" s="2" t="n"/>
      <c r="K162" s="2" t="n"/>
      <c r="L162" s="2" t="n"/>
      <c r="M162" s="2" t="n"/>
      <c r="N162" s="2" t="n"/>
      <c r="O162" s="2" t="n"/>
      <c r="P162" s="2" t="n"/>
      <c r="Q162" s="2" t="n"/>
      <c r="R162" s="2" t="n"/>
      <c r="S162" s="2" t="n"/>
      <c r="T162" s="2" t="inlineStr"/>
      <c r="U162" s="2" t="inlineStr">
        <is>
          <t>No</t>
        </is>
      </c>
      <c r="V162" s="2" t="inlineStr"/>
      <c r="W162" s="2" t="inlineStr"/>
      <c r="X162" s="2" t="n"/>
      <c r="Y162" s="2" t="n"/>
      <c r="Z162" s="2" t="n"/>
      <c r="AA162" s="2" t="inlineStr">
        <is>
          <t>Not required</t>
        </is>
      </c>
      <c r="AB162" s="2" t="inlineStr">
        <is>
          <t>Not required</t>
        </is>
      </c>
      <c r="AC162" s="2" t="n"/>
      <c r="AD162" s="2" t="n"/>
      <c r="AE162" s="2" t="n"/>
      <c r="AF162" s="2" t="n"/>
      <c r="AG162" s="2" t="inlineStr">
        <is>
          <t>Not required</t>
        </is>
      </c>
      <c r="AH162" s="2" t="n"/>
      <c r="AI162" s="2" t="n"/>
      <c r="AJ162" s="2" t="n"/>
      <c r="AK162" s="2" t="n"/>
      <c r="AL162" s="2" t="n"/>
      <c r="AM162" s="2" t="n"/>
      <c r="AN162" s="2" t="n"/>
      <c r="AO162" s="2" t="n"/>
      <c r="AP162" s="2" t="n"/>
      <c r="AQ162" s="2" t="n"/>
    </row>
    <row r="163">
      <c r="A163" t="n">
        <v>162</v>
      </c>
      <c r="B163" s="2" t="inlineStr">
        <is>
          <t>Soumyadeep Shyam</t>
        </is>
      </c>
      <c r="C163" s="3" t="n">
        <v>8918317829</v>
      </c>
      <c r="D163" s="2" t="inlineStr">
        <is>
          <t>PROV1000001850</t>
        </is>
      </c>
      <c r="E163" s="2" t="inlineStr">
        <is>
          <t>SSAHE</t>
        </is>
      </c>
      <c r="F163" s="2" t="inlineStr">
        <is>
          <t>No</t>
        </is>
      </c>
      <c r="G163" s="2" t="inlineStr">
        <is>
          <t>Loan not required</t>
        </is>
      </c>
      <c r="H163" s="2" t="n"/>
      <c r="I163" s="2" t="n"/>
      <c r="J163" s="2" t="n"/>
      <c r="K163" s="2" t="n"/>
      <c r="L163" s="2" t="n"/>
      <c r="M163" s="2" t="n"/>
      <c r="N163" s="2" t="n"/>
      <c r="O163" s="2" t="n"/>
      <c r="P163" s="2" t="n"/>
      <c r="Q163" s="2" t="n"/>
      <c r="R163" s="2" t="n"/>
      <c r="S163" s="2" t="n"/>
      <c r="T163" s="2" t="inlineStr"/>
      <c r="U163" s="2" t="inlineStr">
        <is>
          <t>No</t>
        </is>
      </c>
      <c r="V163" s="2" t="inlineStr"/>
      <c r="W163" s="2" t="inlineStr"/>
      <c r="X163" s="2" t="n"/>
      <c r="Y163" s="2" t="n"/>
      <c r="Z163" s="2" t="n"/>
      <c r="AA163" s="2" t="inlineStr">
        <is>
          <t>Not required</t>
        </is>
      </c>
      <c r="AB163" s="2" t="inlineStr">
        <is>
          <t>Not required</t>
        </is>
      </c>
      <c r="AC163" s="2" t="n"/>
      <c r="AD163" s="2" t="n"/>
      <c r="AE163" s="2" t="n"/>
      <c r="AF163" s="2" t="n"/>
      <c r="AG163" s="2" t="inlineStr">
        <is>
          <t>Not required</t>
        </is>
      </c>
      <c r="AH163" s="2" t="n"/>
      <c r="AI163" s="2" t="n"/>
      <c r="AJ163" s="2" t="n"/>
      <c r="AK163" s="2" t="n"/>
      <c r="AL163" s="2" t="n"/>
      <c r="AM163" s="2" t="n"/>
      <c r="AN163" s="2" t="n"/>
      <c r="AO163" s="2" t="n"/>
      <c r="AP163" s="2" t="n"/>
      <c r="AQ163" s="2" t="n"/>
    </row>
    <row r="164">
      <c r="A164" t="n">
        <v>163</v>
      </c>
      <c r="B164" s="2" t="inlineStr">
        <is>
          <t>VEERABHADRESH T R</t>
        </is>
      </c>
      <c r="C164" s="3" t="n">
        <v>7090463129</v>
      </c>
      <c r="D164" s="2" t="inlineStr">
        <is>
          <t>PROV1000000278</t>
        </is>
      </c>
      <c r="E164" s="2" t="inlineStr">
        <is>
          <t>SSAHE</t>
        </is>
      </c>
      <c r="F164" s="2" t="inlineStr">
        <is>
          <t>No</t>
        </is>
      </c>
      <c r="G164" s="2" t="inlineStr">
        <is>
          <t>Loan not required</t>
        </is>
      </c>
      <c r="H164" s="2" t="n"/>
      <c r="I164" s="2" t="n"/>
      <c r="J164" s="2" t="n"/>
      <c r="K164" s="2" t="n"/>
      <c r="L164" s="2" t="n"/>
      <c r="M164" s="2" t="n"/>
      <c r="N164" s="2" t="n"/>
      <c r="O164" s="2" t="n"/>
      <c r="P164" s="2" t="n"/>
      <c r="Q164" s="2" t="n"/>
      <c r="R164" s="2" t="n"/>
      <c r="S164" s="2" t="n"/>
      <c r="T164" s="2" t="inlineStr"/>
      <c r="U164" s="2" t="inlineStr">
        <is>
          <t>No</t>
        </is>
      </c>
      <c r="V164" s="2" t="inlineStr"/>
      <c r="W164" s="2" t="inlineStr"/>
      <c r="X164" s="2" t="n"/>
      <c r="Y164" s="2" t="n"/>
      <c r="Z164" s="2" t="n"/>
      <c r="AA164" s="2" t="inlineStr">
        <is>
          <t>Not required</t>
        </is>
      </c>
      <c r="AB164" s="2" t="inlineStr">
        <is>
          <t>Not required</t>
        </is>
      </c>
      <c r="AC164" s="2" t="n"/>
      <c r="AD164" s="2" t="n"/>
      <c r="AE164" s="2" t="n"/>
      <c r="AF164" s="2" t="n"/>
      <c r="AG164" s="2" t="inlineStr">
        <is>
          <t>Not required</t>
        </is>
      </c>
      <c r="AH164" s="2" t="n"/>
      <c r="AI164" s="2" t="n"/>
      <c r="AJ164" s="2" t="n"/>
      <c r="AK164" s="2" t="n"/>
      <c r="AL164" s="2" t="n"/>
      <c r="AM164" s="2" t="n"/>
      <c r="AN164" s="2" t="n"/>
      <c r="AO164" s="2" t="n"/>
      <c r="AP164" s="2" t="n"/>
      <c r="AQ164" s="2" t="n"/>
    </row>
    <row r="165">
      <c r="A165" t="n">
        <v>164</v>
      </c>
      <c r="B165" s="2" t="inlineStr">
        <is>
          <t>amit kumar jha</t>
        </is>
      </c>
      <c r="C165" s="3" t="n">
        <v>6387075308</v>
      </c>
      <c r="D165" s="2" t="inlineStr">
        <is>
          <t>PROV1000000429</t>
        </is>
      </c>
      <c r="E165" s="2" t="inlineStr">
        <is>
          <t>SSAHE</t>
        </is>
      </c>
      <c r="F165" s="2" t="inlineStr">
        <is>
          <t>No</t>
        </is>
      </c>
      <c r="G165" s="2" t="inlineStr">
        <is>
          <t>Loan not required</t>
        </is>
      </c>
      <c r="H165" s="2" t="n"/>
      <c r="I165" s="2" t="n"/>
      <c r="J165" s="2" t="n"/>
      <c r="K165" s="2" t="n"/>
      <c r="L165" s="2" t="n"/>
      <c r="M165" s="2" t="n"/>
      <c r="N165" s="2" t="n"/>
      <c r="O165" s="2" t="n"/>
      <c r="P165" s="2" t="n"/>
      <c r="Q165" s="2" t="n"/>
      <c r="R165" s="2" t="n"/>
      <c r="S165" s="2" t="n"/>
      <c r="T165" s="2" t="inlineStr"/>
      <c r="U165" s="2" t="inlineStr">
        <is>
          <t>No</t>
        </is>
      </c>
      <c r="V165" s="2" t="inlineStr"/>
      <c r="W165" s="2" t="inlineStr"/>
      <c r="X165" s="2" t="n"/>
      <c r="Y165" s="2" t="n"/>
      <c r="Z165" s="2" t="n"/>
      <c r="AA165" s="2" t="inlineStr">
        <is>
          <t>Not required</t>
        </is>
      </c>
      <c r="AB165" s="2" t="inlineStr">
        <is>
          <t>Not required</t>
        </is>
      </c>
      <c r="AC165" s="2" t="n"/>
      <c r="AD165" s="2" t="n"/>
      <c r="AE165" s="2" t="n"/>
      <c r="AF165" s="2" t="n"/>
      <c r="AG165" s="2" t="inlineStr">
        <is>
          <t>Not required</t>
        </is>
      </c>
      <c r="AH165" s="2" t="n"/>
      <c r="AI165" s="2" t="n"/>
      <c r="AJ165" s="2" t="n"/>
      <c r="AK165" s="2" t="n"/>
      <c r="AL165" s="2" t="n"/>
      <c r="AM165" s="2" t="n"/>
      <c r="AN165" s="2" t="n"/>
      <c r="AO165" s="2" t="n"/>
      <c r="AP165" s="2" t="n"/>
      <c r="AQ165" s="2" t="n"/>
    </row>
    <row r="166">
      <c r="A166" t="n">
        <v>165</v>
      </c>
      <c r="B166" s="2" t="inlineStr">
        <is>
          <t>Divyanshu Kumar</t>
        </is>
      </c>
      <c r="C166" s="3" t="n">
        <v>9931948096</v>
      </c>
      <c r="D166" s="2" t="inlineStr">
        <is>
          <t>PROV1000000382</t>
        </is>
      </c>
      <c r="E166" s="2" t="inlineStr">
        <is>
          <t>SSAHE</t>
        </is>
      </c>
      <c r="F166" s="2" t="inlineStr">
        <is>
          <t>No</t>
        </is>
      </c>
      <c r="G166" s="2" t="inlineStr">
        <is>
          <t>Loan not required</t>
        </is>
      </c>
      <c r="H166" s="2" t="n"/>
      <c r="I166" s="2" t="n"/>
      <c r="J166" s="2" t="n"/>
      <c r="K166" s="2" t="n"/>
      <c r="L166" s="2" t="n"/>
      <c r="M166" s="2" t="n"/>
      <c r="N166" s="2" t="n"/>
      <c r="O166" s="2" t="n"/>
      <c r="P166" s="2" t="n"/>
      <c r="Q166" s="2" t="n"/>
      <c r="R166" s="2" t="n"/>
      <c r="S166" s="2" t="n"/>
      <c r="T166" s="2" t="inlineStr"/>
      <c r="U166" s="2" t="inlineStr">
        <is>
          <t>No</t>
        </is>
      </c>
      <c r="V166" s="2" t="inlineStr"/>
      <c r="W166" s="2" t="inlineStr"/>
      <c r="X166" s="2" t="n"/>
      <c r="Y166" s="2" t="n"/>
      <c r="Z166" s="2" t="n"/>
      <c r="AA166" s="2" t="inlineStr">
        <is>
          <t>Not required</t>
        </is>
      </c>
      <c r="AB166" s="2" t="inlineStr">
        <is>
          <t>Not required</t>
        </is>
      </c>
      <c r="AC166" s="2" t="n"/>
      <c r="AD166" s="2" t="n"/>
      <c r="AE166" s="2" t="n"/>
      <c r="AF166" s="2" t="n"/>
      <c r="AG166" s="2" t="inlineStr">
        <is>
          <t>Not required</t>
        </is>
      </c>
      <c r="AH166" s="2" t="n"/>
      <c r="AI166" s="2" t="n"/>
      <c r="AJ166" s="2" t="n"/>
      <c r="AK166" s="2" t="n"/>
      <c r="AL166" s="2" t="n"/>
      <c r="AM166" s="2" t="n"/>
      <c r="AN166" s="2" t="n"/>
      <c r="AO166" s="2" t="n"/>
      <c r="AP166" s="2" t="n"/>
      <c r="AQ166" s="2" t="n"/>
    </row>
    <row r="167">
      <c r="A167" t="n">
        <v>166</v>
      </c>
      <c r="B167" s="2" t="inlineStr">
        <is>
          <t>Param Jadhavar</t>
        </is>
      </c>
      <c r="C167" s="3" t="n">
        <v>9158366015</v>
      </c>
      <c r="D167" s="2" t="inlineStr">
        <is>
          <t>PROV1000000484</t>
        </is>
      </c>
      <c r="E167" s="2" t="inlineStr">
        <is>
          <t>SSAHE</t>
        </is>
      </c>
      <c r="F167" s="2" t="inlineStr">
        <is>
          <t>No</t>
        </is>
      </c>
      <c r="G167" s="2" t="inlineStr">
        <is>
          <t>Loan not required</t>
        </is>
      </c>
      <c r="H167" s="2" t="n"/>
      <c r="I167" s="2" t="n"/>
      <c r="J167" s="2" t="n"/>
      <c r="K167" s="2" t="n"/>
      <c r="L167" s="2" t="n"/>
      <c r="M167" s="2" t="n"/>
      <c r="N167" s="2" t="n"/>
      <c r="O167" s="2" t="n"/>
      <c r="P167" s="2" t="n"/>
      <c r="Q167" s="2" t="n"/>
      <c r="R167" s="2" t="n"/>
      <c r="S167" s="2" t="n"/>
      <c r="T167" s="2" t="inlineStr"/>
      <c r="U167" s="2" t="inlineStr">
        <is>
          <t>No</t>
        </is>
      </c>
      <c r="V167" s="2" t="inlineStr"/>
      <c r="W167" s="2" t="inlineStr"/>
      <c r="X167" s="2" t="n"/>
      <c r="Y167" s="2" t="n"/>
      <c r="Z167" s="2" t="n"/>
      <c r="AA167" s="2" t="inlineStr">
        <is>
          <t>Not required</t>
        </is>
      </c>
      <c r="AB167" s="2" t="inlineStr">
        <is>
          <t>Not required</t>
        </is>
      </c>
      <c r="AC167" s="2" t="n"/>
      <c r="AD167" s="2" t="n"/>
      <c r="AE167" s="2" t="n"/>
      <c r="AF167" s="2" t="n"/>
      <c r="AG167" s="2" t="inlineStr">
        <is>
          <t>Not required</t>
        </is>
      </c>
      <c r="AH167" s="2" t="n"/>
      <c r="AI167" s="2" t="n"/>
      <c r="AJ167" s="2" t="n"/>
      <c r="AK167" s="2" t="n"/>
      <c r="AL167" s="2" t="n"/>
      <c r="AM167" s="2" t="n"/>
      <c r="AN167" s="2" t="n"/>
      <c r="AO167" s="2" t="n"/>
      <c r="AP167" s="2" t="n"/>
      <c r="AQ167" s="2" t="n"/>
    </row>
    <row r="168">
      <c r="A168" t="n">
        <v>167</v>
      </c>
      <c r="B168" s="2" t="inlineStr">
        <is>
          <t>Akarsh Singh</t>
        </is>
      </c>
      <c r="C168" s="3" t="n">
        <v>9696955983</v>
      </c>
      <c r="D168" s="2" t="inlineStr">
        <is>
          <t>PROV1000000239</t>
        </is>
      </c>
      <c r="E168" s="2" t="inlineStr">
        <is>
          <t>SSAHE</t>
        </is>
      </c>
      <c r="F168" s="2" t="inlineStr">
        <is>
          <t>Yes</t>
        </is>
      </c>
      <c r="G168" s="2" t="inlineStr">
        <is>
          <t xml:space="preserve">Non Critical </t>
        </is>
      </c>
      <c r="H168" s="2" t="n"/>
      <c r="I168" s="2" t="n"/>
      <c r="J168" s="2" t="n"/>
      <c r="K168" s="2" t="n"/>
      <c r="L168" s="2" t="n"/>
      <c r="M168" s="2" t="n"/>
      <c r="N168" s="2" t="n"/>
      <c r="O168" s="2" t="n"/>
      <c r="P168" s="2" t="n"/>
      <c r="Q168" s="2" t="n"/>
      <c r="R168" s="2" t="n"/>
      <c r="S168" s="2" t="n"/>
      <c r="T168" s="2" t="inlineStr">
        <is>
          <t xml:space="preserve">- 18/7 : Student called from SBI, his PM vidyalakshmi loan is approved but they want to have bonafide certificate saying admission is confirmed\
- 22/7 : he has been provided with all the documents pending , we have provided him bonafide, he is processing from his end. 
- 28/7 : Loan movement update : ITR was pending from the father's side , he has already done it, getting it with sbi </t>
        </is>
      </c>
      <c r="U168" s="2" t="inlineStr">
        <is>
          <t>Yes</t>
        </is>
      </c>
      <c r="V168" s="2" t="inlineStr"/>
      <c r="W168" s="2" t="inlineStr"/>
      <c r="X168" s="2" t="n"/>
      <c r="Y168" s="2" t="n"/>
      <c r="Z168" s="2" t="n"/>
      <c r="AA168" s="2" t="inlineStr">
        <is>
          <t>Control</t>
        </is>
      </c>
      <c r="AB168" s="2" t="inlineStr">
        <is>
          <t>Control</t>
        </is>
      </c>
      <c r="AC168" s="2" t="n"/>
      <c r="AD168" s="2" t="n"/>
      <c r="AE168" s="2" t="n"/>
      <c r="AF168" s="2" t="n"/>
      <c r="AG168" s="2" t="inlineStr">
        <is>
          <t>Ongoing</t>
        </is>
      </c>
      <c r="AH168" s="2" t="inlineStr">
        <is>
          <t>Processing by PM vidyalakshmi</t>
        </is>
      </c>
      <c r="AI168" s="2" t="inlineStr">
        <is>
          <t>No</t>
        </is>
      </c>
      <c r="AJ168" s="2" t="inlineStr">
        <is>
          <t>No</t>
        </is>
      </c>
      <c r="AK168" s="2" t="n"/>
      <c r="AL168" s="2" t="n"/>
      <c r="AM168" s="2" t="n"/>
      <c r="AN168" s="2" t="n"/>
      <c r="AO168" s="2" t="n"/>
      <c r="AP168" s="2" t="n"/>
      <c r="AQ168" s="2" t="n"/>
    </row>
    <row r="169">
      <c r="A169" t="n">
        <v>168</v>
      </c>
      <c r="B169" s="2" t="inlineStr">
        <is>
          <t>Muhammad Adyan</t>
        </is>
      </c>
      <c r="C169" s="3" t="n">
        <v>9168236840</v>
      </c>
      <c r="D169" s="2" t="inlineStr">
        <is>
          <t>PROV1000000307</t>
        </is>
      </c>
      <c r="E169" s="2" t="inlineStr">
        <is>
          <t>SSAHE</t>
        </is>
      </c>
      <c r="F169" s="2" t="inlineStr">
        <is>
          <t>No</t>
        </is>
      </c>
      <c r="G169" s="2" t="inlineStr">
        <is>
          <t>Loan not required</t>
        </is>
      </c>
      <c r="H169" s="2" t="n"/>
      <c r="I169" s="2" t="n"/>
      <c r="J169" s="2" t="n"/>
      <c r="K169" s="2" t="n"/>
      <c r="L169" s="2" t="n"/>
      <c r="M169" s="2" t="n"/>
      <c r="N169" s="2" t="n"/>
      <c r="O169" s="2" t="n"/>
      <c r="P169" s="2" t="n"/>
      <c r="Q169" s="2" t="n"/>
      <c r="R169" s="2" t="n"/>
      <c r="S169" s="2" t="n"/>
      <c r="T169" s="2" t="inlineStr"/>
      <c r="U169" s="2" t="inlineStr">
        <is>
          <t>No</t>
        </is>
      </c>
      <c r="V169" s="2" t="inlineStr"/>
      <c r="W169" s="2" t="inlineStr"/>
      <c r="X169" s="2" t="n"/>
      <c r="Y169" s="2" t="n"/>
      <c r="Z169" s="2" t="n"/>
      <c r="AA169" s="2" t="inlineStr">
        <is>
          <t>Not required</t>
        </is>
      </c>
      <c r="AB169" s="2" t="inlineStr">
        <is>
          <t>Not required</t>
        </is>
      </c>
      <c r="AC169" s="2" t="n"/>
      <c r="AD169" s="2" t="n"/>
      <c r="AE169" s="2" t="n"/>
      <c r="AF169" s="2" t="n"/>
      <c r="AG169" s="2" t="inlineStr">
        <is>
          <t>Not required</t>
        </is>
      </c>
      <c r="AH169" s="2" t="n"/>
      <c r="AI169" s="2" t="n"/>
      <c r="AJ169" s="2" t="n"/>
      <c r="AK169" s="2" t="n"/>
      <c r="AL169" s="2" t="n"/>
      <c r="AM169" s="2" t="n"/>
      <c r="AN169" s="2" t="n"/>
      <c r="AO169" s="2" t="n"/>
      <c r="AP169" s="2" t="n"/>
      <c r="AQ169" s="2" t="n"/>
    </row>
    <row r="170">
      <c r="A170" t="n">
        <v>169</v>
      </c>
      <c r="B170" s="2" t="inlineStr">
        <is>
          <t>Himnish Malhotra</t>
        </is>
      </c>
      <c r="C170" s="3" t="n">
        <v>8860837445</v>
      </c>
      <c r="D170" s="2" t="inlineStr">
        <is>
          <t>PROV1000000474</t>
        </is>
      </c>
      <c r="E170" s="2" t="inlineStr">
        <is>
          <t>SSAHE</t>
        </is>
      </c>
      <c r="F170" s="2" t="inlineStr">
        <is>
          <t>No</t>
        </is>
      </c>
      <c r="G170" s="2" t="inlineStr">
        <is>
          <t>Loan not required</t>
        </is>
      </c>
      <c r="H170" s="2" t="n"/>
      <c r="I170" s="2" t="n"/>
      <c r="J170" s="2" t="n"/>
      <c r="K170" s="2" t="n"/>
      <c r="L170" s="2" t="n"/>
      <c r="M170" s="2" t="n"/>
      <c r="N170" s="2" t="n"/>
      <c r="O170" s="2" t="n"/>
      <c r="P170" s="2" t="n"/>
      <c r="Q170" s="2" t="n"/>
      <c r="R170" s="2" t="n"/>
      <c r="S170" s="2" t="n"/>
      <c r="T170" s="2" t="inlineStr"/>
      <c r="U170" s="2" t="inlineStr">
        <is>
          <t>Refund</t>
        </is>
      </c>
      <c r="V170" s="2" t="inlineStr"/>
      <c r="W170" s="2" t="inlineStr"/>
      <c r="X170" s="2" t="n"/>
      <c r="Y170" s="2" t="n"/>
      <c r="Z170" s="2" t="n"/>
      <c r="AA170" s="2" t="inlineStr">
        <is>
          <t>Refund case</t>
        </is>
      </c>
      <c r="AB170" s="2" t="inlineStr">
        <is>
          <t>Refund case</t>
        </is>
      </c>
      <c r="AC170" s="2" t="n"/>
      <c r="AD170" s="2" t="n"/>
      <c r="AE170" s="2" t="n"/>
      <c r="AF170" s="2" t="n"/>
      <c r="AG170" s="2" t="inlineStr">
        <is>
          <t>Not required</t>
        </is>
      </c>
      <c r="AH170" s="2" t="n"/>
      <c r="AI170" s="2" t="n"/>
      <c r="AJ170" s="2" t="n"/>
      <c r="AK170" s="2" t="n"/>
      <c r="AL170" s="2" t="n"/>
      <c r="AM170" s="2" t="n"/>
      <c r="AN170" s="2" t="n"/>
      <c r="AO170" s="2" t="n"/>
      <c r="AP170" s="2" t="n"/>
      <c r="AQ170" s="2" t="n"/>
    </row>
    <row r="171">
      <c r="A171" t="n">
        <v>170</v>
      </c>
      <c r="B171" s="2" t="inlineStr">
        <is>
          <t>Sayan Samanta</t>
        </is>
      </c>
      <c r="C171" s="3" t="n">
        <v>8609483014</v>
      </c>
      <c r="D171" s="2" t="inlineStr">
        <is>
          <t>PROV260501355</t>
        </is>
      </c>
      <c r="E171" s="2" t="inlineStr">
        <is>
          <t>SSAHE</t>
        </is>
      </c>
      <c r="F171" s="2" t="inlineStr">
        <is>
          <t>No</t>
        </is>
      </c>
      <c r="G171" s="2" t="inlineStr">
        <is>
          <t>Loan not required</t>
        </is>
      </c>
      <c r="H171" s="2" t="n"/>
      <c r="I171" s="2" t="n"/>
      <c r="J171" s="2" t="n"/>
      <c r="K171" s="2" t="n"/>
      <c r="L171" s="2" t="n"/>
      <c r="M171" s="2" t="n"/>
      <c r="N171" s="2" t="n"/>
      <c r="O171" s="2" t="n"/>
      <c r="P171" s="2" t="n"/>
      <c r="Q171" s="2" t="n"/>
      <c r="R171" s="2" t="n"/>
      <c r="S171" s="2" t="n"/>
      <c r="T171" s="2" t="inlineStr"/>
      <c r="U171" s="2" t="inlineStr">
        <is>
          <t>No</t>
        </is>
      </c>
      <c r="V171" s="2" t="inlineStr"/>
      <c r="W171" s="2" t="inlineStr"/>
      <c r="X171" s="2" t="n"/>
      <c r="Y171" s="2" t="n"/>
      <c r="Z171" s="2" t="n"/>
      <c r="AA171" s="2" t="inlineStr">
        <is>
          <t>Not required</t>
        </is>
      </c>
      <c r="AB171" s="2" t="inlineStr">
        <is>
          <t>Not required</t>
        </is>
      </c>
      <c r="AC171" s="2" t="n"/>
      <c r="AD171" s="2" t="n"/>
      <c r="AE171" s="2" t="n"/>
      <c r="AF171" s="2" t="n"/>
      <c r="AG171" s="2" t="inlineStr">
        <is>
          <t>Not required</t>
        </is>
      </c>
      <c r="AH171" s="2" t="n"/>
      <c r="AI171" s="2" t="n"/>
      <c r="AJ171" s="2" t="n"/>
      <c r="AK171" s="2" t="n"/>
      <c r="AL171" s="2" t="n"/>
      <c r="AM171" s="2" t="n"/>
      <c r="AN171" s="2" t="n"/>
      <c r="AO171" s="2" t="n"/>
      <c r="AP171" s="2" t="n"/>
      <c r="AQ171" s="2" t="n"/>
    </row>
    <row r="172">
      <c r="A172" t="n">
        <v>171</v>
      </c>
      <c r="B172" s="2" t="inlineStr">
        <is>
          <t>Sanskriti Singh</t>
        </is>
      </c>
      <c r="C172" s="3" t="n">
        <v>9594778689</v>
      </c>
      <c r="D172" s="2" t="inlineStr">
        <is>
          <t>PROV1000001310</t>
        </is>
      </c>
      <c r="E172" s="2" t="inlineStr">
        <is>
          <t>SSAHE</t>
        </is>
      </c>
      <c r="F172" s="2" t="inlineStr">
        <is>
          <t>No</t>
        </is>
      </c>
      <c r="G172" s="2" t="inlineStr">
        <is>
          <t>Loan not required</t>
        </is>
      </c>
      <c r="H172" s="2" t="n"/>
      <c r="I172" s="2" t="n"/>
      <c r="J172" s="2" t="n"/>
      <c r="K172" s="2" t="n"/>
      <c r="L172" s="2" t="n"/>
      <c r="M172" s="2" t="n"/>
      <c r="N172" s="2" t="n"/>
      <c r="O172" s="2" t="n"/>
      <c r="P172" s="2" t="n"/>
      <c r="Q172" s="2" t="n"/>
      <c r="R172" s="2" t="n"/>
      <c r="S172" s="2" t="n"/>
      <c r="T172" s="2" t="inlineStr"/>
      <c r="U172" s="2" t="inlineStr">
        <is>
          <t>No</t>
        </is>
      </c>
      <c r="V172" s="2" t="inlineStr"/>
      <c r="W172" s="2" t="inlineStr"/>
      <c r="X172" s="2" t="n"/>
      <c r="Y172" s="2" t="n"/>
      <c r="Z172" s="2" t="n"/>
      <c r="AA172" s="2" t="inlineStr">
        <is>
          <t>Not required</t>
        </is>
      </c>
      <c r="AB172" s="2" t="inlineStr">
        <is>
          <t>Not required</t>
        </is>
      </c>
      <c r="AC172" s="2" t="n"/>
      <c r="AD172" s="2" t="n"/>
      <c r="AE172" s="2" t="n"/>
      <c r="AF172" s="2" t="n"/>
      <c r="AG172" s="2" t="inlineStr">
        <is>
          <t>Not required</t>
        </is>
      </c>
      <c r="AH172" s="2" t="n"/>
      <c r="AI172" s="2" t="n"/>
      <c r="AJ172" s="2" t="n"/>
      <c r="AK172" s="2" t="n"/>
      <c r="AL172" s="2" t="n"/>
      <c r="AM172" s="2" t="n"/>
      <c r="AN172" s="2" t="n"/>
      <c r="AO172" s="2" t="n"/>
      <c r="AP172" s="2" t="n"/>
      <c r="AQ172" s="2" t="n"/>
    </row>
    <row r="173">
      <c r="A173" t="n">
        <v>172</v>
      </c>
      <c r="B173" s="2" t="inlineStr">
        <is>
          <t>Abhijeet Mourya</t>
        </is>
      </c>
      <c r="C173" s="3" t="n">
        <v>6386445852</v>
      </c>
      <c r="D173" s="2" t="inlineStr">
        <is>
          <t>PROV260501887</t>
        </is>
      </c>
      <c r="E173" s="2" t="inlineStr">
        <is>
          <t>SSAHE</t>
        </is>
      </c>
      <c r="F173" s="2" t="inlineStr">
        <is>
          <t>No</t>
        </is>
      </c>
      <c r="G173" s="2" t="inlineStr">
        <is>
          <t>Loan not required</t>
        </is>
      </c>
      <c r="H173" s="2" t="n"/>
      <c r="I173" s="2" t="n"/>
      <c r="J173" s="2" t="n"/>
      <c r="K173" s="2" t="n"/>
      <c r="L173" s="2" t="n"/>
      <c r="M173" s="2" t="n"/>
      <c r="N173" s="2" t="n"/>
      <c r="O173" s="2" t="n"/>
      <c r="P173" s="2" t="n"/>
      <c r="Q173" s="2" t="n"/>
      <c r="R173" s="2" t="n"/>
      <c r="S173" s="2" t="n"/>
      <c r="T173" s="2" t="inlineStr"/>
      <c r="U173" s="2" t="inlineStr">
        <is>
          <t>No</t>
        </is>
      </c>
      <c r="V173" s="2" t="inlineStr"/>
      <c r="W173" s="2" t="inlineStr"/>
      <c r="X173" s="2" t="n"/>
      <c r="Y173" s="2" t="n"/>
      <c r="Z173" s="2" t="n"/>
      <c r="AA173" s="2" t="inlineStr">
        <is>
          <t>Not required</t>
        </is>
      </c>
      <c r="AB173" s="2" t="inlineStr">
        <is>
          <t>Not required</t>
        </is>
      </c>
      <c r="AC173" s="2" t="n"/>
      <c r="AD173" s="2" t="n"/>
      <c r="AE173" s="2" t="n"/>
      <c r="AF173" s="2" t="n"/>
      <c r="AG173" s="2" t="inlineStr">
        <is>
          <t>Not required</t>
        </is>
      </c>
      <c r="AH173" s="2" t="n"/>
      <c r="AI173" s="2" t="n"/>
      <c r="AJ173" s="2" t="n"/>
      <c r="AK173" s="2" t="n"/>
      <c r="AL173" s="2" t="n"/>
      <c r="AM173" s="2" t="n"/>
      <c r="AN173" s="2" t="n"/>
      <c r="AO173" s="2" t="n"/>
      <c r="AP173" s="2" t="n"/>
      <c r="AQ173" s="2" t="n"/>
    </row>
    <row r="174">
      <c r="A174" t="n">
        <v>173</v>
      </c>
      <c r="B174" s="2" t="inlineStr">
        <is>
          <t>Bishal Das</t>
        </is>
      </c>
      <c r="C174" s="3" t="n">
        <v>7063977064</v>
      </c>
      <c r="D174" s="2" t="inlineStr">
        <is>
          <t>PROV260503024</t>
        </is>
      </c>
      <c r="E174" s="2" t="inlineStr">
        <is>
          <t>SSAHE</t>
        </is>
      </c>
      <c r="F174" s="2" t="inlineStr">
        <is>
          <t>No</t>
        </is>
      </c>
      <c r="G174" s="2" t="inlineStr">
        <is>
          <t>Loan not required</t>
        </is>
      </c>
      <c r="H174" s="2" t="n"/>
      <c r="I174" s="2" t="n"/>
      <c r="J174" s="2" t="n"/>
      <c r="K174" s="2" t="n"/>
      <c r="L174" s="2" t="n"/>
      <c r="M174" s="2" t="n"/>
      <c r="N174" s="2" t="n"/>
      <c r="O174" s="2" t="n"/>
      <c r="P174" s="2" t="n"/>
      <c r="Q174" s="2" t="n"/>
      <c r="R174" s="2" t="n"/>
      <c r="S174" s="2" t="n"/>
      <c r="T174" s="2" t="inlineStr"/>
      <c r="U174" s="2" t="inlineStr">
        <is>
          <t>No</t>
        </is>
      </c>
      <c r="V174" s="2" t="inlineStr"/>
      <c r="W174" s="2" t="inlineStr"/>
      <c r="X174" s="2" t="n"/>
      <c r="Y174" s="2" t="n"/>
      <c r="Z174" s="2" t="n"/>
      <c r="AA174" s="2" t="inlineStr">
        <is>
          <t>Not required</t>
        </is>
      </c>
      <c r="AB174" s="2" t="inlineStr">
        <is>
          <t>Not required</t>
        </is>
      </c>
      <c r="AC174" s="2" t="n"/>
      <c r="AD174" s="2" t="n"/>
      <c r="AE174" s="2" t="n"/>
      <c r="AF174" s="2" t="n"/>
      <c r="AG174" s="2" t="inlineStr">
        <is>
          <t>Not required</t>
        </is>
      </c>
      <c r="AH174" s="2" t="n"/>
      <c r="AI174" s="2" t="n"/>
      <c r="AJ174" s="2" t="n"/>
      <c r="AK174" s="2" t="n"/>
      <c r="AL174" s="2" t="n"/>
      <c r="AM174" s="2" t="n"/>
      <c r="AN174" s="2" t="n"/>
      <c r="AO174" s="2" t="n"/>
      <c r="AP174" s="2" t="n"/>
      <c r="AQ174" s="2" t="n"/>
    </row>
    <row r="175">
      <c r="A175" t="n">
        <v>174</v>
      </c>
      <c r="B175" s="2" t="inlineStr">
        <is>
          <t>Ishan Sharma</t>
        </is>
      </c>
      <c r="C175" s="3" t="n">
        <v>6005786902</v>
      </c>
      <c r="D175" s="2" t="inlineStr">
        <is>
          <t>PROV260501550</t>
        </is>
      </c>
      <c r="E175" s="2" t="inlineStr">
        <is>
          <t>SSAHE</t>
        </is>
      </c>
      <c r="F175" s="2" t="inlineStr">
        <is>
          <t>No</t>
        </is>
      </c>
      <c r="G175" s="2" t="inlineStr">
        <is>
          <t>Loan not required</t>
        </is>
      </c>
      <c r="H175" s="2" t="n"/>
      <c r="I175" s="2" t="n"/>
      <c r="J175" s="2" t="n"/>
      <c r="K175" s="2" t="n"/>
      <c r="L175" s="2" t="n"/>
      <c r="M175" s="2" t="n"/>
      <c r="N175" s="2" t="n"/>
      <c r="O175" s="2" t="n"/>
      <c r="P175" s="2" t="n"/>
      <c r="Q175" s="2" t="n"/>
      <c r="R175" s="2" t="n"/>
      <c r="S175" s="2" t="n"/>
      <c r="T175" s="2" t="inlineStr"/>
      <c r="U175" s="2" t="inlineStr">
        <is>
          <t>No</t>
        </is>
      </c>
      <c r="V175" s="2" t="inlineStr"/>
      <c r="W175" s="2" t="inlineStr"/>
      <c r="X175" s="2" t="n"/>
      <c r="Y175" s="2" t="n"/>
      <c r="Z175" s="2" t="n"/>
      <c r="AA175" s="2" t="inlineStr">
        <is>
          <t>Not required</t>
        </is>
      </c>
      <c r="AB175" s="2" t="inlineStr">
        <is>
          <t>Not required</t>
        </is>
      </c>
      <c r="AC175" s="2" t="n"/>
      <c r="AD175" s="2" t="n"/>
      <c r="AE175" s="2" t="n"/>
      <c r="AF175" s="2" t="n"/>
      <c r="AG175" s="2" t="inlineStr">
        <is>
          <t>Not required</t>
        </is>
      </c>
      <c r="AH175" s="2" t="n"/>
      <c r="AI175" s="2" t="n"/>
      <c r="AJ175" s="2" t="n"/>
      <c r="AK175" s="2" t="n"/>
      <c r="AL175" s="2" t="n"/>
      <c r="AM175" s="2" t="n"/>
      <c r="AN175" s="2" t="n"/>
      <c r="AO175" s="2" t="n"/>
      <c r="AP175" s="2" t="n"/>
      <c r="AQ175" s="2" t="n"/>
    </row>
    <row r="176">
      <c r="A176" t="n">
        <v>175</v>
      </c>
      <c r="B176" s="2" t="inlineStr">
        <is>
          <t>Kushik mh</t>
        </is>
      </c>
      <c r="C176" s="3" t="n">
        <v>8660523434</v>
      </c>
      <c r="D176" s="2" t="inlineStr">
        <is>
          <t>PROV260500562</t>
        </is>
      </c>
      <c r="E176" s="2" t="inlineStr">
        <is>
          <t>SSAHE</t>
        </is>
      </c>
      <c r="F176" s="2" t="inlineStr">
        <is>
          <t>No</t>
        </is>
      </c>
      <c r="G176" s="2" t="inlineStr">
        <is>
          <t>Loan not required</t>
        </is>
      </c>
      <c r="H176" s="2" t="n"/>
      <c r="I176" s="2" t="n"/>
      <c r="J176" s="2" t="n"/>
      <c r="K176" s="2" t="n"/>
      <c r="L176" s="2" t="n"/>
      <c r="M176" s="2" t="n"/>
      <c r="N176" s="2" t="n"/>
      <c r="O176" s="2" t="n"/>
      <c r="P176" s="2" t="n"/>
      <c r="Q176" s="2" t="n"/>
      <c r="R176" s="2" t="n"/>
      <c r="S176" s="2" t="n"/>
      <c r="T176" s="2" t="inlineStr"/>
      <c r="U176" s="2" t="inlineStr">
        <is>
          <t>No</t>
        </is>
      </c>
      <c r="V176" s="2" t="inlineStr"/>
      <c r="W176" s="2" t="inlineStr"/>
      <c r="X176" s="2" t="n"/>
      <c r="Y176" s="2" t="n"/>
      <c r="Z176" s="2" t="n"/>
      <c r="AA176" s="2" t="inlineStr">
        <is>
          <t>Not required</t>
        </is>
      </c>
      <c r="AB176" s="2" t="inlineStr">
        <is>
          <t>Not required</t>
        </is>
      </c>
      <c r="AC176" s="2" t="n"/>
      <c r="AD176" s="2" t="n"/>
      <c r="AE176" s="2" t="n"/>
      <c r="AF176" s="2" t="n"/>
      <c r="AG176" s="2" t="inlineStr">
        <is>
          <t>Not required</t>
        </is>
      </c>
      <c r="AH176" s="2" t="n"/>
      <c r="AI176" s="2" t="n"/>
      <c r="AJ176" s="2" t="n"/>
      <c r="AK176" s="2" t="n"/>
      <c r="AL176" s="2" t="n"/>
      <c r="AM176" s="2" t="n"/>
      <c r="AN176" s="2" t="n"/>
      <c r="AO176" s="2" t="n"/>
      <c r="AP176" s="2" t="n"/>
      <c r="AQ176" s="2" t="n"/>
    </row>
    <row r="177">
      <c r="A177" t="n">
        <v>176</v>
      </c>
      <c r="B177" s="2" t="inlineStr">
        <is>
          <t>Monu shah</t>
        </is>
      </c>
      <c r="C177" s="3" t="n">
        <v>9471211874</v>
      </c>
      <c r="D177" s="2" t="inlineStr">
        <is>
          <t>PROV260500800</t>
        </is>
      </c>
      <c r="E177" s="2" t="inlineStr">
        <is>
          <t>SSAHE</t>
        </is>
      </c>
      <c r="F177" s="2" t="inlineStr">
        <is>
          <t>Yes</t>
        </is>
      </c>
      <c r="G177" s="2" t="inlineStr">
        <is>
          <t xml:space="preserve">Critical </t>
        </is>
      </c>
      <c r="H177" s="2" t="n"/>
      <c r="I177" s="2" t="n"/>
      <c r="J177" s="2" t="n"/>
      <c r="K177" s="2" t="n"/>
      <c r="L177" s="2" t="n"/>
      <c r="M177" s="2" t="n"/>
      <c r="N177" s="2" t="n"/>
      <c r="O177" s="2" t="n"/>
      <c r="P177" s="2" t="n"/>
      <c r="Q177" s="2" t="n"/>
      <c r="R177" s="2" t="n"/>
      <c r="S177" s="2" t="n"/>
      <c r="T177" s="2" t="inlineStr">
        <is>
          <t xml:space="preserve">10/7/26 : Had a word with the student, very low eligbility of loan, father's income is 90K/year. Not looking for propelld.
15/7 : Student called , called back , didin't pick 
23/7 : Have suggested them to go through PM vidyalakshmi fir 7.5 lakhs , they are applying
30/7 : Student went to all the public banks and the loan of 7.5L would be disbursed in 4 years not in 2 years. Concerned about the same , have informed vishwa for the same. </t>
        </is>
      </c>
      <c r="U177" s="2" t="inlineStr">
        <is>
          <t>Yes</t>
        </is>
      </c>
      <c r="V177" s="2" t="n"/>
      <c r="W177" s="2" t="n"/>
      <c r="X177" s="2" t="n"/>
      <c r="Y177" s="2" t="n"/>
      <c r="Z177" s="2" t="n"/>
      <c r="AA177" s="2" t="inlineStr">
        <is>
          <t>Risk</t>
        </is>
      </c>
      <c r="AB177" s="2" t="inlineStr">
        <is>
          <t>Risk</t>
        </is>
      </c>
      <c r="AC177" s="2" t="n"/>
      <c r="AD177" s="2" t="n"/>
      <c r="AE177" s="2" t="n"/>
      <c r="AF177" s="2" t="n"/>
      <c r="AG177" s="2" t="inlineStr">
        <is>
          <t>Ongoing</t>
        </is>
      </c>
      <c r="AH177" s="2" t="inlineStr">
        <is>
          <t>Processing by PM vidyalakshmi</t>
        </is>
      </c>
      <c r="AI177" s="2" t="inlineStr">
        <is>
          <t>Yes</t>
        </is>
      </c>
      <c r="AJ177" s="2" t="inlineStr">
        <is>
          <t>Yes</t>
        </is>
      </c>
      <c r="AK177" s="2" t="inlineStr">
        <is>
          <t>Yes</t>
        </is>
      </c>
      <c r="AL177" s="2" t="n"/>
      <c r="AM177" s="2" t="n"/>
      <c r="AN177" s="2" t="n"/>
      <c r="AO177" s="2" t="n"/>
      <c r="AP177" s="2" t="n"/>
      <c r="AQ177" s="2" t="n"/>
    </row>
    <row r="178">
      <c r="A178" t="n">
        <v>177</v>
      </c>
      <c r="B178" s="2" t="inlineStr">
        <is>
          <t>Mritunjay Kumbhakar</t>
        </is>
      </c>
      <c r="C178" s="3" t="n">
        <v>6206705668</v>
      </c>
      <c r="D178" s="2" t="inlineStr">
        <is>
          <t>PROV1000000494</t>
        </is>
      </c>
      <c r="E178" s="2" t="inlineStr">
        <is>
          <t>SSAHE</t>
        </is>
      </c>
      <c r="F178" s="2" t="inlineStr">
        <is>
          <t>No</t>
        </is>
      </c>
      <c r="G178" s="2" t="inlineStr">
        <is>
          <t>Loan not required</t>
        </is>
      </c>
      <c r="H178" s="2" t="n"/>
      <c r="I178" s="2" t="n"/>
      <c r="J178" s="2" t="n"/>
      <c r="K178" s="2" t="n"/>
      <c r="L178" s="2" t="n"/>
      <c r="M178" s="2" t="n"/>
      <c r="N178" s="2" t="n"/>
      <c r="O178" s="2" t="n"/>
      <c r="P178" s="2" t="n"/>
      <c r="Q178" s="2" t="n"/>
      <c r="R178" s="2" t="n"/>
      <c r="S178" s="2" t="n"/>
      <c r="T178" s="2" t="inlineStr"/>
      <c r="U178" s="2" t="inlineStr">
        <is>
          <t>No</t>
        </is>
      </c>
      <c r="V178" s="2" t="inlineStr"/>
      <c r="W178" s="2" t="inlineStr"/>
      <c r="X178" s="2" t="n"/>
      <c r="Y178" s="2" t="n"/>
      <c r="Z178" s="2" t="n"/>
      <c r="AA178" s="2" t="inlineStr">
        <is>
          <t>Not required</t>
        </is>
      </c>
      <c r="AB178" s="2" t="inlineStr">
        <is>
          <t>Not required</t>
        </is>
      </c>
      <c r="AC178" s="2" t="n"/>
      <c r="AD178" s="2" t="n"/>
      <c r="AE178" s="2" t="n"/>
      <c r="AF178" s="2" t="n"/>
      <c r="AG178" s="2" t="inlineStr">
        <is>
          <t>Not required</t>
        </is>
      </c>
      <c r="AH178" s="2" t="n"/>
      <c r="AI178" s="2" t="n"/>
      <c r="AJ178" s="2" t="n"/>
      <c r="AK178" s="2" t="n"/>
      <c r="AL178" s="2" t="n"/>
      <c r="AM178" s="2" t="n"/>
      <c r="AN178" s="2" t="n"/>
      <c r="AO178" s="2" t="n"/>
      <c r="AP178" s="2" t="n"/>
      <c r="AQ178" s="2" t="n"/>
    </row>
    <row r="179">
      <c r="A179" t="n">
        <v>178</v>
      </c>
      <c r="B179" s="2" t="inlineStr">
        <is>
          <t>Mohit Rohilla</t>
        </is>
      </c>
      <c r="C179" s="3" t="n">
        <v>9996579950</v>
      </c>
      <c r="D179" s="2" t="inlineStr">
        <is>
          <t>PROV260500053</t>
        </is>
      </c>
      <c r="E179" s="2" t="inlineStr">
        <is>
          <t>SSAHE</t>
        </is>
      </c>
      <c r="F179" s="2" t="inlineStr">
        <is>
          <t>No</t>
        </is>
      </c>
      <c r="G179" s="2" t="inlineStr">
        <is>
          <t>Loan not required</t>
        </is>
      </c>
      <c r="H179" s="2" t="n"/>
      <c r="I179" s="2" t="n"/>
      <c r="J179" s="2" t="n"/>
      <c r="K179" s="2" t="n"/>
      <c r="L179" s="2" t="n"/>
      <c r="M179" s="2" t="n"/>
      <c r="N179" s="2" t="n"/>
      <c r="O179" s="2" t="n"/>
      <c r="P179" s="2" t="n"/>
      <c r="Q179" s="2" t="n"/>
      <c r="R179" s="2" t="n"/>
      <c r="S179" s="2" t="n"/>
      <c r="T179" s="2" t="inlineStr"/>
      <c r="U179" s="2" t="inlineStr">
        <is>
          <t>No</t>
        </is>
      </c>
      <c r="V179" s="2" t="inlineStr"/>
      <c r="W179" s="2" t="inlineStr"/>
      <c r="X179" s="2" t="n"/>
      <c r="Y179" s="2" t="n"/>
      <c r="Z179" s="2" t="n"/>
      <c r="AA179" s="2" t="inlineStr">
        <is>
          <t>Not required</t>
        </is>
      </c>
      <c r="AB179" s="2" t="inlineStr">
        <is>
          <t>Not required</t>
        </is>
      </c>
      <c r="AC179" s="2" t="n"/>
      <c r="AD179" s="2" t="n"/>
      <c r="AE179" s="2" t="n"/>
      <c r="AF179" s="2" t="n"/>
      <c r="AG179" s="2" t="inlineStr">
        <is>
          <t>Not required</t>
        </is>
      </c>
      <c r="AH179" s="2" t="n"/>
      <c r="AI179" s="2" t="n"/>
      <c r="AJ179" s="2" t="n"/>
      <c r="AK179" s="2" t="n"/>
      <c r="AL179" s="2" t="n"/>
      <c r="AM179" s="2" t="n"/>
      <c r="AN179" s="2" t="n"/>
      <c r="AO179" s="2" t="n"/>
      <c r="AP179" s="2" t="n"/>
      <c r="AQ179" s="2" t="n"/>
    </row>
    <row r="180">
      <c r="A180" t="n">
        <v>179</v>
      </c>
      <c r="B180" s="2" t="inlineStr">
        <is>
          <t>CHOWTA YUVARAJ ADITYA</t>
        </is>
      </c>
      <c r="C180" s="3" t="n">
        <v>9246463500</v>
      </c>
      <c r="D180" s="2" t="inlineStr">
        <is>
          <t>PROV1000000346</t>
        </is>
      </c>
      <c r="E180" s="2" t="inlineStr">
        <is>
          <t>SSAHE</t>
        </is>
      </c>
      <c r="F180" s="2" t="inlineStr">
        <is>
          <t>No</t>
        </is>
      </c>
      <c r="G180" s="2" t="inlineStr">
        <is>
          <t>Loan not required</t>
        </is>
      </c>
      <c r="H180" s="2" t="n"/>
      <c r="I180" s="2" t="n"/>
      <c r="J180" s="2" t="n"/>
      <c r="K180" s="2" t="n"/>
      <c r="L180" s="2" t="n"/>
      <c r="M180" s="2" t="n"/>
      <c r="N180" s="2" t="n"/>
      <c r="O180" s="2" t="n"/>
      <c r="P180" s="2" t="n"/>
      <c r="Q180" s="2" t="n"/>
      <c r="R180" s="2" t="n"/>
      <c r="S180" s="2" t="n"/>
      <c r="T180" s="2" t="inlineStr"/>
      <c r="U180" s="2" t="inlineStr">
        <is>
          <t>No</t>
        </is>
      </c>
      <c r="V180" s="2" t="inlineStr"/>
      <c r="W180" s="2" t="inlineStr"/>
      <c r="X180" s="2" t="n"/>
      <c r="Y180" s="2" t="n"/>
      <c r="Z180" s="2" t="n"/>
      <c r="AA180" s="2" t="inlineStr">
        <is>
          <t>Not required</t>
        </is>
      </c>
      <c r="AB180" s="2" t="inlineStr">
        <is>
          <t>Not required</t>
        </is>
      </c>
      <c r="AC180" s="2" t="n"/>
      <c r="AD180" s="2" t="n"/>
      <c r="AE180" s="2" t="n"/>
      <c r="AF180" s="2" t="n"/>
      <c r="AG180" s="2" t="inlineStr">
        <is>
          <t>Not required</t>
        </is>
      </c>
      <c r="AH180" s="2" t="n"/>
      <c r="AI180" s="2" t="n"/>
      <c r="AJ180" s="2" t="n"/>
      <c r="AK180" s="2" t="n"/>
      <c r="AL180" s="2" t="n"/>
      <c r="AM180" s="2" t="n"/>
      <c r="AN180" s="2" t="n"/>
      <c r="AO180" s="2" t="n"/>
      <c r="AP180" s="2" t="n"/>
      <c r="AQ180" s="2" t="n"/>
    </row>
    <row r="181">
      <c r="A181" t="n">
        <v>180</v>
      </c>
      <c r="B181" s="2" t="inlineStr">
        <is>
          <t>Vinit</t>
        </is>
      </c>
      <c r="C181" s="3" t="n">
        <v>9416251971</v>
      </c>
      <c r="D181" s="2" t="inlineStr">
        <is>
          <t>PROV260500822</t>
        </is>
      </c>
      <c r="E181" s="2" t="inlineStr">
        <is>
          <t>SSAHE</t>
        </is>
      </c>
      <c r="F181" s="2" t="inlineStr">
        <is>
          <t>No</t>
        </is>
      </c>
      <c r="G181" s="2" t="inlineStr">
        <is>
          <t>Loan not required</t>
        </is>
      </c>
      <c r="H181" s="2" t="n"/>
      <c r="I181" s="2" t="n"/>
      <c r="J181" s="2" t="n"/>
      <c r="K181" s="2" t="n"/>
      <c r="L181" s="2" t="n"/>
      <c r="M181" s="2" t="n"/>
      <c r="N181" s="2" t="n"/>
      <c r="O181" s="2" t="n"/>
      <c r="P181" s="2" t="n"/>
      <c r="Q181" s="2" t="n"/>
      <c r="R181" s="2" t="n"/>
      <c r="S181" s="2" t="n"/>
      <c r="T181" s="2" t="inlineStr"/>
      <c r="U181" s="2" t="inlineStr">
        <is>
          <t>No</t>
        </is>
      </c>
      <c r="V181" s="2" t="inlineStr"/>
      <c r="W181" s="2" t="inlineStr"/>
      <c r="X181" s="2" t="n"/>
      <c r="Y181" s="2" t="n"/>
      <c r="Z181" s="2" t="n"/>
      <c r="AA181" s="2" t="inlineStr">
        <is>
          <t>Not required</t>
        </is>
      </c>
      <c r="AB181" s="2" t="inlineStr">
        <is>
          <t>Not required</t>
        </is>
      </c>
      <c r="AC181" s="2" t="n"/>
      <c r="AD181" s="2" t="n"/>
      <c r="AE181" s="2" t="n"/>
      <c r="AF181" s="2" t="n"/>
      <c r="AG181" s="2" t="inlineStr">
        <is>
          <t>Not required</t>
        </is>
      </c>
      <c r="AH181" s="2" t="n"/>
      <c r="AI181" s="2" t="n"/>
      <c r="AJ181" s="2" t="n"/>
      <c r="AK181" s="2" t="n"/>
      <c r="AL181" s="2" t="n"/>
      <c r="AM181" s="2" t="n"/>
      <c r="AN181" s="2" t="n"/>
      <c r="AO181" s="2" t="n"/>
      <c r="AP181" s="2" t="n"/>
      <c r="AQ181" s="2" t="n"/>
    </row>
    <row r="182">
      <c r="A182" t="n">
        <v>181</v>
      </c>
      <c r="B182" s="2" t="inlineStr">
        <is>
          <t>Amar Wagh</t>
        </is>
      </c>
      <c r="C182" s="3" t="n">
        <v>9699863459</v>
      </c>
      <c r="D182" s="2" t="inlineStr">
        <is>
          <t>PROV260601052</t>
        </is>
      </c>
      <c r="E182" s="2" t="inlineStr">
        <is>
          <t>SSAHE</t>
        </is>
      </c>
      <c r="F182" s="2" t="inlineStr">
        <is>
          <t>No</t>
        </is>
      </c>
      <c r="G182" s="2" t="inlineStr">
        <is>
          <t>Loan not required</t>
        </is>
      </c>
      <c r="H182" s="2" t="n"/>
      <c r="I182" s="2" t="n"/>
      <c r="J182" s="2" t="n"/>
      <c r="K182" s="2" t="n"/>
      <c r="L182" s="2" t="n"/>
      <c r="M182" s="2" t="n"/>
      <c r="N182" s="2" t="n"/>
      <c r="O182" s="2" t="n"/>
      <c r="P182" s="2" t="n"/>
      <c r="Q182" s="2" t="n"/>
      <c r="R182" s="2" t="n"/>
      <c r="S182" s="2" t="n"/>
      <c r="T182" s="2" t="inlineStr"/>
      <c r="U182" s="2" t="inlineStr">
        <is>
          <t>No</t>
        </is>
      </c>
      <c r="V182" s="2" t="inlineStr"/>
      <c r="W182" s="2" t="inlineStr"/>
      <c r="X182" s="2" t="n"/>
      <c r="Y182" s="2" t="n"/>
      <c r="Z182" s="2" t="n"/>
      <c r="AA182" s="2" t="inlineStr">
        <is>
          <t>Not required</t>
        </is>
      </c>
      <c r="AB182" s="2" t="inlineStr">
        <is>
          <t>Not required</t>
        </is>
      </c>
      <c r="AC182" s="2" t="n"/>
      <c r="AD182" s="2" t="n"/>
      <c r="AE182" s="2" t="n"/>
      <c r="AF182" s="2" t="n"/>
      <c r="AG182" s="2" t="inlineStr">
        <is>
          <t>Not required</t>
        </is>
      </c>
      <c r="AH182" s="2" t="n"/>
      <c r="AI182" s="2" t="n"/>
      <c r="AJ182" s="2" t="n"/>
      <c r="AK182" s="2" t="n"/>
      <c r="AL182" s="2" t="n"/>
      <c r="AM182" s="2" t="n"/>
      <c r="AN182" s="2" t="n"/>
      <c r="AO182" s="2" t="n"/>
      <c r="AP182" s="2" t="n"/>
      <c r="AQ182" s="2" t="n"/>
    </row>
    <row r="183">
      <c r="A183" t="n">
        <v>182</v>
      </c>
      <c r="B183" s="2" t="inlineStr">
        <is>
          <t>RITWIK GUPTA</t>
        </is>
      </c>
      <c r="C183" s="3" t="n">
        <v>9084775679</v>
      </c>
      <c r="D183" s="2" t="inlineStr">
        <is>
          <t>PROV260505093</t>
        </is>
      </c>
      <c r="E183" s="2" t="inlineStr">
        <is>
          <t>SSAHE</t>
        </is>
      </c>
      <c r="F183" s="2" t="inlineStr">
        <is>
          <t>Drop</t>
        </is>
      </c>
      <c r="G183" s="2" t="inlineStr">
        <is>
          <t>Loan not required</t>
        </is>
      </c>
      <c r="H183" s="2" t="n"/>
      <c r="I183" s="2" t="n"/>
      <c r="J183" s="2" t="n"/>
      <c r="K183" s="2" t="n"/>
      <c r="L183" s="2" t="n"/>
      <c r="M183" s="2" t="n"/>
      <c r="N183" s="2" t="n"/>
      <c r="O183" s="2" t="n"/>
      <c r="P183" s="2" t="n"/>
      <c r="Q183" s="2" t="n"/>
      <c r="R183" s="2" t="n"/>
      <c r="S183" s="2" t="n"/>
      <c r="T183" s="2" t="inlineStr"/>
      <c r="U183" s="2" t="inlineStr">
        <is>
          <t>Refund</t>
        </is>
      </c>
      <c r="V183" s="2" t="inlineStr"/>
      <c r="W183" s="2" t="inlineStr"/>
      <c r="X183" s="2" t="n"/>
      <c r="Y183" s="2" t="n"/>
      <c r="Z183" s="2" t="n"/>
      <c r="AA183" s="2" t="inlineStr">
        <is>
          <t>Refund case</t>
        </is>
      </c>
      <c r="AB183" s="2" t="inlineStr">
        <is>
          <t>Refund case</t>
        </is>
      </c>
      <c r="AC183" s="2" t="n"/>
      <c r="AD183" s="2" t="n"/>
      <c r="AE183" s="2" t="n"/>
      <c r="AF183" s="2" t="n"/>
      <c r="AG183" s="2" t="n"/>
      <c r="AH183" s="2" t="n"/>
      <c r="AI183" s="2" t="n"/>
      <c r="AJ183" s="2" t="n"/>
      <c r="AK183" s="2" t="n"/>
      <c r="AL183" s="2" t="n"/>
      <c r="AM183" s="2" t="n"/>
      <c r="AN183" s="2" t="n"/>
      <c r="AO183" s="2" t="n"/>
      <c r="AP183" s="2" t="n"/>
      <c r="AQ183" s="2" t="n"/>
    </row>
    <row r="184">
      <c r="A184" t="n">
        <v>183</v>
      </c>
      <c r="B184" s="2" t="inlineStr">
        <is>
          <t>Poondru arjun reddy</t>
        </is>
      </c>
      <c r="C184" s="3" t="n">
        <v>8466896494</v>
      </c>
      <c r="D184" s="2" t="inlineStr">
        <is>
          <t>PROV260503809</t>
        </is>
      </c>
      <c r="E184" s="2" t="inlineStr">
        <is>
          <t>SSAHE</t>
        </is>
      </c>
      <c r="F184" s="2" t="inlineStr">
        <is>
          <t>No</t>
        </is>
      </c>
      <c r="G184" s="2" t="inlineStr">
        <is>
          <t>Loan not required</t>
        </is>
      </c>
      <c r="H184" s="2" t="n"/>
      <c r="I184" s="2" t="n"/>
      <c r="J184" s="2" t="n"/>
      <c r="K184" s="2" t="n"/>
      <c r="L184" s="2" t="n"/>
      <c r="M184" s="2" t="n"/>
      <c r="N184" s="2" t="n"/>
      <c r="O184" s="2" t="n"/>
      <c r="P184" s="2" t="n"/>
      <c r="Q184" s="2" t="n"/>
      <c r="R184" s="2" t="n"/>
      <c r="S184" s="2" t="n"/>
      <c r="T184" s="2" t="inlineStr"/>
      <c r="U184" s="2" t="inlineStr">
        <is>
          <t>No</t>
        </is>
      </c>
      <c r="V184" s="2" t="inlineStr"/>
      <c r="W184" s="2" t="inlineStr"/>
      <c r="X184" s="2" t="n"/>
      <c r="Y184" s="2" t="n"/>
      <c r="Z184" s="2" t="n"/>
      <c r="AA184" s="2" t="inlineStr">
        <is>
          <t>Not required</t>
        </is>
      </c>
      <c r="AB184" s="2" t="inlineStr">
        <is>
          <t>Not required</t>
        </is>
      </c>
      <c r="AC184" s="2" t="n"/>
      <c r="AD184" s="2" t="n"/>
      <c r="AE184" s="2" t="n"/>
      <c r="AF184" s="2" t="n"/>
      <c r="AG184" s="2" t="inlineStr">
        <is>
          <t>Not required</t>
        </is>
      </c>
      <c r="AH184" s="2" t="n"/>
      <c r="AI184" s="2" t="n"/>
      <c r="AJ184" s="2" t="n"/>
      <c r="AK184" s="2" t="n"/>
      <c r="AL184" s="2" t="n"/>
      <c r="AM184" s="2" t="n"/>
      <c r="AN184" s="2" t="n"/>
      <c r="AO184" s="2" t="n"/>
      <c r="AP184" s="2" t="n"/>
      <c r="AQ184" s="2" t="n"/>
    </row>
    <row r="185">
      <c r="A185" t="n">
        <v>184</v>
      </c>
      <c r="B185" s="2" t="inlineStr">
        <is>
          <t>LUCKY JAKHAR</t>
        </is>
      </c>
      <c r="C185" s="3" t="n">
        <v>9928940695</v>
      </c>
      <c r="D185" s="2" t="inlineStr">
        <is>
          <t>PROV260502956</t>
        </is>
      </c>
      <c r="E185" s="2" t="inlineStr">
        <is>
          <t>SSAHE</t>
        </is>
      </c>
      <c r="F185" s="2" t="inlineStr">
        <is>
          <t>No</t>
        </is>
      </c>
      <c r="G185" s="2" t="inlineStr">
        <is>
          <t>Loan not required</t>
        </is>
      </c>
      <c r="H185" s="2" t="n"/>
      <c r="I185" s="2" t="n"/>
      <c r="J185" s="2" t="n"/>
      <c r="K185" s="2" t="n"/>
      <c r="L185" s="2" t="n"/>
      <c r="M185" s="2" t="n"/>
      <c r="N185" s="2" t="n"/>
      <c r="O185" s="2" t="n"/>
      <c r="P185" s="2" t="n"/>
      <c r="Q185" s="2" t="n"/>
      <c r="R185" s="2" t="n"/>
      <c r="S185" s="2" t="n"/>
      <c r="T185" s="2" t="inlineStr"/>
      <c r="U185" s="2" t="inlineStr">
        <is>
          <t>No</t>
        </is>
      </c>
      <c r="V185" s="2" t="inlineStr"/>
      <c r="W185" s="2" t="inlineStr"/>
      <c r="X185" s="2" t="n"/>
      <c r="Y185" s="2" t="n"/>
      <c r="Z185" s="2" t="n"/>
      <c r="AA185" s="2" t="inlineStr">
        <is>
          <t>Not required</t>
        </is>
      </c>
      <c r="AB185" s="2" t="inlineStr">
        <is>
          <t>Not required</t>
        </is>
      </c>
      <c r="AC185" s="2" t="n"/>
      <c r="AD185" s="2" t="n"/>
      <c r="AE185" s="2" t="n"/>
      <c r="AF185" s="2" t="n"/>
      <c r="AG185" s="2" t="inlineStr">
        <is>
          <t>Not required</t>
        </is>
      </c>
      <c r="AH185" s="2" t="n"/>
      <c r="AI185" s="2" t="n"/>
      <c r="AJ185" s="2" t="n"/>
      <c r="AK185" s="2" t="n"/>
      <c r="AL185" s="2" t="n"/>
      <c r="AM185" s="2" t="n"/>
      <c r="AN185" s="2" t="n"/>
      <c r="AO185" s="2" t="n"/>
      <c r="AP185" s="2" t="n"/>
      <c r="AQ185" s="2" t="n"/>
    </row>
    <row r="186">
      <c r="A186" t="n">
        <v>185</v>
      </c>
      <c r="B186" s="2" t="inlineStr">
        <is>
          <t>Abhishek H</t>
        </is>
      </c>
      <c r="C186" s="3" t="n">
        <v>7760917956</v>
      </c>
      <c r="D186" s="2" t="inlineStr">
        <is>
          <t>PROV260603165</t>
        </is>
      </c>
      <c r="E186" s="2" t="inlineStr">
        <is>
          <t>SSAHE</t>
        </is>
      </c>
      <c r="F186" s="2" t="inlineStr">
        <is>
          <t>No</t>
        </is>
      </c>
      <c r="G186" s="2" t="inlineStr">
        <is>
          <t>Loan not required</t>
        </is>
      </c>
      <c r="H186" s="2" t="n"/>
      <c r="I186" s="2" t="n"/>
      <c r="J186" s="2" t="n"/>
      <c r="K186" s="2" t="n"/>
      <c r="L186" s="2" t="n"/>
      <c r="M186" s="2" t="n"/>
      <c r="N186" s="2" t="n"/>
      <c r="O186" s="2" t="n"/>
      <c r="P186" s="2" t="n"/>
      <c r="Q186" s="2" t="n"/>
      <c r="R186" s="2" t="n"/>
      <c r="S186" s="2" t="n"/>
      <c r="T186" s="2" t="inlineStr"/>
      <c r="U186" s="2" t="inlineStr">
        <is>
          <t>No</t>
        </is>
      </c>
      <c r="V186" s="2" t="inlineStr"/>
      <c r="W186" s="2" t="inlineStr"/>
      <c r="X186" s="2" t="n"/>
      <c r="Y186" s="2" t="n"/>
      <c r="Z186" s="2" t="n"/>
      <c r="AA186" s="2" t="inlineStr">
        <is>
          <t>Not required</t>
        </is>
      </c>
      <c r="AB186" s="2" t="inlineStr">
        <is>
          <t>Not required</t>
        </is>
      </c>
      <c r="AC186" s="2" t="n"/>
      <c r="AD186" s="2" t="n"/>
      <c r="AE186" s="2" t="n"/>
      <c r="AF186" s="2" t="n"/>
      <c r="AG186" s="2" t="inlineStr">
        <is>
          <t>Not required</t>
        </is>
      </c>
      <c r="AH186" s="2" t="n"/>
      <c r="AI186" s="2" t="n"/>
      <c r="AJ186" s="2" t="n"/>
      <c r="AK186" s="2" t="n"/>
      <c r="AL186" s="2" t="n"/>
      <c r="AM186" s="2" t="n"/>
      <c r="AN186" s="2" t="n"/>
      <c r="AO186" s="2" t="n"/>
      <c r="AP186" s="2" t="n"/>
      <c r="AQ186" s="2" t="n"/>
    </row>
    <row r="187">
      <c r="A187" t="n">
        <v>186</v>
      </c>
      <c r="B187" s="2" t="inlineStr">
        <is>
          <t>Harsha G</t>
        </is>
      </c>
      <c r="C187" s="3" t="n">
        <v>8748096237</v>
      </c>
      <c r="D187" s="2" t="inlineStr">
        <is>
          <t>PROV260606616</t>
        </is>
      </c>
      <c r="E187" s="2" t="inlineStr">
        <is>
          <t>SSAHE</t>
        </is>
      </c>
      <c r="F187" s="2" t="inlineStr">
        <is>
          <t>No</t>
        </is>
      </c>
      <c r="G187" s="2" t="inlineStr">
        <is>
          <t>Loan not required</t>
        </is>
      </c>
      <c r="H187" s="2" t="n"/>
      <c r="I187" s="2" t="n"/>
      <c r="J187" s="2" t="n"/>
      <c r="K187" s="2" t="n"/>
      <c r="L187" s="2" t="n"/>
      <c r="M187" s="2" t="n"/>
      <c r="N187" s="2" t="n"/>
      <c r="O187" s="2" t="n"/>
      <c r="P187" s="2" t="n"/>
      <c r="Q187" s="2" t="n"/>
      <c r="R187" s="2" t="n"/>
      <c r="S187" s="2" t="n"/>
      <c r="T187" s="2" t="inlineStr"/>
      <c r="U187" s="2" t="inlineStr">
        <is>
          <t>No</t>
        </is>
      </c>
      <c r="V187" s="2" t="inlineStr"/>
      <c r="W187" s="2" t="inlineStr"/>
      <c r="X187" s="2" t="n"/>
      <c r="Y187" s="2" t="n"/>
      <c r="Z187" s="2" t="n"/>
      <c r="AA187" s="2" t="inlineStr">
        <is>
          <t>Not required</t>
        </is>
      </c>
      <c r="AB187" s="2" t="inlineStr">
        <is>
          <t>Not required</t>
        </is>
      </c>
      <c r="AC187" s="2" t="n"/>
      <c r="AD187" s="2" t="n"/>
      <c r="AE187" s="2" t="n"/>
      <c r="AF187" s="2" t="n"/>
      <c r="AG187" s="2" t="inlineStr">
        <is>
          <t>Not required</t>
        </is>
      </c>
      <c r="AH187" s="2" t="n"/>
      <c r="AI187" s="2" t="n"/>
      <c r="AJ187" s="2" t="n"/>
      <c r="AK187" s="2" t="n"/>
      <c r="AL187" s="2" t="n"/>
      <c r="AM187" s="2" t="n"/>
      <c r="AN187" s="2" t="n"/>
      <c r="AO187" s="2" t="n"/>
      <c r="AP187" s="2" t="n"/>
      <c r="AQ187" s="2" t="n"/>
    </row>
    <row r="188">
      <c r="A188" t="n">
        <v>187</v>
      </c>
      <c r="B188" s="2" t="inlineStr">
        <is>
          <t>HARSH MEHTA</t>
        </is>
      </c>
      <c r="C188" s="3" t="n">
        <v>8218412328</v>
      </c>
      <c r="D188" s="2" t="inlineStr">
        <is>
          <t>PROV260606665</t>
        </is>
      </c>
      <c r="E188" s="2" t="inlineStr">
        <is>
          <t>SSAHE</t>
        </is>
      </c>
      <c r="F188" s="2" t="inlineStr">
        <is>
          <t>Yes</t>
        </is>
      </c>
      <c r="G188" s="2" t="inlineStr">
        <is>
          <t xml:space="preserve">Non Critical </t>
        </is>
      </c>
      <c r="H188" s="2" t="n"/>
      <c r="I188" s="2" t="n"/>
      <c r="J188" s="2" t="n"/>
      <c r="K188" s="2" t="n"/>
      <c r="L188" s="2" t="n"/>
      <c r="M188" s="2" t="n"/>
      <c r="N188" s="2" t="n"/>
      <c r="O188" s="2" t="n"/>
      <c r="P188" s="2" t="n"/>
      <c r="Q188" s="2" t="n"/>
      <c r="R188" s="2" t="n"/>
      <c r="S188" s="2" t="n"/>
      <c r="T188" s="2" t="inlineStr">
        <is>
          <t>24/7 : Spoke with the student today, he was looking assistance on PM vidyalakshmi portal and have guided them around it 
27/7 : Spoke to the student again, start PM Vidyalakshmi again, pushed him to get this done. He'll take 7.5L from PM vidyalakshmi and the rest of the funds he will be managing by himself</t>
        </is>
      </c>
      <c r="U188" s="2" t="inlineStr">
        <is>
          <t>Yes</t>
        </is>
      </c>
      <c r="V188" s="2" t="inlineStr"/>
      <c r="W188" s="2" t="inlineStr"/>
      <c r="X188" s="2" t="n"/>
      <c r="Y188" s="2" t="n"/>
      <c r="Z188" s="2" t="n"/>
      <c r="AA188" s="2" t="inlineStr">
        <is>
          <t>Control</t>
        </is>
      </c>
      <c r="AB188" s="2" t="inlineStr">
        <is>
          <t>Control</t>
        </is>
      </c>
      <c r="AC188" s="2" t="n"/>
      <c r="AD188" s="2" t="n"/>
      <c r="AE188" s="2" t="n"/>
      <c r="AF188" s="2" t="n"/>
      <c r="AG188" s="2" t="inlineStr">
        <is>
          <t>Ongoing</t>
        </is>
      </c>
      <c r="AH188" s="2" t="inlineStr">
        <is>
          <t>Processing by PM vidyalakshmi</t>
        </is>
      </c>
      <c r="AI188" s="2" t="n"/>
      <c r="AJ188" s="2" t="n"/>
      <c r="AK188" s="2" t="n"/>
      <c r="AL188" s="2" t="n"/>
      <c r="AM188" s="2" t="n"/>
      <c r="AN188" s="2" t="n"/>
      <c r="AO188" s="2" t="n"/>
      <c r="AP188" s="2" t="n"/>
      <c r="AQ188" s="2" t="n"/>
    </row>
    <row r="189">
      <c r="A189" t="n">
        <v>188</v>
      </c>
      <c r="B189" s="2" t="inlineStr">
        <is>
          <t>Raunak Tiwari</t>
        </is>
      </c>
      <c r="C189" s="3" t="n">
        <v>9553969317</v>
      </c>
      <c r="D189" s="2" t="inlineStr">
        <is>
          <t>PROV260605769</t>
        </is>
      </c>
      <c r="E189" s="2" t="inlineStr">
        <is>
          <t>SSAHE</t>
        </is>
      </c>
      <c r="F189" s="2" t="inlineStr">
        <is>
          <t>No</t>
        </is>
      </c>
      <c r="G189" s="2" t="inlineStr">
        <is>
          <t>Loan not required</t>
        </is>
      </c>
      <c r="H189" s="2" t="n"/>
      <c r="I189" s="2" t="n"/>
      <c r="J189" s="2" t="n"/>
      <c r="K189" s="2" t="n"/>
      <c r="L189" s="2" t="n"/>
      <c r="M189" s="2" t="n"/>
      <c r="N189" s="2" t="n"/>
      <c r="O189" s="2" t="n"/>
      <c r="P189" s="2" t="n"/>
      <c r="Q189" s="2" t="n"/>
      <c r="R189" s="2" t="n"/>
      <c r="S189" s="2" t="n"/>
      <c r="T189" s="2" t="inlineStr"/>
      <c r="U189" s="2" t="inlineStr">
        <is>
          <t>No</t>
        </is>
      </c>
      <c r="V189" s="2" t="inlineStr"/>
      <c r="W189" s="2" t="inlineStr"/>
      <c r="X189" s="2" t="n"/>
      <c r="Y189" s="2" t="n"/>
      <c r="Z189" s="2" t="n"/>
      <c r="AA189" s="2" t="inlineStr">
        <is>
          <t>Not required</t>
        </is>
      </c>
      <c r="AB189" s="2" t="inlineStr">
        <is>
          <t>Not required</t>
        </is>
      </c>
      <c r="AC189" s="2" t="n"/>
      <c r="AD189" s="2" t="n"/>
      <c r="AE189" s="2" t="n"/>
      <c r="AF189" s="2" t="n"/>
      <c r="AG189" s="2" t="inlineStr">
        <is>
          <t>Not required</t>
        </is>
      </c>
      <c r="AH189" s="2" t="n"/>
      <c r="AI189" s="2" t="n"/>
      <c r="AJ189" s="2" t="n"/>
      <c r="AK189" s="2" t="n"/>
      <c r="AL189" s="2" t="n"/>
      <c r="AM189" s="2" t="n"/>
      <c r="AN189" s="2" t="n"/>
      <c r="AO189" s="2" t="n"/>
      <c r="AP189" s="2" t="n"/>
      <c r="AQ189" s="2" t="n"/>
    </row>
    <row r="190">
      <c r="A190" t="n">
        <v>189</v>
      </c>
      <c r="B190" s="2" t="inlineStr">
        <is>
          <t>Keshav Mittal</t>
        </is>
      </c>
      <c r="C190" s="3" t="n">
        <v>8923512564</v>
      </c>
      <c r="D190" s="2" t="inlineStr">
        <is>
          <t>PROV1000005020</t>
        </is>
      </c>
      <c r="E190" s="2" t="inlineStr">
        <is>
          <t>SSAHE</t>
        </is>
      </c>
      <c r="F190" s="2" t="inlineStr">
        <is>
          <t>No</t>
        </is>
      </c>
      <c r="G190" s="2" t="inlineStr">
        <is>
          <t>Loan not required</t>
        </is>
      </c>
      <c r="H190" s="2" t="n"/>
      <c r="I190" s="2" t="n"/>
      <c r="J190" s="2" t="n"/>
      <c r="K190" s="2" t="n"/>
      <c r="L190" s="2" t="n"/>
      <c r="M190" s="2" t="n"/>
      <c r="N190" s="2" t="n"/>
      <c r="O190" s="2" t="n"/>
      <c r="P190" s="2" t="n"/>
      <c r="Q190" s="2" t="n"/>
      <c r="R190" s="2" t="n"/>
      <c r="S190" s="2" t="n"/>
      <c r="T190" s="2" t="inlineStr"/>
      <c r="U190" s="2" t="inlineStr">
        <is>
          <t>No</t>
        </is>
      </c>
      <c r="V190" s="2" t="inlineStr"/>
      <c r="W190" s="2" t="inlineStr"/>
      <c r="X190" s="2" t="n"/>
      <c r="Y190" s="2" t="n"/>
      <c r="Z190" s="2" t="n"/>
      <c r="AA190" s="2" t="inlineStr">
        <is>
          <t>Not required</t>
        </is>
      </c>
      <c r="AB190" s="2" t="inlineStr">
        <is>
          <t>Not required</t>
        </is>
      </c>
      <c r="AC190" s="2" t="n"/>
      <c r="AD190" s="2" t="n"/>
      <c r="AE190" s="2" t="n"/>
      <c r="AF190" s="2" t="n"/>
      <c r="AG190" s="2" t="inlineStr">
        <is>
          <t>Not required</t>
        </is>
      </c>
      <c r="AH190" s="2" t="n"/>
      <c r="AI190" s="2" t="n"/>
      <c r="AJ190" s="2" t="n"/>
      <c r="AK190" s="2" t="n"/>
      <c r="AL190" s="2" t="n"/>
      <c r="AM190" s="2" t="n"/>
      <c r="AN190" s="2" t="n"/>
      <c r="AO190" s="2" t="n"/>
      <c r="AP190" s="2" t="n"/>
      <c r="AQ190" s="2" t="n"/>
    </row>
    <row r="191">
      <c r="A191" t="n">
        <v>190</v>
      </c>
      <c r="B191" s="2" t="inlineStr">
        <is>
          <t>Ativ Shandillya</t>
        </is>
      </c>
      <c r="C191" s="3" t="n">
        <v>8287146604</v>
      </c>
      <c r="D191" s="2" t="inlineStr">
        <is>
          <t>PROV260606062</t>
        </is>
      </c>
      <c r="E191" s="2" t="inlineStr">
        <is>
          <t>SSAHE</t>
        </is>
      </c>
      <c r="F191" s="2" t="inlineStr">
        <is>
          <t>Yes</t>
        </is>
      </c>
      <c r="G191" s="2" t="inlineStr">
        <is>
          <t>Loan not required</t>
        </is>
      </c>
      <c r="H191" s="2" t="n"/>
      <c r="I191" s="2" t="n"/>
      <c r="J191" s="2" t="n"/>
      <c r="K191" s="2" t="inlineStr">
        <is>
          <t>Mother</t>
        </is>
      </c>
      <c r="L191" s="2" t="n"/>
      <c r="M191" s="2" t="n"/>
      <c r="N191" s="2" t="n"/>
      <c r="O191" s="2" t="n"/>
      <c r="P191" s="2" t="n"/>
      <c r="Q191" s="2" t="n"/>
      <c r="R191" s="2" t="n"/>
      <c r="S191" s="2" t="n"/>
      <c r="T191" s="2" t="inlineStr">
        <is>
          <t>31/7 : Student Name : Ativ Shandillya
Email ID: ativsandillya2008@gmail.com
Mobile No. : 8287146604
Provisional ID: PROV260606062
Co Applicant Name: Shiwani Kumari
Relation : Mother
Annual Income: 7.50 lacs
Spoke to the mother, guided her around sbi and the collateral loan. Good profile, will be in control</t>
        </is>
      </c>
      <c r="U191" s="2" t="inlineStr">
        <is>
          <t>Yes</t>
        </is>
      </c>
      <c r="V191" s="2" t="inlineStr"/>
      <c r="W191" s="2" t="inlineStr"/>
      <c r="X191" s="2" t="n"/>
      <c r="Y191" s="2" t="n"/>
      <c r="Z191" s="2" t="n"/>
      <c r="AA191" s="2" t="inlineStr">
        <is>
          <t>Control</t>
        </is>
      </c>
      <c r="AB191" s="2" t="inlineStr">
        <is>
          <t>Control</t>
        </is>
      </c>
      <c r="AC191" s="2" t="n"/>
      <c r="AD191" s="2" t="n"/>
      <c r="AE191" s="2" t="n"/>
      <c r="AF191" s="2" t="n"/>
      <c r="AG191" s="2" t="inlineStr">
        <is>
          <t>Ongoing</t>
        </is>
      </c>
      <c r="AH191" s="2" t="inlineStr">
        <is>
          <t>Processing at other bank</t>
        </is>
      </c>
      <c r="AI191" s="2" t="n"/>
      <c r="AJ191" s="2" t="n"/>
      <c r="AK191" s="2" t="n"/>
      <c r="AL191" s="2" t="n"/>
      <c r="AM191" s="2" t="n"/>
      <c r="AN191" s="2" t="n"/>
      <c r="AO191" s="2" t="n"/>
      <c r="AP191" s="2" t="n"/>
      <c r="AQ191" s="2" t="n"/>
    </row>
    <row r="192">
      <c r="A192" t="n">
        <v>191</v>
      </c>
      <c r="B192" s="2" t="inlineStr">
        <is>
          <t>ISHANT SHARMA</t>
        </is>
      </c>
      <c r="C192" s="3" t="n">
        <v>8305705407</v>
      </c>
      <c r="D192" s="2" t="inlineStr">
        <is>
          <t>PROV260601082</t>
        </is>
      </c>
      <c r="E192" s="2" t="inlineStr">
        <is>
          <t>SSAHE</t>
        </is>
      </c>
      <c r="F192" s="2" t="inlineStr">
        <is>
          <t>No</t>
        </is>
      </c>
      <c r="G192" s="2" t="inlineStr">
        <is>
          <t>Loan not required</t>
        </is>
      </c>
      <c r="H192" s="2" t="n"/>
      <c r="I192" s="2" t="n"/>
      <c r="J192" s="2" t="n"/>
      <c r="K192" s="2" t="n"/>
      <c r="L192" s="2" t="n"/>
      <c r="M192" s="2" t="n"/>
      <c r="N192" s="2" t="n"/>
      <c r="O192" s="2" t="n"/>
      <c r="P192" s="2" t="n"/>
      <c r="Q192" s="2" t="n"/>
      <c r="R192" s="2" t="n"/>
      <c r="S192" s="2" t="n"/>
      <c r="T192" s="2" t="inlineStr"/>
      <c r="U192" s="2" t="inlineStr">
        <is>
          <t>No</t>
        </is>
      </c>
      <c r="V192" s="2" t="inlineStr"/>
      <c r="W192" s="2" t="inlineStr"/>
      <c r="X192" s="2" t="n"/>
      <c r="Y192" s="2" t="n"/>
      <c r="Z192" s="2" t="n"/>
      <c r="AA192" s="2" t="inlineStr">
        <is>
          <t>Not required</t>
        </is>
      </c>
      <c r="AB192" s="2" t="inlineStr">
        <is>
          <t>Not required</t>
        </is>
      </c>
      <c r="AC192" s="2" t="n"/>
      <c r="AD192" s="2" t="n"/>
      <c r="AE192" s="2" t="n"/>
      <c r="AF192" s="2" t="n"/>
      <c r="AG192" s="2" t="inlineStr">
        <is>
          <t>Not required</t>
        </is>
      </c>
      <c r="AH192" s="2" t="n"/>
      <c r="AI192" s="2" t="n"/>
      <c r="AJ192" s="2" t="n"/>
      <c r="AK192" s="2" t="n"/>
      <c r="AL192" s="2" t="n"/>
      <c r="AM192" s="2" t="n"/>
      <c r="AN192" s="2" t="n"/>
      <c r="AO192" s="2" t="n"/>
      <c r="AP192" s="2" t="n"/>
      <c r="AQ192" s="2" t="n"/>
    </row>
    <row r="193">
      <c r="A193" t="n">
        <v>192</v>
      </c>
      <c r="B193" s="2" t="inlineStr">
        <is>
          <t>Mayank Chauhan</t>
        </is>
      </c>
      <c r="C193" s="3" t="n">
        <v>8295137690</v>
      </c>
      <c r="D193" s="2" t="inlineStr">
        <is>
          <t>PROV260505476</t>
        </is>
      </c>
      <c r="E193" s="2" t="inlineStr">
        <is>
          <t>SSAHE</t>
        </is>
      </c>
      <c r="F193" s="2" t="inlineStr">
        <is>
          <t>No</t>
        </is>
      </c>
      <c r="G193" s="2" t="inlineStr">
        <is>
          <t>Loan not required</t>
        </is>
      </c>
      <c r="H193" s="2" t="n"/>
      <c r="I193" s="2" t="n"/>
      <c r="J193" s="2" t="n"/>
      <c r="K193" s="2" t="n"/>
      <c r="L193" s="2" t="n"/>
      <c r="M193" s="2" t="n"/>
      <c r="N193" s="2" t="n"/>
      <c r="O193" s="2" t="n"/>
      <c r="P193" s="2" t="n"/>
      <c r="Q193" s="2" t="n"/>
      <c r="R193" s="2" t="n"/>
      <c r="S193" s="2" t="n"/>
      <c r="T193" s="2" t="inlineStr"/>
      <c r="U193" s="2" t="inlineStr">
        <is>
          <t>No</t>
        </is>
      </c>
      <c r="V193" s="2" t="inlineStr"/>
      <c r="W193" s="2" t="inlineStr"/>
      <c r="X193" s="2" t="n"/>
      <c r="Y193" s="2" t="n"/>
      <c r="Z193" s="2" t="n"/>
      <c r="AA193" s="2" t="inlineStr">
        <is>
          <t>Not required</t>
        </is>
      </c>
      <c r="AB193" s="2" t="inlineStr">
        <is>
          <t>Not required</t>
        </is>
      </c>
      <c r="AC193" s="2" t="n"/>
      <c r="AD193" s="2" t="n"/>
      <c r="AE193" s="2" t="n"/>
      <c r="AF193" s="2" t="n"/>
      <c r="AG193" s="2" t="inlineStr">
        <is>
          <t>Not required</t>
        </is>
      </c>
      <c r="AH193" s="2" t="n"/>
      <c r="AI193" s="2" t="n"/>
      <c r="AJ193" s="2" t="n"/>
      <c r="AK193" s="2" t="n"/>
      <c r="AL193" s="2" t="n"/>
      <c r="AM193" s="2" t="n"/>
      <c r="AN193" s="2" t="n"/>
      <c r="AO193" s="2" t="n"/>
      <c r="AP193" s="2" t="n"/>
      <c r="AQ193" s="2" t="n"/>
    </row>
    <row r="194">
      <c r="A194" t="n">
        <v>193</v>
      </c>
      <c r="B194" s="2" t="inlineStr">
        <is>
          <t>Ankit raj</t>
        </is>
      </c>
      <c r="C194" s="3" t="n">
        <v>6200662256</v>
      </c>
      <c r="D194" s="2" t="inlineStr">
        <is>
          <t>PROV260606050</t>
        </is>
      </c>
      <c r="E194" s="2" t="inlineStr">
        <is>
          <t>SSAHE</t>
        </is>
      </c>
      <c r="F194" s="2" t="inlineStr">
        <is>
          <t>No</t>
        </is>
      </c>
      <c r="G194" s="2" t="inlineStr">
        <is>
          <t>Loan not required</t>
        </is>
      </c>
      <c r="H194" s="2" t="n"/>
      <c r="I194" s="2" t="n"/>
      <c r="J194" s="2" t="n"/>
      <c r="K194" s="2" t="n"/>
      <c r="L194" s="2" t="n"/>
      <c r="M194" s="2" t="n"/>
      <c r="N194" s="2" t="n"/>
      <c r="O194" s="2" t="n"/>
      <c r="P194" s="2" t="n"/>
      <c r="Q194" s="2" t="n"/>
      <c r="R194" s="2" t="n"/>
      <c r="S194" s="2" t="n"/>
      <c r="T194" s="2" t="inlineStr"/>
      <c r="U194" s="2" t="inlineStr">
        <is>
          <t>No</t>
        </is>
      </c>
      <c r="V194" s="2" t="inlineStr"/>
      <c r="W194" s="2" t="inlineStr"/>
      <c r="X194" s="2" t="n"/>
      <c r="Y194" s="2" t="n"/>
      <c r="Z194" s="2" t="n"/>
      <c r="AA194" s="2" t="inlineStr">
        <is>
          <t>Not required</t>
        </is>
      </c>
      <c r="AB194" s="2" t="inlineStr">
        <is>
          <t>Not required</t>
        </is>
      </c>
      <c r="AC194" s="2" t="n"/>
      <c r="AD194" s="2" t="n"/>
      <c r="AE194" s="2" t="n"/>
      <c r="AF194" s="2" t="n"/>
      <c r="AG194" s="2" t="inlineStr">
        <is>
          <t>Not required</t>
        </is>
      </c>
      <c r="AH194" s="2" t="n"/>
      <c r="AI194" s="2" t="n"/>
      <c r="AJ194" s="2" t="n"/>
      <c r="AK194" s="2" t="n"/>
      <c r="AL194" s="2" t="n"/>
      <c r="AM194" s="2" t="n"/>
      <c r="AN194" s="2" t="n"/>
      <c r="AO194" s="2" t="n"/>
      <c r="AP194" s="2" t="n"/>
      <c r="AQ194" s="2" t="n"/>
    </row>
    <row r="195">
      <c r="A195" t="n">
        <v>194</v>
      </c>
      <c r="B195" s="2" t="inlineStr">
        <is>
          <t>Parv khandelwal</t>
        </is>
      </c>
      <c r="C195" s="3" t="n">
        <v>8800483315</v>
      </c>
      <c r="D195" s="2" t="inlineStr">
        <is>
          <t>PROV260503345</t>
        </is>
      </c>
      <c r="E195" s="2" t="inlineStr">
        <is>
          <t>SSAHE</t>
        </is>
      </c>
      <c r="F195" s="2" t="inlineStr">
        <is>
          <t>Drop</t>
        </is>
      </c>
      <c r="G195" s="2" t="inlineStr">
        <is>
          <t>Loan not required</t>
        </is>
      </c>
      <c r="H195" s="2" t="n"/>
      <c r="I195" s="2" t="n"/>
      <c r="J195" s="2" t="n"/>
      <c r="K195" s="2" t="n"/>
      <c r="L195" s="2" t="n"/>
      <c r="M195" s="2" t="n"/>
      <c r="N195" s="2" t="n"/>
      <c r="O195" s="2" t="n"/>
      <c r="P195" s="2" t="n"/>
      <c r="Q195" s="2" t="n"/>
      <c r="R195" s="2" t="n"/>
      <c r="S195" s="2" t="n"/>
      <c r="T195" s="2" t="inlineStr"/>
      <c r="U195" s="2" t="inlineStr">
        <is>
          <t>Refund</t>
        </is>
      </c>
      <c r="V195" s="2" t="inlineStr"/>
      <c r="W195" s="2" t="inlineStr"/>
      <c r="X195" s="2" t="n"/>
      <c r="Y195" s="2" t="n"/>
      <c r="Z195" s="2" t="n"/>
      <c r="AA195" s="2" t="inlineStr">
        <is>
          <t>Refund case</t>
        </is>
      </c>
      <c r="AB195" s="2" t="inlineStr">
        <is>
          <t>Refund case</t>
        </is>
      </c>
      <c r="AC195" s="2" t="n"/>
      <c r="AD195" s="2" t="n"/>
      <c r="AE195" s="2" t="n"/>
      <c r="AF195" s="2" t="n"/>
      <c r="AG195" s="2" t="n"/>
      <c r="AH195" s="2" t="n"/>
      <c r="AI195" s="2" t="n"/>
      <c r="AJ195" s="2" t="n"/>
      <c r="AK195" s="2" t="n"/>
      <c r="AL195" s="2" t="n"/>
      <c r="AM195" s="2" t="n"/>
      <c r="AN195" s="2" t="n"/>
      <c r="AO195" s="2" t="n"/>
      <c r="AP195" s="2" t="n"/>
      <c r="AQ195" s="2" t="n"/>
    </row>
    <row r="196">
      <c r="A196" t="n">
        <v>195</v>
      </c>
      <c r="B196" s="2" t="inlineStr">
        <is>
          <t>Sai Chaitesh Pothukanama</t>
        </is>
      </c>
      <c r="C196" s="3" t="n">
        <v>9686245245</v>
      </c>
      <c r="D196" s="2" t="inlineStr">
        <is>
          <t>PROV1000000403</t>
        </is>
      </c>
      <c r="E196" s="2" t="inlineStr">
        <is>
          <t>SSAHE</t>
        </is>
      </c>
      <c r="F196" s="2" t="inlineStr">
        <is>
          <t>No</t>
        </is>
      </c>
      <c r="G196" s="2" t="inlineStr">
        <is>
          <t>Loan not required</t>
        </is>
      </c>
      <c r="H196" s="2" t="n"/>
      <c r="I196" s="2" t="n"/>
      <c r="J196" s="2" t="n"/>
      <c r="K196" s="2" t="n"/>
      <c r="L196" s="2" t="n"/>
      <c r="M196" s="2" t="n"/>
      <c r="N196" s="2" t="n"/>
      <c r="O196" s="2" t="n"/>
      <c r="P196" s="2" t="n"/>
      <c r="Q196" s="2" t="n"/>
      <c r="R196" s="2" t="n"/>
      <c r="S196" s="2" t="n"/>
      <c r="T196" s="2" t="inlineStr"/>
      <c r="U196" s="2" t="inlineStr">
        <is>
          <t>No</t>
        </is>
      </c>
      <c r="V196" s="2" t="inlineStr"/>
      <c r="W196" s="2" t="inlineStr"/>
      <c r="X196" s="2" t="n"/>
      <c r="Y196" s="2" t="n"/>
      <c r="Z196" s="2" t="n"/>
      <c r="AA196" s="2" t="inlineStr">
        <is>
          <t>Not required</t>
        </is>
      </c>
      <c r="AB196" s="2" t="inlineStr">
        <is>
          <t>Not required</t>
        </is>
      </c>
      <c r="AC196" s="2" t="n"/>
      <c r="AD196" s="2" t="n"/>
      <c r="AE196" s="2" t="n"/>
      <c r="AF196" s="2" t="n"/>
      <c r="AG196" s="2" t="inlineStr">
        <is>
          <t>Not required</t>
        </is>
      </c>
      <c r="AH196" s="2" t="n"/>
      <c r="AI196" s="2" t="n"/>
      <c r="AJ196" s="2" t="n"/>
      <c r="AK196" s="2" t="n"/>
      <c r="AL196" s="2" t="n"/>
      <c r="AM196" s="2" t="n"/>
      <c r="AN196" s="2" t="n"/>
      <c r="AO196" s="2" t="n"/>
      <c r="AP196" s="2" t="n"/>
      <c r="AQ196" s="2" t="n"/>
    </row>
    <row r="197">
      <c r="A197" t="n">
        <v>196</v>
      </c>
      <c r="B197" s="2" t="inlineStr">
        <is>
          <t>Vimal Samdramathan V S</t>
        </is>
      </c>
      <c r="C197" s="3" t="n">
        <v>8618561348</v>
      </c>
      <c r="D197" s="2" t="inlineStr">
        <is>
          <t>PROV260606825</t>
        </is>
      </c>
      <c r="E197" s="2" t="inlineStr">
        <is>
          <t>SSAHE</t>
        </is>
      </c>
      <c r="F197" s="2" t="inlineStr">
        <is>
          <t>No</t>
        </is>
      </c>
      <c r="G197" s="2" t="inlineStr">
        <is>
          <t>Loan not required</t>
        </is>
      </c>
      <c r="H197" s="2" t="n"/>
      <c r="I197" s="2" t="n"/>
      <c r="J197" s="2" t="n"/>
      <c r="K197" s="2" t="n"/>
      <c r="L197" s="2" t="n"/>
      <c r="M197" s="2" t="n"/>
      <c r="N197" s="2" t="n"/>
      <c r="O197" s="2" t="n"/>
      <c r="P197" s="2" t="n"/>
      <c r="Q197" s="2" t="n"/>
      <c r="R197" s="2" t="n"/>
      <c r="S197" s="2" t="n"/>
      <c r="T197" s="2" t="inlineStr"/>
      <c r="U197" s="2" t="inlineStr">
        <is>
          <t>No</t>
        </is>
      </c>
      <c r="V197" s="2" t="inlineStr"/>
      <c r="W197" s="2" t="inlineStr"/>
      <c r="X197" s="2" t="n"/>
      <c r="Y197" s="2" t="n"/>
      <c r="Z197" s="2" t="n"/>
      <c r="AA197" s="2" t="inlineStr">
        <is>
          <t>Not required</t>
        </is>
      </c>
      <c r="AB197" s="2" t="inlineStr">
        <is>
          <t>Not required</t>
        </is>
      </c>
      <c r="AC197" s="2" t="n"/>
      <c r="AD197" s="2" t="n"/>
      <c r="AE197" s="2" t="n"/>
      <c r="AF197" s="2" t="n"/>
      <c r="AG197" s="2" t="inlineStr">
        <is>
          <t>Not required</t>
        </is>
      </c>
      <c r="AH197" s="2" t="n"/>
      <c r="AI197" s="2" t="n"/>
      <c r="AJ197" s="2" t="n"/>
      <c r="AK197" s="2" t="n"/>
      <c r="AL197" s="2" t="n"/>
      <c r="AM197" s="2" t="n"/>
      <c r="AN197" s="2" t="n"/>
      <c r="AO197" s="2" t="n"/>
      <c r="AP197" s="2" t="n"/>
      <c r="AQ197" s="2" t="n"/>
    </row>
    <row r="198">
      <c r="A198" t="n">
        <v>197</v>
      </c>
      <c r="B198" s="2" t="inlineStr">
        <is>
          <t>Aayaan Singh</t>
        </is>
      </c>
      <c r="C198" s="3" t="n">
        <v>8378979568</v>
      </c>
      <c r="D198" s="2" t="inlineStr">
        <is>
          <t>PROV1000000275</t>
        </is>
      </c>
      <c r="E198" s="2" t="inlineStr">
        <is>
          <t>ADYPU</t>
        </is>
      </c>
      <c r="F198" s="2" t="inlineStr">
        <is>
          <t>No</t>
        </is>
      </c>
      <c r="G198" s="2" t="inlineStr">
        <is>
          <t>Loan not required</t>
        </is>
      </c>
      <c r="H198" s="2" t="n"/>
      <c r="I198" s="2" t="n"/>
      <c r="J198" s="2" t="n"/>
      <c r="K198" s="2" t="n"/>
      <c r="L198" s="2" t="n"/>
      <c r="M198" s="2" t="n"/>
      <c r="N198" s="2" t="n"/>
      <c r="O198" s="2" t="n"/>
      <c r="P198" s="2" t="n"/>
      <c r="Q198" s="2" t="n"/>
      <c r="R198" s="2" t="n"/>
      <c r="S198" s="2" t="n"/>
      <c r="T198" s="2" t="inlineStr"/>
      <c r="U198" s="2" t="inlineStr">
        <is>
          <t>No</t>
        </is>
      </c>
      <c r="V198" s="2" t="inlineStr"/>
      <c r="W198" s="2" t="inlineStr"/>
      <c r="X198" s="2" t="n"/>
      <c r="Y198" s="2" t="n"/>
      <c r="Z198" s="2" t="n"/>
      <c r="AA198" s="2" t="inlineStr">
        <is>
          <t>Not required</t>
        </is>
      </c>
      <c r="AB198" s="2" t="inlineStr">
        <is>
          <t>Not required</t>
        </is>
      </c>
      <c r="AC198" s="2" t="n"/>
      <c r="AD198" s="2" t="n"/>
      <c r="AE198" s="2" t="n"/>
      <c r="AF198" s="2" t="n"/>
      <c r="AG198" s="2" t="inlineStr">
        <is>
          <t>Not required</t>
        </is>
      </c>
      <c r="AH198" s="2" t="n"/>
      <c r="AI198" s="2" t="n"/>
      <c r="AJ198" s="2" t="n"/>
      <c r="AK198" s="2" t="n"/>
      <c r="AL198" s="2" t="n"/>
      <c r="AM198" s="2" t="n"/>
      <c r="AN198" s="2" t="n"/>
      <c r="AO198" s="2" t="n"/>
      <c r="AP198" s="2" t="n"/>
      <c r="AQ198" s="2" t="n"/>
    </row>
    <row r="199">
      <c r="A199" t="n">
        <v>198</v>
      </c>
      <c r="B199" s="2" t="inlineStr">
        <is>
          <t>Aaditya Dinesh Patil</t>
        </is>
      </c>
      <c r="C199" s="3" t="n">
        <v>8329457722</v>
      </c>
      <c r="D199" s="2" t="inlineStr">
        <is>
          <t>PROV1000000338</t>
        </is>
      </c>
      <c r="E199" s="2" t="inlineStr">
        <is>
          <t>ADYPU</t>
        </is>
      </c>
      <c r="F199" s="2" t="inlineStr">
        <is>
          <t>No</t>
        </is>
      </c>
      <c r="G199" s="2" t="inlineStr">
        <is>
          <t>Loan not required</t>
        </is>
      </c>
      <c r="H199" s="2" t="n"/>
      <c r="I199" s="2" t="n"/>
      <c r="J199" s="2" t="n"/>
      <c r="K199" s="2" t="n"/>
      <c r="L199" s="2" t="n"/>
      <c r="M199" s="2" t="n"/>
      <c r="N199" s="2" t="n"/>
      <c r="O199" s="2" t="n"/>
      <c r="P199" s="2" t="n"/>
      <c r="Q199" s="2" t="n"/>
      <c r="R199" s="2" t="n"/>
      <c r="S199" s="2" t="n"/>
      <c r="T199" s="2" t="inlineStr"/>
      <c r="U199" s="2" t="inlineStr">
        <is>
          <t>No</t>
        </is>
      </c>
      <c r="V199" s="2" t="inlineStr"/>
      <c r="W199" s="2" t="inlineStr"/>
      <c r="X199" s="2" t="n"/>
      <c r="Y199" s="2" t="n"/>
      <c r="Z199" s="2" t="n"/>
      <c r="AA199" s="2" t="inlineStr">
        <is>
          <t>Not required</t>
        </is>
      </c>
      <c r="AB199" s="2" t="inlineStr">
        <is>
          <t>Not required</t>
        </is>
      </c>
      <c r="AC199" s="2" t="n"/>
      <c r="AD199" s="2" t="n"/>
      <c r="AE199" s="2" t="n"/>
      <c r="AF199" s="2" t="n"/>
      <c r="AG199" s="2" t="inlineStr">
        <is>
          <t>Not required</t>
        </is>
      </c>
      <c r="AH199" s="2" t="n"/>
      <c r="AI199" s="2" t="n"/>
      <c r="AJ199" s="2" t="n"/>
      <c r="AK199" s="2" t="n"/>
      <c r="AL199" s="2" t="n"/>
      <c r="AM199" s="2" t="n"/>
      <c r="AN199" s="2" t="n"/>
      <c r="AO199" s="2" t="n"/>
      <c r="AP199" s="2" t="n"/>
      <c r="AQ199" s="2" t="n"/>
    </row>
    <row r="200">
      <c r="A200" t="n">
        <v>199</v>
      </c>
      <c r="B200" s="2" t="inlineStr">
        <is>
          <t>Krishna Sahu</t>
        </is>
      </c>
      <c r="C200" s="3" t="n">
        <v>7489693433</v>
      </c>
      <c r="D200" s="2" t="inlineStr">
        <is>
          <t>PROV1000001723</t>
        </is>
      </c>
      <c r="E200" s="2" t="inlineStr">
        <is>
          <t>ADYPU</t>
        </is>
      </c>
      <c r="F200" s="2" t="inlineStr">
        <is>
          <t>Drop</t>
        </is>
      </c>
      <c r="G200" s="2" t="inlineStr">
        <is>
          <t>Loan not required</t>
        </is>
      </c>
      <c r="H200" s="2" t="n"/>
      <c r="I200" s="2" t="n"/>
      <c r="J200" s="2" t="n"/>
      <c r="K200" s="2" t="n"/>
      <c r="L200" s="2" t="n"/>
      <c r="M200" s="2" t="n"/>
      <c r="N200" s="2" t="n"/>
      <c r="O200" s="2" t="n"/>
      <c r="P200" s="2" t="n"/>
      <c r="Q200" s="2" t="n"/>
      <c r="R200" s="2" t="n"/>
      <c r="S200" s="2" t="n"/>
      <c r="T200" s="2" t="inlineStr"/>
      <c r="U200" s="2" t="inlineStr">
        <is>
          <t>Refund</t>
        </is>
      </c>
      <c r="V200" s="2" t="inlineStr"/>
      <c r="W200" s="2" t="inlineStr"/>
      <c r="X200" s="2" t="n"/>
      <c r="Y200" s="2" t="n"/>
      <c r="Z200" s="2" t="n"/>
      <c r="AA200" s="2" t="inlineStr">
        <is>
          <t>Refund case</t>
        </is>
      </c>
      <c r="AB200" s="2" t="inlineStr">
        <is>
          <t>Refund case</t>
        </is>
      </c>
      <c r="AC200" s="2" t="n"/>
      <c r="AD200" s="2" t="n"/>
      <c r="AE200" s="2" t="n"/>
      <c r="AF200" s="2" t="n"/>
      <c r="AG200" s="2" t="n"/>
      <c r="AH200" s="2" t="n"/>
      <c r="AI200" s="2" t="n"/>
      <c r="AJ200" s="2" t="n"/>
      <c r="AK200" s="2" t="n"/>
      <c r="AL200" s="2" t="n"/>
      <c r="AM200" s="2" t="n"/>
      <c r="AN200" s="2" t="n"/>
      <c r="AO200" s="2" t="n"/>
      <c r="AP200" s="2" t="n"/>
      <c r="AQ200" s="2" t="n"/>
    </row>
    <row r="201">
      <c r="A201" t="n">
        <v>200</v>
      </c>
      <c r="B201" s="2" t="inlineStr">
        <is>
          <t>Kushagra Shukla</t>
        </is>
      </c>
      <c r="C201" s="3" t="n">
        <v>9076432936</v>
      </c>
      <c r="D201" s="2" t="inlineStr">
        <is>
          <t>PROV1000001328</t>
        </is>
      </c>
      <c r="E201" s="2" t="inlineStr">
        <is>
          <t>ADYPU</t>
        </is>
      </c>
      <c r="F201" s="2" t="inlineStr">
        <is>
          <t>No</t>
        </is>
      </c>
      <c r="G201" s="2" t="inlineStr">
        <is>
          <t>Loan not required</t>
        </is>
      </c>
      <c r="H201" s="2" t="n"/>
      <c r="I201" s="2" t="n"/>
      <c r="J201" s="2" t="n"/>
      <c r="K201" s="2" t="n"/>
      <c r="L201" s="2" t="n"/>
      <c r="M201" s="2" t="n"/>
      <c r="N201" s="2" t="n"/>
      <c r="O201" s="2" t="n"/>
      <c r="P201" s="2" t="n"/>
      <c r="Q201" s="2" t="n"/>
      <c r="R201" s="2" t="n"/>
      <c r="S201" s="2" t="n"/>
      <c r="T201" s="2" t="inlineStr"/>
      <c r="U201" s="2" t="inlineStr">
        <is>
          <t>No</t>
        </is>
      </c>
      <c r="V201" s="2" t="inlineStr"/>
      <c r="W201" s="2" t="inlineStr"/>
      <c r="X201" s="2" t="n"/>
      <c r="Y201" s="2" t="n"/>
      <c r="Z201" s="2" t="n"/>
      <c r="AA201" s="2" t="inlineStr">
        <is>
          <t>Not required</t>
        </is>
      </c>
      <c r="AB201" s="2" t="inlineStr">
        <is>
          <t>Not required</t>
        </is>
      </c>
      <c r="AC201" s="2" t="n"/>
      <c r="AD201" s="2" t="n"/>
      <c r="AE201" s="2" t="n"/>
      <c r="AF201" s="2" t="n"/>
      <c r="AG201" s="2" t="inlineStr">
        <is>
          <t>Not required</t>
        </is>
      </c>
      <c r="AH201" s="2" t="n"/>
      <c r="AI201" s="2" t="n"/>
      <c r="AJ201" s="2" t="n"/>
      <c r="AK201" s="2" t="n"/>
      <c r="AL201" s="2" t="n"/>
      <c r="AM201" s="2" t="n"/>
      <c r="AN201" s="2" t="n"/>
      <c r="AO201" s="2" t="n"/>
      <c r="AP201" s="2" t="n"/>
      <c r="AQ201" s="2" t="n"/>
    </row>
    <row r="202">
      <c r="A202" t="n">
        <v>201</v>
      </c>
      <c r="B202" s="2" t="inlineStr">
        <is>
          <t>Rashi Rajput</t>
        </is>
      </c>
      <c r="C202" s="3" t="n">
        <v>7020471469</v>
      </c>
      <c r="D202" s="2" t="inlineStr">
        <is>
          <t>PROV1000000284</t>
        </is>
      </c>
      <c r="E202" s="2" t="inlineStr">
        <is>
          <t>ADYPU</t>
        </is>
      </c>
      <c r="F202" s="2" t="inlineStr">
        <is>
          <t>No</t>
        </is>
      </c>
      <c r="G202" s="2" t="inlineStr">
        <is>
          <t>Loan not required</t>
        </is>
      </c>
      <c r="H202" s="2" t="n"/>
      <c r="I202" s="2" t="n"/>
      <c r="J202" s="2" t="n"/>
      <c r="K202" s="2" t="n"/>
      <c r="L202" s="2" t="n"/>
      <c r="M202" s="2" t="n"/>
      <c r="N202" s="2" t="n"/>
      <c r="O202" s="2" t="n"/>
      <c r="P202" s="2" t="n"/>
      <c r="Q202" s="2" t="n"/>
      <c r="R202" s="2" t="n"/>
      <c r="S202" s="2" t="n"/>
      <c r="T202" s="2" t="inlineStr"/>
      <c r="U202" s="2" t="inlineStr">
        <is>
          <t>Refund</t>
        </is>
      </c>
      <c r="V202" s="2" t="inlineStr"/>
      <c r="W202" s="2" t="inlineStr"/>
      <c r="X202" s="2" t="n"/>
      <c r="Y202" s="2" t="n"/>
      <c r="Z202" s="2" t="n"/>
      <c r="AA202" s="2" t="inlineStr">
        <is>
          <t>Refund case</t>
        </is>
      </c>
      <c r="AB202" s="2" t="inlineStr">
        <is>
          <t>Refund case</t>
        </is>
      </c>
      <c r="AC202" s="2" t="n"/>
      <c r="AD202" s="2" t="n"/>
      <c r="AE202" s="2" t="n"/>
      <c r="AF202" s="2" t="n"/>
      <c r="AG202" s="2" t="inlineStr">
        <is>
          <t>Not required</t>
        </is>
      </c>
      <c r="AH202" s="2" t="n"/>
      <c r="AI202" s="2" t="n"/>
      <c r="AJ202" s="2" t="n"/>
      <c r="AK202" s="2" t="n"/>
      <c r="AL202" s="2" t="n"/>
      <c r="AM202" s="2" t="n"/>
      <c r="AN202" s="2" t="n"/>
      <c r="AO202" s="2" t="n"/>
      <c r="AP202" s="2" t="n"/>
      <c r="AQ202" s="2" t="n"/>
    </row>
    <row r="203">
      <c r="A203" t="n">
        <v>202</v>
      </c>
      <c r="B203" s="2" t="inlineStr">
        <is>
          <t>Saksham Dinkar Hambarde</t>
        </is>
      </c>
      <c r="C203" s="3" t="n">
        <v>9322662193</v>
      </c>
      <c r="D203" s="2" t="inlineStr">
        <is>
          <t>PROV1000000388</t>
        </is>
      </c>
      <c r="E203" s="2" t="inlineStr">
        <is>
          <t>ADYPU</t>
        </is>
      </c>
      <c r="F203" s="2" t="inlineStr">
        <is>
          <t>No</t>
        </is>
      </c>
      <c r="G203" s="2" t="inlineStr">
        <is>
          <t>Loan not required</t>
        </is>
      </c>
      <c r="H203" s="2" t="n"/>
      <c r="I203" s="2" t="n"/>
      <c r="J203" s="2" t="n"/>
      <c r="K203" s="2" t="n"/>
      <c r="L203" s="2" t="n"/>
      <c r="M203" s="2" t="n"/>
      <c r="N203" s="2" t="n"/>
      <c r="O203" s="2" t="n"/>
      <c r="P203" s="2" t="n"/>
      <c r="Q203" s="2" t="n"/>
      <c r="R203" s="2" t="n"/>
      <c r="S203" s="2" t="n"/>
      <c r="T203" s="2" t="inlineStr"/>
      <c r="U203" s="2" t="inlineStr">
        <is>
          <t>No</t>
        </is>
      </c>
      <c r="V203" s="2" t="inlineStr"/>
      <c r="W203" s="2" t="inlineStr"/>
      <c r="X203" s="2" t="n"/>
      <c r="Y203" s="2" t="n"/>
      <c r="Z203" s="2" t="n"/>
      <c r="AA203" s="2" t="inlineStr">
        <is>
          <t>Not required</t>
        </is>
      </c>
      <c r="AB203" s="2" t="inlineStr">
        <is>
          <t>Not required</t>
        </is>
      </c>
      <c r="AC203" s="2" t="n"/>
      <c r="AD203" s="2" t="n"/>
      <c r="AE203" s="2" t="n"/>
      <c r="AF203" s="2" t="n"/>
      <c r="AG203" s="2" t="inlineStr">
        <is>
          <t>Not required</t>
        </is>
      </c>
      <c r="AH203" s="2" t="n"/>
      <c r="AI203" s="2" t="n"/>
      <c r="AJ203" s="2" t="n"/>
      <c r="AK203" s="2" t="n"/>
      <c r="AL203" s="2" t="n"/>
      <c r="AM203" s="2" t="n"/>
      <c r="AN203" s="2" t="n"/>
      <c r="AO203" s="2" t="n"/>
      <c r="AP203" s="2" t="n"/>
      <c r="AQ203" s="2" t="n"/>
    </row>
    <row r="204">
      <c r="A204" t="n">
        <v>203</v>
      </c>
      <c r="B204" s="2" t="inlineStr">
        <is>
          <t>Vibek Routray</t>
        </is>
      </c>
      <c r="C204" s="3" t="n">
        <v>8763937576</v>
      </c>
      <c r="D204" s="2" t="inlineStr">
        <is>
          <t>PROV1000000310</t>
        </is>
      </c>
      <c r="E204" s="2" t="inlineStr">
        <is>
          <t>SSAHE</t>
        </is>
      </c>
      <c r="F204" s="2" t="inlineStr">
        <is>
          <t>No</t>
        </is>
      </c>
      <c r="G204" s="2" t="inlineStr">
        <is>
          <t>Loan not required</t>
        </is>
      </c>
      <c r="H204" s="2" t="n"/>
      <c r="I204" s="2" t="n"/>
      <c r="J204" s="2" t="n"/>
      <c r="K204" s="2" t="n"/>
      <c r="L204" s="2" t="n"/>
      <c r="M204" s="2" t="n"/>
      <c r="N204" s="2" t="n"/>
      <c r="O204" s="2" t="n"/>
      <c r="P204" s="2" t="n"/>
      <c r="Q204" s="2" t="n"/>
      <c r="R204" s="2" t="n"/>
      <c r="S204" s="2" t="n"/>
      <c r="T204" s="2" t="inlineStr"/>
      <c r="U204" s="2" t="inlineStr">
        <is>
          <t>No</t>
        </is>
      </c>
      <c r="V204" s="2" t="inlineStr"/>
      <c r="W204" s="2" t="inlineStr"/>
      <c r="X204" s="2" t="n"/>
      <c r="Y204" s="2" t="n"/>
      <c r="Z204" s="2" t="n"/>
      <c r="AA204" s="2" t="inlineStr">
        <is>
          <t>Not required</t>
        </is>
      </c>
      <c r="AB204" s="2" t="inlineStr">
        <is>
          <t>Not required</t>
        </is>
      </c>
      <c r="AC204" s="2" t="n"/>
      <c r="AD204" s="2" t="n"/>
      <c r="AE204" s="2" t="n"/>
      <c r="AF204" s="2" t="n"/>
      <c r="AG204" s="2" t="inlineStr">
        <is>
          <t>Not required</t>
        </is>
      </c>
      <c r="AH204" s="2" t="n"/>
      <c r="AI204" s="2" t="n"/>
      <c r="AJ204" s="2" t="n"/>
      <c r="AK204" s="2" t="n"/>
      <c r="AL204" s="2" t="n"/>
      <c r="AM204" s="2" t="n"/>
      <c r="AN204" s="2" t="n"/>
      <c r="AO204" s="2" t="n"/>
      <c r="AP204" s="2" t="n"/>
      <c r="AQ204" s="2" t="n"/>
    </row>
    <row r="205">
      <c r="A205" t="n">
        <v>204</v>
      </c>
      <c r="B205" s="2" t="inlineStr">
        <is>
          <t>Vritika Sheth</t>
        </is>
      </c>
      <c r="C205" s="3" t="n">
        <v>9004981513</v>
      </c>
      <c r="D205" s="2" t="inlineStr">
        <is>
          <t>PROV1000000250</t>
        </is>
      </c>
      <c r="E205" s="2" t="inlineStr">
        <is>
          <t>ADYPU</t>
        </is>
      </c>
      <c r="F205" s="2" t="inlineStr">
        <is>
          <t>No</t>
        </is>
      </c>
      <c r="G205" s="2" t="inlineStr">
        <is>
          <t>Loan not required</t>
        </is>
      </c>
      <c r="H205" s="2" t="n"/>
      <c r="I205" s="2" t="n"/>
      <c r="J205" s="2" t="n"/>
      <c r="K205" s="2" t="n"/>
      <c r="L205" s="2" t="n"/>
      <c r="M205" s="2" t="n"/>
      <c r="N205" s="2" t="n"/>
      <c r="O205" s="2" t="n"/>
      <c r="P205" s="2" t="n"/>
      <c r="Q205" s="2" t="n"/>
      <c r="R205" s="2" t="n"/>
      <c r="S205" s="2" t="n"/>
      <c r="T205" s="2" t="inlineStr"/>
      <c r="U205" s="2" t="inlineStr">
        <is>
          <t>No</t>
        </is>
      </c>
      <c r="V205" s="2" t="inlineStr"/>
      <c r="W205" s="2" t="inlineStr"/>
      <c r="X205" s="2" t="n"/>
      <c r="Y205" s="2" t="n"/>
      <c r="Z205" s="2" t="n"/>
      <c r="AA205" s="2" t="inlineStr">
        <is>
          <t>Not required</t>
        </is>
      </c>
      <c r="AB205" s="2" t="inlineStr">
        <is>
          <t>Not required</t>
        </is>
      </c>
      <c r="AC205" s="2" t="n"/>
      <c r="AD205" s="2" t="n"/>
      <c r="AE205" s="2" t="n"/>
      <c r="AF205" s="2" t="n"/>
      <c r="AG205" s="2" t="inlineStr">
        <is>
          <t>Not required</t>
        </is>
      </c>
      <c r="AH205" s="2" t="n"/>
      <c r="AI205" s="2" t="n"/>
      <c r="AJ205" s="2" t="n"/>
      <c r="AK205" s="2" t="n"/>
      <c r="AL205" s="2" t="n"/>
      <c r="AM205" s="2" t="n"/>
      <c r="AN205" s="2" t="n"/>
      <c r="AO205" s="2" t="n"/>
      <c r="AP205" s="2" t="n"/>
      <c r="AQ205" s="2" t="n"/>
    </row>
    <row r="206">
      <c r="A206" t="n">
        <v>205</v>
      </c>
      <c r="B206" s="2" t="inlineStr">
        <is>
          <t>Kushal Sachdev</t>
        </is>
      </c>
      <c r="C206" s="3" t="n">
        <v>6232156998</v>
      </c>
      <c r="D206" s="2" t="inlineStr">
        <is>
          <t>PROV1000000477</t>
        </is>
      </c>
      <c r="E206" s="2" t="inlineStr">
        <is>
          <t>ADYPU</t>
        </is>
      </c>
      <c r="F206" s="2" t="inlineStr">
        <is>
          <t>No</t>
        </is>
      </c>
      <c r="G206" s="2" t="inlineStr">
        <is>
          <t>Loan not required</t>
        </is>
      </c>
      <c r="H206" s="2" t="n"/>
      <c r="I206" s="2" t="n"/>
      <c r="J206" s="2" t="n"/>
      <c r="K206" s="2" t="n"/>
      <c r="L206" s="2" t="n"/>
      <c r="M206" s="2" t="n"/>
      <c r="N206" s="2" t="n"/>
      <c r="O206" s="2" t="n"/>
      <c r="P206" s="2" t="n"/>
      <c r="Q206" s="2" t="n"/>
      <c r="R206" s="2" t="n"/>
      <c r="S206" s="2" t="n"/>
      <c r="T206" s="2" t="inlineStr"/>
      <c r="U206" s="2" t="inlineStr">
        <is>
          <t>No</t>
        </is>
      </c>
      <c r="V206" s="2" t="inlineStr"/>
      <c r="W206" s="2" t="inlineStr"/>
      <c r="X206" s="2" t="n"/>
      <c r="Y206" s="2" t="n"/>
      <c r="Z206" s="2" t="n"/>
      <c r="AA206" s="2" t="inlineStr">
        <is>
          <t>Not required</t>
        </is>
      </c>
      <c r="AB206" s="2" t="inlineStr">
        <is>
          <t>Not required</t>
        </is>
      </c>
      <c r="AC206" s="2" t="n"/>
      <c r="AD206" s="2" t="n"/>
      <c r="AE206" s="2" t="n"/>
      <c r="AF206" s="2" t="n"/>
      <c r="AG206" s="2" t="inlineStr">
        <is>
          <t>Not required</t>
        </is>
      </c>
      <c r="AH206" s="2" t="n"/>
      <c r="AI206" s="2" t="n"/>
      <c r="AJ206" s="2" t="n"/>
      <c r="AK206" s="2" t="n"/>
      <c r="AL206" s="2" t="n"/>
      <c r="AM206" s="2" t="n"/>
      <c r="AN206" s="2" t="n"/>
      <c r="AO206" s="2" t="n"/>
      <c r="AP206" s="2" t="n"/>
      <c r="AQ206" s="2" t="n"/>
    </row>
    <row r="207">
      <c r="A207" t="n">
        <v>206</v>
      </c>
      <c r="B207" s="2" t="inlineStr">
        <is>
          <t>Tanu</t>
        </is>
      </c>
      <c r="C207" s="3" t="n">
        <v>8689070020</v>
      </c>
      <c r="D207" s="2" t="inlineStr">
        <is>
          <t>PROV1000000369</t>
        </is>
      </c>
      <c r="E207" s="2" t="inlineStr">
        <is>
          <t>ADYPU</t>
        </is>
      </c>
      <c r="F207" s="2" t="inlineStr">
        <is>
          <t>No</t>
        </is>
      </c>
      <c r="G207" s="2" t="inlineStr">
        <is>
          <t>Loan not required</t>
        </is>
      </c>
      <c r="H207" s="2" t="n"/>
      <c r="I207" s="2" t="n"/>
      <c r="J207" s="2" t="n"/>
      <c r="K207" s="2" t="n"/>
      <c r="L207" s="2" t="n"/>
      <c r="M207" s="2" t="n"/>
      <c r="N207" s="2" t="n"/>
      <c r="O207" s="2" t="n"/>
      <c r="P207" s="2" t="n"/>
      <c r="Q207" s="2" t="n"/>
      <c r="R207" s="2" t="n"/>
      <c r="S207" s="2" t="n"/>
      <c r="T207" s="2" t="inlineStr"/>
      <c r="U207" s="2" t="inlineStr">
        <is>
          <t>No</t>
        </is>
      </c>
      <c r="V207" s="2" t="inlineStr"/>
      <c r="W207" s="2" t="inlineStr"/>
      <c r="X207" s="2" t="n"/>
      <c r="Y207" s="2" t="n"/>
      <c r="Z207" s="2" t="n"/>
      <c r="AA207" s="2" t="inlineStr">
        <is>
          <t>Not required</t>
        </is>
      </c>
      <c r="AB207" s="2" t="inlineStr">
        <is>
          <t>Not required</t>
        </is>
      </c>
      <c r="AC207" s="2" t="n"/>
      <c r="AD207" s="2" t="n"/>
      <c r="AE207" s="2" t="n"/>
      <c r="AF207" s="2" t="n"/>
      <c r="AG207" s="2" t="inlineStr">
        <is>
          <t>Not required</t>
        </is>
      </c>
      <c r="AH207" s="2" t="n"/>
      <c r="AI207" s="2" t="n"/>
      <c r="AJ207" s="2" t="n"/>
      <c r="AK207" s="2" t="n"/>
      <c r="AL207" s="2" t="n"/>
      <c r="AM207" s="2" t="n"/>
      <c r="AN207" s="2" t="n"/>
      <c r="AO207" s="2" t="n"/>
      <c r="AP207" s="2" t="n"/>
      <c r="AQ207" s="2" t="n"/>
    </row>
    <row r="208">
      <c r="A208" t="n">
        <v>207</v>
      </c>
      <c r="B208" s="2" t="inlineStr">
        <is>
          <t>Yatiraj Mantri</t>
        </is>
      </c>
      <c r="C208" s="3" t="n">
        <v>9425635374</v>
      </c>
      <c r="D208" s="2" t="inlineStr">
        <is>
          <t>PROV1000000473</t>
        </is>
      </c>
      <c r="E208" s="2" t="inlineStr">
        <is>
          <t>ADYPU</t>
        </is>
      </c>
      <c r="F208" s="2" t="inlineStr">
        <is>
          <t>No</t>
        </is>
      </c>
      <c r="G208" s="2" t="inlineStr">
        <is>
          <t>Loan not required</t>
        </is>
      </c>
      <c r="H208" s="2" t="n"/>
      <c r="I208" s="2" t="n"/>
      <c r="J208" s="2" t="n"/>
      <c r="K208" s="2" t="n"/>
      <c r="L208" s="2" t="n"/>
      <c r="M208" s="2" t="n"/>
      <c r="N208" s="2" t="n"/>
      <c r="O208" s="2" t="n"/>
      <c r="P208" s="2" t="n"/>
      <c r="Q208" s="2" t="n"/>
      <c r="R208" s="2" t="n"/>
      <c r="S208" s="2" t="n"/>
      <c r="T208" s="2" t="inlineStr"/>
      <c r="U208" s="2" t="inlineStr">
        <is>
          <t>No</t>
        </is>
      </c>
      <c r="V208" s="2" t="inlineStr"/>
      <c r="W208" s="2" t="inlineStr"/>
      <c r="X208" s="2" t="n"/>
      <c r="Y208" s="2" t="n"/>
      <c r="Z208" s="2" t="n"/>
      <c r="AA208" s="2" t="inlineStr">
        <is>
          <t>Not required</t>
        </is>
      </c>
      <c r="AB208" s="2" t="inlineStr">
        <is>
          <t>Not required</t>
        </is>
      </c>
      <c r="AC208" s="2" t="n"/>
      <c r="AD208" s="2" t="n"/>
      <c r="AE208" s="2" t="n"/>
      <c r="AF208" s="2" t="n"/>
      <c r="AG208" s="2" t="inlineStr">
        <is>
          <t>Not required</t>
        </is>
      </c>
      <c r="AH208" s="2" t="n"/>
      <c r="AI208" s="2" t="n"/>
      <c r="AJ208" s="2" t="n"/>
      <c r="AK208" s="2" t="n"/>
      <c r="AL208" s="2" t="n"/>
      <c r="AM208" s="2" t="n"/>
      <c r="AN208" s="2" t="n"/>
      <c r="AO208" s="2" t="n"/>
      <c r="AP208" s="2" t="n"/>
      <c r="AQ208" s="2" t="n"/>
    </row>
    <row r="209">
      <c r="A209" t="n">
        <v>208</v>
      </c>
      <c r="B209" s="2" t="inlineStr">
        <is>
          <t>Abraan Mirabaksh Solkar</t>
        </is>
      </c>
      <c r="C209" s="3" t="n">
        <v>9209266427</v>
      </c>
      <c r="D209" s="2" t="inlineStr">
        <is>
          <t>PROV260501458</t>
        </is>
      </c>
      <c r="E209" s="2" t="inlineStr">
        <is>
          <t>ADYPU</t>
        </is>
      </c>
      <c r="F209" s="2" t="inlineStr">
        <is>
          <t>No</t>
        </is>
      </c>
      <c r="G209" s="2" t="inlineStr">
        <is>
          <t>Loan not required</t>
        </is>
      </c>
      <c r="H209" s="2" t="n"/>
      <c r="I209" s="2" t="n"/>
      <c r="J209" s="2" t="n"/>
      <c r="K209" s="2" t="n"/>
      <c r="L209" s="2" t="n"/>
      <c r="M209" s="2" t="n"/>
      <c r="N209" s="2" t="n"/>
      <c r="O209" s="2" t="n"/>
      <c r="P209" s="2" t="n"/>
      <c r="Q209" s="2" t="n"/>
      <c r="R209" s="2" t="n"/>
      <c r="S209" s="2" t="n"/>
      <c r="T209" s="2" t="inlineStr"/>
      <c r="U209" s="2" t="inlineStr">
        <is>
          <t>No</t>
        </is>
      </c>
      <c r="V209" s="2" t="inlineStr"/>
      <c r="W209" s="2" t="inlineStr"/>
      <c r="X209" s="2" t="n"/>
      <c r="Y209" s="2" t="n"/>
      <c r="Z209" s="2" t="n"/>
      <c r="AA209" s="2" t="inlineStr">
        <is>
          <t>Not required</t>
        </is>
      </c>
      <c r="AB209" s="2" t="inlineStr">
        <is>
          <t>Not required</t>
        </is>
      </c>
      <c r="AC209" s="2" t="n"/>
      <c r="AD209" s="2" t="n"/>
      <c r="AE209" s="2" t="n"/>
      <c r="AF209" s="2" t="n"/>
      <c r="AG209" s="2" t="inlineStr">
        <is>
          <t>Not required</t>
        </is>
      </c>
      <c r="AH209" s="2" t="n"/>
      <c r="AI209" s="2" t="n"/>
      <c r="AJ209" s="2" t="n"/>
      <c r="AK209" s="2" t="n"/>
      <c r="AL209" s="2" t="n"/>
      <c r="AM209" s="2" t="n"/>
      <c r="AN209" s="2" t="n"/>
      <c r="AO209" s="2" t="n"/>
      <c r="AP209" s="2" t="n"/>
      <c r="AQ209" s="2" t="n"/>
    </row>
    <row r="210">
      <c r="A210" t="n">
        <v>209</v>
      </c>
      <c r="B210" s="2" t="inlineStr">
        <is>
          <t>Nagesh Venkat Birajdar</t>
        </is>
      </c>
      <c r="C210" s="3" t="n">
        <v>9130573887</v>
      </c>
      <c r="D210" s="2" t="inlineStr">
        <is>
          <t>PROV260503617</t>
        </is>
      </c>
      <c r="E210" s="2" t="inlineStr">
        <is>
          <t>ADYPU</t>
        </is>
      </c>
      <c r="F210" s="2" t="inlineStr">
        <is>
          <t>No</t>
        </is>
      </c>
      <c r="G210" s="2" t="inlineStr">
        <is>
          <t>Loan not required</t>
        </is>
      </c>
      <c r="H210" s="2" t="n"/>
      <c r="I210" s="2" t="n"/>
      <c r="J210" s="2" t="n"/>
      <c r="K210" s="2" t="n"/>
      <c r="L210" s="2" t="n"/>
      <c r="M210" s="2" t="n"/>
      <c r="N210" s="2" t="n"/>
      <c r="O210" s="2" t="n"/>
      <c r="P210" s="2" t="n"/>
      <c r="Q210" s="2" t="n"/>
      <c r="R210" s="2" t="n"/>
      <c r="S210" s="2" t="n"/>
      <c r="T210" s="2" t="inlineStr"/>
      <c r="U210" s="2" t="inlineStr">
        <is>
          <t>No</t>
        </is>
      </c>
      <c r="V210" s="2" t="inlineStr"/>
      <c r="W210" s="2" t="inlineStr"/>
      <c r="X210" s="2" t="n"/>
      <c r="Y210" s="2" t="n"/>
      <c r="Z210" s="2" t="n"/>
      <c r="AA210" s="2" t="inlineStr">
        <is>
          <t>Not required</t>
        </is>
      </c>
      <c r="AB210" s="2" t="inlineStr">
        <is>
          <t>Not required</t>
        </is>
      </c>
      <c r="AC210" s="2" t="n"/>
      <c r="AD210" s="2" t="n"/>
      <c r="AE210" s="2" t="n"/>
      <c r="AF210" s="2" t="n"/>
      <c r="AG210" s="2" t="inlineStr">
        <is>
          <t>Not required</t>
        </is>
      </c>
      <c r="AH210" s="2" t="n"/>
      <c r="AI210" s="2" t="n"/>
      <c r="AJ210" s="2" t="n"/>
      <c r="AK210" s="2" t="n"/>
      <c r="AL210" s="2" t="n"/>
      <c r="AM210" s="2" t="n"/>
      <c r="AN210" s="2" t="n"/>
      <c r="AO210" s="2" t="n"/>
      <c r="AP210" s="2" t="n"/>
      <c r="AQ210" s="2" t="n"/>
    </row>
    <row r="211">
      <c r="A211" t="n">
        <v>210</v>
      </c>
      <c r="B211" s="2" t="inlineStr">
        <is>
          <t>Ratnakar pal</t>
        </is>
      </c>
      <c r="C211" s="3" t="n">
        <v>8591031355</v>
      </c>
      <c r="D211" s="2" t="inlineStr">
        <is>
          <t>PROV1000000317</t>
        </is>
      </c>
      <c r="E211" s="2" t="inlineStr">
        <is>
          <t>ADYPU</t>
        </is>
      </c>
      <c r="F211" s="2" t="inlineStr">
        <is>
          <t>No</t>
        </is>
      </c>
      <c r="G211" s="2" t="inlineStr">
        <is>
          <t>Loan not required</t>
        </is>
      </c>
      <c r="H211" s="2" t="n"/>
      <c r="I211" s="2" t="n"/>
      <c r="J211" s="2" t="n"/>
      <c r="K211" s="2" t="n"/>
      <c r="L211" s="2" t="n"/>
      <c r="M211" s="2" t="n"/>
      <c r="N211" s="2" t="n"/>
      <c r="O211" s="2" t="n"/>
      <c r="P211" s="2" t="n"/>
      <c r="Q211" s="2" t="n"/>
      <c r="R211" s="2" t="n"/>
      <c r="S211" s="2" t="n"/>
      <c r="T211" s="2" t="inlineStr"/>
      <c r="U211" s="2" t="inlineStr">
        <is>
          <t>No</t>
        </is>
      </c>
      <c r="V211" s="2" t="inlineStr"/>
      <c r="W211" s="2" t="inlineStr"/>
      <c r="X211" s="2" t="n"/>
      <c r="Y211" s="2" t="n"/>
      <c r="Z211" s="2" t="n"/>
      <c r="AA211" s="2" t="inlineStr">
        <is>
          <t>Not required</t>
        </is>
      </c>
      <c r="AB211" s="2" t="inlineStr">
        <is>
          <t>Not required</t>
        </is>
      </c>
      <c r="AC211" s="2" t="n"/>
      <c r="AD211" s="2" t="n"/>
      <c r="AE211" s="2" t="n"/>
      <c r="AF211" s="2" t="n"/>
      <c r="AG211" s="2" t="inlineStr">
        <is>
          <t>Not required</t>
        </is>
      </c>
      <c r="AH211" s="2" t="n"/>
      <c r="AI211" s="2" t="n"/>
      <c r="AJ211" s="2" t="n"/>
      <c r="AK211" s="2" t="n"/>
      <c r="AL211" s="2" t="n"/>
      <c r="AM211" s="2" t="n"/>
      <c r="AN211" s="2" t="n"/>
      <c r="AO211" s="2" t="n"/>
      <c r="AP211" s="2" t="n"/>
      <c r="AQ211" s="2" t="n"/>
    </row>
    <row r="212">
      <c r="A212" t="n">
        <v>211</v>
      </c>
      <c r="B212" s="2" t="inlineStr">
        <is>
          <t>Shivam Prajapati</t>
        </is>
      </c>
      <c r="C212" s="3" t="n">
        <v>7800282396</v>
      </c>
      <c r="D212" s="2" t="inlineStr">
        <is>
          <t>PROV260504858</t>
        </is>
      </c>
      <c r="E212" s="2" t="inlineStr">
        <is>
          <t>ADYPU</t>
        </is>
      </c>
      <c r="F212" s="2" t="inlineStr">
        <is>
          <t>No</t>
        </is>
      </c>
      <c r="G212" s="2" t="inlineStr">
        <is>
          <t>Loan not required</t>
        </is>
      </c>
      <c r="H212" s="2" t="n"/>
      <c r="I212" s="2" t="n"/>
      <c r="J212" s="2" t="n"/>
      <c r="K212" s="2" t="n"/>
      <c r="L212" s="2" t="n"/>
      <c r="M212" s="2" t="n"/>
      <c r="N212" s="2" t="n"/>
      <c r="O212" s="2" t="n"/>
      <c r="P212" s="2" t="n"/>
      <c r="Q212" s="2" t="n"/>
      <c r="R212" s="2" t="n"/>
      <c r="S212" s="2" t="n"/>
      <c r="T212" s="2" t="inlineStr"/>
      <c r="U212" s="2" t="inlineStr">
        <is>
          <t>No</t>
        </is>
      </c>
      <c r="V212" s="2" t="inlineStr"/>
      <c r="W212" s="2" t="inlineStr"/>
      <c r="X212" s="2" t="n"/>
      <c r="Y212" s="2" t="n"/>
      <c r="Z212" s="2" t="n"/>
      <c r="AA212" s="2" t="inlineStr">
        <is>
          <t>Not required</t>
        </is>
      </c>
      <c r="AB212" s="2" t="inlineStr">
        <is>
          <t>Not required</t>
        </is>
      </c>
      <c r="AC212" s="2" t="n"/>
      <c r="AD212" s="2" t="n"/>
      <c r="AE212" s="2" t="n"/>
      <c r="AF212" s="2" t="n"/>
      <c r="AG212" s="2" t="inlineStr">
        <is>
          <t>Not required</t>
        </is>
      </c>
      <c r="AH212" s="2" t="n"/>
      <c r="AI212" s="2" t="n"/>
      <c r="AJ212" s="2" t="n"/>
      <c r="AK212" s="2" t="n"/>
      <c r="AL212" s="2" t="n"/>
      <c r="AM212" s="2" t="n"/>
      <c r="AN212" s="2" t="n"/>
      <c r="AO212" s="2" t="n"/>
      <c r="AP212" s="2" t="n"/>
      <c r="AQ212" s="2" t="n"/>
    </row>
    <row r="213">
      <c r="A213" t="n">
        <v>212</v>
      </c>
      <c r="B213" s="2" t="inlineStr">
        <is>
          <t>Aryan Manoj Muley</t>
        </is>
      </c>
      <c r="C213" s="3" t="n">
        <v>9960197963</v>
      </c>
      <c r="D213" s="2" t="inlineStr">
        <is>
          <t>PROV260500161</t>
        </is>
      </c>
      <c r="E213" s="2" t="inlineStr">
        <is>
          <t>ADYPU</t>
        </is>
      </c>
      <c r="F213" s="2" t="inlineStr">
        <is>
          <t>Drop</t>
        </is>
      </c>
      <c r="G213" s="2" t="inlineStr">
        <is>
          <t>Loan not required</t>
        </is>
      </c>
      <c r="H213" s="2" t="n"/>
      <c r="I213" s="2" t="n"/>
      <c r="J213" s="2" t="n"/>
      <c r="K213" s="2" t="n"/>
      <c r="L213" s="2" t="n"/>
      <c r="M213" s="2" t="n"/>
      <c r="N213" s="2" t="n"/>
      <c r="O213" s="2" t="n"/>
      <c r="P213" s="2" t="n"/>
      <c r="Q213" s="2" t="n"/>
      <c r="R213" s="2" t="n"/>
      <c r="S213" s="2" t="n"/>
      <c r="T213" s="2" t="inlineStr"/>
      <c r="U213" s="2" t="inlineStr">
        <is>
          <t>Refund</t>
        </is>
      </c>
      <c r="V213" s="2" t="inlineStr"/>
      <c r="W213" s="2" t="inlineStr"/>
      <c r="X213" s="2" t="n"/>
      <c r="Y213" s="2" t="n"/>
      <c r="Z213" s="2" t="n"/>
      <c r="AA213" s="2" t="inlineStr">
        <is>
          <t>Refund case</t>
        </is>
      </c>
      <c r="AB213" s="2" t="inlineStr">
        <is>
          <t>Refund case</t>
        </is>
      </c>
      <c r="AC213" s="2" t="n"/>
      <c r="AD213" s="2" t="n"/>
      <c r="AE213" s="2" t="n"/>
      <c r="AF213" s="2" t="n"/>
      <c r="AG213" s="2" t="n"/>
      <c r="AH213" s="2" t="n"/>
      <c r="AI213" s="2" t="n"/>
      <c r="AJ213" s="2" t="n"/>
      <c r="AK213" s="2" t="n"/>
      <c r="AL213" s="2" t="n"/>
      <c r="AM213" s="2" t="n"/>
      <c r="AN213" s="2" t="n"/>
      <c r="AO213" s="2" t="n"/>
      <c r="AP213" s="2" t="n"/>
      <c r="AQ213" s="2" t="n"/>
    </row>
    <row r="214">
      <c r="A214" t="n">
        <v>213</v>
      </c>
      <c r="B214" s="2" t="inlineStr">
        <is>
          <t>Rahul Sahu</t>
        </is>
      </c>
      <c r="C214" s="3" t="n">
        <v>9770488029</v>
      </c>
      <c r="D214" s="2" t="inlineStr">
        <is>
          <t>PROV1000000437</t>
        </is>
      </c>
      <c r="E214" s="2" t="inlineStr">
        <is>
          <t>ADYPU</t>
        </is>
      </c>
      <c r="F214" s="2" t="inlineStr">
        <is>
          <t>Drop</t>
        </is>
      </c>
      <c r="G214" s="2" t="inlineStr">
        <is>
          <t>Loan not required</t>
        </is>
      </c>
      <c r="H214" s="2" t="n"/>
      <c r="I214" s="2" t="n"/>
      <c r="J214" s="2" t="n"/>
      <c r="K214" s="2" t="n"/>
      <c r="L214" s="2" t="n"/>
      <c r="M214" s="2" t="n"/>
      <c r="N214" s="2" t="n"/>
      <c r="O214" s="2" t="n"/>
      <c r="P214" s="2" t="n"/>
      <c r="Q214" s="2" t="n"/>
      <c r="R214" s="2" t="n"/>
      <c r="S214" s="2" t="n"/>
      <c r="T214" s="2" t="inlineStr"/>
      <c r="U214" s="2" t="inlineStr">
        <is>
          <t>Refund</t>
        </is>
      </c>
      <c r="V214" s="2" t="inlineStr"/>
      <c r="W214" s="2" t="inlineStr"/>
      <c r="X214" s="2" t="n"/>
      <c r="Y214" s="2" t="n"/>
      <c r="Z214" s="2" t="n"/>
      <c r="AA214" s="2" t="inlineStr">
        <is>
          <t>Refund case</t>
        </is>
      </c>
      <c r="AB214" s="2" t="inlineStr">
        <is>
          <t>Refund case</t>
        </is>
      </c>
      <c r="AC214" s="2" t="n"/>
      <c r="AD214" s="2" t="n"/>
      <c r="AE214" s="2" t="n"/>
      <c r="AF214" s="2" t="n"/>
      <c r="AG214" s="2" t="n"/>
      <c r="AH214" s="2" t="n"/>
      <c r="AI214" s="2" t="n"/>
      <c r="AJ214" s="2" t="n"/>
      <c r="AK214" s="2" t="n"/>
      <c r="AL214" s="2" t="n"/>
      <c r="AM214" s="2" t="n"/>
      <c r="AN214" s="2" t="n"/>
      <c r="AO214" s="2" t="n"/>
      <c r="AP214" s="2" t="n"/>
      <c r="AQ214" s="2" t="n"/>
    </row>
    <row r="215">
      <c r="A215" t="n">
        <v>214</v>
      </c>
      <c r="B215" s="2" t="inlineStr">
        <is>
          <t>Rishabh Raj</t>
        </is>
      </c>
      <c r="C215" s="3" t="n">
        <v>9304959782</v>
      </c>
      <c r="D215" s="2" t="inlineStr">
        <is>
          <t>PROV1000000448</t>
        </is>
      </c>
      <c r="E215" s="2" t="inlineStr">
        <is>
          <t>SSAHE</t>
        </is>
      </c>
      <c r="F215" s="2" t="inlineStr">
        <is>
          <t>No</t>
        </is>
      </c>
      <c r="G215" s="2" t="inlineStr">
        <is>
          <t>Loan not required</t>
        </is>
      </c>
      <c r="H215" s="2" t="n"/>
      <c r="I215" s="2" t="n"/>
      <c r="J215" s="2" t="n"/>
      <c r="K215" s="2" t="n"/>
      <c r="L215" s="2" t="n"/>
      <c r="M215" s="2" t="n"/>
      <c r="N215" s="2" t="n"/>
      <c r="O215" s="2" t="n"/>
      <c r="P215" s="2" t="n"/>
      <c r="Q215" s="2" t="n"/>
      <c r="R215" s="2" t="n"/>
      <c r="S215" s="2" t="n"/>
      <c r="T215" s="2" t="inlineStr"/>
      <c r="U215" s="2" t="inlineStr">
        <is>
          <t>No</t>
        </is>
      </c>
      <c r="V215" s="2" t="inlineStr"/>
      <c r="W215" s="2" t="inlineStr"/>
      <c r="X215" s="2" t="n"/>
      <c r="Y215" s="2" t="n"/>
      <c r="Z215" s="2" t="n"/>
      <c r="AA215" s="2" t="inlineStr">
        <is>
          <t>Not required</t>
        </is>
      </c>
      <c r="AB215" s="2" t="inlineStr">
        <is>
          <t>Not required</t>
        </is>
      </c>
      <c r="AC215" s="2" t="n"/>
      <c r="AD215" s="2" t="n"/>
      <c r="AE215" s="2" t="n"/>
      <c r="AF215" s="2" t="n"/>
      <c r="AG215" s="2" t="inlineStr">
        <is>
          <t>Not required</t>
        </is>
      </c>
      <c r="AH215" s="2" t="n"/>
      <c r="AI215" s="2" t="n"/>
      <c r="AJ215" s="2" t="n"/>
      <c r="AK215" s="2" t="n"/>
      <c r="AL215" s="2" t="n"/>
      <c r="AM215" s="2" t="n"/>
      <c r="AN215" s="2" t="n"/>
      <c r="AO215" s="2" t="n"/>
      <c r="AP215" s="2" t="n"/>
      <c r="AQ215" s="2" t="n"/>
    </row>
    <row r="216">
      <c r="A216" t="n">
        <v>215</v>
      </c>
      <c r="B216" s="2" t="inlineStr">
        <is>
          <t>ANSH PATEL</t>
        </is>
      </c>
      <c r="C216" s="3" t="n">
        <v>9104217018</v>
      </c>
      <c r="D216" s="2" t="inlineStr">
        <is>
          <t>PROV260504877</t>
        </is>
      </c>
      <c r="E216" s="2" t="inlineStr">
        <is>
          <t>ADYPU</t>
        </is>
      </c>
      <c r="F216" s="2" t="inlineStr">
        <is>
          <t>No</t>
        </is>
      </c>
      <c r="G216" s="2" t="inlineStr">
        <is>
          <t>Loan not required</t>
        </is>
      </c>
      <c r="H216" s="2" t="n"/>
      <c r="I216" s="2" t="n"/>
      <c r="J216" s="2" t="n"/>
      <c r="K216" s="2" t="n"/>
      <c r="L216" s="2" t="n"/>
      <c r="M216" s="2" t="n"/>
      <c r="N216" s="2" t="n"/>
      <c r="O216" s="2" t="n"/>
      <c r="P216" s="2" t="n"/>
      <c r="Q216" s="2" t="n"/>
      <c r="R216" s="2" t="n"/>
      <c r="S216" s="2" t="n"/>
      <c r="T216" s="2" t="inlineStr"/>
      <c r="U216" s="2" t="inlineStr">
        <is>
          <t>No</t>
        </is>
      </c>
      <c r="V216" s="2" t="inlineStr"/>
      <c r="W216" s="2" t="inlineStr"/>
      <c r="X216" s="2" t="n"/>
      <c r="Y216" s="2" t="n"/>
      <c r="Z216" s="2" t="n"/>
      <c r="AA216" s="2" t="inlineStr">
        <is>
          <t>Not required</t>
        </is>
      </c>
      <c r="AB216" s="2" t="inlineStr">
        <is>
          <t>Not required</t>
        </is>
      </c>
      <c r="AC216" s="2" t="n"/>
      <c r="AD216" s="2" t="n"/>
      <c r="AE216" s="2" t="n"/>
      <c r="AF216" s="2" t="n"/>
      <c r="AG216" s="2" t="inlineStr">
        <is>
          <t>Not required</t>
        </is>
      </c>
      <c r="AH216" s="2" t="n"/>
      <c r="AI216" s="2" t="n"/>
      <c r="AJ216" s="2" t="n"/>
      <c r="AK216" s="2" t="n"/>
      <c r="AL216" s="2" t="n"/>
      <c r="AM216" s="2" t="n"/>
      <c r="AN216" s="2" t="n"/>
      <c r="AO216" s="2" t="n"/>
      <c r="AP216" s="2" t="n"/>
      <c r="AQ216" s="2" t="n"/>
    </row>
    <row r="217">
      <c r="A217" t="n">
        <v>216</v>
      </c>
      <c r="B217" s="2" t="inlineStr">
        <is>
          <t>ARPITA ABHIMANYU AMLE</t>
        </is>
      </c>
      <c r="C217" s="3" t="n">
        <v>8329374371</v>
      </c>
      <c r="D217" s="2" t="inlineStr">
        <is>
          <t>PROV260505395</t>
        </is>
      </c>
      <c r="E217" s="2" t="inlineStr">
        <is>
          <t>ADYPU</t>
        </is>
      </c>
      <c r="F217" s="2" t="inlineStr">
        <is>
          <t>No</t>
        </is>
      </c>
      <c r="G217" s="2" t="inlineStr">
        <is>
          <t>Loan not required</t>
        </is>
      </c>
      <c r="H217" s="2" t="n"/>
      <c r="I217" s="2" t="n"/>
      <c r="J217" s="2" t="n"/>
      <c r="K217" s="2" t="n"/>
      <c r="L217" s="2" t="n"/>
      <c r="M217" s="2" t="n"/>
      <c r="N217" s="2" t="n"/>
      <c r="O217" s="2" t="n"/>
      <c r="P217" s="2" t="n"/>
      <c r="Q217" s="2" t="n"/>
      <c r="R217" s="2" t="n"/>
      <c r="S217" s="2" t="n"/>
      <c r="T217" s="2" t="inlineStr"/>
      <c r="U217" s="2" t="inlineStr">
        <is>
          <t>No</t>
        </is>
      </c>
      <c r="V217" s="2" t="inlineStr"/>
      <c r="W217" s="2" t="inlineStr"/>
      <c r="X217" s="2" t="n"/>
      <c r="Y217" s="2" t="n"/>
      <c r="Z217" s="2" t="n"/>
      <c r="AA217" s="2" t="inlineStr">
        <is>
          <t>Not required</t>
        </is>
      </c>
      <c r="AB217" s="2" t="inlineStr">
        <is>
          <t>Not required</t>
        </is>
      </c>
      <c r="AC217" s="2" t="n"/>
      <c r="AD217" s="2" t="n"/>
      <c r="AE217" s="2" t="n"/>
      <c r="AF217" s="2" t="n"/>
      <c r="AG217" s="2" t="inlineStr">
        <is>
          <t>Not required</t>
        </is>
      </c>
      <c r="AH217" s="2" t="n"/>
      <c r="AI217" s="2" t="n"/>
      <c r="AJ217" s="2" t="n"/>
      <c r="AK217" s="2" t="n"/>
      <c r="AL217" s="2" t="n"/>
      <c r="AM217" s="2" t="n"/>
      <c r="AN217" s="2" t="n"/>
      <c r="AO217" s="2" t="n"/>
      <c r="AP217" s="2" t="n"/>
      <c r="AQ217" s="2" t="n"/>
    </row>
    <row r="218">
      <c r="A218" t="n">
        <v>217</v>
      </c>
      <c r="B218" s="2" t="inlineStr">
        <is>
          <t>Devdatta Rane</t>
        </is>
      </c>
      <c r="C218" s="3" t="n">
        <v>8855856352</v>
      </c>
      <c r="D218" s="2" t="inlineStr">
        <is>
          <t>PROV260502923</t>
        </is>
      </c>
      <c r="E218" s="2" t="inlineStr">
        <is>
          <t>ADYPU</t>
        </is>
      </c>
      <c r="F218" s="2" t="inlineStr">
        <is>
          <t>No</t>
        </is>
      </c>
      <c r="G218" s="2" t="inlineStr">
        <is>
          <t>Loan not required</t>
        </is>
      </c>
      <c r="H218" s="2" t="n"/>
      <c r="I218" s="2" t="n"/>
      <c r="J218" s="2" t="n"/>
      <c r="K218" s="2" t="n"/>
      <c r="L218" s="2" t="n"/>
      <c r="M218" s="2" t="n"/>
      <c r="N218" s="2" t="n"/>
      <c r="O218" s="2" t="n"/>
      <c r="P218" s="2" t="n"/>
      <c r="Q218" s="2" t="n"/>
      <c r="R218" s="2" t="n"/>
      <c r="S218" s="2" t="n"/>
      <c r="T218" s="2" t="inlineStr"/>
      <c r="U218" s="2" t="inlineStr">
        <is>
          <t>No</t>
        </is>
      </c>
      <c r="V218" s="2" t="inlineStr"/>
      <c r="W218" s="2" t="inlineStr"/>
      <c r="X218" s="2" t="n"/>
      <c r="Y218" s="2" t="n"/>
      <c r="Z218" s="2" t="n"/>
      <c r="AA218" s="2" t="inlineStr">
        <is>
          <t>Not required</t>
        </is>
      </c>
      <c r="AB218" s="2" t="inlineStr">
        <is>
          <t>Not required</t>
        </is>
      </c>
      <c r="AC218" s="2" t="n"/>
      <c r="AD218" s="2" t="n"/>
      <c r="AE218" s="2" t="n"/>
      <c r="AF218" s="2" t="n"/>
      <c r="AG218" s="2" t="inlineStr">
        <is>
          <t>Not required</t>
        </is>
      </c>
      <c r="AH218" s="2" t="n"/>
      <c r="AI218" s="2" t="n"/>
      <c r="AJ218" s="2" t="n"/>
      <c r="AK218" s="2" t="n"/>
      <c r="AL218" s="2" t="n"/>
      <c r="AM218" s="2" t="n"/>
      <c r="AN218" s="2" t="n"/>
      <c r="AO218" s="2" t="n"/>
      <c r="AP218" s="2" t="n"/>
      <c r="AQ218" s="2" t="n"/>
    </row>
    <row r="219">
      <c r="A219" t="n">
        <v>218</v>
      </c>
      <c r="B219" s="2" t="inlineStr">
        <is>
          <t>Avani Tikale</t>
        </is>
      </c>
      <c r="C219" s="3" t="n">
        <v>7829803871</v>
      </c>
      <c r="D219" s="2" t="inlineStr">
        <is>
          <t>PROV260505225</t>
        </is>
      </c>
      <c r="E219" s="2" t="inlineStr">
        <is>
          <t>ADYPU</t>
        </is>
      </c>
      <c r="F219" s="2" t="inlineStr">
        <is>
          <t>Drop</t>
        </is>
      </c>
      <c r="G219" s="2" t="inlineStr">
        <is>
          <t>Loan not required</t>
        </is>
      </c>
      <c r="H219" s="2" t="n"/>
      <c r="I219" s="2" t="n"/>
      <c r="J219" s="2" t="n"/>
      <c r="K219" s="2" t="n"/>
      <c r="L219" s="2" t="n"/>
      <c r="M219" s="2" t="n"/>
      <c r="N219" s="2" t="n"/>
      <c r="O219" s="2" t="n"/>
      <c r="P219" s="2" t="n"/>
      <c r="Q219" s="2" t="n"/>
      <c r="R219" s="2" t="n"/>
      <c r="S219" s="2" t="n"/>
      <c r="T219" s="2" t="inlineStr"/>
      <c r="U219" s="2" t="inlineStr">
        <is>
          <t>Refund</t>
        </is>
      </c>
      <c r="V219" s="2" t="inlineStr"/>
      <c r="W219" s="2" t="inlineStr"/>
      <c r="X219" s="2" t="n"/>
      <c r="Y219" s="2" t="n"/>
      <c r="Z219" s="2" t="n"/>
      <c r="AA219" s="2" t="inlineStr">
        <is>
          <t>Refund case</t>
        </is>
      </c>
      <c r="AB219" s="2" t="inlineStr">
        <is>
          <t>Refund case</t>
        </is>
      </c>
      <c r="AC219" s="2" t="n"/>
      <c r="AD219" s="2" t="n"/>
      <c r="AE219" s="2" t="n"/>
      <c r="AF219" s="2" t="n"/>
      <c r="AG219" s="2" t="n"/>
      <c r="AH219" s="2" t="n"/>
      <c r="AI219" s="2" t="n"/>
      <c r="AJ219" s="2" t="n"/>
      <c r="AK219" s="2" t="n"/>
      <c r="AL219" s="2" t="n"/>
      <c r="AM219" s="2" t="n"/>
      <c r="AN219" s="2" t="n"/>
      <c r="AO219" s="2" t="n"/>
      <c r="AP219" s="2" t="n"/>
      <c r="AQ219" s="2" t="n"/>
    </row>
    <row r="220">
      <c r="A220" t="n">
        <v>219</v>
      </c>
      <c r="B220" s="2" t="inlineStr">
        <is>
          <t>Jyotirmoy Chowdhury</t>
        </is>
      </c>
      <c r="C220" s="3" t="n">
        <v>9547016864</v>
      </c>
      <c r="D220" s="2" t="inlineStr">
        <is>
          <t>PROV260506121</t>
        </is>
      </c>
      <c r="E220" s="2" t="inlineStr">
        <is>
          <t>ADYPU</t>
        </is>
      </c>
      <c r="F220" s="2" t="inlineStr">
        <is>
          <t>No</t>
        </is>
      </c>
      <c r="G220" s="2" t="inlineStr">
        <is>
          <t>Loan not required</t>
        </is>
      </c>
      <c r="H220" s="2" t="n"/>
      <c r="I220" s="2" t="n"/>
      <c r="J220" s="2" t="n"/>
      <c r="K220" s="2" t="n"/>
      <c r="L220" s="2" t="n"/>
      <c r="M220" s="2" t="n"/>
      <c r="N220" s="2" t="n"/>
      <c r="O220" s="2" t="n"/>
      <c r="P220" s="2" t="n"/>
      <c r="Q220" s="2" t="n"/>
      <c r="R220" s="2" t="n"/>
      <c r="S220" s="2" t="n"/>
      <c r="T220" s="2" t="inlineStr"/>
      <c r="U220" s="2" t="inlineStr">
        <is>
          <t>No</t>
        </is>
      </c>
      <c r="V220" s="2" t="inlineStr"/>
      <c r="W220" s="2" t="inlineStr"/>
      <c r="X220" s="2" t="n"/>
      <c r="Y220" s="2" t="n"/>
      <c r="Z220" s="2" t="n"/>
      <c r="AA220" s="2" t="inlineStr">
        <is>
          <t>Not required</t>
        </is>
      </c>
      <c r="AB220" s="2" t="inlineStr">
        <is>
          <t>Not required</t>
        </is>
      </c>
      <c r="AC220" s="2" t="n"/>
      <c r="AD220" s="2" t="n"/>
      <c r="AE220" s="2" t="n"/>
      <c r="AF220" s="2" t="n"/>
      <c r="AG220" s="2" t="inlineStr">
        <is>
          <t>Not required</t>
        </is>
      </c>
      <c r="AH220" s="2" t="n"/>
      <c r="AI220" s="2" t="n"/>
      <c r="AJ220" s="2" t="n"/>
      <c r="AK220" s="2" t="n"/>
      <c r="AL220" s="2" t="n"/>
      <c r="AM220" s="2" t="n"/>
      <c r="AN220" s="2" t="n"/>
      <c r="AO220" s="2" t="n"/>
      <c r="AP220" s="2" t="n"/>
      <c r="AQ220" s="2" t="n"/>
    </row>
    <row r="221">
      <c r="A221" t="n">
        <v>220</v>
      </c>
      <c r="B221" s="2" t="inlineStr">
        <is>
          <t>Rujuta Pampattiwar</t>
        </is>
      </c>
      <c r="C221" s="3" t="n">
        <v>7378456111</v>
      </c>
      <c r="D221" s="2" t="inlineStr">
        <is>
          <t>PROV260502425</t>
        </is>
      </c>
      <c r="E221" s="2" t="inlineStr">
        <is>
          <t>ADYPU</t>
        </is>
      </c>
      <c r="F221" s="2" t="inlineStr">
        <is>
          <t>No</t>
        </is>
      </c>
      <c r="G221" s="2" t="inlineStr">
        <is>
          <t>Loan not required</t>
        </is>
      </c>
      <c r="H221" s="2" t="n"/>
      <c r="I221" s="2" t="n"/>
      <c r="J221" s="2" t="n"/>
      <c r="K221" s="2" t="n"/>
      <c r="L221" s="2" t="n"/>
      <c r="M221" s="2" t="n"/>
      <c r="N221" s="2" t="n"/>
      <c r="O221" s="2" t="n"/>
      <c r="P221" s="2" t="n"/>
      <c r="Q221" s="2" t="n"/>
      <c r="R221" s="2" t="n"/>
      <c r="S221" s="2" t="n"/>
      <c r="T221" s="2" t="inlineStr"/>
      <c r="U221" s="2" t="inlineStr">
        <is>
          <t>No</t>
        </is>
      </c>
      <c r="V221" s="2" t="inlineStr"/>
      <c r="W221" s="2" t="inlineStr"/>
      <c r="X221" s="2" t="n"/>
      <c r="Y221" s="2" t="n"/>
      <c r="Z221" s="2" t="n"/>
      <c r="AA221" s="2" t="inlineStr">
        <is>
          <t>Not required</t>
        </is>
      </c>
      <c r="AB221" s="2" t="inlineStr">
        <is>
          <t>Not required</t>
        </is>
      </c>
      <c r="AC221" s="2" t="n"/>
      <c r="AD221" s="2" t="n"/>
      <c r="AE221" s="2" t="n"/>
      <c r="AF221" s="2" t="n"/>
      <c r="AG221" s="2" t="inlineStr">
        <is>
          <t>Not required</t>
        </is>
      </c>
      <c r="AH221" s="2" t="n"/>
      <c r="AI221" s="2" t="n"/>
      <c r="AJ221" s="2" t="n"/>
      <c r="AK221" s="2" t="n"/>
      <c r="AL221" s="2" t="n"/>
      <c r="AM221" s="2" t="n"/>
      <c r="AN221" s="2" t="n"/>
      <c r="AO221" s="2" t="n"/>
      <c r="AP221" s="2" t="n"/>
      <c r="AQ221" s="2" t="n"/>
    </row>
    <row r="222">
      <c r="A222" t="n">
        <v>221</v>
      </c>
      <c r="B222" s="2" t="inlineStr">
        <is>
          <t>Pranay sah</t>
        </is>
      </c>
      <c r="C222" s="3" t="n">
        <v>9835260084</v>
      </c>
      <c r="D222" s="2" t="inlineStr">
        <is>
          <t>PROV260501876</t>
        </is>
      </c>
      <c r="E222" s="2" t="inlineStr">
        <is>
          <t>ADYPU</t>
        </is>
      </c>
      <c r="F222" s="2" t="inlineStr">
        <is>
          <t>Yes</t>
        </is>
      </c>
      <c r="G222" s="2" t="inlineStr">
        <is>
          <t xml:space="preserve">Non Critical </t>
        </is>
      </c>
      <c r="H222" s="2" t="n">
        <v>0.05</v>
      </c>
      <c r="I222" s="2" t="n"/>
      <c r="J222" s="2" t="n"/>
      <c r="K222" s="2" t="n"/>
      <c r="L222" s="2" t="n"/>
      <c r="M222" s="2" t="n"/>
      <c r="N222" s="2" t="n"/>
      <c r="O222" s="2" t="n"/>
      <c r="P222" s="2" t="n"/>
      <c r="Q222" s="2" t="n"/>
      <c r="R222" s="2" t="n"/>
      <c r="S222" s="2" t="n"/>
      <c r="T222" s="2" t="inlineStr">
        <is>
          <t>24/7 :Loan required : 15L, Co applicant : Father, Father annual income : 12 L, Businessman ( Clothes ), ITR filed : Yes , cibil : ok</t>
        </is>
      </c>
      <c r="U222" s="2" t="inlineStr">
        <is>
          <t>Yes</t>
        </is>
      </c>
      <c r="V222" s="2" t="inlineStr">
        <is>
          <t>Yes</t>
        </is>
      </c>
      <c r="W222" s="2" t="inlineStr">
        <is>
          <t>Yes</t>
        </is>
      </c>
      <c r="X222" s="2" t="inlineStr">
        <is>
          <t>No</t>
        </is>
      </c>
      <c r="Y222" s="2" t="inlineStr">
        <is>
          <t>No</t>
        </is>
      </c>
      <c r="Z222" s="2" t="inlineStr">
        <is>
          <t>Yes</t>
        </is>
      </c>
      <c r="AA222" s="2" t="inlineStr">
        <is>
          <t>Control</t>
        </is>
      </c>
      <c r="AB222" s="2" t="inlineStr">
        <is>
          <t>Control</t>
        </is>
      </c>
      <c r="AC222" s="2" t="n"/>
      <c r="AD222" s="2" t="n"/>
      <c r="AE222" s="2" t="n"/>
      <c r="AF222" s="2" t="n"/>
      <c r="AG222" s="2" t="inlineStr">
        <is>
          <t>Ongoing</t>
        </is>
      </c>
      <c r="AH222" s="2" t="n"/>
      <c r="AI222" s="2" t="n"/>
      <c r="AJ222" s="2" t="n"/>
      <c r="AK222" s="2" t="n"/>
      <c r="AL222" s="2" t="n"/>
      <c r="AM222" s="2" t="n"/>
      <c r="AN222" s="2" t="n"/>
      <c r="AO222" s="2" t="n"/>
      <c r="AP222" s="2" t="n"/>
      <c r="AQ222" s="2" t="n"/>
    </row>
    <row r="223">
      <c r="A223" t="n">
        <v>222</v>
      </c>
      <c r="B223" s="2" t="inlineStr">
        <is>
          <t>Priyanshu Kumawat</t>
        </is>
      </c>
      <c r="C223" s="3" t="n">
        <v>9699529719</v>
      </c>
      <c r="D223" s="2" t="inlineStr">
        <is>
          <t>PROV260504089</t>
        </is>
      </c>
      <c r="E223" s="2" t="inlineStr">
        <is>
          <t>ADYPU</t>
        </is>
      </c>
      <c r="F223" s="2" t="inlineStr">
        <is>
          <t>Yes</t>
        </is>
      </c>
      <c r="G223" s="2" t="inlineStr">
        <is>
          <t xml:space="preserve">Non Critical </t>
        </is>
      </c>
      <c r="H223" s="2" t="n">
        <v>0.075</v>
      </c>
      <c r="I223" s="2" t="n"/>
      <c r="J223" s="2" t="n"/>
      <c r="K223" s="2" t="n"/>
      <c r="L223" s="2" t="n"/>
      <c r="M223" s="2" t="n"/>
      <c r="N223" s="2" t="n"/>
      <c r="O223" s="2" t="n"/>
      <c r="P223" s="2" t="n"/>
      <c r="Q223" s="2" t="n"/>
      <c r="R223" s="2" t="n"/>
      <c r="S223" s="2" t="n"/>
      <c r="T223" s="2" t="inlineStr">
        <is>
          <t xml:space="preserve">27/7 : Loan req : 18L , Father : civil contractor, ITR filed : Yes , Annual Income : 6L. 
1/8 : Student hasn't even started for the loan. He has got the ITR. </t>
        </is>
      </c>
      <c r="U223" s="2" t="inlineStr">
        <is>
          <t>Yes</t>
        </is>
      </c>
      <c r="V223" s="2" t="inlineStr"/>
      <c r="W223" s="2" t="inlineStr"/>
      <c r="X223" s="2" t="n"/>
      <c r="Y223" s="2" t="n"/>
      <c r="Z223" s="2" t="n"/>
      <c r="AA223" s="2" t="inlineStr">
        <is>
          <t>Control</t>
        </is>
      </c>
      <c r="AB223" s="2" t="inlineStr">
        <is>
          <t>Control</t>
        </is>
      </c>
      <c r="AC223" s="2" t="n"/>
      <c r="AD223" s="2" t="n"/>
      <c r="AE223" s="2" t="n"/>
      <c r="AF223" s="2" t="n"/>
      <c r="AG223" s="2" t="inlineStr">
        <is>
          <t>Not even started</t>
        </is>
      </c>
      <c r="AH223" s="2" t="n"/>
      <c r="AI223" s="2" t="n"/>
      <c r="AJ223" s="2" t="n"/>
      <c r="AK223" s="2" t="n"/>
      <c r="AL223" s="2" t="n"/>
      <c r="AM223" s="2" t="n"/>
      <c r="AN223" s="2" t="n"/>
      <c r="AO223" s="2" t="n"/>
      <c r="AP223" s="2" t="n"/>
      <c r="AQ223" s="2" t="n"/>
    </row>
    <row r="224">
      <c r="A224" t="n">
        <v>223</v>
      </c>
      <c r="B224" s="2" t="inlineStr">
        <is>
          <t>Somesh Saha</t>
        </is>
      </c>
      <c r="C224" s="3" t="n">
        <v>9832888566</v>
      </c>
      <c r="D224" s="2" t="inlineStr">
        <is>
          <t>PROV260502184</t>
        </is>
      </c>
      <c r="E224" s="2" t="inlineStr">
        <is>
          <t>ADYPU</t>
        </is>
      </c>
      <c r="F224" s="2" t="inlineStr">
        <is>
          <t>No</t>
        </is>
      </c>
      <c r="G224" s="2" t="inlineStr">
        <is>
          <t>Loan not required</t>
        </is>
      </c>
      <c r="H224" s="2" t="n"/>
      <c r="I224" s="2" t="n"/>
      <c r="J224" s="2" t="n"/>
      <c r="K224" s="2" t="n"/>
      <c r="L224" s="2" t="n"/>
      <c r="M224" s="2" t="n"/>
      <c r="N224" s="2" t="n"/>
      <c r="O224" s="2" t="n"/>
      <c r="P224" s="2" t="n"/>
      <c r="Q224" s="2" t="n"/>
      <c r="R224" s="2" t="n"/>
      <c r="S224" s="2" t="n"/>
      <c r="T224" s="2" t="inlineStr"/>
      <c r="U224" s="2" t="inlineStr">
        <is>
          <t>No</t>
        </is>
      </c>
      <c r="V224" s="2" t="inlineStr"/>
      <c r="W224" s="2" t="inlineStr"/>
      <c r="X224" s="2" t="n"/>
      <c r="Y224" s="2" t="n"/>
      <c r="Z224" s="2" t="n"/>
      <c r="AA224" s="2" t="inlineStr">
        <is>
          <t>Not required</t>
        </is>
      </c>
      <c r="AB224" s="2" t="inlineStr">
        <is>
          <t>Not required</t>
        </is>
      </c>
      <c r="AC224" s="2" t="n"/>
      <c r="AD224" s="2" t="n"/>
      <c r="AE224" s="2" t="n"/>
      <c r="AF224" s="2" t="n"/>
      <c r="AG224" s="2" t="inlineStr">
        <is>
          <t>Not required</t>
        </is>
      </c>
      <c r="AH224" s="2" t="n"/>
      <c r="AI224" s="2" t="n"/>
      <c r="AJ224" s="2" t="n"/>
      <c r="AK224" s="2" t="n"/>
      <c r="AL224" s="2" t="n"/>
      <c r="AM224" s="2" t="n"/>
      <c r="AN224" s="2" t="n"/>
      <c r="AO224" s="2" t="n"/>
      <c r="AP224" s="2" t="n"/>
      <c r="AQ224" s="2" t="n"/>
    </row>
    <row r="225">
      <c r="A225" t="n">
        <v>224</v>
      </c>
      <c r="B225" s="2" t="inlineStr">
        <is>
          <t>Sujay Kumar Tudu</t>
        </is>
      </c>
      <c r="C225" s="3" t="n">
        <v>8340168359</v>
      </c>
      <c r="D225" s="2" t="inlineStr">
        <is>
          <t>PROV260504749</t>
        </is>
      </c>
      <c r="E225" s="2" t="inlineStr">
        <is>
          <t>ADYPU</t>
        </is>
      </c>
      <c r="F225" s="2" t="inlineStr">
        <is>
          <t>No</t>
        </is>
      </c>
      <c r="G225" s="2" t="inlineStr">
        <is>
          <t>Loan not required</t>
        </is>
      </c>
      <c r="H225" s="2" t="n"/>
      <c r="I225" s="2" t="n"/>
      <c r="J225" s="2" t="n"/>
      <c r="K225" s="2" t="n"/>
      <c r="L225" s="2" t="n"/>
      <c r="M225" s="2" t="n"/>
      <c r="N225" s="2" t="n"/>
      <c r="O225" s="2" t="n"/>
      <c r="P225" s="2" t="n"/>
      <c r="Q225" s="2" t="n"/>
      <c r="R225" s="2" t="n"/>
      <c r="S225" s="2" t="n"/>
      <c r="T225" s="2" t="inlineStr"/>
      <c r="U225" s="2" t="inlineStr">
        <is>
          <t>No</t>
        </is>
      </c>
      <c r="V225" s="2" t="inlineStr"/>
      <c r="W225" s="2" t="inlineStr"/>
      <c r="X225" s="2" t="n"/>
      <c r="Y225" s="2" t="n"/>
      <c r="Z225" s="2" t="n"/>
      <c r="AA225" s="2" t="inlineStr">
        <is>
          <t>Not required</t>
        </is>
      </c>
      <c r="AB225" s="2" t="inlineStr">
        <is>
          <t>Not required</t>
        </is>
      </c>
      <c r="AC225" s="2" t="n"/>
      <c r="AD225" s="2" t="n"/>
      <c r="AE225" s="2" t="n"/>
      <c r="AF225" s="2" t="n"/>
      <c r="AG225" s="2" t="inlineStr">
        <is>
          <t>Not required</t>
        </is>
      </c>
      <c r="AH225" s="2" t="n"/>
      <c r="AI225" s="2" t="n"/>
      <c r="AJ225" s="2" t="n"/>
      <c r="AK225" s="2" t="n"/>
      <c r="AL225" s="2" t="n"/>
      <c r="AM225" s="2" t="n"/>
      <c r="AN225" s="2" t="n"/>
      <c r="AO225" s="2" t="n"/>
      <c r="AP225" s="2" t="n"/>
      <c r="AQ225" s="2" t="n"/>
    </row>
    <row r="226">
      <c r="A226" t="n">
        <v>225</v>
      </c>
      <c r="B226" s="2" t="inlineStr">
        <is>
          <t>Swayambhu babar</t>
        </is>
      </c>
      <c r="C226" s="3" t="n">
        <v>7666076363</v>
      </c>
      <c r="D226" s="2" t="inlineStr">
        <is>
          <t>PROV260503601</t>
        </is>
      </c>
      <c r="E226" s="2" t="inlineStr">
        <is>
          <t>SSAHE</t>
        </is>
      </c>
      <c r="F226" s="2" t="inlineStr">
        <is>
          <t>Yes</t>
        </is>
      </c>
      <c r="G226" s="2" t="inlineStr">
        <is>
          <t xml:space="preserve">Non Critical </t>
        </is>
      </c>
      <c r="H226" s="2" t="n">
        <v>15</v>
      </c>
      <c r="I226" s="2" t="n">
        <v>25</v>
      </c>
      <c r="J226" s="2" t="n">
        <v>67</v>
      </c>
      <c r="K226" s="2" t="inlineStr">
        <is>
          <t>Father</t>
        </is>
      </c>
      <c r="L226" s="2" t="inlineStr">
        <is>
          <t>Govt teacher ( Maharashtra )</t>
        </is>
      </c>
      <c r="M226" s="2" t="n">
        <v>12</v>
      </c>
      <c r="N226" s="2" t="inlineStr">
        <is>
          <t>ITR filed</t>
        </is>
      </c>
      <c r="O226" s="2" t="n"/>
      <c r="P226" s="2" t="n"/>
      <c r="Q226" s="2" t="n"/>
      <c r="R226" s="2" t="n"/>
      <c r="S226" s="2" t="n"/>
      <c r="T226" s="2" t="inlineStr">
        <is>
          <t xml:space="preserve">17/7 : Loan required : 25L, income : 12LPA , govt teacher ( father), providing it to icici, gyan dhan and propelld. Loan likely to get approved
21/7 : Loan processing from Axis bank. </t>
        </is>
      </c>
      <c r="U226" s="2" t="inlineStr">
        <is>
          <t>Yes</t>
        </is>
      </c>
      <c r="V226" s="2" t="inlineStr">
        <is>
          <t>Yes</t>
        </is>
      </c>
      <c r="W226" s="2" t="inlineStr">
        <is>
          <t>Yes</t>
        </is>
      </c>
      <c r="X226" s="2" t="inlineStr">
        <is>
          <t>No</t>
        </is>
      </c>
      <c r="Y226" s="2" t="inlineStr">
        <is>
          <t>No</t>
        </is>
      </c>
      <c r="Z226" s="2" t="inlineStr">
        <is>
          <t>Yes</t>
        </is>
      </c>
      <c r="AA226" s="2" t="inlineStr">
        <is>
          <t>Control</t>
        </is>
      </c>
      <c r="AB226" s="2" t="inlineStr">
        <is>
          <t>Control</t>
        </is>
      </c>
      <c r="AC226" s="2" t="n"/>
      <c r="AD226" s="2" t="n"/>
      <c r="AE226" s="2" t="n"/>
      <c r="AF226" s="2" t="n"/>
      <c r="AG226" s="2" t="inlineStr">
        <is>
          <t>Ongoing</t>
        </is>
      </c>
      <c r="AH226" s="2" t="inlineStr">
        <is>
          <t>Processing at other bank</t>
        </is>
      </c>
      <c r="AI226" s="2" t="inlineStr">
        <is>
          <t>No</t>
        </is>
      </c>
      <c r="AJ226" s="2" t="inlineStr">
        <is>
          <t>No</t>
        </is>
      </c>
      <c r="AK226" s="2" t="n"/>
      <c r="AL226" s="2" t="n"/>
      <c r="AM226" s="2" t="n"/>
      <c r="AN226" s="2" t="n"/>
      <c r="AO226" s="2" t="n"/>
      <c r="AP226" s="2" t="n"/>
      <c r="AQ226" s="2" t="n"/>
    </row>
    <row r="227">
      <c r="A227" t="n">
        <v>226</v>
      </c>
      <c r="B227" s="2" t="inlineStr">
        <is>
          <t>VIBHOR YADAV</t>
        </is>
      </c>
      <c r="C227" s="3" t="n">
        <v>7607117098</v>
      </c>
      <c r="D227" s="2" t="inlineStr">
        <is>
          <t>PROV260501572</t>
        </is>
      </c>
      <c r="E227" s="2" t="inlineStr">
        <is>
          <t>ADYPU</t>
        </is>
      </c>
      <c r="F227" s="2" t="inlineStr">
        <is>
          <t>No</t>
        </is>
      </c>
      <c r="G227" s="2" t="inlineStr">
        <is>
          <t>Loan not required</t>
        </is>
      </c>
      <c r="H227" s="2" t="n"/>
      <c r="I227" s="2" t="n"/>
      <c r="J227" s="2" t="n"/>
      <c r="K227" s="2" t="n"/>
      <c r="L227" s="2" t="n"/>
      <c r="M227" s="2" t="n"/>
      <c r="N227" s="2" t="n"/>
      <c r="O227" s="2" t="n"/>
      <c r="P227" s="2" t="n"/>
      <c r="Q227" s="2" t="n"/>
      <c r="R227" s="2" t="n"/>
      <c r="S227" s="2" t="n"/>
      <c r="T227" s="2" t="inlineStr"/>
      <c r="U227" s="2" t="inlineStr">
        <is>
          <t>No</t>
        </is>
      </c>
      <c r="V227" s="2" t="inlineStr"/>
      <c r="W227" s="2" t="inlineStr"/>
      <c r="X227" s="2" t="n"/>
      <c r="Y227" s="2" t="n"/>
      <c r="Z227" s="2" t="n"/>
      <c r="AA227" s="2" t="inlineStr">
        <is>
          <t>Not required</t>
        </is>
      </c>
      <c r="AB227" s="2" t="inlineStr">
        <is>
          <t>Not required</t>
        </is>
      </c>
      <c r="AC227" s="2" t="n"/>
      <c r="AD227" s="2" t="n"/>
      <c r="AE227" s="2" t="n"/>
      <c r="AF227" s="2" t="n"/>
      <c r="AG227" s="2" t="inlineStr">
        <is>
          <t>Not required</t>
        </is>
      </c>
      <c r="AH227" s="2" t="n"/>
      <c r="AI227" s="2" t="n"/>
      <c r="AJ227" s="2" t="n"/>
      <c r="AK227" s="2" t="n"/>
      <c r="AL227" s="2" t="n"/>
      <c r="AM227" s="2" t="n"/>
      <c r="AN227" s="2" t="n"/>
      <c r="AO227" s="2" t="n"/>
      <c r="AP227" s="2" t="n"/>
      <c r="AQ227" s="2" t="n"/>
    </row>
    <row r="228">
      <c r="A228" t="n">
        <v>227</v>
      </c>
      <c r="B228" s="2" t="inlineStr">
        <is>
          <t>BUSHRA MIRZA</t>
        </is>
      </c>
      <c r="C228" s="3" t="n">
        <v>9937006052</v>
      </c>
      <c r="D228" s="2" t="inlineStr">
        <is>
          <t>PROV260505167</t>
        </is>
      </c>
      <c r="E228" s="2" t="inlineStr">
        <is>
          <t>ADYPU</t>
        </is>
      </c>
      <c r="F228" s="2" t="inlineStr">
        <is>
          <t>No</t>
        </is>
      </c>
      <c r="G228" s="2" t="inlineStr">
        <is>
          <t>Loan not required</t>
        </is>
      </c>
      <c r="H228" s="2" t="n"/>
      <c r="I228" s="2" t="n"/>
      <c r="J228" s="2" t="n"/>
      <c r="K228" s="2" t="n"/>
      <c r="L228" s="2" t="n"/>
      <c r="M228" s="2" t="n"/>
      <c r="N228" s="2" t="n"/>
      <c r="O228" s="2" t="n"/>
      <c r="P228" s="2" t="n"/>
      <c r="Q228" s="2" t="n"/>
      <c r="R228" s="2" t="n"/>
      <c r="S228" s="2" t="n"/>
      <c r="T228" s="2" t="inlineStr"/>
      <c r="U228" s="2" t="inlineStr">
        <is>
          <t>No</t>
        </is>
      </c>
      <c r="V228" s="2" t="inlineStr"/>
      <c r="W228" s="2" t="inlineStr"/>
      <c r="X228" s="2" t="n"/>
      <c r="Y228" s="2" t="n"/>
      <c r="Z228" s="2" t="n"/>
      <c r="AA228" s="2" t="inlineStr">
        <is>
          <t>Not required</t>
        </is>
      </c>
      <c r="AB228" s="2" t="inlineStr">
        <is>
          <t>Not required</t>
        </is>
      </c>
      <c r="AC228" s="2" t="n"/>
      <c r="AD228" s="2" t="n"/>
      <c r="AE228" s="2" t="n"/>
      <c r="AF228" s="2" t="n"/>
      <c r="AG228" s="2" t="inlineStr">
        <is>
          <t>Not required</t>
        </is>
      </c>
      <c r="AH228" s="2" t="n"/>
      <c r="AI228" s="2" t="n"/>
      <c r="AJ228" s="2" t="n"/>
      <c r="AK228" s="2" t="n"/>
      <c r="AL228" s="2" t="n"/>
      <c r="AM228" s="2" t="n"/>
      <c r="AN228" s="2" t="n"/>
      <c r="AO228" s="2" t="n"/>
      <c r="AP228" s="2" t="n"/>
      <c r="AQ228" s="2" t="n"/>
    </row>
    <row r="229">
      <c r="A229" t="n">
        <v>228</v>
      </c>
      <c r="B229" s="2" t="inlineStr">
        <is>
          <t>SHOURYA sahai</t>
        </is>
      </c>
      <c r="C229" s="3" t="n">
        <v>7004414476</v>
      </c>
      <c r="D229" s="2" t="inlineStr">
        <is>
          <t>PROV1000000249</t>
        </is>
      </c>
      <c r="E229" s="2" t="inlineStr">
        <is>
          <t>ADYPU</t>
        </is>
      </c>
      <c r="F229" s="2" t="inlineStr">
        <is>
          <t>No</t>
        </is>
      </c>
      <c r="G229" s="2" t="inlineStr">
        <is>
          <t>Loan not required</t>
        </is>
      </c>
      <c r="H229" s="2" t="n"/>
      <c r="I229" s="2" t="n"/>
      <c r="J229" s="2" t="n"/>
      <c r="K229" s="2" t="n"/>
      <c r="L229" s="2" t="n"/>
      <c r="M229" s="2" t="n"/>
      <c r="N229" s="2" t="n"/>
      <c r="O229" s="2" t="n"/>
      <c r="P229" s="2" t="n"/>
      <c r="Q229" s="2" t="n"/>
      <c r="R229" s="2" t="n"/>
      <c r="S229" s="2" t="n"/>
      <c r="T229" s="2" t="inlineStr"/>
      <c r="U229" s="2" t="inlineStr">
        <is>
          <t>No</t>
        </is>
      </c>
      <c r="V229" s="2" t="inlineStr"/>
      <c r="W229" s="2" t="inlineStr"/>
      <c r="X229" s="2" t="n"/>
      <c r="Y229" s="2" t="n"/>
      <c r="Z229" s="2" t="n"/>
      <c r="AA229" s="2" t="inlineStr">
        <is>
          <t>Not required</t>
        </is>
      </c>
      <c r="AB229" s="2" t="inlineStr">
        <is>
          <t>Not required</t>
        </is>
      </c>
      <c r="AC229" s="2" t="n"/>
      <c r="AD229" s="2" t="n"/>
      <c r="AE229" s="2" t="n"/>
      <c r="AF229" s="2" t="n"/>
      <c r="AG229" s="2" t="inlineStr">
        <is>
          <t>Not required</t>
        </is>
      </c>
      <c r="AH229" s="2" t="n"/>
      <c r="AI229" s="2" t="n"/>
      <c r="AJ229" s="2" t="n"/>
      <c r="AK229" s="2" t="n"/>
      <c r="AL229" s="2" t="n"/>
      <c r="AM229" s="2" t="n"/>
      <c r="AN229" s="2" t="n"/>
      <c r="AO229" s="2" t="n"/>
      <c r="AP229" s="2" t="n"/>
      <c r="AQ229" s="2" t="n"/>
    </row>
    <row r="230">
      <c r="A230" t="n">
        <v>229</v>
      </c>
      <c r="B230" s="2" t="inlineStr">
        <is>
          <t>Atmiya Sanjay Dangar</t>
        </is>
      </c>
      <c r="C230" s="3" t="n">
        <v>7283892208</v>
      </c>
      <c r="D230" s="2" t="inlineStr">
        <is>
          <t>PROV260600349</t>
        </is>
      </c>
      <c r="E230" s="2" t="inlineStr">
        <is>
          <t>ADYPU</t>
        </is>
      </c>
      <c r="F230" s="2" t="inlineStr">
        <is>
          <t>No</t>
        </is>
      </c>
      <c r="G230" s="2" t="inlineStr">
        <is>
          <t>Loan not required</t>
        </is>
      </c>
      <c r="H230" s="2" t="n"/>
      <c r="I230" s="2" t="n"/>
      <c r="J230" s="2" t="n"/>
      <c r="K230" s="2" t="n"/>
      <c r="L230" s="2" t="n"/>
      <c r="M230" s="2" t="n"/>
      <c r="N230" s="2" t="n"/>
      <c r="O230" s="2" t="n"/>
      <c r="P230" s="2" t="n"/>
      <c r="Q230" s="2" t="n"/>
      <c r="R230" s="2" t="n"/>
      <c r="S230" s="2" t="n"/>
      <c r="T230" s="2" t="inlineStr"/>
      <c r="U230" s="2" t="inlineStr">
        <is>
          <t>No</t>
        </is>
      </c>
      <c r="V230" s="2" t="inlineStr"/>
      <c r="W230" s="2" t="inlineStr"/>
      <c r="X230" s="2" t="n"/>
      <c r="Y230" s="2" t="n"/>
      <c r="Z230" s="2" t="n"/>
      <c r="AA230" s="2" t="inlineStr">
        <is>
          <t>Not required</t>
        </is>
      </c>
      <c r="AB230" s="2" t="inlineStr">
        <is>
          <t>Not required</t>
        </is>
      </c>
      <c r="AC230" s="2" t="n"/>
      <c r="AD230" s="2" t="n"/>
      <c r="AE230" s="2" t="n"/>
      <c r="AF230" s="2" t="n"/>
      <c r="AG230" s="2" t="inlineStr">
        <is>
          <t>Not required</t>
        </is>
      </c>
      <c r="AH230" s="2" t="n"/>
      <c r="AI230" s="2" t="n"/>
      <c r="AJ230" s="2" t="n"/>
      <c r="AK230" s="2" t="n"/>
      <c r="AL230" s="2" t="n"/>
      <c r="AM230" s="2" t="n"/>
      <c r="AN230" s="2" t="n"/>
      <c r="AO230" s="2" t="n"/>
      <c r="AP230" s="2" t="n"/>
      <c r="AQ230" s="2" t="n"/>
    </row>
    <row r="231">
      <c r="A231" t="n">
        <v>230</v>
      </c>
      <c r="B231" s="2" t="inlineStr">
        <is>
          <t>Naman Rana</t>
        </is>
      </c>
      <c r="C231" s="3" t="n">
        <v>7888769161</v>
      </c>
      <c r="D231" s="2" t="inlineStr">
        <is>
          <t>PROV260606615</t>
        </is>
      </c>
      <c r="E231" s="2" t="inlineStr">
        <is>
          <t>ADYPU</t>
        </is>
      </c>
      <c r="F231" s="2" t="inlineStr">
        <is>
          <t>No</t>
        </is>
      </c>
      <c r="G231" s="2" t="inlineStr">
        <is>
          <t>Loan not required</t>
        </is>
      </c>
      <c r="H231" s="2" t="n"/>
      <c r="I231" s="2" t="n"/>
      <c r="J231" s="2" t="n"/>
      <c r="K231" s="2" t="n"/>
      <c r="L231" s="2" t="n"/>
      <c r="M231" s="2" t="n"/>
      <c r="N231" s="2" t="n"/>
      <c r="O231" s="2" t="n"/>
      <c r="P231" s="2" t="n"/>
      <c r="Q231" s="2" t="n"/>
      <c r="R231" s="2" t="n"/>
      <c r="S231" s="2" t="n"/>
      <c r="T231" s="2" t="inlineStr"/>
      <c r="U231" s="2" t="inlineStr">
        <is>
          <t>No</t>
        </is>
      </c>
      <c r="V231" s="2" t="inlineStr"/>
      <c r="W231" s="2" t="inlineStr"/>
      <c r="X231" s="2" t="n"/>
      <c r="Y231" s="2" t="n"/>
      <c r="Z231" s="2" t="n"/>
      <c r="AA231" s="2" t="inlineStr">
        <is>
          <t>Not required</t>
        </is>
      </c>
      <c r="AB231" s="2" t="inlineStr">
        <is>
          <t>Not required</t>
        </is>
      </c>
      <c r="AC231" s="2" t="n"/>
      <c r="AD231" s="2" t="n"/>
      <c r="AE231" s="2" t="n"/>
      <c r="AF231" s="2" t="n"/>
      <c r="AG231" s="2" t="inlineStr">
        <is>
          <t>Not required</t>
        </is>
      </c>
      <c r="AH231" s="2" t="n"/>
      <c r="AI231" s="2" t="n"/>
      <c r="AJ231" s="2" t="n"/>
      <c r="AK231" s="2" t="n"/>
      <c r="AL231" s="2" t="n"/>
      <c r="AM231" s="2" t="n"/>
      <c r="AN231" s="2" t="n"/>
      <c r="AO231" s="2" t="n"/>
      <c r="AP231" s="2" t="n"/>
      <c r="AQ231" s="2" t="n"/>
    </row>
    <row r="232">
      <c r="A232" t="n">
        <v>231</v>
      </c>
      <c r="B232" s="2" t="inlineStr">
        <is>
          <t>Prem Roy</t>
        </is>
      </c>
      <c r="C232" s="3" t="n">
        <v>9863462947</v>
      </c>
      <c r="D232" s="2" t="inlineStr">
        <is>
          <t>PROV260608274</t>
        </is>
      </c>
      <c r="E232" s="2" t="inlineStr">
        <is>
          <t>SSAHE</t>
        </is>
      </c>
      <c r="F232" s="2" t="inlineStr">
        <is>
          <t>Yes</t>
        </is>
      </c>
      <c r="G232" s="2" t="inlineStr">
        <is>
          <t xml:space="preserve">Non Critical </t>
        </is>
      </c>
      <c r="H232" s="2" t="n"/>
      <c r="I232" s="2" t="n"/>
      <c r="J232" s="2" t="n"/>
      <c r="K232" s="2" t="n"/>
      <c r="L232" s="2" t="n"/>
      <c r="M232" s="2" t="n"/>
      <c r="N232" s="2" t="n"/>
      <c r="O232" s="2" t="n"/>
      <c r="P232" s="2" t="n"/>
      <c r="Q232" s="2" t="n"/>
      <c r="R232" s="2" t="n"/>
      <c r="S232" s="2" t="n"/>
      <c r="T232" s="2" t="inlineStr">
        <is>
          <t xml:space="preserve">27/7 : Loan req : 10L, Coapplicant : Father , Father's profession : Business 
Mother : Teacher , Annual Income : 5.5Lakhs. </t>
        </is>
      </c>
      <c r="U232" s="2" t="inlineStr">
        <is>
          <t>Yes</t>
        </is>
      </c>
      <c r="V232" s="2" t="inlineStr">
        <is>
          <t>Yes</t>
        </is>
      </c>
      <c r="W232" s="2" t="inlineStr">
        <is>
          <t>Yes</t>
        </is>
      </c>
      <c r="X232" s="2" t="inlineStr">
        <is>
          <t>No</t>
        </is>
      </c>
      <c r="Y232" s="2" t="inlineStr">
        <is>
          <t>No</t>
        </is>
      </c>
      <c r="Z232" s="2" t="inlineStr">
        <is>
          <t>Yes</t>
        </is>
      </c>
      <c r="AA232" s="2" t="inlineStr">
        <is>
          <t>Control</t>
        </is>
      </c>
      <c r="AB232" s="2" t="inlineStr">
        <is>
          <t>Control</t>
        </is>
      </c>
      <c r="AC232" s="2" t="n"/>
      <c r="AD232" s="2" t="n"/>
      <c r="AE232" s="2" t="n"/>
      <c r="AF232" s="2" t="n"/>
      <c r="AG232" s="2" t="inlineStr">
        <is>
          <t>Ongoing</t>
        </is>
      </c>
      <c r="AH232" s="2" t="inlineStr">
        <is>
          <t>Processing by GyanDhan</t>
        </is>
      </c>
      <c r="AI232" s="2" t="n"/>
      <c r="AJ232" s="2" t="n"/>
      <c r="AK232" s="2" t="n"/>
      <c r="AL232" s="2" t="n"/>
      <c r="AM232" s="2" t="n"/>
      <c r="AN232" s="2" t="n"/>
      <c r="AO232" s="2" t="n"/>
      <c r="AP232" s="2" t="n"/>
      <c r="AQ232" s="2" t="n"/>
    </row>
    <row r="233">
      <c r="A233" t="n">
        <v>232</v>
      </c>
      <c r="B233" s="2" t="inlineStr">
        <is>
          <t>Tanish Singh</t>
        </is>
      </c>
      <c r="C233" s="3" t="n">
        <v>7738388337</v>
      </c>
      <c r="D233" s="2" t="inlineStr">
        <is>
          <t>PROV260502317</t>
        </is>
      </c>
      <c r="E233" s="2" t="inlineStr">
        <is>
          <t>ADYPU</t>
        </is>
      </c>
      <c r="F233" s="2" t="inlineStr">
        <is>
          <t>No</t>
        </is>
      </c>
      <c r="G233" s="2" t="inlineStr">
        <is>
          <t>Loan not required</t>
        </is>
      </c>
      <c r="H233" s="2" t="n"/>
      <c r="I233" s="2" t="n"/>
      <c r="J233" s="2" t="n"/>
      <c r="K233" s="2" t="n"/>
      <c r="L233" s="2" t="n"/>
      <c r="M233" s="2" t="n"/>
      <c r="N233" s="2" t="n"/>
      <c r="O233" s="2" t="n"/>
      <c r="P233" s="2" t="n"/>
      <c r="Q233" s="2" t="n"/>
      <c r="R233" s="2" t="n"/>
      <c r="S233" s="2" t="n"/>
      <c r="T233" s="2" t="inlineStr"/>
      <c r="U233" s="2" t="inlineStr">
        <is>
          <t>No</t>
        </is>
      </c>
      <c r="V233" s="2" t="inlineStr"/>
      <c r="W233" s="2" t="inlineStr"/>
      <c r="X233" s="2" t="n"/>
      <c r="Y233" s="2" t="n"/>
      <c r="Z233" s="2" t="n"/>
      <c r="AA233" s="2" t="inlineStr">
        <is>
          <t>Not required</t>
        </is>
      </c>
      <c r="AB233" s="2" t="inlineStr">
        <is>
          <t>Not required</t>
        </is>
      </c>
      <c r="AC233" s="2" t="n"/>
      <c r="AD233" s="2" t="n"/>
      <c r="AE233" s="2" t="n"/>
      <c r="AF233" s="2" t="n"/>
      <c r="AG233" s="2" t="inlineStr">
        <is>
          <t>Not required</t>
        </is>
      </c>
      <c r="AH233" s="2" t="n"/>
      <c r="AI233" s="2" t="n"/>
      <c r="AJ233" s="2" t="n"/>
      <c r="AK233" s="2" t="n"/>
      <c r="AL233" s="2" t="n"/>
      <c r="AM233" s="2" t="n"/>
      <c r="AN233" s="2" t="n"/>
      <c r="AO233" s="2" t="n"/>
      <c r="AP233" s="2" t="n"/>
      <c r="AQ233" s="2" t="n"/>
    </row>
    <row r="234">
      <c r="A234" t="n">
        <v>233</v>
      </c>
      <c r="B234" s="2" t="inlineStr">
        <is>
          <t>Romil jyoti prakash</t>
        </is>
      </c>
      <c r="C234" s="3" t="n">
        <v>9617115072</v>
      </c>
      <c r="D234" s="2" t="inlineStr">
        <is>
          <t>PROV260503111</t>
        </is>
      </c>
      <c r="E234" s="2" t="inlineStr">
        <is>
          <t>ADYPU</t>
        </is>
      </c>
      <c r="F234" s="2" t="inlineStr">
        <is>
          <t>Drop</t>
        </is>
      </c>
      <c r="G234" s="2" t="inlineStr">
        <is>
          <t>Loan not required</t>
        </is>
      </c>
      <c r="H234" s="2" t="n"/>
      <c r="I234" s="2" t="n"/>
      <c r="J234" s="2" t="n"/>
      <c r="K234" s="2" t="n"/>
      <c r="L234" s="2" t="n"/>
      <c r="M234" s="2" t="n"/>
      <c r="N234" s="2" t="n"/>
      <c r="O234" s="2" t="n"/>
      <c r="P234" s="2" t="n"/>
      <c r="Q234" s="2" t="n"/>
      <c r="R234" s="2" t="n"/>
      <c r="S234" s="2" t="n"/>
      <c r="T234" s="2" t="inlineStr"/>
      <c r="U234" s="2" t="inlineStr">
        <is>
          <t>Refund</t>
        </is>
      </c>
      <c r="V234" s="2" t="inlineStr"/>
      <c r="W234" s="2" t="inlineStr"/>
      <c r="X234" s="2" t="n"/>
      <c r="Y234" s="2" t="n"/>
      <c r="Z234" s="2" t="n"/>
      <c r="AA234" s="2" t="inlineStr">
        <is>
          <t>Refund case</t>
        </is>
      </c>
      <c r="AB234" s="2" t="inlineStr">
        <is>
          <t>Refund case</t>
        </is>
      </c>
      <c r="AC234" s="2" t="n"/>
      <c r="AD234" s="2" t="n"/>
      <c r="AE234" s="2" t="n"/>
      <c r="AF234" s="2" t="n"/>
      <c r="AG234" s="2" t="n"/>
      <c r="AH234" s="2" t="n"/>
      <c r="AI234" s="2" t="n"/>
      <c r="AJ234" s="2" t="n"/>
      <c r="AK234" s="2" t="n"/>
      <c r="AL234" s="2" t="n"/>
      <c r="AM234" s="2" t="n"/>
      <c r="AN234" s="2" t="n"/>
      <c r="AO234" s="2" t="n"/>
      <c r="AP234" s="2" t="n"/>
      <c r="AQ234" s="2" t="n"/>
    </row>
    <row r="235">
      <c r="A235" t="n">
        <v>234</v>
      </c>
      <c r="B235" s="2" t="inlineStr">
        <is>
          <t>Raj kumar</t>
        </is>
      </c>
      <c r="C235" s="3" t="n">
        <v>9942436927</v>
      </c>
      <c r="D235" s="2" t="inlineStr">
        <is>
          <t>PROV260503859</t>
        </is>
      </c>
      <c r="E235" s="2" t="inlineStr">
        <is>
          <t>SSAHE</t>
        </is>
      </c>
      <c r="F235" s="2" t="inlineStr">
        <is>
          <t>Yes</t>
        </is>
      </c>
      <c r="G235" s="2" t="inlineStr">
        <is>
          <t xml:space="preserve">Non Critical </t>
        </is>
      </c>
      <c r="H235" s="2" t="n"/>
      <c r="I235" s="2" t="n"/>
      <c r="J235" s="2" t="n"/>
      <c r="K235" s="2" t="n"/>
      <c r="L235" s="2" t="n"/>
      <c r="M235" s="2" t="n"/>
      <c r="N235" s="2" t="n"/>
      <c r="O235" s="2" t="n"/>
      <c r="P235" s="2" t="n"/>
      <c r="Q235" s="2" t="n"/>
      <c r="R235" s="2" t="n"/>
      <c r="S235" s="2" t="inlineStr">
        <is>
          <t>Dispersed from the propell need to verify from ssahe</t>
        </is>
      </c>
      <c r="T235" s="2" t="inlineStr">
        <is>
          <t xml:space="preserve">18/7 : Have paid through the sem fees. 5L </t>
        </is>
      </c>
      <c r="U235" s="2" t="inlineStr">
        <is>
          <t>Yes</t>
        </is>
      </c>
      <c r="V235" s="2" t="inlineStr"/>
      <c r="W235" s="2" t="inlineStr"/>
      <c r="X235" s="2" t="n"/>
      <c r="Y235" s="2" t="n"/>
      <c r="Z235" s="2" t="n"/>
      <c r="AA235" s="2" t="inlineStr">
        <is>
          <t>Control</t>
        </is>
      </c>
      <c r="AB235" s="2" t="inlineStr">
        <is>
          <t>Control</t>
        </is>
      </c>
      <c r="AC235" s="2" t="n"/>
      <c r="AD235" s="2" t="n"/>
      <c r="AE235" s="2" t="n"/>
      <c r="AF235" s="2" t="n"/>
      <c r="AG235" s="2" t="inlineStr">
        <is>
          <t>Disbursed</t>
        </is>
      </c>
      <c r="AH235" s="2" t="inlineStr">
        <is>
          <t>Loan sanctioned by Propelld</t>
        </is>
      </c>
      <c r="AI235" s="2" t="inlineStr">
        <is>
          <t>No</t>
        </is>
      </c>
      <c r="AJ235" s="2" t="inlineStr">
        <is>
          <t>No</t>
        </is>
      </c>
      <c r="AK235" s="2" t="n"/>
      <c r="AL235" s="2" t="n"/>
      <c r="AM235" s="2" t="n"/>
      <c r="AN235" s="2" t="n"/>
      <c r="AO235" s="2" t="n"/>
      <c r="AP235" s="2" t="n"/>
      <c r="AQ235" s="2" t="n"/>
    </row>
    <row r="236">
      <c r="A236" t="n">
        <v>235</v>
      </c>
      <c r="B236" s="2" t="inlineStr">
        <is>
          <t>Anoop kumar pandey</t>
        </is>
      </c>
      <c r="C236" s="3" t="n">
        <v>6352063726</v>
      </c>
      <c r="D236" s="2" t="inlineStr">
        <is>
          <t>PROV260502660</t>
        </is>
      </c>
      <c r="E236" s="2" t="inlineStr">
        <is>
          <t>ADYPU</t>
        </is>
      </c>
      <c r="F236" s="2" t="inlineStr">
        <is>
          <t>No</t>
        </is>
      </c>
      <c r="G236" s="2" t="inlineStr">
        <is>
          <t>Loan not required</t>
        </is>
      </c>
      <c r="H236" s="2" t="n"/>
      <c r="I236" s="2" t="n"/>
      <c r="J236" s="2" t="n"/>
      <c r="K236" s="2" t="n"/>
      <c r="L236" s="2" t="n"/>
      <c r="M236" s="2" t="n"/>
      <c r="N236" s="2" t="n"/>
      <c r="O236" s="2" t="n"/>
      <c r="P236" s="2" t="n"/>
      <c r="Q236" s="2" t="n"/>
      <c r="R236" s="2" t="n"/>
      <c r="S236" s="2" t="inlineStr">
        <is>
          <t xml:space="preserve">Not looking for any loan right now </t>
        </is>
      </c>
      <c r="T236" s="2" t="inlineStr"/>
      <c r="U236" s="2" t="inlineStr">
        <is>
          <t>No</t>
        </is>
      </c>
      <c r="V236" s="2" t="inlineStr"/>
      <c r="W236" s="2" t="inlineStr"/>
      <c r="X236" s="2" t="n"/>
      <c r="Y236" s="2" t="n"/>
      <c r="Z236" s="2" t="n"/>
      <c r="AA236" s="2" t="inlineStr">
        <is>
          <t>Not required</t>
        </is>
      </c>
      <c r="AB236" s="2" t="inlineStr">
        <is>
          <t>Not required</t>
        </is>
      </c>
      <c r="AC236" s="2" t="n"/>
      <c r="AD236" s="2" t="n"/>
      <c r="AE236" s="2" t="n"/>
      <c r="AF236" s="2" t="n"/>
      <c r="AG236" s="2" t="inlineStr">
        <is>
          <t>Not required</t>
        </is>
      </c>
      <c r="AH236" s="2" t="n"/>
      <c r="AI236" s="2" t="n"/>
      <c r="AJ236" s="2" t="n"/>
      <c r="AK236" s="2" t="n"/>
      <c r="AL236" s="2" t="n"/>
      <c r="AM236" s="2" t="n"/>
      <c r="AN236" s="2" t="n"/>
      <c r="AO236" s="2" t="n"/>
      <c r="AP236" s="2" t="n"/>
      <c r="AQ236" s="2" t="n"/>
    </row>
    <row r="237">
      <c r="A237" t="n">
        <v>236</v>
      </c>
      <c r="B237" s="2" t="inlineStr">
        <is>
          <t>Manas Dhakulkar</t>
        </is>
      </c>
      <c r="C237" s="3" t="n">
        <v>9373587293</v>
      </c>
      <c r="D237" s="2" t="inlineStr">
        <is>
          <t>PROV1000000404</t>
        </is>
      </c>
      <c r="E237" s="2" t="inlineStr">
        <is>
          <t>ADYPU</t>
        </is>
      </c>
      <c r="F237" s="2" t="inlineStr">
        <is>
          <t>No</t>
        </is>
      </c>
      <c r="G237" s="2" t="inlineStr">
        <is>
          <t>Loan not required</t>
        </is>
      </c>
      <c r="H237" s="2" t="n"/>
      <c r="I237" s="2" t="n"/>
      <c r="J237" s="2" t="n"/>
      <c r="K237" s="2" t="n"/>
      <c r="L237" s="2" t="n"/>
      <c r="M237" s="2" t="n"/>
      <c r="N237" s="2" t="n"/>
      <c r="O237" s="2" t="n"/>
      <c r="P237" s="2" t="n"/>
      <c r="Q237" s="2" t="n"/>
      <c r="R237" s="2" t="n"/>
      <c r="S237" s="2" t="inlineStr">
        <is>
          <t>Not looking for any loan right now maybe after 1st year</t>
        </is>
      </c>
      <c r="T237" s="2" t="inlineStr"/>
      <c r="U237" s="2" t="inlineStr">
        <is>
          <t>No</t>
        </is>
      </c>
      <c r="V237" s="2" t="inlineStr"/>
      <c r="W237" s="2" t="inlineStr"/>
      <c r="X237" s="2" t="n"/>
      <c r="Y237" s="2" t="n"/>
      <c r="Z237" s="2" t="n"/>
      <c r="AA237" s="2" t="inlineStr">
        <is>
          <t>Not required</t>
        </is>
      </c>
      <c r="AB237" s="2" t="inlineStr">
        <is>
          <t>Not required</t>
        </is>
      </c>
      <c r="AC237" s="2" t="n"/>
      <c r="AD237" s="2" t="n"/>
      <c r="AE237" s="2" t="n"/>
      <c r="AF237" s="2" t="n"/>
      <c r="AG237" s="2" t="inlineStr">
        <is>
          <t>Not required</t>
        </is>
      </c>
      <c r="AH237" s="2" t="n"/>
      <c r="AI237" s="2" t="n"/>
      <c r="AJ237" s="2" t="n"/>
      <c r="AK237" s="2" t="n"/>
      <c r="AL237" s="2" t="n"/>
      <c r="AM237" s="2" t="n"/>
      <c r="AN237" s="2" t="n"/>
      <c r="AO237" s="2" t="n"/>
      <c r="AP237" s="2" t="n"/>
      <c r="AQ237" s="2" t="n"/>
    </row>
    <row r="238">
      <c r="A238" t="n">
        <v>237</v>
      </c>
      <c r="B238" s="2" t="inlineStr">
        <is>
          <t>Swaraj Bhaskar</t>
        </is>
      </c>
      <c r="C238" s="3" t="n">
        <v>9511739873</v>
      </c>
      <c r="D238" s="2" t="inlineStr">
        <is>
          <t>PROV260505193</t>
        </is>
      </c>
      <c r="E238" s="2" t="inlineStr">
        <is>
          <t>ADYPU</t>
        </is>
      </c>
      <c r="F238" s="2" t="inlineStr">
        <is>
          <t>No</t>
        </is>
      </c>
      <c r="G238" s="2" t="inlineStr">
        <is>
          <t>Loan not required</t>
        </is>
      </c>
      <c r="H238" s="2" t="n"/>
      <c r="I238" s="2" t="n"/>
      <c r="J238" s="2" t="n"/>
      <c r="K238" s="2" t="n"/>
      <c r="L238" s="2" t="n"/>
      <c r="M238" s="2" t="n"/>
      <c r="N238" s="2" t="n"/>
      <c r="O238" s="2" t="n"/>
      <c r="P238" s="2" t="n"/>
      <c r="Q238" s="2" t="n"/>
      <c r="R238" s="2" t="n"/>
      <c r="S238" s="2" t="inlineStr">
        <is>
          <t>DONT WANT LOAN</t>
        </is>
      </c>
      <c r="T238" s="2" t="inlineStr"/>
      <c r="U238" s="2" t="inlineStr">
        <is>
          <t>No</t>
        </is>
      </c>
      <c r="V238" s="2" t="inlineStr"/>
      <c r="W238" s="2" t="inlineStr"/>
      <c r="X238" s="2" t="n"/>
      <c r="Y238" s="2" t="n"/>
      <c r="Z238" s="2" t="n"/>
      <c r="AA238" s="2" t="inlineStr">
        <is>
          <t>Not required</t>
        </is>
      </c>
      <c r="AB238" s="2" t="inlineStr">
        <is>
          <t>Not required</t>
        </is>
      </c>
      <c r="AC238" s="2" t="n"/>
      <c r="AD238" s="2" t="n"/>
      <c r="AE238" s="2" t="n"/>
      <c r="AF238" s="2" t="n"/>
      <c r="AG238" s="2" t="inlineStr">
        <is>
          <t>Not required</t>
        </is>
      </c>
      <c r="AH238" s="2" t="n"/>
      <c r="AI238" s="2" t="n"/>
      <c r="AJ238" s="2" t="n"/>
      <c r="AK238" s="2" t="n"/>
      <c r="AL238" s="2" t="n"/>
      <c r="AM238" s="2" t="n"/>
      <c r="AN238" s="2" t="n"/>
      <c r="AO238" s="2" t="n"/>
      <c r="AP238" s="2" t="n"/>
      <c r="AQ238" s="2" t="n"/>
    </row>
    <row r="239">
      <c r="A239" t="n">
        <v>238</v>
      </c>
      <c r="B239" s="2" t="inlineStr">
        <is>
          <t>Aksh JAin</t>
        </is>
      </c>
      <c r="C239" s="3" t="n">
        <v>8929457693</v>
      </c>
      <c r="D239" s="2" t="inlineStr">
        <is>
          <t>PROV260609218</t>
        </is>
      </c>
      <c r="E239" s="2" t="inlineStr">
        <is>
          <t>SSAHE</t>
        </is>
      </c>
      <c r="F239" s="2" t="inlineStr">
        <is>
          <t>No</t>
        </is>
      </c>
      <c r="G239" s="2" t="inlineStr">
        <is>
          <t>Loan not required</t>
        </is>
      </c>
      <c r="H239" s="2" t="n"/>
      <c r="I239" s="2" t="n"/>
      <c r="J239" s="2" t="n"/>
      <c r="K239" s="2" t="n"/>
      <c r="L239" s="2" t="n"/>
      <c r="M239" s="2" t="n"/>
      <c r="N239" s="2" t="n"/>
      <c r="O239" s="2" t="n"/>
      <c r="P239" s="2" t="n"/>
      <c r="Q239" s="2" t="n"/>
      <c r="R239" s="2" t="n"/>
      <c r="S239" s="2" t="n"/>
      <c r="T239" s="2" t="inlineStr">
        <is>
          <t xml:space="preserve">21/7 : Student is going to self fund. </t>
        </is>
      </c>
      <c r="U239" s="2" t="inlineStr">
        <is>
          <t>No</t>
        </is>
      </c>
      <c r="V239" s="2" t="inlineStr"/>
      <c r="W239" s="2" t="inlineStr"/>
      <c r="X239" s="2" t="n"/>
      <c r="Y239" s="2" t="n"/>
      <c r="Z239" s="2" t="n"/>
      <c r="AA239" s="2" t="inlineStr">
        <is>
          <t>Not required</t>
        </is>
      </c>
      <c r="AB239" s="2" t="inlineStr">
        <is>
          <t>Not required</t>
        </is>
      </c>
      <c r="AC239" s="2" t="n"/>
      <c r="AD239" s="2" t="n"/>
      <c r="AE239" s="2" t="n"/>
      <c r="AF239" s="2" t="n"/>
      <c r="AG239" s="2" t="inlineStr">
        <is>
          <t>Not required</t>
        </is>
      </c>
      <c r="AH239" s="2" t="n"/>
      <c r="AI239" s="2" t="n"/>
      <c r="AJ239" s="2" t="n"/>
      <c r="AK239" s="2" t="n"/>
      <c r="AL239" s="2" t="n"/>
      <c r="AM239" s="2" t="n"/>
      <c r="AN239" s="2" t="n"/>
      <c r="AO239" s="2" t="n"/>
      <c r="AP239" s="2" t="n"/>
      <c r="AQ239" s="2" t="n"/>
    </row>
    <row r="240">
      <c r="A240" t="n">
        <v>239</v>
      </c>
      <c r="B240" s="2" t="inlineStr">
        <is>
          <t>Suyash Kumar Srivastava</t>
        </is>
      </c>
      <c r="C240" s="3" t="n">
        <v>7849050355</v>
      </c>
      <c r="D240" s="2" t="inlineStr">
        <is>
          <t>PROV260611067</t>
        </is>
      </c>
      <c r="E240" s="2" t="inlineStr">
        <is>
          <t>SSAHE</t>
        </is>
      </c>
      <c r="F240" s="2" t="inlineStr">
        <is>
          <t>No</t>
        </is>
      </c>
      <c r="G240" s="2" t="inlineStr">
        <is>
          <t>Loan not required</t>
        </is>
      </c>
      <c r="H240" s="2" t="n"/>
      <c r="I240" s="2" t="n"/>
      <c r="J240" s="2" t="n"/>
      <c r="K240" s="2" t="n"/>
      <c r="L240" s="2" t="n"/>
      <c r="M240" s="2" t="n"/>
      <c r="N240" s="2" t="n"/>
      <c r="O240" s="2" t="n"/>
      <c r="P240" s="2" t="n"/>
      <c r="Q240" s="2" t="n"/>
      <c r="R240" s="2" t="n"/>
      <c r="S240" s="2" t="n"/>
      <c r="T240" s="2" t="inlineStr">
        <is>
          <t xml:space="preserve">1/8 : student is getting loan of 7.5 Lakhs, at 9.99% interest , student had no idea of repayment, he has asked why the college is in no 1st and 3nd tier of the sbi </t>
        </is>
      </c>
      <c r="U240" s="2" t="inlineStr">
        <is>
          <t>No</t>
        </is>
      </c>
      <c r="V240" s="2" t="inlineStr"/>
      <c r="W240" s="2" t="inlineStr"/>
      <c r="X240" s="2" t="n"/>
      <c r="Y240" s="2" t="n"/>
      <c r="Z240" s="2" t="n"/>
      <c r="AA240" s="2" t="inlineStr">
        <is>
          <t>Not required</t>
        </is>
      </c>
      <c r="AB240" s="2" t="inlineStr">
        <is>
          <t>Not required</t>
        </is>
      </c>
      <c r="AC240" s="2" t="n"/>
      <c r="AD240" s="2" t="n"/>
      <c r="AE240" s="2" t="n"/>
      <c r="AF240" s="2" t="n"/>
      <c r="AG240" s="2" t="inlineStr">
        <is>
          <t>Not required</t>
        </is>
      </c>
      <c r="AH240" s="2" t="n"/>
      <c r="AI240" s="2" t="n"/>
      <c r="AJ240" s="2" t="n"/>
      <c r="AK240" s="2" t="n"/>
      <c r="AL240" s="2" t="n"/>
      <c r="AM240" s="2" t="n"/>
      <c r="AN240" s="2" t="n"/>
      <c r="AO240" s="2" t="n"/>
      <c r="AP240" s="2" t="n"/>
      <c r="AQ240" s="2" t="n"/>
    </row>
    <row r="241">
      <c r="A241" t="n">
        <v>240</v>
      </c>
      <c r="B241" s="2" t="inlineStr">
        <is>
          <t>Kavisha sharma</t>
        </is>
      </c>
      <c r="C241" s="3" t="n">
        <v>8427648464</v>
      </c>
      <c r="D241" s="2" t="inlineStr">
        <is>
          <t>PROV260607563</t>
        </is>
      </c>
      <c r="E241" s="2" t="inlineStr">
        <is>
          <t>SSAHE</t>
        </is>
      </c>
      <c r="F241" s="2" t="inlineStr">
        <is>
          <t>Drop</t>
        </is>
      </c>
      <c r="G241" s="2" t="inlineStr">
        <is>
          <t>Loan not required</t>
        </is>
      </c>
      <c r="H241" s="2" t="n"/>
      <c r="I241" s="2" t="n"/>
      <c r="J241" s="2" t="n"/>
      <c r="K241" s="2" t="n"/>
      <c r="L241" s="2" t="n"/>
      <c r="M241" s="2" t="n"/>
      <c r="N241" s="2" t="n"/>
      <c r="O241" s="2" t="n"/>
      <c r="P241" s="2" t="n"/>
      <c r="Q241" s="2" t="n"/>
      <c r="R241" s="2" t="n"/>
      <c r="S241" s="2" t="n"/>
      <c r="T241" s="2" t="inlineStr"/>
      <c r="U241" s="2" t="inlineStr">
        <is>
          <t>Refund</t>
        </is>
      </c>
      <c r="V241" s="2" t="inlineStr"/>
      <c r="W241" s="2" t="inlineStr"/>
      <c r="X241" s="2" t="n"/>
      <c r="Y241" s="2" t="n"/>
      <c r="Z241" s="2" t="n"/>
      <c r="AA241" s="2" t="inlineStr">
        <is>
          <t>Refund case</t>
        </is>
      </c>
      <c r="AB241" s="2" t="inlineStr">
        <is>
          <t>Refund case</t>
        </is>
      </c>
      <c r="AC241" s="2" t="n"/>
      <c r="AD241" s="2" t="n"/>
      <c r="AE241" s="2" t="n"/>
      <c r="AF241" s="2" t="n"/>
      <c r="AG241" s="2" t="n"/>
      <c r="AH241" s="2" t="n"/>
      <c r="AI241" s="2" t="n"/>
      <c r="AJ241" s="2" t="n"/>
      <c r="AK241" s="2" t="n"/>
      <c r="AL241" s="2" t="n"/>
      <c r="AM241" s="2" t="n"/>
      <c r="AN241" s="2" t="n"/>
      <c r="AO241" s="2" t="n"/>
      <c r="AP241" s="2" t="n"/>
      <c r="AQ241" s="2" t="n"/>
    </row>
    <row r="242">
      <c r="A242" t="n">
        <v>241</v>
      </c>
      <c r="B242" s="2" t="inlineStr">
        <is>
          <t>Shubham Kumar</t>
        </is>
      </c>
      <c r="C242" s="3" t="n">
        <v>9263564279</v>
      </c>
      <c r="D242" s="2" t="inlineStr">
        <is>
          <t>PROV260507012</t>
        </is>
      </c>
      <c r="E242" s="2" t="inlineStr">
        <is>
          <t>SSAHE</t>
        </is>
      </c>
      <c r="F242" s="2" t="inlineStr">
        <is>
          <t>No</t>
        </is>
      </c>
      <c r="G242" s="2" t="inlineStr">
        <is>
          <t>Loan not required</t>
        </is>
      </c>
      <c r="H242" s="2" t="n"/>
      <c r="I242" s="2" t="n"/>
      <c r="J242" s="2" t="n"/>
      <c r="K242" s="2" t="n"/>
      <c r="L242" s="2" t="n"/>
      <c r="M242" s="2" t="n"/>
      <c r="N242" s="2" t="n"/>
      <c r="O242" s="2" t="n"/>
      <c r="P242" s="2" t="n"/>
      <c r="Q242" s="2" t="n"/>
      <c r="R242" s="2" t="n"/>
      <c r="S242" s="2" t="n"/>
      <c r="T242" s="2" t="inlineStr"/>
      <c r="U242" s="2" t="inlineStr">
        <is>
          <t>No</t>
        </is>
      </c>
      <c r="V242" s="2" t="inlineStr"/>
      <c r="W242" s="2" t="inlineStr"/>
      <c r="X242" s="2" t="n"/>
      <c r="Y242" s="2" t="n"/>
      <c r="Z242" s="2" t="n"/>
      <c r="AA242" s="2" t="inlineStr">
        <is>
          <t>Not required</t>
        </is>
      </c>
      <c r="AB242" s="2" t="inlineStr">
        <is>
          <t>Not required</t>
        </is>
      </c>
      <c r="AC242" s="2" t="n"/>
      <c r="AD242" s="2" t="n"/>
      <c r="AE242" s="2" t="n"/>
      <c r="AF242" s="2" t="n"/>
      <c r="AG242" s="2" t="inlineStr">
        <is>
          <t>Not required</t>
        </is>
      </c>
      <c r="AH242" s="2" t="n"/>
      <c r="AI242" s="2" t="n"/>
      <c r="AJ242" s="2" t="n"/>
      <c r="AK242" s="2" t="n"/>
      <c r="AL242" s="2" t="n"/>
      <c r="AM242" s="2" t="n"/>
      <c r="AN242" s="2" t="n"/>
      <c r="AO242" s="2" t="n"/>
      <c r="AP242" s="2" t="n"/>
      <c r="AQ242" s="2" t="n"/>
    </row>
    <row r="243">
      <c r="A243" t="n">
        <v>242</v>
      </c>
      <c r="B243" s="2" t="inlineStr">
        <is>
          <t>Lakshya Jain</t>
        </is>
      </c>
      <c r="C243" s="3" t="n">
        <v>8690272875</v>
      </c>
      <c r="D243" s="2" t="inlineStr">
        <is>
          <t>PROV260501973</t>
        </is>
      </c>
      <c r="E243" s="2" t="inlineStr">
        <is>
          <t>SSAHE</t>
        </is>
      </c>
      <c r="F243" s="2" t="inlineStr">
        <is>
          <t>No</t>
        </is>
      </c>
      <c r="G243" s="2" t="inlineStr">
        <is>
          <t>Loan not required</t>
        </is>
      </c>
      <c r="H243" s="2" t="n"/>
      <c r="I243" s="2" t="n"/>
      <c r="J243" s="2" t="n"/>
      <c r="K243" s="2" t="n"/>
      <c r="L243" s="2" t="n"/>
      <c r="M243" s="2" t="n"/>
      <c r="N243" s="2" t="n"/>
      <c r="O243" s="2" t="n"/>
      <c r="P243" s="2" t="n"/>
      <c r="Q243" s="2" t="n"/>
      <c r="R243" s="2" t="n"/>
      <c r="S243" s="2" t="n"/>
      <c r="T243" s="2" t="inlineStr"/>
      <c r="U243" s="2" t="inlineStr">
        <is>
          <t>No</t>
        </is>
      </c>
      <c r="V243" s="2" t="inlineStr"/>
      <c r="W243" s="2" t="inlineStr"/>
      <c r="X243" s="2" t="n"/>
      <c r="Y243" s="2" t="n"/>
      <c r="Z243" s="2" t="n"/>
      <c r="AA243" s="2" t="inlineStr">
        <is>
          <t>Not required</t>
        </is>
      </c>
      <c r="AB243" s="2" t="inlineStr">
        <is>
          <t>Not required</t>
        </is>
      </c>
      <c r="AC243" s="2" t="n"/>
      <c r="AD243" s="2" t="n"/>
      <c r="AE243" s="2" t="n"/>
      <c r="AF243" s="2" t="n"/>
      <c r="AG243" s="2" t="inlineStr">
        <is>
          <t>Not required</t>
        </is>
      </c>
      <c r="AH243" s="2" t="n"/>
      <c r="AI243" s="2" t="n"/>
      <c r="AJ243" s="2" t="n"/>
      <c r="AK243" s="2" t="n"/>
      <c r="AL243" s="2" t="n"/>
      <c r="AM243" s="2" t="n"/>
      <c r="AN243" s="2" t="n"/>
      <c r="AO243" s="2" t="n"/>
      <c r="AP243" s="2" t="n"/>
      <c r="AQ243" s="2" t="n"/>
    </row>
    <row r="244">
      <c r="A244" t="n">
        <v>243</v>
      </c>
      <c r="B244" s="2" t="inlineStr">
        <is>
          <t>Rounak Dhamija</t>
        </is>
      </c>
      <c r="C244" s="3" t="n">
        <v>7982525025</v>
      </c>
      <c r="D244" s="2" t="inlineStr">
        <is>
          <t>PROV260609764</t>
        </is>
      </c>
      <c r="E244" s="2" t="inlineStr">
        <is>
          <t>SSAHE</t>
        </is>
      </c>
      <c r="F244" s="2" t="inlineStr">
        <is>
          <t>No</t>
        </is>
      </c>
      <c r="G244" s="2" t="inlineStr">
        <is>
          <t>Loan not required</t>
        </is>
      </c>
      <c r="H244" s="2" t="n"/>
      <c r="I244" s="2" t="n"/>
      <c r="J244" s="2" t="n"/>
      <c r="K244" s="2" t="n"/>
      <c r="L244" s="2" t="n"/>
      <c r="M244" s="2" t="n"/>
      <c r="N244" s="2" t="n"/>
      <c r="O244" s="2" t="n"/>
      <c r="P244" s="2" t="n"/>
      <c r="Q244" s="2" t="n"/>
      <c r="R244" s="2" t="n"/>
      <c r="S244" s="2" t="inlineStr">
        <is>
          <t>finance it on their own</t>
        </is>
      </c>
      <c r="T244" s="2" t="inlineStr"/>
      <c r="U244" s="2" t="inlineStr">
        <is>
          <t>No</t>
        </is>
      </c>
      <c r="V244" s="2" t="inlineStr"/>
      <c r="W244" s="2" t="inlineStr"/>
      <c r="X244" s="2" t="n"/>
      <c r="Y244" s="2" t="n"/>
      <c r="Z244" s="2" t="n"/>
      <c r="AA244" s="2" t="inlineStr">
        <is>
          <t>Not required</t>
        </is>
      </c>
      <c r="AB244" s="2" t="inlineStr">
        <is>
          <t>Not required</t>
        </is>
      </c>
      <c r="AC244" s="2" t="n"/>
      <c r="AD244" s="2" t="n"/>
      <c r="AE244" s="2" t="n"/>
      <c r="AF244" s="2" t="n"/>
      <c r="AG244" s="2" t="inlineStr">
        <is>
          <t>Not required</t>
        </is>
      </c>
      <c r="AH244" s="2" t="n"/>
      <c r="AI244" s="2" t="n"/>
      <c r="AJ244" s="2" t="n"/>
      <c r="AK244" s="2" t="n"/>
      <c r="AL244" s="2" t="n"/>
      <c r="AM244" s="2" t="n"/>
      <c r="AN244" s="2" t="n"/>
      <c r="AO244" s="2" t="n"/>
      <c r="AP244" s="2" t="n"/>
      <c r="AQ244" s="2" t="n"/>
    </row>
    <row r="245">
      <c r="A245" t="n">
        <v>244</v>
      </c>
      <c r="B245" s="2" t="inlineStr">
        <is>
          <t>Yug Dharmeshkumar Modi</t>
        </is>
      </c>
      <c r="C245" s="3" t="n">
        <v>9898849301</v>
      </c>
      <c r="D245" s="2" t="inlineStr">
        <is>
          <t>PROV260500221</t>
        </is>
      </c>
      <c r="E245" s="2" t="inlineStr">
        <is>
          <t>SSAHE</t>
        </is>
      </c>
      <c r="F245" s="2" t="inlineStr">
        <is>
          <t>Yes</t>
        </is>
      </c>
      <c r="G245" s="2" t="inlineStr">
        <is>
          <t xml:space="preserve">Non Critical </t>
        </is>
      </c>
      <c r="H245" s="2" t="n"/>
      <c r="I245" s="2" t="n"/>
      <c r="J245" s="2" t="n"/>
      <c r="K245" s="2" t="n"/>
      <c r="L245" s="2" t="n"/>
      <c r="M245" s="2" t="n"/>
      <c r="N245" s="2" t="n"/>
      <c r="O245" s="2" t="n"/>
      <c r="P245" s="2" t="n"/>
      <c r="Q245" s="2" t="n"/>
      <c r="R245" s="2" t="n"/>
      <c r="S245" s="2" t="inlineStr">
        <is>
          <t>arrange  from personal bank</t>
        </is>
      </c>
      <c r="T245" s="2" t="inlineStr">
        <is>
          <t>24/7 : Self fund</t>
        </is>
      </c>
      <c r="U245" s="2" t="inlineStr">
        <is>
          <t>No</t>
        </is>
      </c>
      <c r="V245" s="2" t="inlineStr"/>
      <c r="W245" s="2" t="inlineStr"/>
      <c r="X245" s="2" t="n"/>
      <c r="Y245" s="2" t="n"/>
      <c r="Z245" s="2" t="n"/>
      <c r="AA245" s="2" t="inlineStr">
        <is>
          <t>Not required</t>
        </is>
      </c>
      <c r="AB245" s="2" t="inlineStr">
        <is>
          <t>Not required</t>
        </is>
      </c>
      <c r="AC245" s="2" t="n"/>
      <c r="AD245" s="2" t="n"/>
      <c r="AE245" s="2" t="n"/>
      <c r="AF245" s="2" t="n"/>
      <c r="AG245" s="2" t="inlineStr">
        <is>
          <t>Not required</t>
        </is>
      </c>
      <c r="AH245" s="2" t="n"/>
      <c r="AI245" s="2" t="n"/>
      <c r="AJ245" s="2" t="n"/>
      <c r="AK245" s="2" t="n"/>
      <c r="AL245" s="2" t="n"/>
      <c r="AM245" s="2" t="n"/>
      <c r="AN245" s="2" t="n"/>
      <c r="AO245" s="2" t="n"/>
      <c r="AP245" s="2" t="n"/>
      <c r="AQ245" s="2" t="n"/>
    </row>
    <row r="246">
      <c r="A246" t="n">
        <v>245</v>
      </c>
      <c r="B246" s="2" t="inlineStr">
        <is>
          <t>Sameer kumar karn</t>
        </is>
      </c>
      <c r="C246" s="3" t="n">
        <v>9835560579</v>
      </c>
      <c r="D246" s="2" t="inlineStr">
        <is>
          <t>PROV260606138</t>
        </is>
      </c>
      <c r="E246" s="2" t="inlineStr">
        <is>
          <t>SSAHE</t>
        </is>
      </c>
      <c r="F246" s="2" t="inlineStr">
        <is>
          <t>No</t>
        </is>
      </c>
      <c r="G246" s="2" t="inlineStr">
        <is>
          <t>Loan not required</t>
        </is>
      </c>
      <c r="H246" s="2" t="n"/>
      <c r="I246" s="2" t="n"/>
      <c r="J246" s="2" t="n"/>
      <c r="K246" s="2" t="n"/>
      <c r="L246" s="2" t="n"/>
      <c r="M246" s="2" t="n"/>
      <c r="N246" s="2" t="n"/>
      <c r="O246" s="2" t="n"/>
      <c r="P246" s="2" t="n"/>
      <c r="Q246" s="2" t="n"/>
      <c r="R246" s="2" t="n"/>
      <c r="S246" s="2" t="n"/>
      <c r="T246" s="2" t="inlineStr"/>
      <c r="U246" s="2" t="inlineStr">
        <is>
          <t>No</t>
        </is>
      </c>
      <c r="V246" s="2" t="inlineStr"/>
      <c r="W246" s="2" t="inlineStr"/>
      <c r="X246" s="2" t="n"/>
      <c r="Y246" s="2" t="n"/>
      <c r="Z246" s="2" t="n"/>
      <c r="AA246" s="2" t="inlineStr">
        <is>
          <t>Not required</t>
        </is>
      </c>
      <c r="AB246" s="2" t="inlineStr">
        <is>
          <t>Not required</t>
        </is>
      </c>
      <c r="AC246" s="2" t="n"/>
      <c r="AD246" s="2" t="n"/>
      <c r="AE246" s="2" t="n"/>
      <c r="AF246" s="2" t="n"/>
      <c r="AG246" s="2" t="inlineStr">
        <is>
          <t>Not required</t>
        </is>
      </c>
      <c r="AH246" s="2" t="n"/>
      <c r="AI246" s="2" t="n"/>
      <c r="AJ246" s="2" t="n"/>
      <c r="AK246" s="2" t="n"/>
      <c r="AL246" s="2" t="n"/>
      <c r="AM246" s="2" t="n"/>
      <c r="AN246" s="2" t="n"/>
      <c r="AO246" s="2" t="n"/>
      <c r="AP246" s="2" t="n"/>
      <c r="AQ246" s="2" t="n"/>
    </row>
    <row r="247">
      <c r="A247" t="n">
        <v>246</v>
      </c>
      <c r="B247" s="2" t="inlineStr">
        <is>
          <t>Amish Chaudhary</t>
        </is>
      </c>
      <c r="C247" s="3" t="n">
        <v>7798847465</v>
      </c>
      <c r="D247" s="2" t="inlineStr">
        <is>
          <t>PROV260502589</t>
        </is>
      </c>
      <c r="E247" s="2" t="inlineStr">
        <is>
          <t>ADYPU</t>
        </is>
      </c>
      <c r="F247" s="2" t="inlineStr">
        <is>
          <t>No</t>
        </is>
      </c>
      <c r="G247" s="2" t="inlineStr">
        <is>
          <t>Loan not required</t>
        </is>
      </c>
      <c r="H247" s="2" t="n"/>
      <c r="I247" s="2" t="n"/>
      <c r="J247" s="2" t="n"/>
      <c r="K247" s="2" t="n"/>
      <c r="L247" s="2" t="n"/>
      <c r="M247" s="2" t="n"/>
      <c r="N247" s="2" t="n"/>
      <c r="O247" s="2" t="n"/>
      <c r="P247" s="2" t="n"/>
      <c r="Q247" s="2" t="n"/>
      <c r="R247" s="2" t="n"/>
      <c r="S247" s="2" t="inlineStr">
        <is>
          <t>NOT REQUIRED IN THE FIRST YEAR</t>
        </is>
      </c>
      <c r="T247" s="2" t="inlineStr"/>
      <c r="U247" s="2" t="inlineStr">
        <is>
          <t>No</t>
        </is>
      </c>
      <c r="V247" s="2" t="inlineStr"/>
      <c r="W247" s="2" t="inlineStr"/>
      <c r="X247" s="2" t="n"/>
      <c r="Y247" s="2" t="n"/>
      <c r="Z247" s="2" t="n"/>
      <c r="AA247" s="2" t="inlineStr">
        <is>
          <t>Not required</t>
        </is>
      </c>
      <c r="AB247" s="2" t="inlineStr">
        <is>
          <t>Not required</t>
        </is>
      </c>
      <c r="AC247" s="2" t="n"/>
      <c r="AD247" s="2" t="n"/>
      <c r="AE247" s="2" t="n"/>
      <c r="AF247" s="2" t="n"/>
      <c r="AG247" s="2" t="inlineStr">
        <is>
          <t>Not required</t>
        </is>
      </c>
      <c r="AH247" s="2" t="n"/>
      <c r="AI247" s="2" t="n"/>
      <c r="AJ247" s="2" t="n"/>
      <c r="AK247" s="2" t="n"/>
      <c r="AL247" s="2" t="n"/>
      <c r="AM247" s="2" t="n"/>
      <c r="AN247" s="2" t="n"/>
      <c r="AO247" s="2" t="n"/>
      <c r="AP247" s="2" t="n"/>
      <c r="AQ247" s="2" t="n"/>
    </row>
    <row r="248">
      <c r="A248" t="n">
        <v>247</v>
      </c>
      <c r="B248" s="2" t="inlineStr">
        <is>
          <t>Gurupreeti Mehra</t>
        </is>
      </c>
      <c r="C248" s="3" t="n">
        <v>9463344120</v>
      </c>
      <c r="D248" s="2" t="inlineStr">
        <is>
          <t>PROV260505540</t>
        </is>
      </c>
      <c r="E248" s="2" t="inlineStr">
        <is>
          <t>ADYPU</t>
        </is>
      </c>
      <c r="F248" s="2" t="inlineStr">
        <is>
          <t>No</t>
        </is>
      </c>
      <c r="G248" s="2" t="inlineStr">
        <is>
          <t>Loan not required</t>
        </is>
      </c>
      <c r="H248" s="2" t="n"/>
      <c r="I248" s="2" t="n"/>
      <c r="J248" s="2" t="n"/>
      <c r="K248" s="2" t="n"/>
      <c r="L248" s="2" t="n"/>
      <c r="M248" s="2" t="n"/>
      <c r="N248" s="2" t="n"/>
      <c r="O248" s="2" t="n"/>
      <c r="P248" s="2" t="n"/>
      <c r="Q248" s="2" t="n"/>
      <c r="R248" s="2" t="n"/>
      <c r="S248" s="2" t="inlineStr">
        <is>
          <t>will be paying through personal funds</t>
        </is>
      </c>
      <c r="T248" s="2" t="inlineStr"/>
      <c r="U248" s="2" t="inlineStr">
        <is>
          <t>No</t>
        </is>
      </c>
      <c r="V248" s="2" t="inlineStr"/>
      <c r="W248" s="2" t="inlineStr"/>
      <c r="X248" s="2" t="n"/>
      <c r="Y248" s="2" t="n"/>
      <c r="Z248" s="2" t="n"/>
      <c r="AA248" s="2" t="inlineStr">
        <is>
          <t>Not required</t>
        </is>
      </c>
      <c r="AB248" s="2" t="inlineStr">
        <is>
          <t>Not required</t>
        </is>
      </c>
      <c r="AC248" s="2" t="n"/>
      <c r="AD248" s="2" t="n"/>
      <c r="AE248" s="2" t="n"/>
      <c r="AF248" s="2" t="n"/>
      <c r="AG248" s="2" t="inlineStr">
        <is>
          <t>Not required</t>
        </is>
      </c>
      <c r="AH248" s="2" t="n"/>
      <c r="AI248" s="2" t="n"/>
      <c r="AJ248" s="2" t="n"/>
      <c r="AK248" s="2" t="n"/>
      <c r="AL248" s="2" t="n"/>
      <c r="AM248" s="2" t="n"/>
      <c r="AN248" s="2" t="n"/>
      <c r="AO248" s="2" t="n"/>
      <c r="AP248" s="2" t="n"/>
      <c r="AQ248" s="2" t="n"/>
    </row>
    <row r="249">
      <c r="A249" t="n">
        <v>248</v>
      </c>
      <c r="B249" s="2" t="inlineStr">
        <is>
          <t>Kansodiya Kavya Nileshkumar</t>
        </is>
      </c>
      <c r="C249" s="3" t="n">
        <v>9106886138</v>
      </c>
      <c r="D249" s="2" t="inlineStr">
        <is>
          <t>PROV1000000396</t>
        </is>
      </c>
      <c r="E249" s="2" t="inlineStr">
        <is>
          <t>ADYPU</t>
        </is>
      </c>
      <c r="F249" s="2" t="inlineStr">
        <is>
          <t>No</t>
        </is>
      </c>
      <c r="G249" s="2" t="inlineStr">
        <is>
          <t>Loan not required</t>
        </is>
      </c>
      <c r="H249" s="2" t="n"/>
      <c r="I249" s="2" t="n"/>
      <c r="J249" s="2" t="n"/>
      <c r="K249" s="2" t="n"/>
      <c r="L249" s="2" t="n"/>
      <c r="M249" s="2" t="n"/>
      <c r="N249" s="2" t="n"/>
      <c r="O249" s="2" t="n"/>
      <c r="P249" s="2" t="n"/>
      <c r="Q249" s="2" t="n"/>
      <c r="R249" s="2" t="n"/>
      <c r="S249" s="2" t="inlineStr">
        <is>
          <t>will be paying through personal funds</t>
        </is>
      </c>
      <c r="T249" s="2" t="inlineStr"/>
      <c r="U249" s="2" t="inlineStr">
        <is>
          <t>No</t>
        </is>
      </c>
      <c r="V249" s="2" t="inlineStr"/>
      <c r="W249" s="2" t="inlineStr"/>
      <c r="X249" s="2" t="n"/>
      <c r="Y249" s="2" t="n"/>
      <c r="Z249" s="2" t="n"/>
      <c r="AA249" s="2" t="inlineStr">
        <is>
          <t>Not required</t>
        </is>
      </c>
      <c r="AB249" s="2" t="inlineStr">
        <is>
          <t>Not required</t>
        </is>
      </c>
      <c r="AC249" s="2" t="n"/>
      <c r="AD249" s="2" t="n"/>
      <c r="AE249" s="2" t="n"/>
      <c r="AF249" s="2" t="n"/>
      <c r="AG249" s="2" t="inlineStr">
        <is>
          <t>Not required</t>
        </is>
      </c>
      <c r="AH249" s="2" t="n"/>
      <c r="AI249" s="2" t="n"/>
      <c r="AJ249" s="2" t="n"/>
      <c r="AK249" s="2" t="n"/>
      <c r="AL249" s="2" t="n"/>
      <c r="AM249" s="2" t="n"/>
      <c r="AN249" s="2" t="n"/>
      <c r="AO249" s="2" t="n"/>
      <c r="AP249" s="2" t="n"/>
      <c r="AQ249" s="2" t="n"/>
    </row>
    <row r="250">
      <c r="A250" t="n">
        <v>249</v>
      </c>
      <c r="B250" s="2" t="inlineStr">
        <is>
          <t>Kumar Rishabh  Aryan</t>
        </is>
      </c>
      <c r="C250" s="3" t="n">
        <v>6205729528</v>
      </c>
      <c r="D250" s="2" t="inlineStr">
        <is>
          <t>PROV260606250</t>
        </is>
      </c>
      <c r="E250" s="2" t="inlineStr">
        <is>
          <t>ADYPU</t>
        </is>
      </c>
      <c r="F250" s="2" t="inlineStr">
        <is>
          <t>No</t>
        </is>
      </c>
      <c r="G250" s="2" t="inlineStr">
        <is>
          <t>Loan not required</t>
        </is>
      </c>
      <c r="H250" s="2" t="n"/>
      <c r="I250" s="2" t="n"/>
      <c r="J250" s="2" t="n"/>
      <c r="K250" s="2" t="n"/>
      <c r="L250" s="2" t="n"/>
      <c r="M250" s="2" t="n"/>
      <c r="N250" s="2" t="n"/>
      <c r="O250" s="2" t="n"/>
      <c r="P250" s="2" t="n"/>
      <c r="Q250" s="2" t="n"/>
      <c r="R250" s="2" t="n"/>
      <c r="S250" s="2" t="n"/>
      <c r="T250" s="2" t="inlineStr"/>
      <c r="U250" s="2" t="inlineStr">
        <is>
          <t>No</t>
        </is>
      </c>
      <c r="V250" s="2" t="inlineStr"/>
      <c r="W250" s="2" t="inlineStr"/>
      <c r="X250" s="2" t="n"/>
      <c r="Y250" s="2" t="n"/>
      <c r="Z250" s="2" t="n"/>
      <c r="AA250" s="2" t="inlineStr">
        <is>
          <t>Not required</t>
        </is>
      </c>
      <c r="AB250" s="2" t="inlineStr">
        <is>
          <t>Not required</t>
        </is>
      </c>
      <c r="AC250" s="2" t="n"/>
      <c r="AD250" s="2" t="n"/>
      <c r="AE250" s="2" t="n"/>
      <c r="AF250" s="2" t="n"/>
      <c r="AG250" s="2" t="inlineStr">
        <is>
          <t>Not required</t>
        </is>
      </c>
      <c r="AH250" s="2" t="n"/>
      <c r="AI250" s="2" t="n"/>
      <c r="AJ250" s="2" t="n"/>
      <c r="AK250" s="2" t="n"/>
      <c r="AL250" s="2" t="n"/>
      <c r="AM250" s="2" t="n"/>
      <c r="AN250" s="2" t="n"/>
      <c r="AO250" s="2" t="n"/>
      <c r="AP250" s="2" t="n"/>
      <c r="AQ250" s="2" t="n"/>
    </row>
    <row r="251">
      <c r="A251" t="n">
        <v>250</v>
      </c>
      <c r="B251" s="2" t="inlineStr">
        <is>
          <t>Saksham Mishra</t>
        </is>
      </c>
      <c r="C251" s="3" t="n">
        <v>7755997043</v>
      </c>
      <c r="D251" s="2" t="inlineStr">
        <is>
          <t>PROV260600328</t>
        </is>
      </c>
      <c r="E251" s="2" t="inlineStr">
        <is>
          <t>ADYPU</t>
        </is>
      </c>
      <c r="F251" s="2" t="inlineStr">
        <is>
          <t>No</t>
        </is>
      </c>
      <c r="G251" s="2" t="inlineStr">
        <is>
          <t>Loan not required</t>
        </is>
      </c>
      <c r="H251" s="2" t="n"/>
      <c r="I251" s="2" t="n"/>
      <c r="J251" s="2" t="n"/>
      <c r="K251" s="2" t="n"/>
      <c r="L251" s="2" t="n"/>
      <c r="M251" s="2" t="n"/>
      <c r="N251" s="2" t="n"/>
      <c r="O251" s="2" t="n"/>
      <c r="P251" s="2" t="n"/>
      <c r="Q251" s="2" t="n"/>
      <c r="R251" s="2" t="n"/>
      <c r="S251" s="2" t="n"/>
      <c r="T251" s="2" t="inlineStr"/>
      <c r="U251" s="2" t="inlineStr">
        <is>
          <t>No</t>
        </is>
      </c>
      <c r="V251" s="2" t="inlineStr"/>
      <c r="W251" s="2" t="inlineStr"/>
      <c r="X251" s="2" t="n"/>
      <c r="Y251" s="2" t="n"/>
      <c r="Z251" s="2" t="n"/>
      <c r="AA251" s="2" t="inlineStr">
        <is>
          <t>Not required</t>
        </is>
      </c>
      <c r="AB251" s="2" t="inlineStr">
        <is>
          <t>Not required</t>
        </is>
      </c>
      <c r="AC251" s="2" t="n"/>
      <c r="AD251" s="2" t="n"/>
      <c r="AE251" s="2" t="n"/>
      <c r="AF251" s="2" t="n"/>
      <c r="AG251" s="2" t="inlineStr">
        <is>
          <t>Not required</t>
        </is>
      </c>
      <c r="AH251" s="2" t="n"/>
      <c r="AI251" s="2" t="n"/>
      <c r="AJ251" s="2" t="n"/>
      <c r="AK251" s="2" t="n"/>
      <c r="AL251" s="2" t="n"/>
      <c r="AM251" s="2" t="n"/>
      <c r="AN251" s="2" t="n"/>
      <c r="AO251" s="2" t="n"/>
      <c r="AP251" s="2" t="n"/>
      <c r="AQ251" s="2" t="n"/>
    </row>
    <row r="252">
      <c r="A252" t="n">
        <v>251</v>
      </c>
      <c r="B252" s="2" t="inlineStr">
        <is>
          <t>VAIBHAV PRASHANT PATIL</t>
        </is>
      </c>
      <c r="C252" s="3" t="n">
        <v>9834690290</v>
      </c>
      <c r="D252" s="2" t="inlineStr">
        <is>
          <t>PROV260505132</t>
        </is>
      </c>
      <c r="E252" s="2" t="inlineStr">
        <is>
          <t>ADYPU</t>
        </is>
      </c>
      <c r="F252" s="2" t="inlineStr">
        <is>
          <t>No</t>
        </is>
      </c>
      <c r="G252" s="2" t="inlineStr">
        <is>
          <t>Loan not required</t>
        </is>
      </c>
      <c r="H252" s="2" t="n"/>
      <c r="I252" s="2" t="n"/>
      <c r="J252" s="2" t="n"/>
      <c r="K252" s="2" t="n"/>
      <c r="L252" s="2" t="n"/>
      <c r="M252" s="2" t="n"/>
      <c r="N252" s="2" t="n"/>
      <c r="O252" s="2" t="n"/>
      <c r="P252" s="2" t="n"/>
      <c r="Q252" s="2" t="n"/>
      <c r="R252" s="2" t="n"/>
      <c r="S252" s="2" t="n"/>
      <c r="T252" s="2" t="inlineStr"/>
      <c r="U252" s="2" t="inlineStr">
        <is>
          <t>No</t>
        </is>
      </c>
      <c r="V252" s="2" t="inlineStr"/>
      <c r="W252" s="2" t="inlineStr"/>
      <c r="X252" s="2" t="n"/>
      <c r="Y252" s="2" t="n"/>
      <c r="Z252" s="2" t="n"/>
      <c r="AA252" s="2" t="inlineStr">
        <is>
          <t>Not required</t>
        </is>
      </c>
      <c r="AB252" s="2" t="inlineStr">
        <is>
          <t>Not required</t>
        </is>
      </c>
      <c r="AC252" s="2" t="n"/>
      <c r="AD252" s="2" t="n"/>
      <c r="AE252" s="2" t="n"/>
      <c r="AF252" s="2" t="n"/>
      <c r="AG252" s="2" t="inlineStr">
        <is>
          <t>Not required</t>
        </is>
      </c>
      <c r="AH252" s="2" t="n"/>
      <c r="AI252" s="2" t="n"/>
      <c r="AJ252" s="2" t="n"/>
      <c r="AK252" s="2" t="n"/>
      <c r="AL252" s="2" t="n"/>
      <c r="AM252" s="2" t="n"/>
      <c r="AN252" s="2" t="n"/>
      <c r="AO252" s="2" t="n"/>
      <c r="AP252" s="2" t="n"/>
      <c r="AQ252" s="2" t="n"/>
    </row>
    <row r="253">
      <c r="A253" t="n">
        <v>252</v>
      </c>
      <c r="B253" s="2" t="inlineStr">
        <is>
          <t>Trisha Patidar</t>
        </is>
      </c>
      <c r="C253" s="3" t="n">
        <v>9669830280</v>
      </c>
      <c r="D253" s="2" t="inlineStr">
        <is>
          <t>PROV260608788</t>
        </is>
      </c>
      <c r="E253" s="2" t="inlineStr">
        <is>
          <t>ADYPU</t>
        </is>
      </c>
      <c r="F253" s="2" t="inlineStr">
        <is>
          <t>No</t>
        </is>
      </c>
      <c r="G253" s="2" t="inlineStr">
        <is>
          <t>Loan not required</t>
        </is>
      </c>
      <c r="H253" s="2" t="n"/>
      <c r="I253" s="2" t="n"/>
      <c r="J253" s="2" t="n"/>
      <c r="K253" s="2" t="n"/>
      <c r="L253" s="2" t="n"/>
      <c r="M253" s="2" t="n"/>
      <c r="N253" s="2" t="n"/>
      <c r="O253" s="2" t="n"/>
      <c r="P253" s="2" t="n"/>
      <c r="Q253" s="2" t="n"/>
      <c r="R253" s="2" t="n"/>
      <c r="S253" s="2" t="n"/>
      <c r="T253" s="2" t="inlineStr"/>
      <c r="U253" s="2" t="inlineStr">
        <is>
          <t>No</t>
        </is>
      </c>
      <c r="V253" s="2" t="inlineStr"/>
      <c r="W253" s="2" t="inlineStr"/>
      <c r="X253" s="2" t="n"/>
      <c r="Y253" s="2" t="n"/>
      <c r="Z253" s="2" t="n"/>
      <c r="AA253" s="2" t="inlineStr">
        <is>
          <t>Not required</t>
        </is>
      </c>
      <c r="AB253" s="2" t="inlineStr">
        <is>
          <t>Not required</t>
        </is>
      </c>
      <c r="AC253" s="2" t="n"/>
      <c r="AD253" s="2" t="n"/>
      <c r="AE253" s="2" t="n"/>
      <c r="AF253" s="2" t="n"/>
      <c r="AG253" s="2" t="inlineStr">
        <is>
          <t>Not required</t>
        </is>
      </c>
      <c r="AH253" s="2" t="n"/>
      <c r="AI253" s="2" t="n"/>
      <c r="AJ253" s="2" t="n"/>
      <c r="AK253" s="2" t="n"/>
      <c r="AL253" s="2" t="n"/>
      <c r="AM253" s="2" t="n"/>
      <c r="AN253" s="2" t="n"/>
      <c r="AO253" s="2" t="n"/>
      <c r="AP253" s="2" t="n"/>
      <c r="AQ253" s="2" t="n"/>
    </row>
    <row r="254">
      <c r="A254" t="n">
        <v>253</v>
      </c>
      <c r="B254" s="2" t="inlineStr">
        <is>
          <t>BHAVYA HITESH SHAH</t>
        </is>
      </c>
      <c r="C254" s="3" t="n">
        <v>9372880356</v>
      </c>
      <c r="D254" s="2" t="inlineStr">
        <is>
          <t>PROV260607623</t>
        </is>
      </c>
      <c r="E254" s="2" t="inlineStr">
        <is>
          <t>ADYPU</t>
        </is>
      </c>
      <c r="F254" s="2" t="inlineStr">
        <is>
          <t>No</t>
        </is>
      </c>
      <c r="G254" s="2" t="inlineStr">
        <is>
          <t>Loan not required</t>
        </is>
      </c>
      <c r="H254" s="2" t="n"/>
      <c r="I254" s="2" t="n"/>
      <c r="J254" s="2" t="n"/>
      <c r="K254" s="2" t="n"/>
      <c r="L254" s="2" t="n"/>
      <c r="M254" s="2" t="n"/>
      <c r="N254" s="2" t="n"/>
      <c r="O254" s="2" t="n"/>
      <c r="P254" s="2" t="n"/>
      <c r="Q254" s="2" t="n"/>
      <c r="R254" s="2" t="n"/>
      <c r="S254" s="2" t="n"/>
      <c r="T254" s="2" t="inlineStr"/>
      <c r="U254" s="2" t="inlineStr">
        <is>
          <t>No</t>
        </is>
      </c>
      <c r="V254" s="2" t="inlineStr"/>
      <c r="W254" s="2" t="inlineStr"/>
      <c r="X254" s="2" t="n"/>
      <c r="Y254" s="2" t="n"/>
      <c r="Z254" s="2" t="n"/>
      <c r="AA254" s="2" t="inlineStr">
        <is>
          <t>Not required</t>
        </is>
      </c>
      <c r="AB254" s="2" t="inlineStr">
        <is>
          <t>Not required</t>
        </is>
      </c>
      <c r="AC254" s="2" t="n"/>
      <c r="AD254" s="2" t="n"/>
      <c r="AE254" s="2" t="n"/>
      <c r="AF254" s="2" t="n"/>
      <c r="AG254" s="2" t="inlineStr">
        <is>
          <t>Not required</t>
        </is>
      </c>
      <c r="AH254" s="2" t="n"/>
      <c r="AI254" s="2" t="n"/>
      <c r="AJ254" s="2" t="n"/>
      <c r="AK254" s="2" t="n"/>
      <c r="AL254" s="2" t="n"/>
      <c r="AM254" s="2" t="n"/>
      <c r="AN254" s="2" t="n"/>
      <c r="AO254" s="2" t="n"/>
      <c r="AP254" s="2" t="n"/>
      <c r="AQ254" s="2" t="n"/>
    </row>
    <row r="255">
      <c r="A255" t="n">
        <v>254</v>
      </c>
      <c r="B255" s="2" t="inlineStr">
        <is>
          <t>Susheel sharma</t>
        </is>
      </c>
      <c r="C255" s="3" t="n">
        <v>9179698047</v>
      </c>
      <c r="D255" s="2" t="inlineStr">
        <is>
          <t>PROV260611425</t>
        </is>
      </c>
      <c r="E255" s="2" t="inlineStr">
        <is>
          <t>ADYPU</t>
        </is>
      </c>
      <c r="F255" s="2" t="inlineStr">
        <is>
          <t>No</t>
        </is>
      </c>
      <c r="G255" s="2" t="inlineStr">
        <is>
          <t>Loan not required</t>
        </is>
      </c>
      <c r="H255" s="2" t="n"/>
      <c r="I255" s="2" t="n"/>
      <c r="J255" s="2" t="n"/>
      <c r="K255" s="2" t="n"/>
      <c r="L255" s="2" t="n"/>
      <c r="M255" s="2" t="n"/>
      <c r="N255" s="2" t="n"/>
      <c r="O255" s="2" t="n"/>
      <c r="P255" s="2" t="n"/>
      <c r="Q255" s="2" t="n"/>
      <c r="R255" s="2" t="n"/>
      <c r="S255" s="2" t="n"/>
      <c r="T255" s="2" t="inlineStr"/>
      <c r="U255" s="2" t="inlineStr">
        <is>
          <t>No</t>
        </is>
      </c>
      <c r="V255" s="2" t="inlineStr"/>
      <c r="W255" s="2" t="inlineStr"/>
      <c r="X255" s="2" t="n"/>
      <c r="Y255" s="2" t="n"/>
      <c r="Z255" s="2" t="n"/>
      <c r="AA255" s="2" t="inlineStr">
        <is>
          <t>Not required</t>
        </is>
      </c>
      <c r="AB255" s="2" t="inlineStr">
        <is>
          <t>Not required</t>
        </is>
      </c>
      <c r="AC255" s="2" t="n"/>
      <c r="AD255" s="2" t="n"/>
      <c r="AE255" s="2" t="n"/>
      <c r="AF255" s="2" t="n"/>
      <c r="AG255" s="2" t="inlineStr">
        <is>
          <t>Not required</t>
        </is>
      </c>
      <c r="AH255" s="2" t="n"/>
      <c r="AI255" s="2" t="n"/>
      <c r="AJ255" s="2" t="n"/>
      <c r="AK255" s="2" t="n"/>
      <c r="AL255" s="2" t="n"/>
      <c r="AM255" s="2" t="n"/>
      <c r="AN255" s="2" t="n"/>
      <c r="AO255" s="2" t="n"/>
      <c r="AP255" s="2" t="n"/>
      <c r="AQ255" s="2" t="n"/>
    </row>
    <row r="256">
      <c r="A256" t="n">
        <v>255</v>
      </c>
      <c r="B256" s="2" t="inlineStr">
        <is>
          <t>Tanay chavan</t>
        </is>
      </c>
      <c r="C256" s="3" t="n">
        <v>7058651806</v>
      </c>
      <c r="D256" s="2" t="inlineStr">
        <is>
          <t>PROV260502680</t>
        </is>
      </c>
      <c r="E256" s="2" t="inlineStr">
        <is>
          <t>ADYPU</t>
        </is>
      </c>
      <c r="F256" s="2" t="inlineStr">
        <is>
          <t>No</t>
        </is>
      </c>
      <c r="G256" s="2" t="inlineStr">
        <is>
          <t>Loan not required</t>
        </is>
      </c>
      <c r="H256" s="2" t="n"/>
      <c r="I256" s="2" t="n"/>
      <c r="J256" s="2" t="n"/>
      <c r="K256" s="2" t="n"/>
      <c r="L256" s="2" t="n"/>
      <c r="M256" s="2" t="n"/>
      <c r="N256" s="2" t="n"/>
      <c r="O256" s="2" t="n"/>
      <c r="P256" s="2" t="n"/>
      <c r="Q256" s="2" t="n"/>
      <c r="R256" s="2" t="n"/>
      <c r="S256" s="2" t="n"/>
      <c r="T256" s="2" t="inlineStr"/>
      <c r="U256" s="2" t="inlineStr">
        <is>
          <t>No</t>
        </is>
      </c>
      <c r="V256" s="2" t="inlineStr"/>
      <c r="W256" s="2" t="inlineStr"/>
      <c r="X256" s="2" t="n"/>
      <c r="Y256" s="2" t="n"/>
      <c r="Z256" s="2" t="n"/>
      <c r="AA256" s="2" t="inlineStr">
        <is>
          <t>Not required</t>
        </is>
      </c>
      <c r="AB256" s="2" t="inlineStr">
        <is>
          <t>Not required</t>
        </is>
      </c>
      <c r="AC256" s="2" t="n"/>
      <c r="AD256" s="2" t="n"/>
      <c r="AE256" s="2" t="n"/>
      <c r="AF256" s="2" t="n"/>
      <c r="AG256" s="2" t="inlineStr">
        <is>
          <t>Not required</t>
        </is>
      </c>
      <c r="AH256" s="2" t="n"/>
      <c r="AI256" s="2" t="n"/>
      <c r="AJ256" s="2" t="n"/>
      <c r="AK256" s="2" t="n"/>
      <c r="AL256" s="2" t="n"/>
      <c r="AM256" s="2" t="n"/>
      <c r="AN256" s="2" t="n"/>
      <c r="AO256" s="2" t="n"/>
      <c r="AP256" s="2" t="n"/>
      <c r="AQ256" s="2" t="n"/>
    </row>
    <row r="257">
      <c r="A257" t="n">
        <v>256</v>
      </c>
      <c r="B257" s="2" t="inlineStr">
        <is>
          <t>kumari smriti</t>
        </is>
      </c>
      <c r="C257" s="3" t="n">
        <v>9229157353</v>
      </c>
      <c r="D257" s="2" t="inlineStr">
        <is>
          <t>PROV260611882</t>
        </is>
      </c>
      <c r="E257" s="2" t="inlineStr">
        <is>
          <t>ADYPU</t>
        </is>
      </c>
      <c r="F257" s="2" t="inlineStr">
        <is>
          <t>No</t>
        </is>
      </c>
      <c r="G257" s="2" t="inlineStr">
        <is>
          <t>Loan not required</t>
        </is>
      </c>
      <c r="H257" s="2" t="n"/>
      <c r="I257" s="2" t="n"/>
      <c r="J257" s="2" t="n"/>
      <c r="K257" s="2" t="n"/>
      <c r="L257" s="2" t="n"/>
      <c r="M257" s="2" t="n"/>
      <c r="N257" s="2" t="n"/>
      <c r="O257" s="2" t="n"/>
      <c r="P257" s="2" t="n"/>
      <c r="Q257" s="2" t="n"/>
      <c r="R257" s="2" t="n"/>
      <c r="S257" s="2" t="n"/>
      <c r="T257" s="2" t="inlineStr"/>
      <c r="U257" s="2" t="inlineStr">
        <is>
          <t>No</t>
        </is>
      </c>
      <c r="V257" s="2" t="inlineStr"/>
      <c r="W257" s="2" t="inlineStr"/>
      <c r="X257" s="2" t="n"/>
      <c r="Y257" s="2" t="n"/>
      <c r="Z257" s="2" t="n"/>
      <c r="AA257" s="2" t="inlineStr">
        <is>
          <t>Not required</t>
        </is>
      </c>
      <c r="AB257" s="2" t="inlineStr">
        <is>
          <t>Not required</t>
        </is>
      </c>
      <c r="AC257" s="2" t="n"/>
      <c r="AD257" s="2" t="n"/>
      <c r="AE257" s="2" t="n"/>
      <c r="AF257" s="2" t="n"/>
      <c r="AG257" s="2" t="inlineStr">
        <is>
          <t>Not required</t>
        </is>
      </c>
      <c r="AH257" s="2" t="n"/>
      <c r="AI257" s="2" t="n"/>
      <c r="AJ257" s="2" t="n"/>
      <c r="AK257" s="2" t="n"/>
      <c r="AL257" s="2" t="n"/>
      <c r="AM257" s="2" t="n"/>
      <c r="AN257" s="2" t="n"/>
      <c r="AO257" s="2" t="n"/>
      <c r="AP257" s="2" t="n"/>
      <c r="AQ257" s="2" t="n"/>
    </row>
    <row r="258">
      <c r="A258" t="n">
        <v>257</v>
      </c>
      <c r="B258" s="2" t="inlineStr">
        <is>
          <t>Gul Bajaj</t>
        </is>
      </c>
      <c r="C258" s="3" t="n">
        <v>9336003713</v>
      </c>
      <c r="D258" s="2" t="inlineStr">
        <is>
          <t>PROV260610444</t>
        </is>
      </c>
      <c r="E258" s="2" t="inlineStr">
        <is>
          <t>SSAHE</t>
        </is>
      </c>
      <c r="F258" s="2" t="inlineStr">
        <is>
          <t>No</t>
        </is>
      </c>
      <c r="G258" s="2" t="inlineStr">
        <is>
          <t>Loan not required</t>
        </is>
      </c>
      <c r="H258" s="2" t="n"/>
      <c r="I258" s="2" t="n"/>
      <c r="J258" s="2" t="n"/>
      <c r="K258" s="2" t="n"/>
      <c r="L258" s="2" t="n"/>
      <c r="M258" s="2" t="n"/>
      <c r="N258" s="2" t="n"/>
      <c r="O258" s="2" t="n"/>
      <c r="P258" s="2" t="n"/>
      <c r="Q258" s="2" t="n"/>
      <c r="R258" s="2" t="n"/>
      <c r="S258" s="2" t="n"/>
      <c r="T258" s="2" t="inlineStr"/>
      <c r="U258" s="2" t="inlineStr">
        <is>
          <t>No</t>
        </is>
      </c>
      <c r="V258" s="2" t="inlineStr"/>
      <c r="W258" s="2" t="inlineStr"/>
      <c r="X258" s="2" t="n"/>
      <c r="Y258" s="2" t="n"/>
      <c r="Z258" s="2" t="n"/>
      <c r="AA258" s="2" t="inlineStr">
        <is>
          <t>Not required</t>
        </is>
      </c>
      <c r="AB258" s="2" t="inlineStr">
        <is>
          <t>Not required</t>
        </is>
      </c>
      <c r="AC258" s="2" t="n"/>
      <c r="AD258" s="2" t="n"/>
      <c r="AE258" s="2" t="n"/>
      <c r="AF258" s="2" t="n"/>
      <c r="AG258" s="2" t="inlineStr">
        <is>
          <t>Not required</t>
        </is>
      </c>
      <c r="AH258" s="2" t="n"/>
      <c r="AI258" s="2" t="n"/>
      <c r="AJ258" s="2" t="n"/>
      <c r="AK258" s="2" t="n"/>
      <c r="AL258" s="2" t="n"/>
      <c r="AM258" s="2" t="n"/>
      <c r="AN258" s="2" t="n"/>
      <c r="AO258" s="2" t="n"/>
      <c r="AP258" s="2" t="n"/>
      <c r="AQ258" s="2" t="n"/>
    </row>
    <row r="259">
      <c r="A259" t="n">
        <v>258</v>
      </c>
      <c r="B259" s="2" t="inlineStr">
        <is>
          <t>Joy Koley</t>
        </is>
      </c>
      <c r="C259" s="3" t="n">
        <v>9831700412</v>
      </c>
      <c r="D259" s="2" t="inlineStr">
        <is>
          <t>PROV260503049</t>
        </is>
      </c>
      <c r="E259" s="2" t="inlineStr">
        <is>
          <t>SSAHE</t>
        </is>
      </c>
      <c r="F259" s="2" t="inlineStr">
        <is>
          <t>No</t>
        </is>
      </c>
      <c r="G259" s="2" t="inlineStr">
        <is>
          <t>Loan not required</t>
        </is>
      </c>
      <c r="H259" s="2" t="n"/>
      <c r="I259" s="2" t="n"/>
      <c r="J259" s="2" t="n"/>
      <c r="K259" s="2" t="n"/>
      <c r="L259" s="2" t="n"/>
      <c r="M259" s="2" t="n"/>
      <c r="N259" s="2" t="n"/>
      <c r="O259" s="2" t="n"/>
      <c r="P259" s="2" t="n"/>
      <c r="Q259" s="2" t="n"/>
      <c r="R259" s="2" t="n"/>
      <c r="S259" s="2" t="n"/>
      <c r="T259" s="2" t="inlineStr"/>
      <c r="U259" s="2" t="inlineStr">
        <is>
          <t>No</t>
        </is>
      </c>
      <c r="V259" s="2" t="inlineStr"/>
      <c r="W259" s="2" t="inlineStr"/>
      <c r="X259" s="2" t="n"/>
      <c r="Y259" s="2" t="n"/>
      <c r="Z259" s="2" t="n"/>
      <c r="AA259" s="2" t="inlineStr">
        <is>
          <t>Not required</t>
        </is>
      </c>
      <c r="AB259" s="2" t="inlineStr">
        <is>
          <t>Not required</t>
        </is>
      </c>
      <c r="AC259" s="2" t="n"/>
      <c r="AD259" s="2" t="n"/>
      <c r="AE259" s="2" t="n"/>
      <c r="AF259" s="2" t="n"/>
      <c r="AG259" s="2" t="inlineStr">
        <is>
          <t>Not required</t>
        </is>
      </c>
      <c r="AH259" s="2" t="n"/>
      <c r="AI259" s="2" t="n"/>
      <c r="AJ259" s="2" t="n"/>
      <c r="AK259" s="2" t="n"/>
      <c r="AL259" s="2" t="n"/>
      <c r="AM259" s="2" t="n"/>
      <c r="AN259" s="2" t="n"/>
      <c r="AO259" s="2" t="n"/>
      <c r="AP259" s="2" t="n"/>
      <c r="AQ259" s="2" t="n"/>
    </row>
    <row r="260">
      <c r="A260" t="n">
        <v>259</v>
      </c>
      <c r="B260" s="2" t="inlineStr">
        <is>
          <t>Sahil kumar</t>
        </is>
      </c>
      <c r="C260" s="3" t="n">
        <v>9777675552</v>
      </c>
      <c r="D260" s="2" t="inlineStr">
        <is>
          <t>PROV260611315</t>
        </is>
      </c>
      <c r="E260" s="2" t="inlineStr">
        <is>
          <t>SSAHE</t>
        </is>
      </c>
      <c r="F260" s="2" t="inlineStr">
        <is>
          <t>No</t>
        </is>
      </c>
      <c r="G260" s="2" t="inlineStr">
        <is>
          <t>Loan not required</t>
        </is>
      </c>
      <c r="H260" s="2" t="n"/>
      <c r="I260" s="2" t="n"/>
      <c r="J260" s="2" t="n"/>
      <c r="K260" s="2" t="n"/>
      <c r="L260" s="2" t="n"/>
      <c r="M260" s="2" t="n"/>
      <c r="N260" s="2" t="n"/>
      <c r="O260" s="2" t="n"/>
      <c r="P260" s="2" t="n"/>
      <c r="Q260" s="2" t="n"/>
      <c r="R260" s="2" t="n"/>
      <c r="S260" s="2" t="n"/>
      <c r="T260" s="2" t="inlineStr"/>
      <c r="U260" s="2" t="inlineStr">
        <is>
          <t>No</t>
        </is>
      </c>
      <c r="V260" s="2" t="inlineStr"/>
      <c r="W260" s="2" t="inlineStr"/>
      <c r="X260" s="2" t="n"/>
      <c r="Y260" s="2" t="n"/>
      <c r="Z260" s="2" t="n"/>
      <c r="AA260" s="2" t="inlineStr">
        <is>
          <t>Not required</t>
        </is>
      </c>
      <c r="AB260" s="2" t="inlineStr">
        <is>
          <t>Not required</t>
        </is>
      </c>
      <c r="AC260" s="2" t="n"/>
      <c r="AD260" s="2" t="n"/>
      <c r="AE260" s="2" t="n"/>
      <c r="AF260" s="2" t="n"/>
      <c r="AG260" s="2" t="inlineStr">
        <is>
          <t>Not required</t>
        </is>
      </c>
      <c r="AH260" s="2" t="n"/>
      <c r="AI260" s="2" t="n"/>
      <c r="AJ260" s="2" t="n"/>
      <c r="AK260" s="2" t="n"/>
      <c r="AL260" s="2" t="n"/>
      <c r="AM260" s="2" t="n"/>
      <c r="AN260" s="2" t="n"/>
      <c r="AO260" s="2" t="n"/>
      <c r="AP260" s="2" t="n"/>
      <c r="AQ260" s="2" t="n"/>
    </row>
    <row r="261">
      <c r="A261" t="n">
        <v>260</v>
      </c>
      <c r="B261" s="2" t="inlineStr">
        <is>
          <t>Shrawani Shelgenwar</t>
        </is>
      </c>
      <c r="C261" s="3" t="n">
        <v>7276336537</v>
      </c>
      <c r="D261" s="2" t="inlineStr">
        <is>
          <t>PROV1000000387</t>
        </is>
      </c>
      <c r="E261" s="2" t="inlineStr">
        <is>
          <t>SSAHE</t>
        </is>
      </c>
      <c r="F261" s="2" t="inlineStr">
        <is>
          <t>Yes</t>
        </is>
      </c>
      <c r="G261" s="2" t="inlineStr">
        <is>
          <t xml:space="preserve">Non Critical </t>
        </is>
      </c>
      <c r="H261" s="2" t="n"/>
      <c r="I261" s="2" t="n"/>
      <c r="J261" s="2" t="n"/>
      <c r="K261" s="2" t="n"/>
      <c r="L261" s="2" t="n"/>
      <c r="M261" s="2" t="n"/>
      <c r="N261" s="2" t="n"/>
      <c r="O261" s="2" t="n"/>
      <c r="P261" s="2" t="n"/>
      <c r="Q261" s="2" t="n"/>
      <c r="R261" s="2" t="n"/>
      <c r="S261" s="2" t="inlineStr">
        <is>
          <t>want call from icici bank</t>
        </is>
      </c>
      <c r="T261" s="2" t="inlineStr">
        <is>
          <t xml:space="preserve">18/7 : DNP
18/7 : Called back. student mentioned she is looking for loan from icici , she is already talking to sbi but hasn't processed. Looking for loan with low interest
Co Applicant - Mother
Mother profession - Govt teacher ( Fills ITR)
Father profession - Farmer
Annual income-7,70,104
Enquired at SBI
21/7 : 1st sem fees will be paid by the student itself and the student needs loan from second sem. Student is talking to gyan dhan and would get the loan sanctioned and keep it </t>
        </is>
      </c>
      <c r="U261" s="2" t="inlineStr">
        <is>
          <t>Yes</t>
        </is>
      </c>
      <c r="V261" s="2" t="inlineStr"/>
      <c r="W261" s="2" t="inlineStr"/>
      <c r="X261" s="2" t="n"/>
      <c r="Y261" s="2" t="n"/>
      <c r="Z261" s="2" t="n"/>
      <c r="AA261" s="2" t="inlineStr">
        <is>
          <t>Control</t>
        </is>
      </c>
      <c r="AB261" s="2" t="inlineStr">
        <is>
          <t>Control</t>
        </is>
      </c>
      <c r="AC261" s="2" t="n"/>
      <c r="AD261" s="2" t="n"/>
      <c r="AE261" s="2" t="n"/>
      <c r="AF261" s="2" t="n"/>
      <c r="AG261" s="2" t="inlineStr">
        <is>
          <t>Ongoing</t>
        </is>
      </c>
      <c r="AH261" s="2" t="inlineStr">
        <is>
          <t>Processing by GyanDhan</t>
        </is>
      </c>
      <c r="AI261" s="2" t="inlineStr">
        <is>
          <t>No</t>
        </is>
      </c>
      <c r="AJ261" s="2" t="inlineStr">
        <is>
          <t>No</t>
        </is>
      </c>
      <c r="AK261" s="2" t="n"/>
      <c r="AL261" s="2" t="n"/>
      <c r="AM261" s="2" t="n"/>
      <c r="AN261" s="2" t="n"/>
      <c r="AO261" s="2" t="n"/>
      <c r="AP261" s="2" t="n"/>
      <c r="AQ261" s="2" t="n"/>
    </row>
    <row r="262">
      <c r="A262" t="n">
        <v>261</v>
      </c>
      <c r="B262" s="2" t="inlineStr">
        <is>
          <t>Sparsh Sharma</t>
        </is>
      </c>
      <c r="C262" s="3" t="n">
        <v>9837825066</v>
      </c>
      <c r="D262" s="2" t="inlineStr">
        <is>
          <t>PROV1000000452</t>
        </is>
      </c>
      <c r="E262" s="2" t="inlineStr">
        <is>
          <t>SSAHE</t>
        </is>
      </c>
      <c r="F262" s="2" t="inlineStr">
        <is>
          <t>Yes</t>
        </is>
      </c>
      <c r="G262" s="2" t="inlineStr">
        <is>
          <t xml:space="preserve">Non Critical </t>
        </is>
      </c>
      <c r="H262" s="2" t="n"/>
      <c r="I262" s="2" t="n"/>
      <c r="J262" s="2" t="n"/>
      <c r="K262" s="2" t="n"/>
      <c r="L262" s="2" t="n"/>
      <c r="M262" s="2" t="n"/>
      <c r="N262" s="2" t="n"/>
      <c r="O262" s="2" t="n"/>
      <c r="P262" s="2" t="n"/>
      <c r="Q262" s="2" t="n"/>
      <c r="R262" s="2" t="n"/>
      <c r="S262" s="2" t="inlineStr">
        <is>
          <t>As of 3 July, the student reported no communication from ICICI Bank or Propelled. Student was marked as DNR during follow-up.</t>
        </is>
      </c>
      <c r="T262" s="2" t="inlineStr">
        <is>
          <t xml:space="preserve">18/7 : Loan required , Father's profession : self employed ( Pharmacy) , YEarly income : 5L, ITR : 5L, (2023),   doesnt know , told he would make me talk to his father, asked for his details on whatspp. 
18/7 : Father called back 7017671698, Told he wants loan, proccessing his request with gyandhan
21/7 : Learner has not shared the docs yet </t>
        </is>
      </c>
      <c r="U262" s="2" t="inlineStr">
        <is>
          <t>Yes</t>
        </is>
      </c>
      <c r="V262" s="2" t="inlineStr">
        <is>
          <t>No</t>
        </is>
      </c>
      <c r="W262" s="2" t="inlineStr">
        <is>
          <t>No</t>
        </is>
      </c>
      <c r="X262" s="2" t="inlineStr">
        <is>
          <t>No</t>
        </is>
      </c>
      <c r="Y262" s="2" t="inlineStr">
        <is>
          <t>No</t>
        </is>
      </c>
      <c r="Z262" s="2" t="inlineStr">
        <is>
          <t>Yes</t>
        </is>
      </c>
      <c r="AA262" s="2" t="inlineStr">
        <is>
          <t>Control</t>
        </is>
      </c>
      <c r="AB262" s="2" t="inlineStr">
        <is>
          <t>Control</t>
        </is>
      </c>
      <c r="AC262" s="2" t="n"/>
      <c r="AD262" s="2" t="n"/>
      <c r="AE262" s="2" t="n"/>
      <c r="AF262" s="2" t="n"/>
      <c r="AG262" s="2" t="inlineStr">
        <is>
          <t>Ongoing</t>
        </is>
      </c>
      <c r="AH262" s="2" t="inlineStr">
        <is>
          <t>Docs Pending, Processing by GyanDhan</t>
        </is>
      </c>
      <c r="AI262" s="2" t="inlineStr">
        <is>
          <t>No</t>
        </is>
      </c>
      <c r="AJ262" s="2" t="inlineStr">
        <is>
          <t>No</t>
        </is>
      </c>
      <c r="AK262" s="2" t="n"/>
      <c r="AL262" s="2" t="n"/>
      <c r="AM262" s="2" t="n"/>
      <c r="AN262" s="2" t="n"/>
      <c r="AO262" s="2" t="n"/>
      <c r="AP262" s="2" t="n"/>
      <c r="AQ262" s="2" t="n"/>
    </row>
    <row r="263">
      <c r="A263" t="n">
        <v>262</v>
      </c>
      <c r="B263" s="2" t="inlineStr">
        <is>
          <t>Swapneel Nath</t>
        </is>
      </c>
      <c r="C263" s="3" t="n">
        <v>8017035816</v>
      </c>
      <c r="D263" s="2" t="inlineStr">
        <is>
          <t>PROV260607261</t>
        </is>
      </c>
      <c r="E263" s="2" t="inlineStr">
        <is>
          <t>SSAHE</t>
        </is>
      </c>
      <c r="F263" s="2" t="inlineStr">
        <is>
          <t>Drop</t>
        </is>
      </c>
      <c r="G263" s="2" t="inlineStr">
        <is>
          <t>Loan not required</t>
        </is>
      </c>
      <c r="H263" s="2" t="n"/>
      <c r="I263" s="2" t="n"/>
      <c r="J263" s="2" t="n"/>
      <c r="K263" s="2" t="n"/>
      <c r="L263" s="2" t="n"/>
      <c r="M263" s="2" t="n"/>
      <c r="N263" s="2" t="n"/>
      <c r="O263" s="2" t="n"/>
      <c r="P263" s="2" t="n"/>
      <c r="Q263" s="2" t="n"/>
      <c r="R263" s="2" t="n"/>
      <c r="S263" s="2" t="n"/>
      <c r="T263" s="2" t="inlineStr"/>
      <c r="U263" s="2" t="inlineStr">
        <is>
          <t>Refund</t>
        </is>
      </c>
      <c r="V263" s="2" t="inlineStr"/>
      <c r="W263" s="2" t="inlineStr"/>
      <c r="X263" s="2" t="n"/>
      <c r="Y263" s="2" t="n"/>
      <c r="Z263" s="2" t="n"/>
      <c r="AA263" s="2" t="inlineStr">
        <is>
          <t>Refund case</t>
        </is>
      </c>
      <c r="AB263" s="2" t="inlineStr">
        <is>
          <t>Refund case</t>
        </is>
      </c>
      <c r="AC263" s="2" t="n"/>
      <c r="AD263" s="2" t="n"/>
      <c r="AE263" s="2" t="n"/>
      <c r="AF263" s="2" t="n"/>
      <c r="AG263" s="2" t="n"/>
      <c r="AH263" s="2" t="n"/>
      <c r="AI263" s="2" t="n"/>
      <c r="AJ263" s="2" t="n"/>
      <c r="AK263" s="2" t="n"/>
      <c r="AL263" s="2" t="n"/>
      <c r="AM263" s="2" t="n"/>
      <c r="AN263" s="2" t="n"/>
      <c r="AO263" s="2" t="n"/>
      <c r="AP263" s="2" t="n"/>
      <c r="AQ263" s="2" t="n"/>
    </row>
    <row r="264">
      <c r="A264" t="n">
        <v>263</v>
      </c>
      <c r="B264" s="2" t="inlineStr">
        <is>
          <t>VEDANT MANOJ AHIRRAO</t>
        </is>
      </c>
      <c r="C264" s="3" t="n">
        <v>9404688304</v>
      </c>
      <c r="D264" s="2" t="inlineStr">
        <is>
          <t>PROV260606973</t>
        </is>
      </c>
      <c r="E264" s="2" t="inlineStr">
        <is>
          <t>ADYPU</t>
        </is>
      </c>
      <c r="F264" s="2" t="inlineStr">
        <is>
          <t>Yes</t>
        </is>
      </c>
      <c r="G264" s="2" t="inlineStr">
        <is>
          <t xml:space="preserve">Non Critical </t>
        </is>
      </c>
      <c r="H264" s="2" t="n"/>
      <c r="I264" s="2" t="n"/>
      <c r="J264" s="2" t="n"/>
      <c r="K264" s="2" t="n"/>
      <c r="L264" s="2" t="n"/>
      <c r="M264" s="2" t="n"/>
      <c r="N264" s="2" t="n"/>
      <c r="O264" s="2" t="n"/>
      <c r="P264" s="2" t="n"/>
      <c r="Q264" s="2" t="n"/>
      <c r="R264" s="2" t="n"/>
      <c r="S264" s="2" t="inlineStr">
        <is>
          <t>Will pay 1st sem fee himself need loan from next sem onwards</t>
        </is>
      </c>
      <c r="T264" s="2" t="inlineStr">
        <is>
          <t xml:space="preserve">23/7 : - Loan req : 15L. Father's profession : Govt. ( Revenue dept), Yearly income : 8L, ITR : 5 years available 
27/7 : Spoke to the father in the morning , he wanted the call again from gyandhan </t>
        </is>
      </c>
      <c r="U264" s="2" t="inlineStr">
        <is>
          <t>Yes</t>
        </is>
      </c>
      <c r="V264" s="2" t="inlineStr">
        <is>
          <t>No</t>
        </is>
      </c>
      <c r="W264" s="2" t="inlineStr">
        <is>
          <t>No</t>
        </is>
      </c>
      <c r="X264" s="2" t="inlineStr">
        <is>
          <t>No</t>
        </is>
      </c>
      <c r="Y264" s="2" t="inlineStr">
        <is>
          <t>No</t>
        </is>
      </c>
      <c r="Z264" s="2" t="inlineStr">
        <is>
          <t>Yes</t>
        </is>
      </c>
      <c r="AA264" s="2" t="inlineStr">
        <is>
          <t>Control</t>
        </is>
      </c>
      <c r="AB264" s="2" t="inlineStr">
        <is>
          <t>Control</t>
        </is>
      </c>
      <c r="AC264" s="2" t="n"/>
      <c r="AD264" s="2" t="n"/>
      <c r="AE264" s="2" t="n"/>
      <c r="AF264" s="2" t="n"/>
      <c r="AG264" s="2" t="inlineStr">
        <is>
          <t>Ongoing</t>
        </is>
      </c>
      <c r="AH264" s="2" t="inlineStr">
        <is>
          <t>Processing by GyanDhan</t>
        </is>
      </c>
      <c r="AI264" s="2" t="n"/>
      <c r="AJ264" s="2" t="n"/>
      <c r="AK264" s="2" t="n"/>
      <c r="AL264" s="2" t="inlineStr">
        <is>
          <t>DNP till now</t>
        </is>
      </c>
      <c r="AM264" s="2" t="n"/>
      <c r="AN264" s="2" t="n"/>
      <c r="AO264" s="2" t="n"/>
      <c r="AP264" s="2" t="n"/>
      <c r="AQ264" s="2" t="n"/>
    </row>
    <row r="265">
      <c r="A265" t="n">
        <v>264</v>
      </c>
      <c r="B265" s="2" t="inlineStr">
        <is>
          <t>Netra nirav kapadia</t>
        </is>
      </c>
      <c r="C265" s="3" t="n">
        <v>9879719549</v>
      </c>
      <c r="D265" s="2" t="inlineStr">
        <is>
          <t>PROV260610706</t>
        </is>
      </c>
      <c r="E265" s="2" t="inlineStr">
        <is>
          <t>ADYPU</t>
        </is>
      </c>
      <c r="F265" s="2" t="inlineStr">
        <is>
          <t>Yes</t>
        </is>
      </c>
      <c r="G265" s="2" t="inlineStr">
        <is>
          <t>Loan not required</t>
        </is>
      </c>
      <c r="H265" s="2" t="n"/>
      <c r="I265" s="2" t="n"/>
      <c r="J265" s="2" t="n"/>
      <c r="K265" s="2" t="n"/>
      <c r="L265" s="2" t="n"/>
      <c r="M265" s="2" t="n"/>
      <c r="N265" s="2" t="n"/>
      <c r="O265" s="2" t="n"/>
      <c r="P265" s="2" t="n"/>
      <c r="Q265" s="2" t="n"/>
      <c r="R265" s="2" t="n"/>
      <c r="S265" s="2" t="inlineStr">
        <is>
          <t>Taking by self - someone in father contact from PNB</t>
        </is>
      </c>
      <c r="T265" s="2" t="inlineStr">
        <is>
          <t xml:space="preserve">24/7 : Student would be paying through OD. </t>
        </is>
      </c>
      <c r="U265" s="2" t="inlineStr">
        <is>
          <t>Yes</t>
        </is>
      </c>
      <c r="V265" s="2" t="inlineStr"/>
      <c r="W265" s="2" t="inlineStr"/>
      <c r="X265" s="2" t="n"/>
      <c r="Y265" s="2" t="n"/>
      <c r="Z265" s="2" t="n"/>
      <c r="AA265" s="2" t="inlineStr">
        <is>
          <t>Control</t>
        </is>
      </c>
      <c r="AB265" s="2" t="inlineStr">
        <is>
          <t>Control</t>
        </is>
      </c>
      <c r="AC265" s="2" t="n"/>
      <c r="AD265" s="2" t="n"/>
      <c r="AE265" s="2" t="n"/>
      <c r="AF265" s="2" t="n"/>
      <c r="AG265" s="2" t="inlineStr">
        <is>
          <t>Ongoing</t>
        </is>
      </c>
      <c r="AH265" s="2" t="inlineStr">
        <is>
          <t>Processing at other bank</t>
        </is>
      </c>
      <c r="AI265" s="2" t="inlineStr">
        <is>
          <t>No</t>
        </is>
      </c>
      <c r="AJ265" s="2" t="inlineStr">
        <is>
          <t>No</t>
        </is>
      </c>
      <c r="AK265" s="2" t="n"/>
      <c r="AL265" s="2" t="n"/>
      <c r="AM265" s="2" t="n"/>
      <c r="AN265" s="2" t="n"/>
      <c r="AO265" s="2" t="n"/>
      <c r="AP265" s="2" t="n"/>
      <c r="AQ265" s="2" t="n"/>
    </row>
    <row r="266">
      <c r="A266" t="n">
        <v>265</v>
      </c>
      <c r="B266" s="2" t="inlineStr">
        <is>
          <t>Madhav Maithrey Koyya</t>
        </is>
      </c>
      <c r="C266" s="3" t="n">
        <v>6303053022</v>
      </c>
      <c r="D266" s="2" t="inlineStr">
        <is>
          <t>PROV1000000259</t>
        </is>
      </c>
      <c r="E266" s="2" t="inlineStr">
        <is>
          <t>SSAHE</t>
        </is>
      </c>
      <c r="F266" s="2" t="inlineStr">
        <is>
          <t>Yes</t>
        </is>
      </c>
      <c r="G266" s="2" t="inlineStr">
        <is>
          <t xml:space="preserve">Critical </t>
        </is>
      </c>
      <c r="H266" s="2" t="n"/>
      <c r="I266" s="2" t="n"/>
      <c r="J266" s="2" t="n"/>
      <c r="K266" s="2" t="n"/>
      <c r="L266" s="2" t="n"/>
      <c r="M266" s="2" t="n"/>
      <c r="N266" s="2" t="n"/>
      <c r="O266" s="2" t="n"/>
      <c r="P266" s="2" t="n"/>
      <c r="Q266" s="2" t="n"/>
      <c r="R266" s="2" t="n"/>
      <c r="S266" s="2" t="inlineStr">
        <is>
          <t>taking loan from sbi bank</t>
        </is>
      </c>
      <c r="T266" s="2" t="inlineStr">
        <is>
          <t xml:space="preserve">24/7 : Student told that father would be taking the loan from sbi.Father : 9160355165. Father has spoken to Shilpa maam and he has been told by shilpa that aug 20 , father is in delhi and will return back on in the month end </t>
        </is>
      </c>
      <c r="U266" s="2" t="inlineStr">
        <is>
          <t>Yes</t>
        </is>
      </c>
      <c r="V266" s="2" t="inlineStr"/>
      <c r="W266" s="2" t="inlineStr"/>
      <c r="X266" s="2" t="n"/>
      <c r="Y266" s="2" t="n"/>
      <c r="Z266" s="2" t="n"/>
      <c r="AA266" s="2" t="inlineStr">
        <is>
          <t>Risk</t>
        </is>
      </c>
      <c r="AB266" s="2" t="inlineStr">
        <is>
          <t>Risk</t>
        </is>
      </c>
      <c r="AC266" s="2" t="n"/>
      <c r="AD266" s="2" t="n"/>
      <c r="AE266" s="2" t="n"/>
      <c r="AF266" s="2" t="n"/>
      <c r="AG266" s="2" t="inlineStr">
        <is>
          <t>Ongoing</t>
        </is>
      </c>
      <c r="AH266" s="2" t="inlineStr">
        <is>
          <t>Processing at other bank</t>
        </is>
      </c>
      <c r="AI266" s="2" t="inlineStr">
        <is>
          <t>No</t>
        </is>
      </c>
      <c r="AJ266" s="2" t="inlineStr">
        <is>
          <t>No</t>
        </is>
      </c>
      <c r="AK266" s="2" t="n"/>
      <c r="AL266" s="2" t="n"/>
      <c r="AM266" s="2" t="n"/>
      <c r="AN266" s="2" t="n"/>
      <c r="AO266" s="2" t="n"/>
      <c r="AP266" s="2" t="n"/>
      <c r="AQ266" s="2" t="n"/>
    </row>
    <row r="267">
      <c r="A267" t="n">
        <v>266</v>
      </c>
      <c r="B267" s="2" t="inlineStr">
        <is>
          <t>Manaan Ajaz Darzi</t>
        </is>
      </c>
      <c r="C267" s="3" t="n">
        <v>6006554564</v>
      </c>
      <c r="D267" s="2" t="inlineStr">
        <is>
          <t>PROV260607321</t>
        </is>
      </c>
      <c r="E267" s="2" t="inlineStr">
        <is>
          <t>SSAHE</t>
        </is>
      </c>
      <c r="F267" s="2" t="inlineStr">
        <is>
          <t>No</t>
        </is>
      </c>
      <c r="G267" s="2" t="inlineStr">
        <is>
          <t>Loan not required</t>
        </is>
      </c>
      <c r="H267" s="2" t="n"/>
      <c r="I267" s="2" t="n"/>
      <c r="J267" s="2" t="n"/>
      <c r="K267" s="2" t="n"/>
      <c r="L267" s="2" t="n"/>
      <c r="M267" s="2" t="n"/>
      <c r="N267" s="2" t="n"/>
      <c r="O267" s="2" t="n"/>
      <c r="P267" s="2" t="n"/>
      <c r="Q267" s="2" t="n"/>
      <c r="R267" s="2" t="n"/>
      <c r="S267" s="2" t="n"/>
      <c r="T267" s="2" t="inlineStr"/>
      <c r="U267" s="2" t="inlineStr">
        <is>
          <t>No</t>
        </is>
      </c>
      <c r="V267" s="2" t="inlineStr"/>
      <c r="W267" s="2" t="inlineStr"/>
      <c r="X267" s="2" t="n"/>
      <c r="Y267" s="2" t="n"/>
      <c r="Z267" s="2" t="n"/>
      <c r="AA267" s="2" t="inlineStr">
        <is>
          <t>Not required</t>
        </is>
      </c>
      <c r="AB267" s="2" t="inlineStr">
        <is>
          <t>Not required</t>
        </is>
      </c>
      <c r="AC267" s="2" t="n"/>
      <c r="AD267" s="2" t="n"/>
      <c r="AE267" s="2" t="n"/>
      <c r="AF267" s="2" t="n"/>
      <c r="AG267" s="2" t="inlineStr">
        <is>
          <t>Not required</t>
        </is>
      </c>
      <c r="AH267" s="2" t="n"/>
      <c r="AI267" s="2" t="n"/>
      <c r="AJ267" s="2" t="n"/>
      <c r="AK267" s="2" t="n"/>
      <c r="AL267" s="2" t="n"/>
      <c r="AM267" s="2" t="n"/>
      <c r="AN267" s="2" t="n"/>
      <c r="AO267" s="2" t="n"/>
      <c r="AP267" s="2" t="n"/>
      <c r="AQ267" s="2" t="n"/>
    </row>
    <row r="268">
      <c r="A268" t="n">
        <v>267</v>
      </c>
      <c r="B268" s="2" t="inlineStr">
        <is>
          <t>Surya Narayan tewary</t>
        </is>
      </c>
      <c r="C268" s="3" t="n">
        <v>6297638588</v>
      </c>
      <c r="D268" s="2" t="inlineStr">
        <is>
          <t>PROV260613567</t>
        </is>
      </c>
      <c r="E268" s="2" t="inlineStr">
        <is>
          <t>SSAHE</t>
        </is>
      </c>
      <c r="F268" s="2" t="inlineStr">
        <is>
          <t>No</t>
        </is>
      </c>
      <c r="G268" s="2" t="inlineStr">
        <is>
          <t>Loan not required</t>
        </is>
      </c>
      <c r="H268" s="2" t="n"/>
      <c r="I268" s="2" t="n"/>
      <c r="J268" s="2" t="n"/>
      <c r="K268" s="2" t="n"/>
      <c r="L268" s="2" t="n"/>
      <c r="M268" s="2" t="n"/>
      <c r="N268" s="2" t="n"/>
      <c r="O268" s="2" t="n"/>
      <c r="P268" s="2" t="n"/>
      <c r="Q268" s="2" t="n"/>
      <c r="R268" s="2" t="n"/>
      <c r="S268" s="2" t="n"/>
      <c r="T268" s="2" t="inlineStr"/>
      <c r="U268" s="2" t="inlineStr">
        <is>
          <t>No</t>
        </is>
      </c>
      <c r="V268" s="2" t="inlineStr"/>
      <c r="W268" s="2" t="inlineStr"/>
      <c r="X268" s="2" t="n"/>
      <c r="Y268" s="2" t="n"/>
      <c r="Z268" s="2" t="n"/>
      <c r="AA268" s="2" t="inlineStr">
        <is>
          <t>Not required</t>
        </is>
      </c>
      <c r="AB268" s="2" t="inlineStr">
        <is>
          <t>Not required</t>
        </is>
      </c>
      <c r="AC268" s="2" t="n"/>
      <c r="AD268" s="2" t="n"/>
      <c r="AE268" s="2" t="n"/>
      <c r="AF268" s="2" t="n"/>
      <c r="AG268" s="2" t="inlineStr">
        <is>
          <t>Not required</t>
        </is>
      </c>
      <c r="AH268" s="2" t="n"/>
      <c r="AI268" s="2" t="n"/>
      <c r="AJ268" s="2" t="n"/>
      <c r="AK268" s="2" t="n"/>
      <c r="AL268" s="2" t="n"/>
      <c r="AM268" s="2" t="n"/>
      <c r="AN268" s="2" t="n"/>
      <c r="AO268" s="2" t="n"/>
      <c r="AP268" s="2" t="n"/>
      <c r="AQ268" s="2" t="n"/>
    </row>
    <row r="269">
      <c r="A269" t="n">
        <v>268</v>
      </c>
      <c r="B269" s="2" t="inlineStr">
        <is>
          <t>AKASH SHROFF</t>
        </is>
      </c>
      <c r="C269" s="3" t="n">
        <v>7635013569</v>
      </c>
      <c r="D269" s="2" t="inlineStr">
        <is>
          <t>PROV260613392</t>
        </is>
      </c>
      <c r="E269" s="2" t="inlineStr">
        <is>
          <t>ADYPU</t>
        </is>
      </c>
      <c r="F269" s="2" t="inlineStr">
        <is>
          <t>No</t>
        </is>
      </c>
      <c r="G269" s="2" t="inlineStr">
        <is>
          <t>Loan not required</t>
        </is>
      </c>
      <c r="H269" s="2" t="n"/>
      <c r="I269" s="2" t="n"/>
      <c r="J269" s="2" t="n"/>
      <c r="K269" s="2" t="n"/>
      <c r="L269" s="2" t="n"/>
      <c r="M269" s="2" t="n"/>
      <c r="N269" s="2" t="n"/>
      <c r="O269" s="2" t="n"/>
      <c r="P269" s="2" t="n"/>
      <c r="Q269" s="2" t="n"/>
      <c r="R269" s="2" t="n"/>
      <c r="S269" s="2" t="n"/>
      <c r="T269" s="2" t="inlineStr"/>
      <c r="U269" s="2" t="inlineStr">
        <is>
          <t>No</t>
        </is>
      </c>
      <c r="V269" s="2" t="inlineStr"/>
      <c r="W269" s="2" t="inlineStr"/>
      <c r="X269" s="2" t="n"/>
      <c r="Y269" s="2" t="n"/>
      <c r="Z269" s="2" t="n"/>
      <c r="AA269" s="2" t="inlineStr">
        <is>
          <t>Not required</t>
        </is>
      </c>
      <c r="AB269" s="2" t="inlineStr">
        <is>
          <t>Not required</t>
        </is>
      </c>
      <c r="AC269" s="2" t="n"/>
      <c r="AD269" s="2" t="n"/>
      <c r="AE269" s="2" t="n"/>
      <c r="AF269" s="2" t="n"/>
      <c r="AG269" s="2" t="inlineStr">
        <is>
          <t>Not required</t>
        </is>
      </c>
      <c r="AH269" s="2" t="n"/>
      <c r="AI269" s="2" t="n"/>
      <c r="AJ269" s="2" t="n"/>
      <c r="AK269" s="2" t="n"/>
      <c r="AL269" s="2" t="n"/>
      <c r="AM269" s="2" t="n"/>
      <c r="AN269" s="2" t="n"/>
      <c r="AO269" s="2" t="n"/>
      <c r="AP269" s="2" t="n"/>
      <c r="AQ269" s="2" t="n"/>
    </row>
    <row r="270">
      <c r="A270" t="n">
        <v>269</v>
      </c>
      <c r="B270" s="2" t="inlineStr">
        <is>
          <t>UTO SHANDILYA</t>
        </is>
      </c>
      <c r="C270" s="3" t="n">
        <v>6200119884</v>
      </c>
      <c r="D270" s="2" t="inlineStr">
        <is>
          <t>PROV260502363</t>
        </is>
      </c>
      <c r="E270" s="2" t="inlineStr">
        <is>
          <t>ADYPU</t>
        </is>
      </c>
      <c r="F270" s="2" t="inlineStr">
        <is>
          <t>No</t>
        </is>
      </c>
      <c r="G270" s="2" t="inlineStr">
        <is>
          <t>Loan not required</t>
        </is>
      </c>
      <c r="H270" s="2" t="n"/>
      <c r="I270" s="2" t="n"/>
      <c r="J270" s="2" t="n"/>
      <c r="K270" s="2" t="n"/>
      <c r="L270" s="2" t="n"/>
      <c r="M270" s="2" t="n"/>
      <c r="N270" s="2" t="n"/>
      <c r="O270" s="2" t="n"/>
      <c r="P270" s="2" t="n"/>
      <c r="Q270" s="2" t="n"/>
      <c r="R270" s="2" t="n"/>
      <c r="S270" s="2" t="n"/>
      <c r="T270" s="2" t="inlineStr"/>
      <c r="U270" s="2" t="inlineStr">
        <is>
          <t>No</t>
        </is>
      </c>
      <c r="V270" s="2" t="inlineStr"/>
      <c r="W270" s="2" t="inlineStr"/>
      <c r="X270" s="2" t="n"/>
      <c r="Y270" s="2" t="n"/>
      <c r="Z270" s="2" t="n"/>
      <c r="AA270" s="2" t="inlineStr">
        <is>
          <t>Not required</t>
        </is>
      </c>
      <c r="AB270" s="2" t="inlineStr">
        <is>
          <t>Not required</t>
        </is>
      </c>
      <c r="AC270" s="2" t="n"/>
      <c r="AD270" s="2" t="n"/>
      <c r="AE270" s="2" t="n"/>
      <c r="AF270" s="2" t="n"/>
      <c r="AG270" s="2" t="inlineStr">
        <is>
          <t>Not required</t>
        </is>
      </c>
      <c r="AH270" s="2" t="n"/>
      <c r="AI270" s="2" t="n"/>
      <c r="AJ270" s="2" t="n"/>
      <c r="AK270" s="2" t="n"/>
      <c r="AL270" s="2" t="n"/>
      <c r="AM270" s="2" t="n"/>
      <c r="AN270" s="2" t="n"/>
      <c r="AO270" s="2" t="n"/>
      <c r="AP270" s="2" t="n"/>
      <c r="AQ270" s="2" t="n"/>
    </row>
    <row r="271">
      <c r="A271" t="n">
        <v>270</v>
      </c>
      <c r="B271" s="2" t="inlineStr">
        <is>
          <t>Aryan Dev Raj</t>
        </is>
      </c>
      <c r="C271" s="3" t="n">
        <v>9155893209</v>
      </c>
      <c r="D271" s="2" t="inlineStr">
        <is>
          <t>PROV260503750</t>
        </is>
      </c>
      <c r="E271" s="2" t="inlineStr">
        <is>
          <t>SSAHE</t>
        </is>
      </c>
      <c r="F271" s="2" t="inlineStr">
        <is>
          <t>Yes</t>
        </is>
      </c>
      <c r="G271" s="2" t="inlineStr">
        <is>
          <t xml:space="preserve">Non Critical </t>
        </is>
      </c>
      <c r="H271" s="2" t="n">
        <v>0.05</v>
      </c>
      <c r="I271" s="2" t="n">
        <v>15</v>
      </c>
      <c r="J271" s="2" t="n">
        <v>71.40000000000001</v>
      </c>
      <c r="K271" s="2" t="inlineStr">
        <is>
          <t>Father</t>
        </is>
      </c>
      <c r="L271" s="2" t="inlineStr">
        <is>
          <t>Govt  teacher</t>
        </is>
      </c>
      <c r="M271" s="2" t="inlineStr">
        <is>
          <t>12lpa</t>
        </is>
      </c>
      <c r="N271" s="2" t="n"/>
      <c r="O271" s="2" t="n"/>
      <c r="P271" s="2" t="n"/>
      <c r="Q271" s="2" t="inlineStr">
        <is>
          <t>Yes</t>
        </is>
      </c>
      <c r="R271" s="2" t="n"/>
      <c r="S271" s="2" t="inlineStr">
        <is>
          <t>3JULY - 4:47PM - DNR</t>
        </is>
      </c>
      <c r="T271" s="2" t="inlineStr">
        <is>
          <t>24/7: Not started yet, will start  now
25/7 : Loan req : 15L, father : govt teacher, annual income : 13L, ITR file : Yes 
27/7 : Have processed his file with gyan dhabn</t>
        </is>
      </c>
      <c r="U271" s="2" t="inlineStr">
        <is>
          <t>Yes</t>
        </is>
      </c>
      <c r="V271" s="2" t="inlineStr">
        <is>
          <t>Yes</t>
        </is>
      </c>
      <c r="W271" s="2" t="inlineStr">
        <is>
          <t>Yes</t>
        </is>
      </c>
      <c r="X271" s="2" t="inlineStr">
        <is>
          <t>No</t>
        </is>
      </c>
      <c r="Y271" s="2" t="inlineStr">
        <is>
          <t>No</t>
        </is>
      </c>
      <c r="Z271" s="2" t="inlineStr">
        <is>
          <t>Yes</t>
        </is>
      </c>
      <c r="AA271" s="2" t="inlineStr">
        <is>
          <t>Control</t>
        </is>
      </c>
      <c r="AB271" s="2" t="inlineStr">
        <is>
          <t>Control</t>
        </is>
      </c>
      <c r="AC271" s="2" t="n"/>
      <c r="AD271" s="2" t="n"/>
      <c r="AE271" s="2" t="n"/>
      <c r="AF271" s="2" t="n"/>
      <c r="AG271" s="2" t="inlineStr">
        <is>
          <t>Ongoing</t>
        </is>
      </c>
      <c r="AH271" s="2" t="inlineStr">
        <is>
          <t>Processing by GyanDhan</t>
        </is>
      </c>
      <c r="AI271" s="2" t="n"/>
      <c r="AJ271" s="2" t="n"/>
      <c r="AK271" s="2" t="n"/>
      <c r="AL271" s="2" t="inlineStr">
        <is>
          <t>DNP for long , will start now</t>
        </is>
      </c>
      <c r="AM271" s="2" t="n"/>
      <c r="AN271" s="2" t="n"/>
      <c r="AO271" s="2" t="n"/>
      <c r="AP271" s="2" t="n"/>
      <c r="AQ271" s="2" t="n"/>
    </row>
    <row r="272">
      <c r="A272" t="n">
        <v>271</v>
      </c>
      <c r="B272" s="2" t="inlineStr">
        <is>
          <t>Abhinav Gupta</t>
        </is>
      </c>
      <c r="C272" s="3" t="n">
        <v>7900310058</v>
      </c>
      <c r="D272" s="2" t="inlineStr">
        <is>
          <t>PROV260504118</t>
        </is>
      </c>
      <c r="E272" s="2" t="inlineStr">
        <is>
          <t>SSAHE</t>
        </is>
      </c>
      <c r="F272" s="2" t="inlineStr">
        <is>
          <t>No</t>
        </is>
      </c>
      <c r="G272" s="2" t="inlineStr">
        <is>
          <t>Loan not required</t>
        </is>
      </c>
      <c r="H272" s="2" t="n"/>
      <c r="I272" s="2" t="n"/>
      <c r="J272" s="2" t="n"/>
      <c r="K272" s="2" t="n"/>
      <c r="L272" s="2" t="n"/>
      <c r="M272" s="2" t="n"/>
      <c r="N272" s="2" t="n"/>
      <c r="O272" s="2" t="n"/>
      <c r="P272" s="2" t="n"/>
      <c r="Q272" s="2" t="n"/>
      <c r="R272" s="2" t="n"/>
      <c r="S272" s="2" t="inlineStr">
        <is>
          <t>Call Back busy with office。- 3July- not sure weather want the loan not - 5:54pm</t>
        </is>
      </c>
      <c r="T272" s="2" t="inlineStr">
        <is>
          <t>24/7: Loan not required</t>
        </is>
      </c>
      <c r="U272" s="2" t="inlineStr">
        <is>
          <t>No</t>
        </is>
      </c>
      <c r="V272" s="2" t="inlineStr"/>
      <c r="W272" s="2" t="inlineStr"/>
      <c r="X272" s="2" t="n"/>
      <c r="Y272" s="2" t="n"/>
      <c r="Z272" s="2" t="n"/>
      <c r="AA272" s="2" t="inlineStr">
        <is>
          <t>Not required</t>
        </is>
      </c>
      <c r="AB272" s="2" t="inlineStr">
        <is>
          <t>Not required</t>
        </is>
      </c>
      <c r="AC272" s="2" t="n"/>
      <c r="AD272" s="2" t="n"/>
      <c r="AE272" s="2" t="n"/>
      <c r="AF272" s="2" t="n"/>
      <c r="AG272" s="2" t="inlineStr">
        <is>
          <t>Not required</t>
        </is>
      </c>
      <c r="AH272" s="2" t="n"/>
      <c r="AI272" s="2" t="n"/>
      <c r="AJ272" s="2" t="n"/>
      <c r="AK272" s="2" t="n"/>
      <c r="AL272" s="2" t="n"/>
      <c r="AM272" s="2" t="n"/>
      <c r="AN272" s="2" t="n"/>
      <c r="AO272" s="2" t="n"/>
      <c r="AP272" s="2" t="n"/>
      <c r="AQ272" s="2" t="n"/>
    </row>
    <row r="273">
      <c r="A273" t="n">
        <v>272</v>
      </c>
      <c r="B273" s="2" t="inlineStr">
        <is>
          <t>Epsita Mishra</t>
        </is>
      </c>
      <c r="C273" s="3" t="n">
        <v>9304383811</v>
      </c>
      <c r="D273" s="2" t="inlineStr">
        <is>
          <t>PROV260504283</t>
        </is>
      </c>
      <c r="E273" s="2" t="inlineStr">
        <is>
          <t>SSAHE</t>
        </is>
      </c>
      <c r="F273" s="2" t="inlineStr">
        <is>
          <t>Drop</t>
        </is>
      </c>
      <c r="G273" s="2" t="n"/>
      <c r="H273" s="2" t="n"/>
      <c r="I273" s="2" t="n"/>
      <c r="J273" s="2" t="n"/>
      <c r="K273" s="2" t="n"/>
      <c r="L273" s="2" t="n"/>
      <c r="M273" s="2" t="n"/>
      <c r="N273" s="2" t="n"/>
      <c r="O273" s="2" t="n"/>
      <c r="P273" s="2" t="n"/>
      <c r="Q273" s="2" t="n"/>
      <c r="R273" s="2" t="n"/>
      <c r="S273" s="2" t="inlineStr">
        <is>
          <t>dnr - 3july - 5:01</t>
        </is>
      </c>
      <c r="T273" s="2" t="inlineStr"/>
      <c r="U273" s="2" t="inlineStr">
        <is>
          <t>Refund</t>
        </is>
      </c>
      <c r="V273" s="2" t="inlineStr"/>
      <c r="W273" s="2" t="inlineStr"/>
      <c r="X273" s="2" t="n"/>
      <c r="Y273" s="2" t="n"/>
      <c r="Z273" s="2" t="n"/>
      <c r="AA273" s="2" t="inlineStr">
        <is>
          <t>Refund case</t>
        </is>
      </c>
      <c r="AB273" s="2" t="inlineStr">
        <is>
          <t>Refund case</t>
        </is>
      </c>
      <c r="AC273" s="2" t="n"/>
      <c r="AD273" s="2" t="n"/>
      <c r="AE273" s="2" t="n"/>
      <c r="AF273" s="2" t="n"/>
      <c r="AG273" s="2" t="n"/>
      <c r="AH273" s="2" t="n"/>
      <c r="AI273" s="2" t="n"/>
      <c r="AJ273" s="2" t="n"/>
      <c r="AK273" s="2" t="n"/>
      <c r="AL273" s="2" t="n"/>
      <c r="AM273" s="2" t="n"/>
      <c r="AN273" s="2" t="n"/>
      <c r="AO273" s="2" t="n"/>
      <c r="AP273" s="2" t="n"/>
      <c r="AQ273" s="2" t="n"/>
    </row>
    <row r="274">
      <c r="A274" t="n">
        <v>273</v>
      </c>
      <c r="B274" s="2" t="inlineStr">
        <is>
          <t>Noopur Pravin Bhavsar</t>
        </is>
      </c>
      <c r="C274" s="3" t="n">
        <v>9209671549</v>
      </c>
      <c r="D274" s="2" t="inlineStr">
        <is>
          <t>PROV260503343</t>
        </is>
      </c>
      <c r="E274" s="2" t="inlineStr">
        <is>
          <t>ADYPU</t>
        </is>
      </c>
      <c r="F274" s="2" t="inlineStr">
        <is>
          <t>No</t>
        </is>
      </c>
      <c r="G274" s="2" t="inlineStr">
        <is>
          <t>Loan not required</t>
        </is>
      </c>
      <c r="H274" s="2" t="n"/>
      <c r="I274" s="2" t="n"/>
      <c r="J274" s="2" t="n"/>
      <c r="K274" s="2" t="n"/>
      <c r="L274" s="2" t="n"/>
      <c r="M274" s="2" t="n"/>
      <c r="N274" s="2" t="n"/>
      <c r="O274" s="2" t="n"/>
      <c r="P274" s="2" t="n"/>
      <c r="Q274" s="2" t="n"/>
      <c r="R274" s="2" t="n"/>
      <c r="S274" s="2" t="inlineStr">
        <is>
          <t xml:space="preserve">DNR AGAIN - 3JULY - 5:13PM </t>
        </is>
      </c>
      <c r="T274" s="2" t="inlineStr"/>
      <c r="U274" s="2" t="inlineStr">
        <is>
          <t>No</t>
        </is>
      </c>
      <c r="V274" s="2" t="inlineStr"/>
      <c r="W274" s="2" t="inlineStr"/>
      <c r="X274" s="2" t="n"/>
      <c r="Y274" s="2" t="n"/>
      <c r="Z274" s="2" t="n"/>
      <c r="AA274" s="2" t="inlineStr">
        <is>
          <t>Not required</t>
        </is>
      </c>
      <c r="AB274" s="2" t="inlineStr">
        <is>
          <t>Not required</t>
        </is>
      </c>
      <c r="AC274" s="2" t="n"/>
      <c r="AD274" s="2" t="n"/>
      <c r="AE274" s="2" t="n"/>
      <c r="AF274" s="2" t="n"/>
      <c r="AG274" s="2" t="inlineStr">
        <is>
          <t>Not required</t>
        </is>
      </c>
      <c r="AH274" s="2" t="n"/>
      <c r="AI274" s="2" t="n"/>
      <c r="AJ274" s="2" t="n"/>
      <c r="AK274" s="2" t="n"/>
      <c r="AL274" s="2" t="n"/>
      <c r="AM274" s="2" t="n"/>
      <c r="AN274" s="2" t="n"/>
      <c r="AO274" s="2" t="n"/>
      <c r="AP274" s="2" t="n"/>
      <c r="AQ274" s="2" t="n"/>
    </row>
    <row r="275">
      <c r="A275" t="n">
        <v>274</v>
      </c>
      <c r="B275" s="2" t="inlineStr">
        <is>
          <t>Sayali Sainath Patil</t>
        </is>
      </c>
      <c r="C275" s="3" t="n">
        <v>9028581233</v>
      </c>
      <c r="D275" s="2" t="inlineStr">
        <is>
          <t>PROV260504916</t>
        </is>
      </c>
      <c r="E275" s="2" t="inlineStr">
        <is>
          <t>ADYPU</t>
        </is>
      </c>
      <c r="F275" s="2" t="inlineStr">
        <is>
          <t>Yes</t>
        </is>
      </c>
      <c r="G275" s="2" t="inlineStr">
        <is>
          <t xml:space="preserve">Non Critical </t>
        </is>
      </c>
      <c r="H275" s="2" t="n">
        <v>0.1</v>
      </c>
      <c r="I275" s="2" t="n"/>
      <c r="J275" s="2" t="n">
        <v>72.5</v>
      </c>
      <c r="K275" s="2" t="n"/>
      <c r="L275" s="2" t="n"/>
      <c r="M275" s="2" t="n"/>
      <c r="N275" s="2" t="n"/>
      <c r="O275" s="2" t="n"/>
      <c r="P275" s="2" t="n"/>
      <c r="Q275" s="2" t="n"/>
      <c r="R275" s="2" t="n"/>
      <c r="S275" s="2" t="inlineStr">
        <is>
          <t>incoming not available</t>
        </is>
      </c>
      <c r="T275" s="2" t="inlineStr">
        <is>
          <t>24/7: Not sure will take loan or not, will ask and revert</t>
        </is>
      </c>
      <c r="U275" s="2" t="inlineStr">
        <is>
          <t>Not sure</t>
        </is>
      </c>
      <c r="V275" s="2" t="inlineStr"/>
      <c r="W275" s="2" t="inlineStr"/>
      <c r="X275" s="2" t="n"/>
      <c r="Y275" s="2" t="n"/>
      <c r="Z275" s="2" t="n"/>
      <c r="AA275" s="2" t="inlineStr">
        <is>
          <t>Not Sure</t>
        </is>
      </c>
      <c r="AB275" s="2" t="inlineStr">
        <is>
          <t>Not Sure</t>
        </is>
      </c>
      <c r="AC275" s="2" t="n"/>
      <c r="AD275" s="2" t="n"/>
      <c r="AE275" s="2" t="n"/>
      <c r="AF275" s="2" t="n"/>
      <c r="AG275" s="2" t="n"/>
      <c r="AH275" s="2" t="n"/>
      <c r="AI275" s="2" t="n"/>
      <c r="AJ275" s="2" t="n"/>
      <c r="AK275" s="2" t="n"/>
      <c r="AL275" s="2" t="n"/>
      <c r="AM275" s="2" t="n"/>
      <c r="AN275" s="2" t="n"/>
      <c r="AO275" s="2" t="n"/>
      <c r="AP275" s="2" t="n"/>
      <c r="AQ275" s="2" t="n"/>
    </row>
    <row r="276">
      <c r="A276" t="n">
        <v>275</v>
      </c>
      <c r="B276" s="2" t="inlineStr">
        <is>
          <t>Aditya Chaudhari</t>
        </is>
      </c>
      <c r="C276" s="3" t="n">
        <v>9011179791</v>
      </c>
      <c r="D276" s="2" t="inlineStr">
        <is>
          <t>PROV260505118</t>
        </is>
      </c>
      <c r="E276" s="2" t="inlineStr">
        <is>
          <t>ADYPU</t>
        </is>
      </c>
      <c r="F276" s="2" t="inlineStr">
        <is>
          <t>Yes</t>
        </is>
      </c>
      <c r="G276" s="2" t="inlineStr">
        <is>
          <t xml:space="preserve">Non Critical </t>
        </is>
      </c>
      <c r="H276" s="2" t="n">
        <v>0.075</v>
      </c>
      <c r="I276" s="2" t="n">
        <v>15</v>
      </c>
      <c r="J276" s="2" t="n">
        <v>62.18</v>
      </c>
      <c r="K276" s="2" t="inlineStr">
        <is>
          <t>Uncle</t>
        </is>
      </c>
      <c r="L276" s="2" t="inlineStr">
        <is>
          <t>Working Professional</t>
        </is>
      </c>
      <c r="M276" s="2" t="inlineStr">
        <is>
          <t>6-7 LPA</t>
        </is>
      </c>
      <c r="N276" s="2" t="inlineStr">
        <is>
          <t>Slary Slip</t>
        </is>
      </c>
      <c r="O276" s="2" t="n"/>
      <c r="P276" s="2" t="n">
        <v>550</v>
      </c>
      <c r="Q276" s="2" t="inlineStr">
        <is>
          <t>No</t>
        </is>
      </c>
      <c r="R276" s="2" t="n"/>
      <c r="S276" s="2" t="inlineStr">
        <is>
          <t>DNR</t>
        </is>
      </c>
      <c r="T276" s="2" t="inlineStr">
        <is>
          <t xml:space="preserve">24/7: Only started with gyandhan, have shared leads elsewhere and suggested try by themselves as well(9527290009). 
Annual income : 25000, home loan, emi bouncce : 3. </t>
        </is>
      </c>
      <c r="U276" s="2" t="inlineStr">
        <is>
          <t>Yes</t>
        </is>
      </c>
      <c r="V276" s="2" t="inlineStr"/>
      <c r="W276" s="2" t="inlineStr"/>
      <c r="X276" s="2" t="n"/>
      <c r="Y276" s="2" t="n"/>
      <c r="Z276" s="2" t="n"/>
      <c r="AA276" s="2" t="inlineStr">
        <is>
          <t>Control</t>
        </is>
      </c>
      <c r="AB276" s="2" t="inlineStr">
        <is>
          <t>Control</t>
        </is>
      </c>
      <c r="AC276" s="2" t="n"/>
      <c r="AD276" s="2" t="n"/>
      <c r="AE276" s="2" t="n"/>
      <c r="AF276" s="2" t="n"/>
      <c r="AG276" s="2" t="inlineStr">
        <is>
          <t>Ongoing</t>
        </is>
      </c>
      <c r="AH276" s="2" t="inlineStr">
        <is>
          <t>Processing by GyanDhan</t>
        </is>
      </c>
      <c r="AI276" s="2" t="n"/>
      <c r="AJ276" s="2" t="n"/>
      <c r="AK276" s="2" t="n"/>
      <c r="AL276" s="2" t="n"/>
      <c r="AM276" s="2" t="n"/>
      <c r="AN276" s="2" t="n"/>
      <c r="AO276" s="2" t="n"/>
      <c r="AP276" s="2" t="n"/>
      <c r="AQ276" s="2" t="n"/>
    </row>
    <row r="277">
      <c r="A277" t="n">
        <v>276</v>
      </c>
      <c r="B277" s="2" t="inlineStr">
        <is>
          <t>Shreyas Kumar</t>
        </is>
      </c>
      <c r="C277" s="3" t="n">
        <v>7870554966</v>
      </c>
      <c r="D277" s="2" t="inlineStr">
        <is>
          <t>PROV260502392</t>
        </is>
      </c>
      <c r="E277" s="2" t="inlineStr">
        <is>
          <t>ADYPU</t>
        </is>
      </c>
      <c r="F277" s="2" t="inlineStr">
        <is>
          <t>DNR</t>
        </is>
      </c>
      <c r="G277" s="2" t="inlineStr">
        <is>
          <t>DNR</t>
        </is>
      </c>
      <c r="H277" s="2" t="n"/>
      <c r="I277" s="2" t="n"/>
      <c r="J277" s="2" t="n"/>
      <c r="K277" s="2" t="n"/>
      <c r="L277" s="2" t="n"/>
      <c r="M277" s="2" t="n"/>
      <c r="N277" s="2" t="n"/>
      <c r="O277" s="2" t="n"/>
      <c r="P277" s="2" t="n"/>
      <c r="Q277" s="2" t="n"/>
      <c r="R277" s="2" t="n"/>
      <c r="S277" s="2" t="inlineStr">
        <is>
          <t>DNR....tried 17:15</t>
        </is>
      </c>
      <c r="T277" s="2" t="inlineStr">
        <is>
          <t>24/7: DNP</t>
        </is>
      </c>
      <c r="U277" s="2" t="inlineStr">
        <is>
          <t>DNP</t>
        </is>
      </c>
      <c r="V277" s="2" t="inlineStr"/>
      <c r="W277" s="2" t="inlineStr"/>
      <c r="X277" s="2" t="n"/>
      <c r="Y277" s="2" t="n"/>
      <c r="Z277" s="2" t="n"/>
      <c r="AA277" s="2" t="inlineStr">
        <is>
          <t>DNP</t>
        </is>
      </c>
      <c r="AB277" s="2" t="inlineStr">
        <is>
          <t>DNP</t>
        </is>
      </c>
      <c r="AC277" s="2" t="n"/>
      <c r="AD277" s="2" t="n"/>
      <c r="AE277" s="2" t="n"/>
      <c r="AF277" s="2" t="n"/>
      <c r="AG277" s="2" t="inlineStr">
        <is>
          <t>Not even started</t>
        </is>
      </c>
      <c r="AH277" s="2" t="n"/>
      <c r="AI277" s="2" t="n"/>
      <c r="AJ277" s="2" t="n"/>
      <c r="AK277" s="2" t="n"/>
      <c r="AL277" s="2" t="n"/>
      <c r="AM277" s="2" t="n"/>
      <c r="AN277" s="2" t="n"/>
      <c r="AO277" s="2" t="n"/>
      <c r="AP277" s="2" t="n"/>
      <c r="AQ277" s="2" t="n"/>
    </row>
    <row r="278">
      <c r="A278" t="n">
        <v>277</v>
      </c>
      <c r="B278" s="2" t="inlineStr">
        <is>
          <t>Koushal Yerramshetty</t>
        </is>
      </c>
      <c r="C278" s="3" t="n">
        <v>9949270200</v>
      </c>
      <c r="D278" s="2" t="inlineStr">
        <is>
          <t>PROV260606650</t>
        </is>
      </c>
      <c r="E278" s="2" t="inlineStr">
        <is>
          <t>SSAHE</t>
        </is>
      </c>
      <c r="F278" s="2" t="inlineStr">
        <is>
          <t>Drop</t>
        </is>
      </c>
      <c r="G278" s="2" t="n"/>
      <c r="H278" s="2" t="n"/>
      <c r="I278" s="2" t="n"/>
      <c r="J278" s="2" t="n"/>
      <c r="K278" s="2" t="n"/>
      <c r="L278" s="2" t="n"/>
      <c r="M278" s="2" t="n"/>
      <c r="N278" s="2" t="n"/>
      <c r="O278" s="2" t="n"/>
      <c r="P278" s="2" t="n"/>
      <c r="Q278" s="2" t="n"/>
      <c r="R278" s="2" t="n"/>
      <c r="S278" s="2" t="inlineStr">
        <is>
          <t>Voice mail</t>
        </is>
      </c>
      <c r="T278" s="2" t="inlineStr"/>
      <c r="U278" s="2" t="inlineStr">
        <is>
          <t>Refund</t>
        </is>
      </c>
      <c r="V278" s="2" t="inlineStr"/>
      <c r="W278" s="2" t="inlineStr"/>
      <c r="X278" s="2" t="n"/>
      <c r="Y278" s="2" t="n"/>
      <c r="Z278" s="2" t="n"/>
      <c r="AA278" s="2" t="inlineStr">
        <is>
          <t>Refund case</t>
        </is>
      </c>
      <c r="AB278" s="2" t="inlineStr">
        <is>
          <t>Refund case</t>
        </is>
      </c>
      <c r="AC278" s="2" t="n"/>
      <c r="AD278" s="2" t="n"/>
      <c r="AE278" s="2" t="n"/>
      <c r="AF278" s="2" t="n"/>
      <c r="AG278" s="2" t="n"/>
      <c r="AH278" s="2" t="n"/>
      <c r="AI278" s="2" t="n"/>
      <c r="AJ278" s="2" t="n"/>
      <c r="AK278" s="2" t="n"/>
      <c r="AL278" s="2" t="n"/>
      <c r="AM278" s="2" t="n"/>
      <c r="AN278" s="2" t="n"/>
      <c r="AO278" s="2" t="n"/>
      <c r="AP278" s="2" t="n"/>
      <c r="AQ278" s="2" t="n"/>
    </row>
    <row r="279">
      <c r="A279" t="n">
        <v>278</v>
      </c>
      <c r="B279" s="2" t="inlineStr">
        <is>
          <t>Aniket Batham</t>
        </is>
      </c>
      <c r="C279" s="3" t="n">
        <v>8815814525</v>
      </c>
      <c r="D279" s="2" t="inlineStr">
        <is>
          <t>PROV260500231</t>
        </is>
      </c>
      <c r="E279" s="2" t="inlineStr">
        <is>
          <t>SSAHE</t>
        </is>
      </c>
      <c r="F279" s="2" t="inlineStr">
        <is>
          <t>No</t>
        </is>
      </c>
      <c r="G279" s="2" t="inlineStr">
        <is>
          <t>Loan not required</t>
        </is>
      </c>
      <c r="H279" s="2" t="n"/>
      <c r="I279" s="2" t="n"/>
      <c r="J279" s="2" t="n"/>
      <c r="K279" s="2" t="n"/>
      <c r="L279" s="2" t="n"/>
      <c r="M279" s="2" t="n"/>
      <c r="N279" s="2" t="n"/>
      <c r="O279" s="2" t="n"/>
      <c r="P279" s="2" t="n"/>
      <c r="Q279" s="2" t="n"/>
      <c r="R279" s="2" t="n"/>
      <c r="S279" s="2" t="n"/>
      <c r="T279" s="2" t="inlineStr"/>
      <c r="U279" s="2" t="inlineStr">
        <is>
          <t>No</t>
        </is>
      </c>
      <c r="V279" s="2" t="inlineStr"/>
      <c r="W279" s="2" t="inlineStr"/>
      <c r="X279" s="2" t="n"/>
      <c r="Y279" s="2" t="n"/>
      <c r="Z279" s="2" t="n"/>
      <c r="AA279" s="2" t="inlineStr">
        <is>
          <t>Not required</t>
        </is>
      </c>
      <c r="AB279" s="2" t="inlineStr">
        <is>
          <t>Not required</t>
        </is>
      </c>
      <c r="AC279" s="2" t="n"/>
      <c r="AD279" s="2" t="n"/>
      <c r="AE279" s="2" t="n"/>
      <c r="AF279" s="2" t="n"/>
      <c r="AG279" s="2" t="inlineStr">
        <is>
          <t>Not required</t>
        </is>
      </c>
      <c r="AH279" s="2" t="n"/>
      <c r="AI279" s="2" t="n"/>
      <c r="AJ279" s="2" t="n"/>
      <c r="AK279" s="2" t="n"/>
      <c r="AL279" s="2" t="n"/>
      <c r="AM279" s="2" t="n"/>
      <c r="AN279" s="2" t="n"/>
      <c r="AO279" s="2" t="n"/>
      <c r="AP279" s="2" t="n"/>
      <c r="AQ279" s="2" t="n"/>
    </row>
    <row r="280">
      <c r="A280" t="n">
        <v>279</v>
      </c>
      <c r="B280" s="2" t="inlineStr">
        <is>
          <t>Aditya Anand</t>
        </is>
      </c>
      <c r="C280" s="3" t="n">
        <v>9852767442</v>
      </c>
      <c r="D280" s="2" t="inlineStr">
        <is>
          <t>PROV1000001405</t>
        </is>
      </c>
      <c r="E280" s="2" t="inlineStr">
        <is>
          <t>SSAHE</t>
        </is>
      </c>
      <c r="F280" s="2" t="inlineStr">
        <is>
          <t>No</t>
        </is>
      </c>
      <c r="G280" s="2" t="inlineStr">
        <is>
          <t>Loan not required</t>
        </is>
      </c>
      <c r="H280" s="2" t="n"/>
      <c r="I280" s="2" t="n"/>
      <c r="J280" s="2" t="n"/>
      <c r="K280" s="2" t="n"/>
      <c r="L280" s="2" t="n"/>
      <c r="M280" s="2" t="n"/>
      <c r="N280" s="2" t="n"/>
      <c r="O280" s="2" t="n"/>
      <c r="P280" s="2" t="n"/>
      <c r="Q280" s="2" t="n"/>
      <c r="R280" s="2" t="n"/>
      <c r="S280" s="2" t="n"/>
      <c r="T280" s="2" t="inlineStr">
        <is>
          <t xml:space="preserve">24/7: Will self fund this year and take loan from 2nd year, 
28/7 : bonafide was shared to student to check, he suggested provisional Id is not valid and should be replaced with the roll number, he has already paid the sem fees. </t>
        </is>
      </c>
      <c r="U280" s="2" t="inlineStr">
        <is>
          <t>No</t>
        </is>
      </c>
      <c r="V280" s="2" t="inlineStr"/>
      <c r="W280" s="2" t="inlineStr"/>
      <c r="X280" s="2" t="n"/>
      <c r="Y280" s="2" t="n"/>
      <c r="Z280" s="2" t="n"/>
      <c r="AA280" s="2" t="inlineStr">
        <is>
          <t>Not required</t>
        </is>
      </c>
      <c r="AB280" s="2" t="inlineStr">
        <is>
          <t>Not required</t>
        </is>
      </c>
      <c r="AC280" s="2" t="n"/>
      <c r="AD280" s="2" t="n"/>
      <c r="AE280" s="2" t="n"/>
      <c r="AF280" s="2" t="n"/>
      <c r="AG280" s="2" t="inlineStr">
        <is>
          <t>Not required</t>
        </is>
      </c>
      <c r="AH280" s="2" t="n"/>
      <c r="AI280" s="2" t="n"/>
      <c r="AJ280" s="2" t="n"/>
      <c r="AK280" s="2" t="n"/>
      <c r="AL280" s="2" t="n"/>
      <c r="AM280" s="2" t="n"/>
      <c r="AN280" s="2" t="n"/>
      <c r="AO280" s="2" t="n"/>
      <c r="AP280" s="2" t="n"/>
      <c r="AQ280" s="2" t="n"/>
    </row>
    <row r="281">
      <c r="A281" t="n">
        <v>280</v>
      </c>
      <c r="B281" s="2" t="inlineStr">
        <is>
          <t>Sachin Kumar</t>
        </is>
      </c>
      <c r="C281" s="3" t="n">
        <v>8252271702</v>
      </c>
      <c r="D281" s="2" t="inlineStr">
        <is>
          <t>PROV260500813</t>
        </is>
      </c>
      <c r="E281" s="2" t="inlineStr">
        <is>
          <t>SSAHE</t>
        </is>
      </c>
      <c r="F281" s="2" t="inlineStr">
        <is>
          <t>DNR</t>
        </is>
      </c>
      <c r="G281" s="2" t="inlineStr">
        <is>
          <t>DNR</t>
        </is>
      </c>
      <c r="H281" s="2" t="n"/>
      <c r="I281" s="2" t="n"/>
      <c r="J281" s="2" t="n"/>
      <c r="K281" s="2" t="n"/>
      <c r="L281" s="2" t="n"/>
      <c r="M281" s="2" t="n"/>
      <c r="N281" s="2" t="n"/>
      <c r="O281" s="2" t="n"/>
      <c r="P281" s="2" t="n"/>
      <c r="Q281" s="2" t="n"/>
      <c r="R281" s="2" t="n"/>
      <c r="S281" s="2" t="n"/>
      <c r="T281" s="2" t="inlineStr">
        <is>
          <t>24/7: DNP</t>
        </is>
      </c>
      <c r="U281" s="2" t="inlineStr">
        <is>
          <t>DNP</t>
        </is>
      </c>
      <c r="V281" s="2" t="inlineStr"/>
      <c r="W281" s="2" t="inlineStr"/>
      <c r="X281" s="2" t="n"/>
      <c r="Y281" s="2" t="n"/>
      <c r="Z281" s="2" t="n"/>
      <c r="AA281" s="2" t="inlineStr">
        <is>
          <t>DNP</t>
        </is>
      </c>
      <c r="AB281" s="2" t="inlineStr">
        <is>
          <t>DNP</t>
        </is>
      </c>
      <c r="AC281" s="2" t="n"/>
      <c r="AD281" s="2" t="n"/>
      <c r="AE281" s="2" t="n"/>
      <c r="AF281" s="2" t="n"/>
      <c r="AG281" s="2" t="inlineStr">
        <is>
          <t>Not even started</t>
        </is>
      </c>
      <c r="AH281" s="2" t="n"/>
      <c r="AI281" s="2" t="n"/>
      <c r="AJ281" s="2" t="n"/>
      <c r="AK281" s="2" t="n"/>
      <c r="AL281" s="2" t="n"/>
      <c r="AM281" s="2" t="n"/>
      <c r="AN281" s="2" t="n"/>
      <c r="AO281" s="2" t="n"/>
      <c r="AP281" s="2" t="n"/>
      <c r="AQ281" s="2" t="n"/>
    </row>
    <row r="282">
      <c r="A282" t="n">
        <v>281</v>
      </c>
      <c r="B282" s="2" t="inlineStr">
        <is>
          <t>Suryansh Agarwal</t>
        </is>
      </c>
      <c r="C282" s="3" t="n">
        <v>9149123483</v>
      </c>
      <c r="D282" s="2" t="inlineStr">
        <is>
          <t>PROV260503567</t>
        </is>
      </c>
      <c r="E282" s="2" t="inlineStr">
        <is>
          <t>SSAHE</t>
        </is>
      </c>
      <c r="F282" s="2" t="inlineStr">
        <is>
          <t>No</t>
        </is>
      </c>
      <c r="G282" s="2" t="inlineStr">
        <is>
          <t>Loan not required</t>
        </is>
      </c>
      <c r="H282" s="2" t="n"/>
      <c r="I282" s="2" t="n"/>
      <c r="J282" s="2" t="n"/>
      <c r="K282" s="2" t="n"/>
      <c r="L282" s="2" t="n"/>
      <c r="M282" s="2" t="n"/>
      <c r="N282" s="2" t="n"/>
      <c r="O282" s="2" t="n"/>
      <c r="P282" s="2" t="n"/>
      <c r="Q282" s="2" t="n"/>
      <c r="R282" s="2" t="n"/>
      <c r="S282" s="2" t="n"/>
      <c r="T282" s="2" t="inlineStr">
        <is>
          <t>24/7: Dont want loan</t>
        </is>
      </c>
      <c r="U282" s="2" t="inlineStr">
        <is>
          <t>No</t>
        </is>
      </c>
      <c r="V282" s="2" t="inlineStr"/>
      <c r="W282" s="2" t="inlineStr"/>
      <c r="X282" s="2" t="n"/>
      <c r="Y282" s="2" t="n"/>
      <c r="Z282" s="2" t="n"/>
      <c r="AA282" s="2" t="inlineStr">
        <is>
          <t>Not required</t>
        </is>
      </c>
      <c r="AB282" s="2" t="inlineStr">
        <is>
          <t>Not required</t>
        </is>
      </c>
      <c r="AC282" s="2" t="n"/>
      <c r="AD282" s="2" t="n"/>
      <c r="AE282" s="2" t="n"/>
      <c r="AF282" s="2" t="n"/>
      <c r="AG282" s="2" t="inlineStr">
        <is>
          <t>Not required</t>
        </is>
      </c>
      <c r="AH282" s="2" t="n"/>
      <c r="AI282" s="2" t="n"/>
      <c r="AJ282" s="2" t="n"/>
      <c r="AK282" s="2" t="n"/>
      <c r="AL282" s="2" t="n"/>
      <c r="AM282" s="2" t="n"/>
      <c r="AN282" s="2" t="n"/>
      <c r="AO282" s="2" t="n"/>
      <c r="AP282" s="2" t="n"/>
      <c r="AQ282" s="2" t="n"/>
    </row>
    <row r="283">
      <c r="A283" t="n">
        <v>282</v>
      </c>
      <c r="B283" s="2" t="inlineStr">
        <is>
          <t>Nainsy Mishra</t>
        </is>
      </c>
      <c r="C283" s="3" t="n">
        <v>8305514638</v>
      </c>
      <c r="D283" s="2" t="inlineStr">
        <is>
          <t>PROV260504870</t>
        </is>
      </c>
      <c r="E283" s="2" t="inlineStr">
        <is>
          <t>ADYPU</t>
        </is>
      </c>
      <c r="F283" s="2" t="inlineStr">
        <is>
          <t>DNR</t>
        </is>
      </c>
      <c r="G283" s="2" t="inlineStr">
        <is>
          <t>DNR</t>
        </is>
      </c>
      <c r="H283" s="2" t="n"/>
      <c r="I283" s="2" t="n"/>
      <c r="J283" s="2" t="n"/>
      <c r="K283" s="2" t="n"/>
      <c r="L283" s="2" t="n"/>
      <c r="M283" s="2" t="n"/>
      <c r="N283" s="2" t="n"/>
      <c r="O283" s="2" t="n"/>
      <c r="P283" s="2" t="n"/>
      <c r="Q283" s="2" t="n"/>
      <c r="R283" s="2" t="n"/>
      <c r="S283" s="2" t="n"/>
      <c r="T283" s="2" t="inlineStr">
        <is>
          <t>24/7: DNP</t>
        </is>
      </c>
      <c r="U283" s="2" t="inlineStr">
        <is>
          <t>DNP</t>
        </is>
      </c>
      <c r="V283" s="2" t="inlineStr"/>
      <c r="W283" s="2" t="inlineStr"/>
      <c r="X283" s="2" t="n"/>
      <c r="Y283" s="2" t="n"/>
      <c r="Z283" s="2" t="n"/>
      <c r="AA283" s="2" t="inlineStr">
        <is>
          <t>DNP</t>
        </is>
      </c>
      <c r="AB283" s="2" t="inlineStr">
        <is>
          <t>DNP</t>
        </is>
      </c>
      <c r="AC283" s="2" t="n"/>
      <c r="AD283" s="2" t="n"/>
      <c r="AE283" s="2" t="n"/>
      <c r="AF283" s="2" t="n"/>
      <c r="AG283" s="2" t="inlineStr">
        <is>
          <t>Not even started</t>
        </is>
      </c>
      <c r="AH283" s="2" t="n"/>
      <c r="AI283" s="2" t="n"/>
      <c r="AJ283" s="2" t="n"/>
      <c r="AK283" s="2" t="n"/>
      <c r="AL283" s="2" t="n"/>
      <c r="AM283" s="2" t="n"/>
      <c r="AN283" s="2" t="n"/>
      <c r="AO283" s="2" t="n"/>
      <c r="AP283" s="2" t="n"/>
      <c r="AQ283" s="2" t="n"/>
    </row>
    <row r="284">
      <c r="A284" t="n">
        <v>283</v>
      </c>
      <c r="B284" s="2" t="inlineStr">
        <is>
          <t>MD SHADAB RAZA</t>
        </is>
      </c>
      <c r="C284" s="3" t="n">
        <v>7462066786</v>
      </c>
      <c r="D284" s="2" t="inlineStr">
        <is>
          <t>PROV260600584</t>
        </is>
      </c>
      <c r="E284" s="2" t="inlineStr">
        <is>
          <t>SSAHE</t>
        </is>
      </c>
      <c r="F284" s="2" t="inlineStr">
        <is>
          <t>No</t>
        </is>
      </c>
      <c r="G284" s="2" t="inlineStr">
        <is>
          <t>Loan not required</t>
        </is>
      </c>
      <c r="H284" s="2" t="n"/>
      <c r="I284" s="2" t="n"/>
      <c r="J284" s="2" t="n"/>
      <c r="K284" s="2" t="n"/>
      <c r="L284" s="2" t="n"/>
      <c r="M284" s="2" t="n"/>
      <c r="N284" s="2" t="n"/>
      <c r="O284" s="2" t="n"/>
      <c r="P284" s="2" t="n"/>
      <c r="Q284" s="2" t="n"/>
      <c r="R284" s="2" t="n"/>
      <c r="S284" s="2" t="n"/>
      <c r="T284" s="2" t="inlineStr"/>
      <c r="U284" s="2" t="inlineStr">
        <is>
          <t>No</t>
        </is>
      </c>
      <c r="V284" s="2" t="inlineStr"/>
      <c r="W284" s="2" t="inlineStr"/>
      <c r="X284" s="2" t="n"/>
      <c r="Y284" s="2" t="n"/>
      <c r="Z284" s="2" t="n"/>
      <c r="AA284" s="2" t="inlineStr">
        <is>
          <t>Not required</t>
        </is>
      </c>
      <c r="AB284" s="2" t="inlineStr">
        <is>
          <t>Not required</t>
        </is>
      </c>
      <c r="AC284" s="2" t="n"/>
      <c r="AD284" s="2" t="n"/>
      <c r="AE284" s="2" t="n"/>
      <c r="AF284" s="2" t="n"/>
      <c r="AG284" s="2" t="inlineStr">
        <is>
          <t>Not required</t>
        </is>
      </c>
      <c r="AH284" s="2" t="n"/>
      <c r="AI284" s="2" t="n"/>
      <c r="AJ284" s="2" t="n"/>
      <c r="AK284" s="2" t="n"/>
      <c r="AL284" s="2" t="n"/>
      <c r="AM284" s="2" t="n"/>
      <c r="AN284" s="2" t="n"/>
      <c r="AO284" s="2" t="n"/>
      <c r="AP284" s="2" t="n"/>
      <c r="AQ284" s="2" t="n"/>
    </row>
    <row r="285">
      <c r="A285" t="n">
        <v>284</v>
      </c>
      <c r="B285" s="2" t="inlineStr">
        <is>
          <t>shovan satpathy</t>
        </is>
      </c>
      <c r="C285" s="3" t="n">
        <v>8918551204</v>
      </c>
      <c r="D285" s="2" t="inlineStr">
        <is>
          <t>PROV260611926</t>
        </is>
      </c>
      <c r="E285" s="2" t="inlineStr">
        <is>
          <t>SSAHE</t>
        </is>
      </c>
      <c r="F285" s="2" t="inlineStr">
        <is>
          <t>Yes</t>
        </is>
      </c>
      <c r="G285" s="2" t="inlineStr">
        <is>
          <t xml:space="preserve">Non Critical </t>
        </is>
      </c>
      <c r="H285" s="2" t="n">
        <v>0.15</v>
      </c>
      <c r="I285" s="2" t="n">
        <v>7.5</v>
      </c>
      <c r="J285" s="2" t="n">
        <v>85.8</v>
      </c>
      <c r="K285" s="2" t="inlineStr">
        <is>
          <t>Father</t>
        </is>
      </c>
      <c r="L285" s="2" t="inlineStr">
        <is>
          <t>Salaried</t>
        </is>
      </c>
      <c r="M285" s="2" t="n">
        <v>4.04</v>
      </c>
      <c r="N285" s="2" t="inlineStr">
        <is>
          <t>ITR/ Salary slips</t>
        </is>
      </c>
      <c r="O285" s="2" t="n"/>
      <c r="P285" s="2" t="n"/>
      <c r="Q285" s="2" t="n"/>
      <c r="R285" s="2" t="n"/>
      <c r="S285" s="2" t="n"/>
      <c r="T285" s="2" t="inlineStr">
        <is>
          <t>- 15/7 - Had a word with the student and his father. They want 7.5 L loan through Vidyalakshmi portal. The student doesn't have PAN yet. It's a risk case, just because of this case. 
20/7:- waiting for PAN but will get loan, as loan amount loan
31/7: Has paid the first sem will take loan later</t>
        </is>
      </c>
      <c r="U285" s="2" t="inlineStr">
        <is>
          <t>No</t>
        </is>
      </c>
      <c r="V285" s="2" t="inlineStr">
        <is>
          <t>No</t>
        </is>
      </c>
      <c r="W285" s="2" t="inlineStr">
        <is>
          <t>No</t>
        </is>
      </c>
      <c r="X285" s="2" t="inlineStr">
        <is>
          <t>No</t>
        </is>
      </c>
      <c r="Y285" s="2" t="inlineStr">
        <is>
          <t>No</t>
        </is>
      </c>
      <c r="Z285" s="2" t="n"/>
      <c r="AA285" s="2" t="inlineStr">
        <is>
          <t>Control</t>
        </is>
      </c>
      <c r="AB285" s="2" t="inlineStr">
        <is>
          <t>Control</t>
        </is>
      </c>
      <c r="AC285" s="2" t="n"/>
      <c r="AD285" s="2" t="n"/>
      <c r="AE285" s="2" t="n"/>
      <c r="AF285" s="2" t="n"/>
      <c r="AG285" s="2" t="inlineStr">
        <is>
          <t>Not required</t>
        </is>
      </c>
      <c r="AH285" s="2" t="inlineStr">
        <is>
          <t>Docs Pending</t>
        </is>
      </c>
      <c r="AI285" s="2" t="n"/>
      <c r="AJ285" s="2" t="n"/>
      <c r="AK285" s="2" t="n"/>
      <c r="AL285" s="2" t="n"/>
      <c r="AM285" s="2" t="n"/>
      <c r="AN285" s="2" t="n"/>
      <c r="AO285" s="2" t="n"/>
      <c r="AP285" s="2" t="n"/>
      <c r="AQ285" s="2" t="n"/>
    </row>
    <row r="286">
      <c r="A286" t="n">
        <v>285</v>
      </c>
      <c r="B286" s="2" t="inlineStr">
        <is>
          <t>Garvit bedi</t>
        </is>
      </c>
      <c r="C286" s="3" t="n">
        <v>9877688168</v>
      </c>
      <c r="D286" s="2" t="inlineStr">
        <is>
          <t>PROV260605326</t>
        </is>
      </c>
      <c r="E286" s="2" t="inlineStr">
        <is>
          <t>SSAHE</t>
        </is>
      </c>
      <c r="F286" s="2" t="inlineStr">
        <is>
          <t>DNR</t>
        </is>
      </c>
      <c r="G286" s="2" t="inlineStr">
        <is>
          <t>DNR</t>
        </is>
      </c>
      <c r="H286" s="2" t="n"/>
      <c r="I286" s="2" t="n"/>
      <c r="J286" s="2" t="n"/>
      <c r="K286" s="2" t="n"/>
      <c r="L286" s="2" t="n"/>
      <c r="M286" s="2" t="n"/>
      <c r="N286" s="2" t="n"/>
      <c r="O286" s="2" t="n"/>
      <c r="P286" s="2" t="n"/>
      <c r="Q286" s="2" t="n"/>
      <c r="R286" s="2" t="n"/>
      <c r="S286" s="2" t="n"/>
      <c r="T286" s="2" t="inlineStr">
        <is>
          <t>24/7: DNP</t>
        </is>
      </c>
      <c r="U286" s="2" t="inlineStr">
        <is>
          <t>DNP</t>
        </is>
      </c>
      <c r="V286" s="2" t="inlineStr"/>
      <c r="W286" s="2" t="inlineStr"/>
      <c r="X286" s="2" t="n"/>
      <c r="Y286" s="2" t="n"/>
      <c r="Z286" s="2" t="n"/>
      <c r="AA286" s="2" t="inlineStr">
        <is>
          <t>DNP</t>
        </is>
      </c>
      <c r="AB286" s="2" t="inlineStr">
        <is>
          <t>DNP</t>
        </is>
      </c>
      <c r="AC286" s="2" t="n"/>
      <c r="AD286" s="2" t="n"/>
      <c r="AE286" s="2" t="n"/>
      <c r="AF286" s="2" t="n"/>
      <c r="AG286" s="2" t="inlineStr">
        <is>
          <t>Not even started</t>
        </is>
      </c>
      <c r="AH286" s="2" t="n"/>
      <c r="AI286" s="2" t="n"/>
      <c r="AJ286" s="2" t="n"/>
      <c r="AK286" s="2" t="n"/>
      <c r="AL286" s="2" t="n"/>
      <c r="AM286" s="2" t="n"/>
      <c r="AN286" s="2" t="n"/>
      <c r="AO286" s="2" t="n"/>
      <c r="AP286" s="2" t="n"/>
      <c r="AQ286" s="2" t="n"/>
    </row>
    <row r="287">
      <c r="A287" t="n">
        <v>286</v>
      </c>
      <c r="B287" s="2" t="inlineStr">
        <is>
          <t>SAURABH KUMAR</t>
        </is>
      </c>
      <c r="C287" s="3" t="n">
        <v>9304465175</v>
      </c>
      <c r="D287" s="2" t="inlineStr">
        <is>
          <t>PROV260608606</t>
        </is>
      </c>
      <c r="E287" s="2" t="inlineStr">
        <is>
          <t>SSAHE</t>
        </is>
      </c>
      <c r="F287" s="2" t="inlineStr">
        <is>
          <t>Yes</t>
        </is>
      </c>
      <c r="G287" s="2" t="inlineStr">
        <is>
          <t xml:space="preserve">Critical </t>
        </is>
      </c>
      <c r="H287" s="2" t="n"/>
      <c r="I287" s="2" t="n">
        <v>25</v>
      </c>
      <c r="J287" s="2" t="n">
        <v>53</v>
      </c>
      <c r="K287" s="2" t="inlineStr">
        <is>
          <t>Father</t>
        </is>
      </c>
      <c r="L287" s="2" t="inlineStr">
        <is>
          <t>salaried</t>
        </is>
      </c>
      <c r="M287" s="2" t="n">
        <v>5</v>
      </c>
      <c r="N287" s="2" t="inlineStr">
        <is>
          <t>income certificate</t>
        </is>
      </c>
      <c r="O287" s="2" t="n"/>
      <c r="P287" s="2" t="n"/>
      <c r="Q287" s="2" t="n"/>
      <c r="R287" s="2" t="n"/>
      <c r="S287" s="2" t="inlineStr">
        <is>
          <t>still not received any calls from bank.</t>
        </is>
      </c>
      <c r="T287" s="2" t="inlineStr">
        <is>
          <t>Docs Pending with GyanDhan</t>
        </is>
      </c>
      <c r="U287" s="2" t="inlineStr">
        <is>
          <t>Yes</t>
        </is>
      </c>
      <c r="V287" s="2" t="inlineStr"/>
      <c r="W287" s="2" t="inlineStr"/>
      <c r="X287" s="2" t="n"/>
      <c r="Y287" s="2" t="n"/>
      <c r="Z287" s="2" t="n"/>
      <c r="AA287" s="2" t="inlineStr">
        <is>
          <t>Risk</t>
        </is>
      </c>
      <c r="AB287" s="2" t="inlineStr">
        <is>
          <t>Risk</t>
        </is>
      </c>
      <c r="AC287" s="2" t="n"/>
      <c r="AD287" s="2" t="n"/>
      <c r="AE287" s="2" t="n"/>
      <c r="AF287" s="2" t="n"/>
      <c r="AG287" s="2" t="inlineStr">
        <is>
          <t>Not even started</t>
        </is>
      </c>
      <c r="AH287" s="2" t="n"/>
      <c r="AI287" s="2" t="n"/>
      <c r="AJ287" s="2" t="n"/>
      <c r="AK287" s="2" t="n"/>
      <c r="AL287" s="2" t="inlineStr">
        <is>
          <t>Not enough info</t>
        </is>
      </c>
      <c r="AM287" s="2" t="n"/>
      <c r="AN287" s="2" t="n"/>
      <c r="AO287" s="2" t="n"/>
      <c r="AP287" s="2" t="n"/>
      <c r="AQ287" s="2" t="n"/>
    </row>
    <row r="288">
      <c r="A288" t="n">
        <v>287</v>
      </c>
      <c r="B288" s="2" t="inlineStr">
        <is>
          <t>Shivansh Sharma</t>
        </is>
      </c>
      <c r="C288" s="3" t="n">
        <v>7876807069</v>
      </c>
      <c r="D288" s="2" t="inlineStr">
        <is>
          <t>PROV260601504</t>
        </is>
      </c>
      <c r="E288" s="2" t="inlineStr">
        <is>
          <t>SSAHE</t>
        </is>
      </c>
      <c r="F288" s="2" t="inlineStr">
        <is>
          <t>Drop</t>
        </is>
      </c>
      <c r="G288" s="2" t="n"/>
      <c r="H288" s="2" t="n"/>
      <c r="I288" s="2" t="n"/>
      <c r="J288" s="2" t="n"/>
      <c r="K288" s="2" t="n"/>
      <c r="L288" s="2" t="n"/>
      <c r="M288" s="2" t="n"/>
      <c r="N288" s="2" t="n"/>
      <c r="O288" s="2" t="n"/>
      <c r="P288" s="2" t="n"/>
      <c r="Q288" s="2" t="n"/>
      <c r="R288" s="2" t="n"/>
      <c r="S288" s="2" t="n"/>
      <c r="T288" s="2" t="inlineStr"/>
      <c r="U288" s="2" t="inlineStr">
        <is>
          <t>Refund</t>
        </is>
      </c>
      <c r="V288" s="2" t="inlineStr"/>
      <c r="W288" s="2" t="inlineStr"/>
      <c r="X288" s="2" t="n"/>
      <c r="Y288" s="2" t="n"/>
      <c r="Z288" s="2" t="n"/>
      <c r="AA288" s="2" t="inlineStr">
        <is>
          <t>Refund case</t>
        </is>
      </c>
      <c r="AB288" s="2" t="inlineStr">
        <is>
          <t>Refund case</t>
        </is>
      </c>
      <c r="AC288" s="2" t="n"/>
      <c r="AD288" s="2" t="n"/>
      <c r="AE288" s="2" t="n"/>
      <c r="AF288" s="2" t="n"/>
      <c r="AG288" s="2" t="n"/>
      <c r="AH288" s="2" t="n"/>
      <c r="AI288" s="2" t="n"/>
      <c r="AJ288" s="2" t="n"/>
      <c r="AK288" s="2" t="n"/>
      <c r="AL288" s="2" t="n"/>
      <c r="AM288" s="2" t="n"/>
      <c r="AN288" s="2" t="n"/>
      <c r="AO288" s="2" t="n"/>
      <c r="AP288" s="2" t="n"/>
      <c r="AQ288" s="2" t="n"/>
    </row>
    <row r="289">
      <c r="A289" t="n">
        <v>288</v>
      </c>
      <c r="B289" s="2" t="inlineStr">
        <is>
          <t>Sujay Reddy</t>
        </is>
      </c>
      <c r="C289" s="3" t="n">
        <v>7989282567</v>
      </c>
      <c r="D289" s="2" t="inlineStr">
        <is>
          <t>PROV260611892</t>
        </is>
      </c>
      <c r="E289" s="2" t="inlineStr">
        <is>
          <t>SSAHE</t>
        </is>
      </c>
      <c r="F289" s="2" t="inlineStr">
        <is>
          <t>No</t>
        </is>
      </c>
      <c r="G289" s="2" t="inlineStr">
        <is>
          <t>Loan not required</t>
        </is>
      </c>
      <c r="H289" s="2" t="n"/>
      <c r="I289" s="2" t="n"/>
      <c r="J289" s="2" t="n"/>
      <c r="K289" s="2" t="n"/>
      <c r="L289" s="2" t="n"/>
      <c r="M289" s="2" t="n"/>
      <c r="N289" s="2" t="n"/>
      <c r="O289" s="2" t="n"/>
      <c r="P289" s="2" t="n"/>
      <c r="Q289" s="2" t="n"/>
      <c r="R289" s="2" t="n"/>
      <c r="S289" s="2" t="n"/>
      <c r="T289" s="2" t="inlineStr"/>
      <c r="U289" s="2" t="inlineStr">
        <is>
          <t>No</t>
        </is>
      </c>
      <c r="V289" s="2" t="inlineStr"/>
      <c r="W289" s="2" t="inlineStr"/>
      <c r="X289" s="2" t="n"/>
      <c r="Y289" s="2" t="n"/>
      <c r="Z289" s="2" t="n"/>
      <c r="AA289" s="2" t="inlineStr">
        <is>
          <t>Not required</t>
        </is>
      </c>
      <c r="AB289" s="2" t="inlineStr">
        <is>
          <t>Not required</t>
        </is>
      </c>
      <c r="AC289" s="2" t="n"/>
      <c r="AD289" s="2" t="n"/>
      <c r="AE289" s="2" t="n"/>
      <c r="AF289" s="2" t="n"/>
      <c r="AG289" s="2" t="inlineStr">
        <is>
          <t>Not required</t>
        </is>
      </c>
      <c r="AH289" s="2" t="n"/>
      <c r="AI289" s="2" t="n"/>
      <c r="AJ289" s="2" t="n"/>
      <c r="AK289" s="2" t="n"/>
      <c r="AL289" s="2" t="n"/>
      <c r="AM289" s="2" t="n"/>
      <c r="AN289" s="2" t="n"/>
      <c r="AO289" s="2" t="n"/>
      <c r="AP289" s="2" t="n"/>
      <c r="AQ289" s="2" t="n"/>
    </row>
    <row r="290">
      <c r="A290" t="n">
        <v>289</v>
      </c>
      <c r="B290" s="2" t="inlineStr">
        <is>
          <t>Atharva Pravin Deshmukh</t>
        </is>
      </c>
      <c r="C290" s="3" t="n">
        <v>9284741621</v>
      </c>
      <c r="D290" s="2" t="inlineStr">
        <is>
          <t>PROV260504447</t>
        </is>
      </c>
      <c r="E290" s="2" t="inlineStr">
        <is>
          <t>ADYPU</t>
        </is>
      </c>
      <c r="F290" s="2" t="inlineStr">
        <is>
          <t>No</t>
        </is>
      </c>
      <c r="G290" s="2" t="inlineStr">
        <is>
          <t>Loan not required</t>
        </is>
      </c>
      <c r="H290" s="2" t="n"/>
      <c r="I290" s="2" t="n"/>
      <c r="J290" s="2" t="n"/>
      <c r="K290" s="2" t="n"/>
      <c r="L290" s="2" t="n"/>
      <c r="M290" s="2" t="n"/>
      <c r="N290" s="2" t="n"/>
      <c r="O290" s="2" t="n"/>
      <c r="P290" s="2" t="n"/>
      <c r="Q290" s="2" t="n"/>
      <c r="R290" s="2" t="n"/>
      <c r="S290" s="2" t="n"/>
      <c r="T290" s="2" t="inlineStr">
        <is>
          <t>24/7: Dont want loan</t>
        </is>
      </c>
      <c r="U290" s="2" t="inlineStr">
        <is>
          <t>No</t>
        </is>
      </c>
      <c r="V290" s="2" t="inlineStr"/>
      <c r="W290" s="2" t="inlineStr"/>
      <c r="X290" s="2" t="n"/>
      <c r="Y290" s="2" t="n"/>
      <c r="Z290" s="2" t="n"/>
      <c r="AA290" s="2" t="inlineStr">
        <is>
          <t>Not required</t>
        </is>
      </c>
      <c r="AB290" s="2" t="inlineStr">
        <is>
          <t>Not required</t>
        </is>
      </c>
      <c r="AC290" s="2" t="n"/>
      <c r="AD290" s="2" t="n"/>
      <c r="AE290" s="2" t="n"/>
      <c r="AF290" s="2" t="n"/>
      <c r="AG290" s="2" t="inlineStr">
        <is>
          <t>Not required</t>
        </is>
      </c>
      <c r="AH290" s="2" t="n"/>
      <c r="AI290" s="2" t="n"/>
      <c r="AJ290" s="2" t="n"/>
      <c r="AK290" s="2" t="n"/>
      <c r="AL290" s="2" t="n"/>
      <c r="AM290" s="2" t="n"/>
      <c r="AN290" s="2" t="n"/>
      <c r="AO290" s="2" t="n"/>
      <c r="AP290" s="2" t="n"/>
      <c r="AQ290" s="2" t="n"/>
    </row>
    <row r="291">
      <c r="A291" t="n">
        <v>290</v>
      </c>
      <c r="B291" s="2" t="inlineStr">
        <is>
          <t>Divyansh soni</t>
        </is>
      </c>
      <c r="C291" s="3" t="n">
        <v>7828340133</v>
      </c>
      <c r="D291" s="2" t="inlineStr">
        <is>
          <t>PROV260608419</t>
        </is>
      </c>
      <c r="E291" s="2" t="inlineStr">
        <is>
          <t>ADYPU</t>
        </is>
      </c>
      <c r="F291" s="2" t="inlineStr">
        <is>
          <t>Yes</t>
        </is>
      </c>
      <c r="G291" s="2" t="inlineStr">
        <is>
          <t xml:space="preserve">Non Critical </t>
        </is>
      </c>
      <c r="H291" s="2" t="n">
        <v>10</v>
      </c>
      <c r="I291" s="2" t="n">
        <v>25</v>
      </c>
      <c r="J291" s="2" t="n">
        <v>64</v>
      </c>
      <c r="K291" s="2" t="inlineStr">
        <is>
          <t>Father</t>
        </is>
      </c>
      <c r="L291" s="2" t="n"/>
      <c r="M291" s="2" t="n"/>
      <c r="N291" s="2" t="n"/>
      <c r="O291" s="2" t="n"/>
      <c r="P291" s="2" t="n"/>
      <c r="Q291" s="2" t="n"/>
      <c r="R291" s="2" t="n"/>
      <c r="S291" s="2" t="inlineStr">
        <is>
          <t>will have to talk to his father</t>
        </is>
      </c>
      <c r="T291" s="2" t="inlineStr">
        <is>
          <t xml:space="preserve">23/7 : Father : businessman ( Gold ), Annual Income : Student doesnt know, have told the student to send all the details for us to mve his application for loan. Loan requied : 25L
27/7 : Have sent his details to gyan dhan
3/8 : Student hasn;t received call from gyan dhan 
</t>
        </is>
      </c>
      <c r="U291" s="2" t="inlineStr">
        <is>
          <t>Yes</t>
        </is>
      </c>
      <c r="V291" s="2" t="inlineStr"/>
      <c r="W291" s="2" t="inlineStr"/>
      <c r="X291" s="2" t="n"/>
      <c r="Y291" s="2" t="n"/>
      <c r="Z291" s="2" t="n"/>
      <c r="AA291" s="2" t="inlineStr">
        <is>
          <t>Control</t>
        </is>
      </c>
      <c r="AB291" s="2" t="inlineStr">
        <is>
          <t>Control</t>
        </is>
      </c>
      <c r="AC291" s="2" t="n"/>
      <c r="AD291" s="2" t="n"/>
      <c r="AE291" s="2" t="n"/>
      <c r="AF291" s="2" t="n"/>
      <c r="AG291" s="2" t="inlineStr">
        <is>
          <t>Not even started</t>
        </is>
      </c>
      <c r="AH291" s="2" t="n"/>
      <c r="AI291" s="2" t="n"/>
      <c r="AJ291" s="2" t="n"/>
      <c r="AK291" s="2" t="n"/>
      <c r="AL291" s="2" t="inlineStr">
        <is>
          <t>DNP till now , now started</t>
        </is>
      </c>
      <c r="AM291" s="2" t="n"/>
      <c r="AN291" s="2" t="n"/>
      <c r="AO291" s="2" t="n"/>
      <c r="AP291" s="2" t="n"/>
      <c r="AQ291" s="2" t="n"/>
    </row>
    <row r="292">
      <c r="A292" t="n">
        <v>291</v>
      </c>
      <c r="B292" s="2" t="inlineStr">
        <is>
          <t>Riyansh</t>
        </is>
      </c>
      <c r="C292" s="3" t="n">
        <v>9646162497</v>
      </c>
      <c r="D292" s="2" t="inlineStr">
        <is>
          <t>PROV1000003335</t>
        </is>
      </c>
      <c r="E292" s="2" t="inlineStr">
        <is>
          <t>ADYPU</t>
        </is>
      </c>
      <c r="F292" s="2" t="inlineStr">
        <is>
          <t>Drop</t>
        </is>
      </c>
      <c r="G292" s="2" t="n"/>
      <c r="H292" s="2" t="n"/>
      <c r="I292" s="2" t="n"/>
      <c r="J292" s="2" t="n"/>
      <c r="K292" s="2" t="n"/>
      <c r="L292" s="2" t="n"/>
      <c r="M292" s="2" t="n"/>
      <c r="N292" s="2" t="n"/>
      <c r="O292" s="2" t="n"/>
      <c r="P292" s="2" t="n"/>
      <c r="Q292" s="2" t="n"/>
      <c r="R292" s="2" t="n"/>
      <c r="S292" s="2" t="n"/>
      <c r="T292" s="2" t="inlineStr"/>
      <c r="U292" s="2" t="inlineStr">
        <is>
          <t>Refund</t>
        </is>
      </c>
      <c r="V292" s="2" t="inlineStr"/>
      <c r="W292" s="2" t="inlineStr"/>
      <c r="X292" s="2" t="n"/>
      <c r="Y292" s="2" t="n"/>
      <c r="Z292" s="2" t="n"/>
      <c r="AA292" s="2" t="inlineStr">
        <is>
          <t>Refund case</t>
        </is>
      </c>
      <c r="AB292" s="2" t="inlineStr">
        <is>
          <t>Refund case</t>
        </is>
      </c>
      <c r="AC292" s="2" t="n"/>
      <c r="AD292" s="2" t="n"/>
      <c r="AE292" s="2" t="n"/>
      <c r="AF292" s="2" t="n"/>
      <c r="AG292" s="2" t="n"/>
      <c r="AH292" s="2" t="n"/>
      <c r="AI292" s="2" t="n"/>
      <c r="AJ292" s="2" t="n"/>
      <c r="AK292" s="2" t="n"/>
      <c r="AL292" s="2" t="n"/>
      <c r="AM292" s="2" t="n"/>
      <c r="AN292" s="2" t="n"/>
      <c r="AO292" s="2" t="n"/>
      <c r="AP292" s="2" t="n"/>
      <c r="AQ292" s="2" t="n"/>
    </row>
    <row r="293">
      <c r="A293" t="n">
        <v>292</v>
      </c>
      <c r="B293" s="2" t="inlineStr">
        <is>
          <t>RUDRA HARESHBHAI LATHIYA</t>
        </is>
      </c>
      <c r="C293" s="3" t="n">
        <v>9274318108</v>
      </c>
      <c r="D293" s="2" t="inlineStr">
        <is>
          <t>PROV260606399</t>
        </is>
      </c>
      <c r="E293" s="2" t="inlineStr">
        <is>
          <t>ADYPU</t>
        </is>
      </c>
      <c r="F293" s="2" t="inlineStr">
        <is>
          <t>No</t>
        </is>
      </c>
      <c r="G293" s="2" t="inlineStr">
        <is>
          <t>Loan not required</t>
        </is>
      </c>
      <c r="H293" s="2" t="n"/>
      <c r="I293" s="2" t="n"/>
      <c r="J293" s="2" t="n"/>
      <c r="K293" s="2" t="n"/>
      <c r="L293" s="2" t="n"/>
      <c r="M293" s="2" t="n"/>
      <c r="N293" s="2" t="n"/>
      <c r="O293" s="2" t="n"/>
      <c r="P293" s="2" t="n"/>
      <c r="Q293" s="2" t="n"/>
      <c r="R293" s="2" t="n"/>
      <c r="S293" s="2" t="inlineStr">
        <is>
          <t>called; isnt sure yet needs a day</t>
        </is>
      </c>
      <c r="T293" s="2" t="inlineStr"/>
      <c r="U293" s="2" t="inlineStr">
        <is>
          <t>No</t>
        </is>
      </c>
      <c r="V293" s="2" t="inlineStr"/>
      <c r="W293" s="2" t="inlineStr"/>
      <c r="X293" s="2" t="n"/>
      <c r="Y293" s="2" t="n"/>
      <c r="Z293" s="2" t="n"/>
      <c r="AA293" s="2" t="inlineStr">
        <is>
          <t>Not required</t>
        </is>
      </c>
      <c r="AB293" s="2" t="inlineStr">
        <is>
          <t>Not required</t>
        </is>
      </c>
      <c r="AC293" s="2" t="n"/>
      <c r="AD293" s="2" t="n"/>
      <c r="AE293" s="2" t="n"/>
      <c r="AF293" s="2" t="n"/>
      <c r="AG293" s="2" t="inlineStr">
        <is>
          <t>Not required</t>
        </is>
      </c>
      <c r="AH293" s="2" t="n"/>
      <c r="AI293" s="2" t="n"/>
      <c r="AJ293" s="2" t="n"/>
      <c r="AK293" s="2" t="n"/>
      <c r="AL293" s="2" t="n"/>
      <c r="AM293" s="2" t="n"/>
      <c r="AN293" s="2" t="n"/>
      <c r="AO293" s="2" t="n"/>
      <c r="AP293" s="2" t="n"/>
      <c r="AQ293" s="2" t="n"/>
    </row>
    <row r="294">
      <c r="A294" t="n">
        <v>293</v>
      </c>
      <c r="B294" s="2" t="inlineStr">
        <is>
          <t>Shlok  Sangwan</t>
        </is>
      </c>
      <c r="C294" s="3" t="n">
        <v>9412564250</v>
      </c>
      <c r="D294" s="2" t="inlineStr">
        <is>
          <t>PROV260601348</t>
        </is>
      </c>
      <c r="E294" s="2" t="inlineStr">
        <is>
          <t>ADYPU</t>
        </is>
      </c>
      <c r="F294" s="2" t="inlineStr">
        <is>
          <t>No</t>
        </is>
      </c>
      <c r="G294" s="2" t="inlineStr">
        <is>
          <t>Loan not required</t>
        </is>
      </c>
      <c r="H294" s="2" t="n"/>
      <c r="I294" s="2" t="n"/>
      <c r="J294" s="2" t="n"/>
      <c r="K294" s="2" t="n"/>
      <c r="L294" s="2" t="n"/>
      <c r="M294" s="2" t="n"/>
      <c r="N294" s="2" t="n"/>
      <c r="O294" s="2" t="n"/>
      <c r="P294" s="2" t="n"/>
      <c r="Q294" s="2" t="n"/>
      <c r="R294" s="2" t="n"/>
      <c r="S294" s="2" t="n"/>
      <c r="T294" s="2" t="inlineStr">
        <is>
          <t>24/7: Dont want loan</t>
        </is>
      </c>
      <c r="U294" s="2" t="inlineStr">
        <is>
          <t>No</t>
        </is>
      </c>
      <c r="V294" s="2" t="inlineStr"/>
      <c r="W294" s="2" t="inlineStr"/>
      <c r="X294" s="2" t="n"/>
      <c r="Y294" s="2" t="n"/>
      <c r="Z294" s="2" t="n"/>
      <c r="AA294" s="2" t="inlineStr">
        <is>
          <t>Not required</t>
        </is>
      </c>
      <c r="AB294" s="2" t="inlineStr">
        <is>
          <t>Not required</t>
        </is>
      </c>
      <c r="AC294" s="2" t="n"/>
      <c r="AD294" s="2" t="n"/>
      <c r="AE294" s="2" t="n"/>
      <c r="AF294" s="2" t="n"/>
      <c r="AG294" s="2" t="inlineStr">
        <is>
          <t>Not required</t>
        </is>
      </c>
      <c r="AH294" s="2" t="n"/>
      <c r="AI294" s="2" t="n"/>
      <c r="AJ294" s="2" t="n"/>
      <c r="AK294" s="2" t="n"/>
      <c r="AL294" s="2" t="n"/>
      <c r="AM294" s="2" t="n"/>
      <c r="AN294" s="2" t="n"/>
      <c r="AO294" s="2" t="n"/>
      <c r="AP294" s="2" t="n"/>
      <c r="AQ294" s="2" t="n"/>
    </row>
    <row r="295">
      <c r="A295" t="n">
        <v>294</v>
      </c>
      <c r="B295" s="2" t="inlineStr">
        <is>
          <t>Vedant Nathbuva</t>
        </is>
      </c>
      <c r="C295" s="3" t="n">
        <v>7625054972</v>
      </c>
      <c r="D295" s="2" t="inlineStr">
        <is>
          <t>PROV260607480</t>
        </is>
      </c>
      <c r="E295" s="2" t="inlineStr">
        <is>
          <t>ADYPU</t>
        </is>
      </c>
      <c r="F295" s="2" t="n"/>
      <c r="G295" s="2" t="n"/>
      <c r="H295" s="2" t="n">
        <v>0</v>
      </c>
      <c r="I295" s="2" t="n"/>
      <c r="J295" s="2" t="n"/>
      <c r="K295" s="2" t="n"/>
      <c r="L295" s="2" t="n"/>
      <c r="M295" s="2" t="n"/>
      <c r="N295" s="2" t="n"/>
      <c r="O295" s="2" t="n"/>
      <c r="P295" s="2" t="n"/>
      <c r="Q295" s="2" t="n"/>
      <c r="R295" s="2" t="n"/>
      <c r="S295" s="2" t="n"/>
      <c r="T295" s="2" t="inlineStr">
        <is>
          <t>24/7: father: 9611405919: 
father said , not sure asked me to share the leads</t>
        </is>
      </c>
      <c r="U295" s="2" t="inlineStr">
        <is>
          <t>Not sure</t>
        </is>
      </c>
      <c r="V295" s="2" t="inlineStr">
        <is>
          <t>Yes</t>
        </is>
      </c>
      <c r="W295" s="2" t="inlineStr"/>
      <c r="X295" s="2" t="n"/>
      <c r="Y295" s="2" t="n"/>
      <c r="Z295" s="2" t="inlineStr">
        <is>
          <t>Yes</t>
        </is>
      </c>
      <c r="AA295" s="2" t="inlineStr">
        <is>
          <t>Not Sure</t>
        </is>
      </c>
      <c r="AB295" s="2" t="inlineStr">
        <is>
          <t>Not Sure</t>
        </is>
      </c>
      <c r="AC295" s="2" t="n"/>
      <c r="AD295" s="2" t="n"/>
      <c r="AE295" s="2" t="n"/>
      <c r="AF295" s="2" t="n"/>
      <c r="AG295" s="2" t="n"/>
      <c r="AH295" s="2" t="n"/>
      <c r="AI295" s="2" t="n"/>
      <c r="AJ295" s="2" t="n"/>
      <c r="AK295" s="2" t="n"/>
      <c r="AL295" s="2" t="n"/>
      <c r="AM295" s="2" t="n"/>
      <c r="AN295" s="2" t="n"/>
      <c r="AO295" s="2" t="n"/>
      <c r="AP295" s="2" t="n"/>
      <c r="AQ295" s="2" t="n"/>
    </row>
    <row r="296">
      <c r="A296" t="n">
        <v>295</v>
      </c>
      <c r="B296" s="2" t="inlineStr">
        <is>
          <t>Sindhuja Singh</t>
        </is>
      </c>
      <c r="C296" s="3" t="n">
        <v>7498950920</v>
      </c>
      <c r="D296" s="2" t="inlineStr">
        <is>
          <t>PROV260609299</t>
        </is>
      </c>
      <c r="E296" s="2" t="inlineStr">
        <is>
          <t>ADYPU</t>
        </is>
      </c>
      <c r="F296" s="2" t="inlineStr">
        <is>
          <t>No</t>
        </is>
      </c>
      <c r="G296" s="2" t="inlineStr">
        <is>
          <t>Loan not required</t>
        </is>
      </c>
      <c r="H296" s="2" t="n">
        <v>15</v>
      </c>
      <c r="I296" s="2" t="n">
        <v>20</v>
      </c>
      <c r="J296" s="2" t="n">
        <v>78</v>
      </c>
      <c r="K296" s="2" t="inlineStr">
        <is>
          <t>Father</t>
        </is>
      </c>
      <c r="L296" s="2" t="inlineStr">
        <is>
          <t>Business - Publication house</t>
        </is>
      </c>
      <c r="M296" s="2" t="n"/>
      <c r="N296" s="2" t="n"/>
      <c r="O296" s="2" t="n"/>
      <c r="P296" s="2" t="n"/>
      <c r="Q296" s="2" t="n"/>
      <c r="R296" s="2" t="n"/>
      <c r="S296" s="2" t="n"/>
      <c r="T296" s="2" t="inlineStr">
        <is>
          <t xml:space="preserve">22/7 : 9850586085 -  Annual Income : 14L , cibil : ok, ITR filed : Yes
25/7 : Father called back , he hasn't received call from the team. </t>
        </is>
      </c>
      <c r="U296" s="2" t="inlineStr">
        <is>
          <t>Yes</t>
        </is>
      </c>
      <c r="V296" s="2" t="inlineStr"/>
      <c r="W296" s="2" t="inlineStr"/>
      <c r="X296" s="2" t="n"/>
      <c r="Y296" s="2" t="n"/>
      <c r="Z296" s="2" t="n"/>
      <c r="AA296" s="2" t="inlineStr">
        <is>
          <t>Control</t>
        </is>
      </c>
      <c r="AB296" s="2" t="inlineStr">
        <is>
          <t>Control</t>
        </is>
      </c>
      <c r="AC296" s="2" t="n"/>
      <c r="AD296" s="2" t="n"/>
      <c r="AE296" s="2" t="n"/>
      <c r="AF296" s="2" t="n"/>
      <c r="AG296" s="2" t="inlineStr">
        <is>
          <t>Ongoing</t>
        </is>
      </c>
      <c r="AH296" s="2" t="inlineStr">
        <is>
          <t>Processing by GyanDhan</t>
        </is>
      </c>
      <c r="AI296" s="2" t="n"/>
      <c r="AJ296" s="2" t="n"/>
      <c r="AK296" s="2" t="n"/>
      <c r="AL296" s="2" t="n"/>
      <c r="AM296" s="2" t="n"/>
      <c r="AN296" s="2" t="n"/>
      <c r="AO296" s="2" t="n"/>
      <c r="AP296" s="2" t="n"/>
      <c r="AQ296" s="2" t="n"/>
    </row>
    <row r="297">
      <c r="A297" t="n">
        <v>296</v>
      </c>
      <c r="B297" s="2" t="inlineStr">
        <is>
          <t>Bhargav Vinod Tiwari</t>
        </is>
      </c>
      <c r="C297" s="3" t="n">
        <v>9420872661</v>
      </c>
      <c r="D297" s="2" t="inlineStr">
        <is>
          <t>PROV260606403</t>
        </is>
      </c>
      <c r="E297" s="2" t="inlineStr">
        <is>
          <t>ADYPU</t>
        </is>
      </c>
      <c r="F297" s="2" t="inlineStr">
        <is>
          <t>Yes</t>
        </is>
      </c>
      <c r="G297" s="2" t="inlineStr">
        <is>
          <t xml:space="preserve">Critical </t>
        </is>
      </c>
      <c r="H297" s="2" t="n">
        <v>0.05</v>
      </c>
      <c r="I297" s="2" t="n">
        <v>15</v>
      </c>
      <c r="J297" s="2" t="n">
        <v>62.3</v>
      </c>
      <c r="K297" s="2" t="inlineStr">
        <is>
          <t>Father</t>
        </is>
      </c>
      <c r="L297" s="2" t="inlineStr">
        <is>
          <t xml:space="preserve">Business </t>
        </is>
      </c>
      <c r="M297" s="4" t="n">
        <v>46180</v>
      </c>
      <c r="N297" s="2" t="inlineStr">
        <is>
          <t>ITR</t>
        </is>
      </c>
      <c r="O297" s="2" t="inlineStr">
        <is>
          <t>Home Loan</t>
        </is>
      </c>
      <c r="P297" s="2" t="n"/>
      <c r="Q297" s="2" t="inlineStr">
        <is>
          <t>No</t>
        </is>
      </c>
      <c r="R297" s="2" t="inlineStr">
        <is>
          <t>NA</t>
        </is>
      </c>
      <c r="S297" s="2" t="n"/>
      <c r="T297" s="2" t="inlineStr">
        <is>
          <t>24/7: Will start now, have shared leads and suggested to try themselves. 
27/7 : DNP</t>
        </is>
      </c>
      <c r="U297" s="2" t="inlineStr">
        <is>
          <t>Yes</t>
        </is>
      </c>
      <c r="V297" s="2" t="inlineStr"/>
      <c r="W297" s="2" t="inlineStr"/>
      <c r="X297" s="2" t="n"/>
      <c r="Y297" s="2" t="n"/>
      <c r="Z297" s="2" t="n"/>
      <c r="AA297" s="2" t="inlineStr">
        <is>
          <t>Control</t>
        </is>
      </c>
      <c r="AB297" s="2" t="inlineStr">
        <is>
          <t>Control</t>
        </is>
      </c>
      <c r="AC297" s="2" t="n"/>
      <c r="AD297" s="2" t="n"/>
      <c r="AE297" s="2" t="n"/>
      <c r="AF297" s="2" t="n"/>
      <c r="AG297" s="2" t="inlineStr">
        <is>
          <t>Not even started</t>
        </is>
      </c>
      <c r="AH297" s="2" t="n"/>
      <c r="AI297" s="2" t="n"/>
      <c r="AJ297" s="2" t="n"/>
      <c r="AK297" s="2" t="n"/>
      <c r="AL297" s="2" t="inlineStr">
        <is>
          <t>DNP till now, will start now</t>
        </is>
      </c>
      <c r="AM297" s="2" t="n"/>
      <c r="AN297" s="2" t="n"/>
      <c r="AO297" s="2" t="n"/>
      <c r="AP297" s="2" t="n"/>
      <c r="AQ297" s="2" t="n"/>
    </row>
    <row r="298">
      <c r="A298" t="n">
        <v>297</v>
      </c>
      <c r="B298" s="2" t="inlineStr">
        <is>
          <t>Radha .</t>
        </is>
      </c>
      <c r="C298" s="3" t="n">
        <v>9811918104</v>
      </c>
      <c r="D298" s="2" t="inlineStr">
        <is>
          <t>PROV260504229</t>
        </is>
      </c>
      <c r="E298" s="2" t="inlineStr">
        <is>
          <t>ADYPU</t>
        </is>
      </c>
      <c r="F298" s="2" t="inlineStr">
        <is>
          <t>No</t>
        </is>
      </c>
      <c r="G298" s="2" t="inlineStr">
        <is>
          <t>Loan not required</t>
        </is>
      </c>
      <c r="H298" s="2" t="n"/>
      <c r="I298" s="2" t="n"/>
      <c r="J298" s="2" t="n"/>
      <c r="K298" s="2" t="n"/>
      <c r="L298" s="2" t="n"/>
      <c r="M298" s="2" t="n"/>
      <c r="N298" s="2" t="n"/>
      <c r="O298" s="2" t="n"/>
      <c r="P298" s="2" t="n"/>
      <c r="Q298" s="2" t="n"/>
      <c r="R298" s="2" t="n"/>
      <c r="S298" s="2" t="n"/>
      <c r="T298" s="2" t="inlineStr">
        <is>
          <t>24/7: Dont want loan</t>
        </is>
      </c>
      <c r="U298" s="2" t="inlineStr">
        <is>
          <t>No</t>
        </is>
      </c>
      <c r="V298" s="2" t="inlineStr"/>
      <c r="W298" s="2" t="inlineStr"/>
      <c r="X298" s="2" t="n"/>
      <c r="Y298" s="2" t="n"/>
      <c r="Z298" s="2" t="n"/>
      <c r="AA298" s="2" t="inlineStr">
        <is>
          <t>Not required</t>
        </is>
      </c>
      <c r="AB298" s="2" t="inlineStr">
        <is>
          <t>Not required</t>
        </is>
      </c>
      <c r="AC298" s="2" t="n"/>
      <c r="AD298" s="2" t="n"/>
      <c r="AE298" s="2" t="n"/>
      <c r="AF298" s="2" t="n"/>
      <c r="AG298" s="2" t="inlineStr">
        <is>
          <t>Not required</t>
        </is>
      </c>
      <c r="AH298" s="2" t="n"/>
      <c r="AI298" s="2" t="n"/>
      <c r="AJ298" s="2" t="n"/>
      <c r="AK298" s="2" t="n"/>
      <c r="AL298" s="2" t="n"/>
      <c r="AM298" s="2" t="n"/>
      <c r="AN298" s="2" t="n"/>
      <c r="AO298" s="2" t="n"/>
      <c r="AP298" s="2" t="n"/>
      <c r="AQ298" s="2" t="n"/>
    </row>
    <row r="299">
      <c r="A299" t="n">
        <v>298</v>
      </c>
      <c r="B299" s="2" t="inlineStr">
        <is>
          <t>Amit kumar</t>
        </is>
      </c>
      <c r="C299" s="3" t="n">
        <v>6202794944</v>
      </c>
      <c r="D299" s="2" t="inlineStr">
        <is>
          <t>PROV260612606</t>
        </is>
      </c>
      <c r="E299" s="2" t="inlineStr">
        <is>
          <t>ADYPU</t>
        </is>
      </c>
      <c r="F299" s="2" t="inlineStr">
        <is>
          <t>No</t>
        </is>
      </c>
      <c r="G299" s="2" t="inlineStr">
        <is>
          <t>Loan not required</t>
        </is>
      </c>
      <c r="H299" s="2" t="n"/>
      <c r="I299" s="2" t="n"/>
      <c r="J299" s="2" t="n"/>
      <c r="K299" s="2" t="n"/>
      <c r="L299" s="2" t="n"/>
      <c r="M299" s="2" t="n"/>
      <c r="N299" s="2" t="n"/>
      <c r="O299" s="2" t="n"/>
      <c r="P299" s="2" t="n"/>
      <c r="Q299" s="2" t="n"/>
      <c r="R299" s="2" t="n"/>
      <c r="S299" s="2" t="inlineStr">
        <is>
          <t>Unable to connect. Switched OFF tried 2 times</t>
        </is>
      </c>
      <c r="T299" s="2" t="inlineStr">
        <is>
          <t>24/7: Dont want loan</t>
        </is>
      </c>
      <c r="U299" s="2" t="inlineStr">
        <is>
          <t>No</t>
        </is>
      </c>
      <c r="V299" s="2" t="inlineStr"/>
      <c r="W299" s="2" t="inlineStr"/>
      <c r="X299" s="2" t="n"/>
      <c r="Y299" s="2" t="n"/>
      <c r="Z299" s="2" t="n"/>
      <c r="AA299" s="2" t="inlineStr">
        <is>
          <t>Not required</t>
        </is>
      </c>
      <c r="AB299" s="2" t="inlineStr">
        <is>
          <t>Not required</t>
        </is>
      </c>
      <c r="AC299" s="2" t="n"/>
      <c r="AD299" s="2" t="n"/>
      <c r="AE299" s="2" t="n"/>
      <c r="AF299" s="2" t="n"/>
      <c r="AG299" s="2" t="inlineStr">
        <is>
          <t>Not required</t>
        </is>
      </c>
      <c r="AH299" s="2" t="n"/>
      <c r="AI299" s="2" t="n"/>
      <c r="AJ299" s="2" t="n"/>
      <c r="AK299" s="2" t="n"/>
      <c r="AL299" s="2" t="n"/>
      <c r="AM299" s="2" t="n"/>
      <c r="AN299" s="2" t="n"/>
      <c r="AO299" s="2" t="n"/>
      <c r="AP299" s="2" t="n"/>
      <c r="AQ299" s="2" t="n"/>
    </row>
    <row r="300">
      <c r="A300" t="n">
        <v>299</v>
      </c>
      <c r="B300" s="2" t="inlineStr">
        <is>
          <t>Mitali Anil Nakate</t>
        </is>
      </c>
      <c r="C300" s="3" t="n">
        <v>9421020575</v>
      </c>
      <c r="D300" s="2" t="inlineStr">
        <is>
          <t>PROV260606648</t>
        </is>
      </c>
      <c r="E300" s="2" t="inlineStr">
        <is>
          <t>ADYPU</t>
        </is>
      </c>
      <c r="F300" s="2" t="inlineStr">
        <is>
          <t>Drop</t>
        </is>
      </c>
      <c r="G300" s="2" t="n"/>
      <c r="H300" s="2" t="n"/>
      <c r="I300" s="2" t="n"/>
      <c r="J300" s="2" t="n"/>
      <c r="K300" s="2" t="n"/>
      <c r="L300" s="2" t="n"/>
      <c r="M300" s="2" t="n"/>
      <c r="N300" s="2" t="n"/>
      <c r="O300" s="2" t="n"/>
      <c r="P300" s="2" t="n"/>
      <c r="Q300" s="2" t="n"/>
      <c r="R300" s="2" t="n"/>
      <c r="S300" s="2" t="inlineStr">
        <is>
          <t>Network issue Mother answered didnt have details</t>
        </is>
      </c>
      <c r="T300" s="2" t="inlineStr"/>
      <c r="U300" s="2" t="inlineStr">
        <is>
          <t>Refund</t>
        </is>
      </c>
      <c r="V300" s="2" t="inlineStr"/>
      <c r="W300" s="2" t="inlineStr"/>
      <c r="X300" s="2" t="n"/>
      <c r="Y300" s="2" t="n"/>
      <c r="Z300" s="2" t="n"/>
      <c r="AA300" s="2" t="inlineStr">
        <is>
          <t>Refund case</t>
        </is>
      </c>
      <c r="AB300" s="2" t="inlineStr">
        <is>
          <t>Refund case</t>
        </is>
      </c>
      <c r="AC300" s="2" t="n"/>
      <c r="AD300" s="2" t="n"/>
      <c r="AE300" s="2" t="n"/>
      <c r="AF300" s="2" t="n"/>
      <c r="AG300" s="2" t="n"/>
      <c r="AH300" s="2" t="n"/>
      <c r="AI300" s="2" t="n"/>
      <c r="AJ300" s="2" t="n"/>
      <c r="AK300" s="2" t="n"/>
      <c r="AL300" s="2" t="n"/>
      <c r="AM300" s="2" t="n"/>
      <c r="AN300" s="2" t="n"/>
      <c r="AO300" s="2" t="n"/>
      <c r="AP300" s="2" t="n"/>
      <c r="AQ300" s="2" t="n"/>
    </row>
    <row r="301">
      <c r="A301" t="n">
        <v>300</v>
      </c>
      <c r="B301" s="2" t="inlineStr">
        <is>
          <t>Dhawal Jain</t>
        </is>
      </c>
      <c r="C301" s="3" t="n">
        <v>7004628481</v>
      </c>
      <c r="D301" s="2" t="inlineStr">
        <is>
          <t>PROV260501839</t>
        </is>
      </c>
      <c r="E301" s="2" t="inlineStr">
        <is>
          <t>SSAHE</t>
        </is>
      </c>
      <c r="F301" s="2" t="inlineStr">
        <is>
          <t>Yes</t>
        </is>
      </c>
      <c r="G301" s="2" t="inlineStr">
        <is>
          <t xml:space="preserve">Critical </t>
        </is>
      </c>
      <c r="H301" s="2" t="n"/>
      <c r="I301" s="2" t="n"/>
      <c r="J301" s="2" t="n">
        <v>64.59999999999999</v>
      </c>
      <c r="K301" s="2" t="n"/>
      <c r="L301" s="2" t="n"/>
      <c r="M301" s="2" t="n"/>
      <c r="N301" s="2" t="n"/>
      <c r="O301" s="2" t="n"/>
      <c r="P301" s="2" t="n"/>
      <c r="Q301" s="2" t="n"/>
      <c r="R301" s="2" t="n"/>
      <c r="S301" s="2" t="n"/>
      <c r="T301" s="2" t="inlineStr">
        <is>
          <t>10/7/26 : Student suggested that his father is not doing anything, have suggested the student to get a coaplicant as his brother,who is working in IT field
14/7/26 : Had a word with Dhawal's brother and he wanted icici to contact him to understand the loan requirements
21/7 : Father works on commision based || Annual income : 2L || Father : Renovation and all , NE eligible for any loan || Brother has denied to be the coapplicant 
27/7 : Student wouldn't be able to afford hostel fees also, and have denied to apply for PM vidyalakshmi. Have asked for refund</t>
        </is>
      </c>
      <c r="U301" s="2" t="inlineStr">
        <is>
          <t>Yes</t>
        </is>
      </c>
      <c r="V301" s="2" t="inlineStr">
        <is>
          <t>Yes</t>
        </is>
      </c>
      <c r="W301" s="2" t="inlineStr">
        <is>
          <t>Yes</t>
        </is>
      </c>
      <c r="X301" s="2" t="inlineStr">
        <is>
          <t>No</t>
        </is>
      </c>
      <c r="Y301" s="2" t="inlineStr">
        <is>
          <t>No</t>
        </is>
      </c>
      <c r="Z301" s="2" t="inlineStr">
        <is>
          <t>Yes</t>
        </is>
      </c>
      <c r="AA301" s="2" t="inlineStr">
        <is>
          <t>Risk</t>
        </is>
      </c>
      <c r="AB301" s="2" t="inlineStr">
        <is>
          <t>Risk</t>
        </is>
      </c>
      <c r="AC301" s="2" t="n"/>
      <c r="AD301" s="2" t="n"/>
      <c r="AE301" s="2" t="n"/>
      <c r="AF301" s="2" t="n"/>
      <c r="AG301" s="2" t="inlineStr">
        <is>
          <t>Not even started</t>
        </is>
      </c>
      <c r="AH301" s="2" t="inlineStr">
        <is>
          <t>Processing by PM vidyalakshmi</t>
        </is>
      </c>
      <c r="AI301" s="2" t="inlineStr">
        <is>
          <t>Yes</t>
        </is>
      </c>
      <c r="AJ301" s="2" t="inlineStr">
        <is>
          <t>No</t>
        </is>
      </c>
      <c r="AK301" s="2" t="n"/>
      <c r="AL301" s="2" t="inlineStr">
        <is>
          <t>Very Low income</t>
        </is>
      </c>
      <c r="AM301" s="2" t="n"/>
      <c r="AN301" s="2" t="n"/>
      <c r="AO301" s="2" t="n"/>
      <c r="AP301" s="2" t="n"/>
      <c r="AQ301" s="2" t="n"/>
    </row>
    <row r="302">
      <c r="A302" t="n">
        <v>301</v>
      </c>
      <c r="B302" s="2" t="inlineStr">
        <is>
          <t>Vicky Kumar</t>
        </is>
      </c>
      <c r="C302" s="3" t="n">
        <v>9939248771</v>
      </c>
      <c r="D302" s="2" t="inlineStr">
        <is>
          <t>PROV260506915</t>
        </is>
      </c>
      <c r="E302" s="2" t="inlineStr">
        <is>
          <t>SSAHE</t>
        </is>
      </c>
      <c r="F302" s="2" t="inlineStr">
        <is>
          <t>Yes</t>
        </is>
      </c>
      <c r="G302" s="2" t="inlineStr">
        <is>
          <t xml:space="preserve">Critical </t>
        </is>
      </c>
      <c r="H302" s="2" t="n">
        <v>7.5</v>
      </c>
      <c r="I302" s="2" t="inlineStr">
        <is>
          <t>10 lac</t>
        </is>
      </c>
      <c r="J302" s="2" t="n">
        <v>71</v>
      </c>
      <c r="K302" s="2" t="inlineStr">
        <is>
          <t>Father</t>
        </is>
      </c>
      <c r="L302" s="2" t="inlineStr">
        <is>
          <t>Govt Job</t>
        </is>
      </c>
      <c r="M302" s="2" t="inlineStr">
        <is>
          <t>2 Lakh</t>
        </is>
      </c>
      <c r="N302" s="2" t="inlineStr">
        <is>
          <t>Income Certificate</t>
        </is>
      </c>
      <c r="O302" s="2" t="inlineStr">
        <is>
          <t>No</t>
        </is>
      </c>
      <c r="P302" s="2" t="inlineStr">
        <is>
          <t>NA</t>
        </is>
      </c>
      <c r="Q302" s="2" t="inlineStr">
        <is>
          <t xml:space="preserve">YES </t>
        </is>
      </c>
      <c r="R302" s="2" t="inlineStr">
        <is>
          <t>NOT SURE</t>
        </is>
      </c>
      <c r="S302" s="2" t="n"/>
      <c r="T302" s="2" t="inlineStr">
        <is>
          <t>16/7/26 : Called at 2:08 pm 
16/7/26 : Loan req : 10L, father's profession : Govt. Job, Rural development, salary : 12k/month. He will take the loan from PM vidyalakshmi and BCCS ( bihar credit card scheme )
1/8/26: Payimg 1st sem fees by himself, rest laon</t>
        </is>
      </c>
      <c r="U302" s="2" t="inlineStr">
        <is>
          <t>No</t>
        </is>
      </c>
      <c r="V302" s="2" t="inlineStr">
        <is>
          <t xml:space="preserve">No </t>
        </is>
      </c>
      <c r="W302" s="2" t="inlineStr">
        <is>
          <t xml:space="preserve">no </t>
        </is>
      </c>
      <c r="X302" s="2" t="inlineStr">
        <is>
          <t>No</t>
        </is>
      </c>
      <c r="Y302" s="2" t="n"/>
      <c r="Z302" s="2" t="n"/>
      <c r="AA302" s="2" t="inlineStr">
        <is>
          <t>Control</t>
        </is>
      </c>
      <c r="AB302" s="2" t="inlineStr">
        <is>
          <t>Control</t>
        </is>
      </c>
      <c r="AC302" s="2" t="n"/>
      <c r="AD302" s="2" t="n"/>
      <c r="AE302" s="2" t="n"/>
      <c r="AF302" s="2" t="n"/>
      <c r="AG302" s="2" t="inlineStr">
        <is>
          <t>Not required</t>
        </is>
      </c>
      <c r="AH302" s="2" t="inlineStr">
        <is>
          <t>State Scheme, Processing by PM vidyalakshmi</t>
        </is>
      </c>
      <c r="AI302" s="2" t="n"/>
      <c r="AJ302" s="2" t="n"/>
      <c r="AK302" s="2" t="n"/>
      <c r="AL302" s="2" t="n"/>
      <c r="AM302" s="2" t="n"/>
      <c r="AN302" s="2" t="n"/>
      <c r="AO302" s="2" t="n"/>
      <c r="AP302" s="2" t="n"/>
      <c r="AQ302" s="2" t="n"/>
    </row>
    <row r="303">
      <c r="A303" t="n">
        <v>302</v>
      </c>
      <c r="B303" s="2" t="inlineStr">
        <is>
          <t>Yogesh jangir</t>
        </is>
      </c>
      <c r="C303" s="3" t="n">
        <v>7850900770</v>
      </c>
      <c r="D303" s="2" t="inlineStr">
        <is>
          <t>PROV260600387</t>
        </is>
      </c>
      <c r="E303" s="2" t="inlineStr">
        <is>
          <t>SSAHE</t>
        </is>
      </c>
      <c r="F303" s="2" t="inlineStr">
        <is>
          <t>Yes</t>
        </is>
      </c>
      <c r="G303" s="2" t="inlineStr">
        <is>
          <t xml:space="preserve">Non Critical </t>
        </is>
      </c>
      <c r="H303" s="2" t="n"/>
      <c r="I303" s="2" t="n"/>
      <c r="J303" s="2" t="n">
        <v>75.2</v>
      </c>
      <c r="K303" s="2" t="n"/>
      <c r="L303" s="2" t="n"/>
      <c r="M303" s="2" t="n"/>
      <c r="N303" s="2" t="n"/>
      <c r="O303" s="2" t="n"/>
      <c r="P303" s="2" t="n"/>
      <c r="Q303" s="2" t="n"/>
      <c r="R303" s="2" t="n"/>
      <c r="S303" s="2" t="n"/>
      <c r="T303" s="2" t="inlineStr">
        <is>
          <t>10/7/26 : Had a conversation with the student , father is a carpenter, have filed the ITR for 6.66Lakhs and requires the loan of 23 lakhs. Belongs from Sikar , sent to icici and propelld.
29/7: DNP</t>
        </is>
      </c>
      <c r="U303" s="2" t="inlineStr">
        <is>
          <t>Yes</t>
        </is>
      </c>
      <c r="V303" s="2" t="inlineStr">
        <is>
          <t>Yes</t>
        </is>
      </c>
      <c r="W303" s="2" t="inlineStr">
        <is>
          <t>Yes</t>
        </is>
      </c>
      <c r="X303" s="2" t="n"/>
      <c r="Y303" s="2" t="n"/>
      <c r="Z303" s="2" t="n"/>
      <c r="AA303" s="2" t="inlineStr">
        <is>
          <t>Control</t>
        </is>
      </c>
      <c r="AB303" s="2" t="inlineStr">
        <is>
          <t>Control</t>
        </is>
      </c>
      <c r="AC303" s="2" t="n"/>
      <c r="AD303" s="2" t="n"/>
      <c r="AE303" s="2" t="n"/>
      <c r="AF303" s="2" t="n"/>
      <c r="AG303" s="2" t="inlineStr">
        <is>
          <t>Ongoing</t>
        </is>
      </c>
      <c r="AH303" s="2" t="inlineStr">
        <is>
          <t>Processing by Propelld</t>
        </is>
      </c>
      <c r="AI303" s="2" t="n"/>
      <c r="AJ303" s="2" t="n"/>
      <c r="AK303" s="2" t="n"/>
      <c r="AL303" s="2" t="n"/>
      <c r="AM303" s="2" t="n"/>
      <c r="AN303" s="2" t="n"/>
      <c r="AO303" s="2" t="n"/>
      <c r="AP303" s="2" t="n"/>
      <c r="AQ303" s="2" t="n"/>
    </row>
    <row r="304">
      <c r="A304" t="n">
        <v>303</v>
      </c>
      <c r="B304" s="2" t="inlineStr">
        <is>
          <t>Aditya Yadav</t>
        </is>
      </c>
      <c r="C304" s="3" t="n">
        <v>9236769759</v>
      </c>
      <c r="D304" s="2" t="inlineStr">
        <is>
          <t>PROV260501494</t>
        </is>
      </c>
      <c r="E304" s="2" t="inlineStr">
        <is>
          <t>SSAHE</t>
        </is>
      </c>
      <c r="F304" s="2" t="inlineStr">
        <is>
          <t>No</t>
        </is>
      </c>
      <c r="G304" s="2" t="inlineStr">
        <is>
          <t>Loan not required</t>
        </is>
      </c>
      <c r="H304" s="2" t="n"/>
      <c r="I304" s="2" t="n"/>
      <c r="J304" s="2" t="n">
        <v>92.5</v>
      </c>
      <c r="K304" s="2" t="n"/>
      <c r="L304" s="2" t="n"/>
      <c r="M304" s="2" t="n"/>
      <c r="N304" s="2" t="n"/>
      <c r="O304" s="2" t="n"/>
      <c r="P304" s="2" t="n"/>
      <c r="Q304" s="2" t="n"/>
      <c r="R304" s="2" t="n"/>
      <c r="S304" s="2" t="n"/>
      <c r="T304" s="2" t="inlineStr"/>
      <c r="U304" s="2" t="inlineStr">
        <is>
          <t>No</t>
        </is>
      </c>
      <c r="V304" s="2" t="inlineStr"/>
      <c r="W304" s="2" t="inlineStr"/>
      <c r="X304" s="2" t="n"/>
      <c r="Y304" s="2" t="n"/>
      <c r="Z304" s="2" t="n"/>
      <c r="AA304" s="2" t="inlineStr">
        <is>
          <t>Not required</t>
        </is>
      </c>
      <c r="AB304" s="2" t="inlineStr">
        <is>
          <t>Not required</t>
        </is>
      </c>
      <c r="AC304" s="2" t="n"/>
      <c r="AD304" s="2" t="n"/>
      <c r="AE304" s="2" t="n"/>
      <c r="AF304" s="2" t="n"/>
      <c r="AG304" s="2" t="inlineStr">
        <is>
          <t>Not required</t>
        </is>
      </c>
      <c r="AH304" s="2" t="n"/>
      <c r="AI304" s="2" t="n"/>
      <c r="AJ304" s="2" t="n"/>
      <c r="AK304" s="2" t="n"/>
      <c r="AL304" s="2" t="n"/>
      <c r="AM304" s="2" t="n"/>
      <c r="AN304" s="2" t="n"/>
      <c r="AO304" s="2" t="n"/>
      <c r="AP304" s="2" t="n"/>
      <c r="AQ304" s="2" t="n"/>
    </row>
    <row r="305">
      <c r="A305" t="n">
        <v>304</v>
      </c>
      <c r="B305" s="2" t="inlineStr">
        <is>
          <t>Lata devi</t>
        </is>
      </c>
      <c r="C305" s="3" t="n">
        <v>9580454963</v>
      </c>
      <c r="D305" s="2" t="inlineStr">
        <is>
          <t>PROV260611474</t>
        </is>
      </c>
      <c r="E305" s="2" t="inlineStr">
        <is>
          <t>SSAHE</t>
        </is>
      </c>
      <c r="F305" s="2" t="inlineStr">
        <is>
          <t>Yes</t>
        </is>
      </c>
      <c r="G305" s="2" t="inlineStr">
        <is>
          <t xml:space="preserve">Non Critical </t>
        </is>
      </c>
      <c r="H305" s="2" t="n">
        <v>17.5</v>
      </c>
      <c r="I305" s="2" t="inlineStr">
        <is>
          <t>10 lac</t>
        </is>
      </c>
      <c r="J305" s="2" t="n">
        <v>85</v>
      </c>
      <c r="K305" s="2" t="inlineStr">
        <is>
          <t>Father</t>
        </is>
      </c>
      <c r="L305" s="2" t="inlineStr">
        <is>
          <t>Farmer</t>
        </is>
      </c>
      <c r="M305" s="2" t="inlineStr">
        <is>
          <t>45k</t>
        </is>
      </c>
      <c r="N305" s="2" t="inlineStr">
        <is>
          <t>Income Certificate</t>
        </is>
      </c>
      <c r="O305" s="2" t="inlineStr">
        <is>
          <t>yes</t>
        </is>
      </c>
      <c r="P305" s="2" t="inlineStr">
        <is>
          <t>NA</t>
        </is>
      </c>
      <c r="Q305" s="2" t="inlineStr">
        <is>
          <t>no</t>
        </is>
      </c>
      <c r="R305" s="2" t="inlineStr">
        <is>
          <t>not sure</t>
        </is>
      </c>
      <c r="S305" s="2" t="inlineStr">
        <is>
          <t>need urgent call ow will drop</t>
        </is>
      </c>
      <c r="T305" s="2" t="inlineStr">
        <is>
          <t xml:space="preserve">16/7 : Father will be the coapplicant. 45k/month, student is okay to manage the rest of rhe amount , have suggested to take loan from PM vidyalakshmi. 
28/7 : Loan req : 10L,m have shared her details with Gyan Dhan.  Gyan dhan mentioned loan is not possible. 45k PA income </t>
        </is>
      </c>
      <c r="U305" s="2" t="inlineStr">
        <is>
          <t>Yes</t>
        </is>
      </c>
      <c r="V305" s="2" t="inlineStr">
        <is>
          <t xml:space="preserve">No </t>
        </is>
      </c>
      <c r="W305" s="2" t="inlineStr">
        <is>
          <t xml:space="preserve">no </t>
        </is>
      </c>
      <c r="X305" s="2" t="inlineStr">
        <is>
          <t>No</t>
        </is>
      </c>
      <c r="Y305" s="2" t="inlineStr">
        <is>
          <t>No</t>
        </is>
      </c>
      <c r="Z305" s="2" t="n"/>
      <c r="AA305" s="2" t="inlineStr">
        <is>
          <t>Risk</t>
        </is>
      </c>
      <c r="AB305" s="2" t="inlineStr">
        <is>
          <t>Risk</t>
        </is>
      </c>
      <c r="AC305" s="2" t="n"/>
      <c r="AD305" s="2" t="n"/>
      <c r="AE305" s="2" t="n"/>
      <c r="AF305" s="2" t="n"/>
      <c r="AG305" s="2" t="inlineStr">
        <is>
          <t>Ongoing</t>
        </is>
      </c>
      <c r="AH305" s="2" t="inlineStr">
        <is>
          <t>Processing by PM vidyalakshmi</t>
        </is>
      </c>
      <c r="AI305" s="2" t="inlineStr">
        <is>
          <t>Yes</t>
        </is>
      </c>
      <c r="AJ305" s="2" t="inlineStr">
        <is>
          <t>Yes</t>
        </is>
      </c>
      <c r="AK305" s="2" t="inlineStr">
        <is>
          <t>Yes</t>
        </is>
      </c>
      <c r="AL305" s="2" t="n"/>
      <c r="AM305" s="2" t="n"/>
      <c r="AN305" s="2" t="n"/>
      <c r="AO305" s="2" t="n"/>
      <c r="AP305" s="2" t="n"/>
      <c r="AQ305" s="2" t="n"/>
    </row>
    <row r="306">
      <c r="A306" t="n">
        <v>305</v>
      </c>
      <c r="B306" s="2" t="inlineStr">
        <is>
          <t>Shahid Khan</t>
        </is>
      </c>
      <c r="C306" s="3" t="n">
        <v>7505075950</v>
      </c>
      <c r="D306" s="2" t="inlineStr">
        <is>
          <t>PROV260611981</t>
        </is>
      </c>
      <c r="E306" s="2" t="inlineStr">
        <is>
          <t>SSAHE</t>
        </is>
      </c>
      <c r="F306" s="2" t="inlineStr">
        <is>
          <t>Yes</t>
        </is>
      </c>
      <c r="G306" s="2" t="inlineStr">
        <is>
          <t xml:space="preserve">Critical </t>
        </is>
      </c>
      <c r="H306" s="2" t="n"/>
      <c r="I306" s="2" t="n">
        <v>25</v>
      </c>
      <c r="J306" s="2" t="n">
        <v>61.4</v>
      </c>
      <c r="K306" s="2" t="inlineStr">
        <is>
          <t>Father</t>
        </is>
      </c>
      <c r="L306" s="2" t="inlineStr">
        <is>
          <t>Farmer</t>
        </is>
      </c>
      <c r="M306" s="2" t="inlineStr">
        <is>
          <t>2L</t>
        </is>
      </c>
      <c r="N306" s="2" t="n"/>
      <c r="O306" s="2" t="n"/>
      <c r="P306" s="2" t="n"/>
      <c r="Q306" s="2" t="n"/>
      <c r="R306" s="2" t="n"/>
      <c r="S306" s="2" t="n"/>
      <c r="T306" s="2" t="inlineStr">
        <is>
          <t>- 16/7 : student had requested to call back, student had a word with the gyan dhan for  collateral loan. Have to give the profile for propelld. Student otherwise will go to UPTU. 
-17/7 : Loan has been rejected from all side. 
29/7: Have suggested PM Vidyalakshmi</t>
        </is>
      </c>
      <c r="U306" s="2" t="inlineStr">
        <is>
          <t>Yes</t>
        </is>
      </c>
      <c r="V306" s="2" t="inlineStr">
        <is>
          <t>Yes</t>
        </is>
      </c>
      <c r="W306" s="2" t="inlineStr">
        <is>
          <t>Yes</t>
        </is>
      </c>
      <c r="X306" s="2" t="n"/>
      <c r="Y306" s="2" t="n"/>
      <c r="Z306" s="2" t="inlineStr">
        <is>
          <t>Yes</t>
        </is>
      </c>
      <c r="AA306" s="2" t="inlineStr">
        <is>
          <t>Risk</t>
        </is>
      </c>
      <c r="AB306" s="2" t="inlineStr">
        <is>
          <t>Risk</t>
        </is>
      </c>
      <c r="AC306" s="2" t="n"/>
      <c r="AD306" s="2" t="n"/>
      <c r="AE306" s="2" t="n"/>
      <c r="AF306" s="2" t="n"/>
      <c r="AG306" s="2" t="inlineStr">
        <is>
          <t>Rejected</t>
        </is>
      </c>
      <c r="AH306" s="2" t="inlineStr">
        <is>
          <t>Not eligbile for any loan</t>
        </is>
      </c>
      <c r="AI306" s="2" t="inlineStr">
        <is>
          <t>Yes</t>
        </is>
      </c>
      <c r="AJ306" s="2" t="inlineStr">
        <is>
          <t>Yes</t>
        </is>
      </c>
      <c r="AK306" s="2" t="inlineStr">
        <is>
          <t>Yes</t>
        </is>
      </c>
      <c r="AL306" s="2" t="n"/>
      <c r="AM306" s="2" t="n"/>
      <c r="AN306" s="2" t="n"/>
      <c r="AO306" s="2" t="n"/>
      <c r="AP306" s="2" t="n"/>
      <c r="AQ306" s="2" t="n"/>
    </row>
    <row r="307">
      <c r="A307" t="n">
        <v>306</v>
      </c>
      <c r="B307" s="2" t="inlineStr">
        <is>
          <t>Gautam kumar</t>
        </is>
      </c>
      <c r="C307" s="3" t="n">
        <v>9570806401</v>
      </c>
      <c r="D307" s="2" t="inlineStr">
        <is>
          <t>PROV260611663</t>
        </is>
      </c>
      <c r="E307" s="2" t="inlineStr">
        <is>
          <t>SSAHE</t>
        </is>
      </c>
      <c r="F307" s="2" t="inlineStr">
        <is>
          <t>Yes</t>
        </is>
      </c>
      <c r="G307" s="2" t="inlineStr">
        <is>
          <t xml:space="preserve">Non Critical </t>
        </is>
      </c>
      <c r="H307" s="2" t="n">
        <v>5</v>
      </c>
      <c r="I307" s="2" t="n">
        <v>10</v>
      </c>
      <c r="J307" s="2" t="n">
        <v>67</v>
      </c>
      <c r="K307" s="2" t="inlineStr">
        <is>
          <t>Father</t>
        </is>
      </c>
      <c r="L307" s="2" t="inlineStr">
        <is>
          <t xml:space="preserve">Ex-Army </t>
        </is>
      </c>
      <c r="M307" s="2" t="inlineStr">
        <is>
          <t>5L</t>
        </is>
      </c>
      <c r="N307" s="2" t="inlineStr">
        <is>
          <t>Salary</t>
        </is>
      </c>
      <c r="O307" s="2" t="n"/>
      <c r="P307" s="2" t="n"/>
      <c r="Q307" s="2" t="n"/>
      <c r="R307" s="2" t="n"/>
      <c r="S307" s="2" t="n"/>
      <c r="T307" s="2" t="inlineStr">
        <is>
          <t>17/7 : Already speaking with SBI, File was processed on 16/7 by SBI, don't need assistance from us. 
18/7 : Student called to enquire about the ugnet marks sheet
29/7: DNP</t>
        </is>
      </c>
      <c r="U307" s="2" t="inlineStr">
        <is>
          <t>Yes</t>
        </is>
      </c>
      <c r="V307" s="2" t="inlineStr">
        <is>
          <t>No</t>
        </is>
      </c>
      <c r="W307" s="2" t="inlineStr">
        <is>
          <t>No</t>
        </is>
      </c>
      <c r="X307" s="2" t="inlineStr">
        <is>
          <t>No</t>
        </is>
      </c>
      <c r="Y307" s="2" t="n"/>
      <c r="Z307" s="2" t="n"/>
      <c r="AA307" s="2" t="inlineStr">
        <is>
          <t>Control</t>
        </is>
      </c>
      <c r="AB307" s="2" t="inlineStr">
        <is>
          <t>Control</t>
        </is>
      </c>
      <c r="AC307" s="2" t="n"/>
      <c r="AD307" s="2" t="n"/>
      <c r="AE307" s="2" t="n"/>
      <c r="AF307" s="2" t="n"/>
      <c r="AG307" s="2" t="inlineStr">
        <is>
          <t>Ongoing</t>
        </is>
      </c>
      <c r="AH307" s="2" t="inlineStr">
        <is>
          <t>Processing at other bank</t>
        </is>
      </c>
      <c r="AI307" s="2" t="n"/>
      <c r="AJ307" s="2" t="n"/>
      <c r="AK307" s="2" t="n"/>
      <c r="AL307" s="2" t="n"/>
      <c r="AM307" s="2" t="n"/>
      <c r="AN307" s="2" t="n"/>
      <c r="AO307" s="2" t="n"/>
      <c r="AP307" s="2" t="n"/>
      <c r="AQ307" s="2" t="n"/>
    </row>
    <row r="308">
      <c r="A308" t="n">
        <v>307</v>
      </c>
      <c r="B308" s="2" t="inlineStr">
        <is>
          <t>Anurag Singh Chauhan</t>
        </is>
      </c>
      <c r="C308" s="3" t="n">
        <v>8252234377</v>
      </c>
      <c r="D308" s="2" t="inlineStr">
        <is>
          <t>PROV260610714</t>
        </is>
      </c>
      <c r="E308" s="2" t="inlineStr">
        <is>
          <t>SSAHE</t>
        </is>
      </c>
      <c r="F308" s="2" t="inlineStr">
        <is>
          <t>Yes</t>
        </is>
      </c>
      <c r="G308" s="2" t="inlineStr">
        <is>
          <t xml:space="preserve">Non Critical </t>
        </is>
      </c>
      <c r="H308" s="2" t="n">
        <v>12.5</v>
      </c>
      <c r="I308" s="2" t="n">
        <v>23</v>
      </c>
      <c r="J308" s="2" t="n">
        <v>77.59999999999999</v>
      </c>
      <c r="K308" s="2" t="inlineStr">
        <is>
          <t>Father</t>
        </is>
      </c>
      <c r="L308" s="2" t="inlineStr">
        <is>
          <t>- Business ( Sand )</t>
        </is>
      </c>
      <c r="M308" s="2" t="n">
        <v>7</v>
      </c>
      <c r="N308" s="2" t="inlineStr">
        <is>
          <t>ITR</t>
        </is>
      </c>
      <c r="O308" s="2" t="n"/>
      <c r="P308" s="2" t="n"/>
      <c r="Q308" s="2" t="n"/>
      <c r="R308" s="2" t="n"/>
      <c r="S308" s="2" t="n"/>
      <c r="T308" s="2" t="inlineStr">
        <is>
          <t xml:space="preserve">- 15/7 : Student called , father has itr , student shared the ITR shared his details with the ICICI, propelld.
-20/7: Ongoing with GyanDhan, Propelld etc , have suggested to  apply elsewhere as well.
-31/7: Docs send to GyanDhan in process </t>
        </is>
      </c>
      <c r="U308" s="2" t="inlineStr">
        <is>
          <t>Yes</t>
        </is>
      </c>
      <c r="V308" s="2" t="inlineStr">
        <is>
          <t>Yes</t>
        </is>
      </c>
      <c r="W308" s="2" t="inlineStr">
        <is>
          <t>Yes</t>
        </is>
      </c>
      <c r="X308" s="2" t="n"/>
      <c r="Y308" s="2" t="n"/>
      <c r="Z308" s="2" t="n"/>
      <c r="AA308" s="2" t="inlineStr">
        <is>
          <t>Control</t>
        </is>
      </c>
      <c r="AB308" s="2" t="inlineStr">
        <is>
          <t>Control</t>
        </is>
      </c>
      <c r="AC308" s="2" t="n"/>
      <c r="AD308" s="2" t="n"/>
      <c r="AE308" s="2" t="n"/>
      <c r="AF308" s="2" t="n"/>
      <c r="AG308" s="2" t="inlineStr">
        <is>
          <t>Ongoing</t>
        </is>
      </c>
      <c r="AH308" s="2" t="inlineStr">
        <is>
          <t>Processing by GyanDhan, Processing by Propelld</t>
        </is>
      </c>
      <c r="AI308" s="2" t="n"/>
      <c r="AJ308" s="2" t="n"/>
      <c r="AK308" s="2" t="n"/>
      <c r="AL308" s="2" t="n"/>
      <c r="AM308" s="2" t="n"/>
      <c r="AN308" s="2" t="n"/>
      <c r="AO308" s="2" t="n"/>
      <c r="AP308" s="2" t="n"/>
      <c r="AQ308" s="2" t="n"/>
    </row>
    <row r="309">
      <c r="A309" t="n">
        <v>308</v>
      </c>
      <c r="B309" s="2" t="inlineStr">
        <is>
          <t>Ayush Kumar</t>
        </is>
      </c>
      <c r="C309" s="3" t="n">
        <v>9905836934</v>
      </c>
      <c r="D309" s="2" t="inlineStr">
        <is>
          <t>PROV260616257</t>
        </is>
      </c>
      <c r="E309" s="2" t="inlineStr">
        <is>
          <t>SSAHE</t>
        </is>
      </c>
      <c r="F309" s="2" t="inlineStr">
        <is>
          <t>Yes</t>
        </is>
      </c>
      <c r="G309" s="2" t="inlineStr">
        <is>
          <t xml:space="preserve">Non Critical </t>
        </is>
      </c>
      <c r="H309" s="2" t="n">
        <v>12.5</v>
      </c>
      <c r="I309" s="2" t="inlineStr">
        <is>
          <t>23 lakh</t>
        </is>
      </c>
      <c r="J309" s="2" t="n">
        <v>76</v>
      </c>
      <c r="K309" s="2" t="inlineStr">
        <is>
          <t>Mother</t>
        </is>
      </c>
      <c r="L309" s="2" t="inlineStr">
        <is>
          <t>Retailer</t>
        </is>
      </c>
      <c r="M309" s="2" t="n">
        <v>1.8</v>
      </c>
      <c r="N309" s="2" t="inlineStr">
        <is>
          <t>Income Certificate</t>
        </is>
      </c>
      <c r="O309" s="2" t="inlineStr">
        <is>
          <t>no</t>
        </is>
      </c>
      <c r="P309" s="2" t="n">
        <v>771</v>
      </c>
      <c r="Q309" s="2" t="inlineStr">
        <is>
          <t>no</t>
        </is>
      </c>
      <c r="R309" s="2" t="n"/>
      <c r="S309" s="2" t="n"/>
      <c r="T309" s="2" t="inlineStr">
        <is>
          <t>16/7 : Need 23 L loan , mother will be co applicant, and is tailor in the company.There is no collateral for loan. - 23/7 : Mother income : 15k. 
-27/7 : Spoke to ayush again, have guided him for PM vidyalakshmi step by step, he is filling in the details. moved from not started to ongoing.</t>
        </is>
      </c>
      <c r="U309" s="2" t="inlineStr">
        <is>
          <t>Yes</t>
        </is>
      </c>
      <c r="V309" s="2" t="inlineStr">
        <is>
          <t xml:space="preserve">No </t>
        </is>
      </c>
      <c r="W309" s="2" t="inlineStr">
        <is>
          <t xml:space="preserve">no </t>
        </is>
      </c>
      <c r="X309" s="2" t="inlineStr">
        <is>
          <t>No</t>
        </is>
      </c>
      <c r="Y309" s="2" t="inlineStr">
        <is>
          <t>No</t>
        </is>
      </c>
      <c r="Z309" s="2" t="inlineStr">
        <is>
          <t>yes</t>
        </is>
      </c>
      <c r="AA309" s="2" t="inlineStr">
        <is>
          <t>Risk</t>
        </is>
      </c>
      <c r="AB309" s="2" t="inlineStr">
        <is>
          <t>Risk</t>
        </is>
      </c>
      <c r="AC309" s="2" t="n"/>
      <c r="AD309" s="2" t="n"/>
      <c r="AE309" s="2" t="n"/>
      <c r="AF309" s="2" t="n"/>
      <c r="AG309" s="2" t="inlineStr">
        <is>
          <t>Ongoing</t>
        </is>
      </c>
      <c r="AH309" s="2" t="inlineStr">
        <is>
          <t>Processing by PM vidyalakshmi</t>
        </is>
      </c>
      <c r="AI309" s="2" t="n"/>
      <c r="AJ309" s="2" t="n"/>
      <c r="AK309" s="2" t="inlineStr">
        <is>
          <t>Yes</t>
        </is>
      </c>
      <c r="AL309" s="2" t="inlineStr">
        <is>
          <t>Low eligibility</t>
        </is>
      </c>
      <c r="AM309" s="2" t="n"/>
      <c r="AN309" s="2" t="n"/>
      <c r="AO309" s="2" t="n"/>
      <c r="AP309" s="2" t="n"/>
      <c r="AQ309" s="2" t="n"/>
    </row>
    <row r="310">
      <c r="A310" t="n">
        <v>309</v>
      </c>
      <c r="B310" s="2" t="inlineStr">
        <is>
          <t>Shivam VERMA</t>
        </is>
      </c>
      <c r="C310" s="3" t="n">
        <v>9305110579</v>
      </c>
      <c r="D310" s="2" t="inlineStr">
        <is>
          <t>PROV260502345</t>
        </is>
      </c>
      <c r="E310" s="2" t="inlineStr">
        <is>
          <t>SSAHE</t>
        </is>
      </c>
      <c r="F310" s="2" t="inlineStr">
        <is>
          <t>No</t>
        </is>
      </c>
      <c r="G310" s="2" t="inlineStr">
        <is>
          <t>Loan not required</t>
        </is>
      </c>
      <c r="H310" s="2" t="n">
        <v>0.075</v>
      </c>
      <c r="I310" s="2" t="n"/>
      <c r="J310" s="2" t="n">
        <v>70</v>
      </c>
      <c r="K310" s="2" t="n"/>
      <c r="L310" s="2" t="n"/>
      <c r="M310" s="2" t="n"/>
      <c r="N310" s="2" t="n"/>
      <c r="O310" s="2" t="n"/>
      <c r="P310" s="2" t="n"/>
      <c r="Q310" s="2" t="n"/>
      <c r="R310" s="2" t="n"/>
      <c r="S310" s="2" t="n"/>
      <c r="T310" s="2" t="inlineStr">
        <is>
          <t>17/7 : DNP
24/7: Self Fund</t>
        </is>
      </c>
      <c r="U310" s="2" t="inlineStr">
        <is>
          <t>No</t>
        </is>
      </c>
      <c r="V310" s="2" t="inlineStr"/>
      <c r="W310" s="2" t="inlineStr"/>
      <c r="X310" s="2" t="n"/>
      <c r="Y310" s="2" t="n"/>
      <c r="Z310" s="2" t="n"/>
      <c r="AA310" s="2" t="inlineStr">
        <is>
          <t>Not required</t>
        </is>
      </c>
      <c r="AB310" s="2" t="inlineStr">
        <is>
          <t>Not required</t>
        </is>
      </c>
      <c r="AC310" s="2" t="n"/>
      <c r="AD310" s="2" t="n"/>
      <c r="AE310" s="2" t="n"/>
      <c r="AF310" s="2" t="n"/>
      <c r="AG310" s="2" t="inlineStr">
        <is>
          <t>Not required</t>
        </is>
      </c>
      <c r="AH310" s="2" t="n"/>
      <c r="AI310" s="2" t="n"/>
      <c r="AJ310" s="2" t="n"/>
      <c r="AK310" s="2" t="n"/>
      <c r="AL310" s="2" t="n"/>
      <c r="AM310" s="2" t="n"/>
      <c r="AN310" s="2" t="n"/>
      <c r="AO310" s="2" t="n"/>
      <c r="AP310" s="2" t="n"/>
      <c r="AQ310" s="2" t="n"/>
    </row>
    <row r="311">
      <c r="A311" t="n">
        <v>310</v>
      </c>
      <c r="B311" s="2" t="inlineStr">
        <is>
          <t>aadarsh patil</t>
        </is>
      </c>
      <c r="C311" s="3" t="n">
        <v>9892564430</v>
      </c>
      <c r="D311" s="2" t="inlineStr">
        <is>
          <t>PROV260615064</t>
        </is>
      </c>
      <c r="E311" s="2" t="inlineStr">
        <is>
          <t>ADYPU</t>
        </is>
      </c>
      <c r="F311" s="2" t="inlineStr">
        <is>
          <t>No</t>
        </is>
      </c>
      <c r="G311" s="2" t="inlineStr">
        <is>
          <t>Loan not required</t>
        </is>
      </c>
      <c r="H311" s="2" t="n">
        <v>0.18</v>
      </c>
      <c r="I311" s="2" t="n"/>
      <c r="J311" s="2" t="n">
        <v>52.17</v>
      </c>
      <c r="K311" s="2" t="n"/>
      <c r="L311" s="2" t="n"/>
      <c r="M311" s="2" t="n"/>
      <c r="N311" s="2" t="n"/>
      <c r="O311" s="2" t="n"/>
      <c r="P311" s="2" t="n"/>
      <c r="Q311" s="2" t="n"/>
      <c r="R311" s="2" t="n"/>
      <c r="S311" s="2" t="n"/>
      <c r="T311" s="2" t="inlineStr">
        <is>
          <t>24/7: DNP</t>
        </is>
      </c>
      <c r="U311" s="2" t="inlineStr">
        <is>
          <t>No</t>
        </is>
      </c>
      <c r="V311" s="2" t="inlineStr"/>
      <c r="W311" s="2" t="inlineStr"/>
      <c r="X311" s="2" t="n"/>
      <c r="Y311" s="2" t="n"/>
      <c r="Z311" s="2" t="n"/>
      <c r="AA311" s="2" t="inlineStr">
        <is>
          <t>Not required</t>
        </is>
      </c>
      <c r="AB311" s="2" t="inlineStr">
        <is>
          <t>Not required</t>
        </is>
      </c>
      <c r="AC311" s="2" t="n"/>
      <c r="AD311" s="2" t="n"/>
      <c r="AE311" s="2" t="n"/>
      <c r="AF311" s="2" t="n"/>
      <c r="AG311" s="2" t="inlineStr">
        <is>
          <t>Not required</t>
        </is>
      </c>
      <c r="AH311" s="2" t="n"/>
      <c r="AI311" s="2" t="n"/>
      <c r="AJ311" s="2" t="n"/>
      <c r="AK311" s="2" t="n"/>
      <c r="AL311" s="2" t="n"/>
      <c r="AM311" s="2" t="n"/>
      <c r="AN311" s="2" t="n"/>
      <c r="AO311" s="2" t="n"/>
      <c r="AP311" s="2" t="n"/>
      <c r="AQ311" s="2" t="n"/>
    </row>
    <row r="312">
      <c r="A312" t="n">
        <v>311</v>
      </c>
      <c r="B312" s="2" t="inlineStr">
        <is>
          <t>Nayan joshi</t>
        </is>
      </c>
      <c r="C312" s="3" t="n">
        <v>9024274521</v>
      </c>
      <c r="D312" s="2" t="inlineStr">
        <is>
          <t>PROV260601074</t>
        </is>
      </c>
      <c r="E312" s="2" t="inlineStr">
        <is>
          <t>ADYPU</t>
        </is>
      </c>
      <c r="F312" s="2" t="inlineStr">
        <is>
          <t>Yes</t>
        </is>
      </c>
      <c r="G312" s="2" t="inlineStr">
        <is>
          <t xml:space="preserve">Non Critical </t>
        </is>
      </c>
      <c r="H312" s="2" t="n"/>
      <c r="I312" s="2" t="n"/>
      <c r="J312" s="2" t="n">
        <v>92</v>
      </c>
      <c r="K312" s="2" t="n"/>
      <c r="L312" s="2" t="n"/>
      <c r="M312" s="2" t="n"/>
      <c r="N312" s="2" t="n"/>
      <c r="O312" s="2" t="n"/>
      <c r="P312" s="2" t="n"/>
      <c r="Q312" s="2" t="n"/>
      <c r="R312" s="2" t="n"/>
      <c r="S312" s="2" t="n"/>
      <c r="T312" s="2" t="inlineStr">
        <is>
          <t>15/7 : Father : Co applicant , Income : 12K, taking collateral loan . Have spoke to the student he has got all the details and want to pursue it throguh sbi/pnb
28/7 : DNP</t>
        </is>
      </c>
      <c r="U312" s="2" t="inlineStr">
        <is>
          <t>Yes</t>
        </is>
      </c>
      <c r="V312" s="2" t="inlineStr">
        <is>
          <t>No</t>
        </is>
      </c>
      <c r="W312" s="2" t="inlineStr">
        <is>
          <t xml:space="preserve">no </t>
        </is>
      </c>
      <c r="X312" s="2" t="n"/>
      <c r="Y312" s="2" t="n"/>
      <c r="Z312" s="2" t="n"/>
      <c r="AA312" s="2" t="inlineStr">
        <is>
          <t>Control</t>
        </is>
      </c>
      <c r="AB312" s="2" t="inlineStr">
        <is>
          <t>Control</t>
        </is>
      </c>
      <c r="AC312" s="2" t="n"/>
      <c r="AD312" s="2" t="n"/>
      <c r="AE312" s="2" t="n"/>
      <c r="AF312" s="2" t="n"/>
      <c r="AG312" s="2" t="inlineStr">
        <is>
          <t>Ongoing</t>
        </is>
      </c>
      <c r="AH312" s="2" t="inlineStr">
        <is>
          <t>Processing at other bank</t>
        </is>
      </c>
      <c r="AI312" s="2" t="n"/>
      <c r="AJ312" s="2" t="n"/>
      <c r="AK312" s="2" t="n"/>
      <c r="AL312" s="2" t="n"/>
      <c r="AM312" s="2" t="n"/>
      <c r="AN312" s="2" t="n"/>
      <c r="AO312" s="2" t="n"/>
      <c r="AP312" s="2" t="n"/>
      <c r="AQ312" s="2" t="n"/>
    </row>
    <row r="313">
      <c r="A313" t="n">
        <v>312</v>
      </c>
      <c r="B313" s="2" t="inlineStr">
        <is>
          <t>Raghav jangid</t>
        </is>
      </c>
      <c r="C313" s="3" t="n">
        <v>7230978888</v>
      </c>
      <c r="D313" s="2" t="inlineStr">
        <is>
          <t>PROV1000002402</t>
        </is>
      </c>
      <c r="E313" s="2" t="inlineStr">
        <is>
          <t>ADYPU</t>
        </is>
      </c>
      <c r="F313" s="2" t="inlineStr">
        <is>
          <t>No</t>
        </is>
      </c>
      <c r="G313" s="2" t="inlineStr">
        <is>
          <t>Loan not required</t>
        </is>
      </c>
      <c r="H313" s="2" t="n">
        <v>0.175</v>
      </c>
      <c r="I313" s="2" t="n"/>
      <c r="J313" s="2" t="n">
        <v>65</v>
      </c>
      <c r="K313" s="2" t="n"/>
      <c r="L313" s="2" t="n"/>
      <c r="M313" s="2" t="n"/>
      <c r="N313" s="2" t="n"/>
      <c r="O313" s="2" t="n"/>
      <c r="P313" s="2" t="n"/>
      <c r="Q313" s="2" t="n"/>
      <c r="R313" s="2" t="n"/>
      <c r="S313" s="2" t="n"/>
      <c r="T313" s="2" t="inlineStr">
        <is>
          <t>24/7: Self Fund</t>
        </is>
      </c>
      <c r="U313" s="2" t="inlineStr">
        <is>
          <t>No</t>
        </is>
      </c>
      <c r="V313" s="2" t="inlineStr"/>
      <c r="W313" s="2" t="inlineStr"/>
      <c r="X313" s="2" t="n"/>
      <c r="Y313" s="2" t="n"/>
      <c r="Z313" s="2" t="n"/>
      <c r="AA313" s="2" t="inlineStr">
        <is>
          <t>Not required</t>
        </is>
      </c>
      <c r="AB313" s="2" t="inlineStr">
        <is>
          <t>Not required</t>
        </is>
      </c>
      <c r="AC313" s="2" t="n"/>
      <c r="AD313" s="2" t="n"/>
      <c r="AE313" s="2" t="n"/>
      <c r="AF313" s="2" t="n"/>
      <c r="AG313" s="2" t="inlineStr">
        <is>
          <t>Not required</t>
        </is>
      </c>
      <c r="AH313" s="2" t="n"/>
      <c r="AI313" s="2" t="n"/>
      <c r="AJ313" s="2" t="n"/>
      <c r="AK313" s="2" t="n"/>
      <c r="AL313" s="2" t="n"/>
      <c r="AM313" s="2" t="n"/>
      <c r="AN313" s="2" t="n"/>
      <c r="AO313" s="2" t="n"/>
      <c r="AP313" s="2" t="n"/>
      <c r="AQ313" s="2" t="n"/>
    </row>
    <row r="314">
      <c r="A314" t="n">
        <v>313</v>
      </c>
      <c r="B314" s="2" t="inlineStr">
        <is>
          <t>PEDDIREDDY DATTATHREYA REDDY</t>
        </is>
      </c>
      <c r="C314" s="3" t="n">
        <v>7569889133</v>
      </c>
      <c r="D314" s="2" t="inlineStr">
        <is>
          <t>PROV260605813</t>
        </is>
      </c>
      <c r="E314" s="2" t="inlineStr">
        <is>
          <t>ADYPU</t>
        </is>
      </c>
      <c r="F314" s="2" t="inlineStr">
        <is>
          <t>Drop</t>
        </is>
      </c>
      <c r="G314" s="2" t="n"/>
      <c r="H314" s="2" t="n">
        <v>0.175</v>
      </c>
      <c r="I314" s="2" t="n"/>
      <c r="J314" s="2" t="n">
        <v>94.09999999999999</v>
      </c>
      <c r="K314" s="2" t="n"/>
      <c r="L314" s="2" t="n"/>
      <c r="M314" s="2" t="n"/>
      <c r="N314" s="2" t="n"/>
      <c r="O314" s="2" t="n"/>
      <c r="P314" s="2" t="n"/>
      <c r="Q314" s="2" t="n"/>
      <c r="R314" s="2" t="n"/>
      <c r="S314" s="2" t="n"/>
      <c r="T314" s="2" t="inlineStr">
        <is>
          <t>24/7: Cut the phonr when introduced from SOT, and then did not pick up
28/7: Will take drop as per SST team , has  not yet raised an official request</t>
        </is>
      </c>
      <c r="U314" s="2" t="inlineStr">
        <is>
          <t>Refund</t>
        </is>
      </c>
      <c r="V314" s="2" t="inlineStr"/>
      <c r="W314" s="2" t="inlineStr"/>
      <c r="X314" s="2" t="n"/>
      <c r="Y314" s="2" t="n"/>
      <c r="Z314" s="2" t="n"/>
      <c r="AA314" s="2" t="inlineStr">
        <is>
          <t>Refund case</t>
        </is>
      </c>
      <c r="AB314" s="2" t="inlineStr">
        <is>
          <t>Refund case</t>
        </is>
      </c>
      <c r="AC314" s="2" t="n"/>
      <c r="AD314" s="2" t="n"/>
      <c r="AE314" s="2" t="n"/>
      <c r="AF314" s="2" t="n"/>
      <c r="AG314" s="2" t="n"/>
      <c r="AH314" s="2" t="n"/>
      <c r="AI314" s="2" t="n"/>
      <c r="AJ314" s="2" t="n"/>
      <c r="AK314" s="2" t="n"/>
      <c r="AL314" s="2" t="n"/>
      <c r="AM314" s="2" t="n"/>
      <c r="AN314" s="2" t="n"/>
      <c r="AO314" s="2" t="n"/>
      <c r="AP314" s="2" t="n"/>
      <c r="AQ314" s="2" t="n"/>
    </row>
    <row r="315">
      <c r="A315" t="n">
        <v>314</v>
      </c>
      <c r="B315" s="2" t="inlineStr">
        <is>
          <t>Tanishka Gangwal</t>
        </is>
      </c>
      <c r="C315" s="3" t="n">
        <v>7058775709</v>
      </c>
      <c r="D315" s="2" t="inlineStr">
        <is>
          <t>PROV260613409</t>
        </is>
      </c>
      <c r="E315" s="2" t="inlineStr">
        <is>
          <t>ADYPU</t>
        </is>
      </c>
      <c r="F315" s="2" t="inlineStr">
        <is>
          <t>No</t>
        </is>
      </c>
      <c r="G315" s="2" t="inlineStr">
        <is>
          <t>Loan not required</t>
        </is>
      </c>
      <c r="H315" s="2" t="n">
        <v>0.2</v>
      </c>
      <c r="I315" s="2" t="n"/>
      <c r="J315" s="2" t="n">
        <v>79</v>
      </c>
      <c r="K315" s="2" t="n"/>
      <c r="L315" s="2" t="n"/>
      <c r="M315" s="2" t="n"/>
      <c r="N315" s="2" t="n"/>
      <c r="O315" s="2" t="n"/>
      <c r="P315" s="2" t="n"/>
      <c r="Q315" s="2" t="n"/>
      <c r="R315" s="2" t="n"/>
      <c r="S315" s="2" t="n"/>
      <c r="T315" s="2" t="inlineStr">
        <is>
          <t>24/7: Self Fund</t>
        </is>
      </c>
      <c r="U315" s="2" t="inlineStr">
        <is>
          <t>No</t>
        </is>
      </c>
      <c r="V315" s="2" t="inlineStr"/>
      <c r="W315" s="2" t="inlineStr"/>
      <c r="X315" s="2" t="n"/>
      <c r="Y315" s="2" t="n"/>
      <c r="Z315" s="2" t="n"/>
      <c r="AA315" s="2" t="inlineStr">
        <is>
          <t>Not required</t>
        </is>
      </c>
      <c r="AB315" s="2" t="inlineStr">
        <is>
          <t>Not required</t>
        </is>
      </c>
      <c r="AC315" s="2" t="n"/>
      <c r="AD315" s="2" t="n"/>
      <c r="AE315" s="2" t="n"/>
      <c r="AF315" s="2" t="n"/>
      <c r="AG315" s="2" t="inlineStr">
        <is>
          <t>Not required</t>
        </is>
      </c>
      <c r="AH315" s="2" t="n"/>
      <c r="AI315" s="2" t="n"/>
      <c r="AJ315" s="2" t="n"/>
      <c r="AK315" s="2" t="n"/>
      <c r="AL315" s="2" t="n"/>
      <c r="AM315" s="2" t="n"/>
      <c r="AN315" s="2" t="n"/>
      <c r="AO315" s="2" t="n"/>
      <c r="AP315" s="2" t="n"/>
      <c r="AQ315" s="2" t="n"/>
    </row>
    <row r="316">
      <c r="A316" t="n">
        <v>315</v>
      </c>
      <c r="B316" s="2" t="inlineStr">
        <is>
          <t>Dev Sharma</t>
        </is>
      </c>
      <c r="C316" s="3" t="n">
        <v>9630149422</v>
      </c>
      <c r="D316" s="2" t="inlineStr">
        <is>
          <t>PROV260609051</t>
        </is>
      </c>
      <c r="E316" s="2" t="inlineStr">
        <is>
          <t>ADYPU</t>
        </is>
      </c>
      <c r="F316" s="2" t="inlineStr">
        <is>
          <t>DNR</t>
        </is>
      </c>
      <c r="G316" s="2" t="n"/>
      <c r="H316" s="2" t="n">
        <v>0.2</v>
      </c>
      <c r="I316" s="2" t="n"/>
      <c r="J316" s="2" t="n">
        <v>88.59999999999999</v>
      </c>
      <c r="K316" s="2" t="n"/>
      <c r="L316" s="2" t="n"/>
      <c r="M316" s="2" t="n"/>
      <c r="N316" s="2" t="n"/>
      <c r="O316" s="2" t="n"/>
      <c r="P316" s="2" t="n"/>
      <c r="Q316" s="2" t="n"/>
      <c r="R316" s="2" t="n"/>
      <c r="S316" s="2" t="n"/>
      <c r="T316" s="2" t="inlineStr">
        <is>
          <t>24/7: DNP</t>
        </is>
      </c>
      <c r="U316" s="2" t="inlineStr">
        <is>
          <t>DNP</t>
        </is>
      </c>
      <c r="V316" s="2" t="inlineStr"/>
      <c r="W316" s="2" t="inlineStr"/>
      <c r="X316" s="2" t="n"/>
      <c r="Y316" s="2" t="n"/>
      <c r="Z316" s="2" t="n"/>
      <c r="AA316" s="2" t="inlineStr">
        <is>
          <t>DNP</t>
        </is>
      </c>
      <c r="AB316" s="2" t="inlineStr">
        <is>
          <t>DNP</t>
        </is>
      </c>
      <c r="AC316" s="2" t="n"/>
      <c r="AD316" s="2" t="n"/>
      <c r="AE316" s="2" t="n"/>
      <c r="AF316" s="2" t="n"/>
      <c r="AG316" s="2" t="inlineStr">
        <is>
          <t>Not even started</t>
        </is>
      </c>
      <c r="AH316" s="2" t="n"/>
      <c r="AI316" s="2" t="n"/>
      <c r="AJ316" s="2" t="n"/>
      <c r="AK316" s="2" t="n"/>
      <c r="AL316" s="2" t="n"/>
      <c r="AM316" s="2" t="n"/>
      <c r="AN316" s="2" t="n"/>
      <c r="AO316" s="2" t="n"/>
      <c r="AP316" s="2" t="n"/>
      <c r="AQ316" s="2" t="n"/>
    </row>
    <row r="317">
      <c r="A317" t="n">
        <v>316</v>
      </c>
      <c r="B317" s="2" t="inlineStr">
        <is>
          <t>Keshav</t>
        </is>
      </c>
      <c r="C317" s="3" t="n">
        <v>9950930963</v>
      </c>
      <c r="D317" s="2" t="inlineStr">
        <is>
          <t>PROV260502416</t>
        </is>
      </c>
      <c r="E317" s="2" t="inlineStr">
        <is>
          <t>ADYPU</t>
        </is>
      </c>
      <c r="F317" s="2" t="inlineStr">
        <is>
          <t>No</t>
        </is>
      </c>
      <c r="G317" s="2" t="inlineStr">
        <is>
          <t>Loan not required</t>
        </is>
      </c>
      <c r="H317" s="2" t="n">
        <v>0.275</v>
      </c>
      <c r="I317" s="2" t="n"/>
      <c r="J317" s="2" t="n">
        <v>87.59999999999999</v>
      </c>
      <c r="K317" s="2" t="n"/>
      <c r="L317" s="2" t="n"/>
      <c r="M317" s="2" t="n"/>
      <c r="N317" s="2" t="n"/>
      <c r="O317" s="2" t="n"/>
      <c r="P317" s="2" t="n"/>
      <c r="Q317" s="2" t="n"/>
      <c r="R317" s="2" t="n"/>
      <c r="S317" s="2" t="n"/>
      <c r="T317" s="2" t="inlineStr">
        <is>
          <t>24/7: Self Fund</t>
        </is>
      </c>
      <c r="U317" s="2" t="inlineStr">
        <is>
          <t>No</t>
        </is>
      </c>
      <c r="V317" s="2" t="inlineStr"/>
      <c r="W317" s="2" t="inlineStr"/>
      <c r="X317" s="2" t="n"/>
      <c r="Y317" s="2" t="n"/>
      <c r="Z317" s="2" t="n"/>
      <c r="AA317" s="2" t="inlineStr">
        <is>
          <t>Not required</t>
        </is>
      </c>
      <c r="AB317" s="2" t="inlineStr">
        <is>
          <t>Not required</t>
        </is>
      </c>
      <c r="AC317" s="2" t="n"/>
      <c r="AD317" s="2" t="n"/>
      <c r="AE317" s="2" t="n"/>
      <c r="AF317" s="2" t="n"/>
      <c r="AG317" s="2" t="inlineStr">
        <is>
          <t>Not required</t>
        </is>
      </c>
      <c r="AH317" s="2" t="n"/>
      <c r="AI317" s="2" t="n"/>
      <c r="AJ317" s="2" t="n"/>
      <c r="AK317" s="2" t="n"/>
      <c r="AL317" s="2" t="n"/>
      <c r="AM317" s="2" t="n"/>
      <c r="AN317" s="2" t="n"/>
      <c r="AO317" s="2" t="n"/>
      <c r="AP317" s="2" t="n"/>
      <c r="AQ317" s="2" t="n"/>
    </row>
    <row r="318">
      <c r="A318" t="n">
        <v>317</v>
      </c>
      <c r="B318" s="2" t="inlineStr">
        <is>
          <t>Harshvardhan Deepak Bhatia</t>
        </is>
      </c>
      <c r="C318" s="3" t="n">
        <v>8879690863</v>
      </c>
      <c r="D318" s="2" t="inlineStr">
        <is>
          <t>PROV260613926</t>
        </is>
      </c>
      <c r="E318" s="2" t="inlineStr">
        <is>
          <t>ADYPU</t>
        </is>
      </c>
      <c r="F318" s="2" t="inlineStr">
        <is>
          <t>DNR</t>
        </is>
      </c>
      <c r="G318" s="2" t="n"/>
      <c r="H318" s="2" t="n">
        <v>0.05</v>
      </c>
      <c r="I318" s="2" t="n"/>
      <c r="J318" s="2" t="n">
        <v>63</v>
      </c>
      <c r="K318" s="2" t="n"/>
      <c r="L318" s="2" t="n"/>
      <c r="M318" s="2" t="n"/>
      <c r="N318" s="2" t="n"/>
      <c r="O318" s="2" t="n"/>
      <c r="P318" s="2" t="n"/>
      <c r="Q318" s="2" t="n"/>
      <c r="R318" s="2" t="n"/>
      <c r="S318" s="2" t="n"/>
      <c r="T318" s="2" t="inlineStr">
        <is>
          <t>24/7: DNP</t>
        </is>
      </c>
      <c r="U318" s="2" t="inlineStr">
        <is>
          <t>DNP</t>
        </is>
      </c>
      <c r="V318" s="2" t="inlineStr"/>
      <c r="W318" s="2" t="inlineStr"/>
      <c r="X318" s="2" t="n"/>
      <c r="Y318" s="2" t="n"/>
      <c r="Z318" s="2" t="n"/>
      <c r="AA318" s="2" t="inlineStr">
        <is>
          <t>DNP</t>
        </is>
      </c>
      <c r="AB318" s="2" t="inlineStr">
        <is>
          <t>DNP</t>
        </is>
      </c>
      <c r="AC318" s="2" t="n"/>
      <c r="AD318" s="2" t="n"/>
      <c r="AE318" s="2" t="n"/>
      <c r="AF318" s="2" t="n"/>
      <c r="AG318" s="2" t="inlineStr">
        <is>
          <t>Not even started</t>
        </is>
      </c>
      <c r="AH318" s="2" t="n"/>
      <c r="AI318" s="2" t="n"/>
      <c r="AJ318" s="2" t="n"/>
      <c r="AK318" s="2" t="n"/>
      <c r="AL318" s="2" t="n"/>
      <c r="AM318" s="2" t="n"/>
      <c r="AN318" s="2" t="n"/>
      <c r="AO318" s="2" t="n"/>
      <c r="AP318" s="2" t="n"/>
      <c r="AQ318" s="2" t="n"/>
    </row>
    <row r="319">
      <c r="A319" t="n">
        <v>318</v>
      </c>
      <c r="B319" s="2" t="inlineStr">
        <is>
          <t>Shubham Kumar</t>
        </is>
      </c>
      <c r="C319" s="3" t="n">
        <v>9931106392</v>
      </c>
      <c r="D319" s="2" t="inlineStr">
        <is>
          <t>PROV260500386</t>
        </is>
      </c>
      <c r="E319" s="2" t="inlineStr">
        <is>
          <t>SSAHE</t>
        </is>
      </c>
      <c r="F319" s="2" t="inlineStr">
        <is>
          <t>Yes</t>
        </is>
      </c>
      <c r="G319" s="2" t="inlineStr">
        <is>
          <t xml:space="preserve">Critical </t>
        </is>
      </c>
      <c r="H319" s="2" t="n">
        <v>0.075</v>
      </c>
      <c r="I319" s="2" t="n">
        <v>22</v>
      </c>
      <c r="J319" s="2" t="n">
        <v>72</v>
      </c>
      <c r="K319" s="2" t="inlineStr">
        <is>
          <t>Father</t>
        </is>
      </c>
      <c r="L319" s="2" t="inlineStr">
        <is>
          <t>Farmer</t>
        </is>
      </c>
      <c r="M319" s="2" t="n"/>
      <c r="N319" s="2" t="n"/>
      <c r="O319" s="2" t="n"/>
      <c r="P319" s="2" t="n"/>
      <c r="Q319" s="2" t="n"/>
      <c r="R319" s="2" t="n"/>
      <c r="S319" s="2" t="n"/>
      <c r="T319" s="2" t="inlineStr">
        <is>
          <t xml:space="preserve">12/5 : Profession : Father : Farmer 
Loan required : 25
Annual Income : 1.2 L
20/7 : Student agiateted due to no call back , have suggested to apply from his side and sharing to our partners as well.
21/7 : Gyan Dhan updated asked to call after 2 days
27/7 </t>
        </is>
      </c>
      <c r="U319" s="2" t="inlineStr">
        <is>
          <t>Yes</t>
        </is>
      </c>
      <c r="V319" s="2" t="inlineStr">
        <is>
          <t>Yes</t>
        </is>
      </c>
      <c r="W319" s="2" t="inlineStr">
        <is>
          <t>Yes</t>
        </is>
      </c>
      <c r="X319" s="2" t="n"/>
      <c r="Y319" s="2" t="n"/>
      <c r="Z319" s="2" t="n"/>
      <c r="AA319" s="2" t="inlineStr">
        <is>
          <t>Risk</t>
        </is>
      </c>
      <c r="AB319" s="2" t="inlineStr">
        <is>
          <t>Risk</t>
        </is>
      </c>
      <c r="AC319" s="2" t="n"/>
      <c r="AD319" s="2" t="n"/>
      <c r="AE319" s="2" t="n"/>
      <c r="AF319" s="2" t="n"/>
      <c r="AG319" s="2" t="inlineStr">
        <is>
          <t>Not even started</t>
        </is>
      </c>
      <c r="AH319" s="2" t="n"/>
      <c r="AI319" s="2" t="n"/>
      <c r="AJ319" s="2" t="inlineStr">
        <is>
          <t>Yes</t>
        </is>
      </c>
      <c r="AK319" s="2" t="n"/>
      <c r="AL319" s="2" t="inlineStr">
        <is>
          <t>Student said no calls till date, has shared profile with gyandhan</t>
        </is>
      </c>
      <c r="AM319" s="2" t="n"/>
      <c r="AN319" s="2" t="n"/>
      <c r="AO319" s="2" t="n"/>
      <c r="AP319" s="2" t="n"/>
      <c r="AQ319" s="2" t="n"/>
    </row>
    <row r="320">
      <c r="A320" t="n">
        <v>319</v>
      </c>
      <c r="B320" s="2" t="inlineStr">
        <is>
          <t>Prashant gautam</t>
        </is>
      </c>
      <c r="C320" s="3" t="n">
        <v>8573939506</v>
      </c>
      <c r="D320" s="2" t="inlineStr">
        <is>
          <t>PROV260611723</t>
        </is>
      </c>
      <c r="E320" s="2" t="inlineStr">
        <is>
          <t>SSAHE</t>
        </is>
      </c>
      <c r="F320" s="2" t="inlineStr">
        <is>
          <t>Yes</t>
        </is>
      </c>
      <c r="G320" s="2" t="inlineStr">
        <is>
          <t xml:space="preserve">Non Critical </t>
        </is>
      </c>
      <c r="H320" s="2" t="n">
        <v>7.5</v>
      </c>
      <c r="I320" s="2" t="inlineStr">
        <is>
          <t>24 lakh</t>
        </is>
      </c>
      <c r="J320" s="2" t="n">
        <v>72</v>
      </c>
      <c r="K320" s="2" t="inlineStr">
        <is>
          <t>Father</t>
        </is>
      </c>
      <c r="L320" s="2" t="inlineStr">
        <is>
          <t>pvt job</t>
        </is>
      </c>
      <c r="M320" s="2" t="n">
        <v>48000</v>
      </c>
      <c r="N320" s="2" t="inlineStr">
        <is>
          <t>Income Certificate</t>
        </is>
      </c>
      <c r="O320" s="2" t="inlineStr">
        <is>
          <t>no</t>
        </is>
      </c>
      <c r="P320" s="2" t="inlineStr">
        <is>
          <t>na</t>
        </is>
      </c>
      <c r="Q320" s="2" t="n"/>
      <c r="R320" s="2" t="n"/>
      <c r="S320" s="2" t="n"/>
      <c r="T320" s="2" t="inlineStr">
        <is>
          <t xml:space="preserve">17/7 : Loan : 23L, Father : Car Paint 
Salary : 1L/m, ITR not filed , salary slip, Father lives in saudi . 
Gyan dhan update : The loan process has successfully logged in with GyanDhan, while Credila has received some documents but is still awaiting pending documents. The customer has provided the offer letter and other necessary details, and the father is a co-applicant with NRI status, which requires priority completion of the file. The process is ongoing with both lenders, with GyanDhan having all documents and Credila awaiting some documents.
28/7 : Student have shared all the documents to gyan dhan and the update from the gyan dhan was as above. </t>
        </is>
      </c>
      <c r="U320" s="2" t="inlineStr">
        <is>
          <t>Yes</t>
        </is>
      </c>
      <c r="V320" s="2" t="n"/>
      <c r="W320" s="2" t="n"/>
      <c r="X320" s="2" t="n"/>
      <c r="Y320" s="2" t="n"/>
      <c r="Z320" s="2" t="n"/>
      <c r="AA320" s="2" t="inlineStr">
        <is>
          <t>Risk</t>
        </is>
      </c>
      <c r="AB320" s="2" t="inlineStr">
        <is>
          <t>Risk</t>
        </is>
      </c>
      <c r="AC320" s="2" t="n"/>
      <c r="AD320" s="2" t="n"/>
      <c r="AE320" s="2" t="n"/>
      <c r="AF320" s="2" t="n"/>
      <c r="AG320" s="2" t="inlineStr">
        <is>
          <t>Ongoing</t>
        </is>
      </c>
      <c r="AH320" s="2" t="inlineStr">
        <is>
          <t>Processing at other bank</t>
        </is>
      </c>
      <c r="AI320" s="2" t="n"/>
      <c r="AJ320" s="2" t="n"/>
      <c r="AK320" s="2" t="n"/>
      <c r="AL320" s="2" t="n"/>
      <c r="AM320" s="2" t="n"/>
      <c r="AN320" s="2" t="n"/>
      <c r="AO320" s="2" t="n"/>
      <c r="AP320" s="2" t="n"/>
      <c r="AQ320" s="2" t="n"/>
    </row>
    <row r="321">
      <c r="A321" t="n">
        <v>320</v>
      </c>
      <c r="B321" s="2" t="inlineStr">
        <is>
          <t>Rudra Mistry</t>
        </is>
      </c>
      <c r="C321" s="3" t="n">
        <v>9727322200</v>
      </c>
      <c r="D321" s="2" t="inlineStr">
        <is>
          <t>PROV260609517</t>
        </is>
      </c>
      <c r="E321" s="2" t="inlineStr">
        <is>
          <t>SSAHE</t>
        </is>
      </c>
      <c r="F321" s="2" t="inlineStr">
        <is>
          <t>Yes</t>
        </is>
      </c>
      <c r="G321" s="2" t="n"/>
      <c r="H321" s="2" t="n"/>
      <c r="I321" s="2" t="n"/>
      <c r="J321" s="2" t="n"/>
      <c r="K321" s="2" t="n"/>
      <c r="L321" s="2" t="n"/>
      <c r="M321" s="2" t="n"/>
      <c r="N321" s="2" t="n"/>
      <c r="O321" s="2" t="n"/>
      <c r="P321" s="2" t="n"/>
      <c r="Q321" s="2" t="n"/>
      <c r="R321" s="2" t="n"/>
      <c r="S321" s="2" t="n"/>
      <c r="T321" s="2" t="inlineStr">
        <is>
          <t>17/7 : DNP</t>
        </is>
      </c>
      <c r="U321" s="2" t="inlineStr">
        <is>
          <t>Refund</t>
        </is>
      </c>
      <c r="V321" s="2" t="n"/>
      <c r="W321" s="2" t="n"/>
      <c r="X321" s="2" t="n"/>
      <c r="Y321" s="2" t="n"/>
      <c r="Z321" s="2" t="n"/>
      <c r="AA321" s="2" t="inlineStr">
        <is>
          <t>Refund case</t>
        </is>
      </c>
      <c r="AB321" s="2" t="inlineStr">
        <is>
          <t>Refund case</t>
        </is>
      </c>
      <c r="AC321" s="2" t="n"/>
      <c r="AD321" s="2" t="n"/>
      <c r="AE321" s="2" t="n"/>
      <c r="AF321" s="2" t="n"/>
      <c r="AG321" s="2" t="n"/>
      <c r="AH321" s="2" t="n"/>
      <c r="AI321" s="2" t="n"/>
      <c r="AJ321" s="2" t="n"/>
      <c r="AK321" s="2" t="n"/>
      <c r="AL321" s="2" t="n"/>
      <c r="AM321" s="2" t="n"/>
      <c r="AN321" s="2" t="n"/>
      <c r="AO321" s="2" t="n"/>
      <c r="AP321" s="2" t="n"/>
      <c r="AQ321" s="2" t="n"/>
    </row>
    <row r="322">
      <c r="A322" t="n">
        <v>321</v>
      </c>
      <c r="B322" s="2" t="inlineStr">
        <is>
          <t>Gauri Sengar</t>
        </is>
      </c>
      <c r="C322" s="3" t="n">
        <v>7976004824</v>
      </c>
      <c r="D322" s="2" t="inlineStr">
        <is>
          <t>PROV260500634</t>
        </is>
      </c>
      <c r="E322" s="2" t="inlineStr">
        <is>
          <t>SSAHE</t>
        </is>
      </c>
      <c r="F322" s="2" t="inlineStr">
        <is>
          <t>Yes</t>
        </is>
      </c>
      <c r="G322" s="2" t="inlineStr">
        <is>
          <t xml:space="preserve">Non Critical </t>
        </is>
      </c>
      <c r="H322" s="2" t="n">
        <v>10</v>
      </c>
      <c r="I322" s="2" t="inlineStr">
        <is>
          <t>all</t>
        </is>
      </c>
      <c r="J322" s="2" t="n"/>
      <c r="K322" s="2" t="inlineStr">
        <is>
          <t>Mother</t>
        </is>
      </c>
      <c r="L322" s="2" t="inlineStr">
        <is>
          <t>Business</t>
        </is>
      </c>
      <c r="M322" s="2" t="n"/>
      <c r="N322" s="2" t="n"/>
      <c r="O322" s="2" t="inlineStr">
        <is>
          <t>no</t>
        </is>
      </c>
      <c r="P322" s="2" t="n">
        <v>700</v>
      </c>
      <c r="Q322" s="2" t="inlineStr">
        <is>
          <t>no</t>
        </is>
      </c>
      <c r="R322" s="2" t="inlineStr">
        <is>
          <t>no</t>
        </is>
      </c>
      <c r="S322" s="2" t="inlineStr">
        <is>
          <t>8559900795 call his father, both siblings are here</t>
        </is>
      </c>
      <c r="T322" s="2" t="inlineStr">
        <is>
          <t>17/7 : DNP , called both father and student. 
Father called : 17/7 : Loan : 50L, Rental Income : 4L/year, Mother will be the coapplicant 
29/7: SST team talked to student said , student will call the banks bt theselves as GD said DNP.</t>
        </is>
      </c>
      <c r="U322" s="2" t="inlineStr">
        <is>
          <t>Yes</t>
        </is>
      </c>
      <c r="V322" s="2" t="n"/>
      <c r="W322" s="2" t="n"/>
      <c r="X322" s="2" t="n"/>
      <c r="Y322" s="2" t="n"/>
      <c r="Z322" s="2" t="n"/>
      <c r="AA322" s="2" t="inlineStr">
        <is>
          <t>Control</t>
        </is>
      </c>
      <c r="AB322" s="2" t="inlineStr">
        <is>
          <t>Control</t>
        </is>
      </c>
      <c r="AC322" s="2" t="n"/>
      <c r="AD322" s="2" t="n"/>
      <c r="AE322" s="2" t="n"/>
      <c r="AF322" s="2" t="n"/>
      <c r="AG322" s="2" t="inlineStr">
        <is>
          <t>Ongoing</t>
        </is>
      </c>
      <c r="AH322" s="2" t="inlineStr">
        <is>
          <t>Processing by GyanDhan</t>
        </is>
      </c>
      <c r="AI322" s="2" t="n"/>
      <c r="AJ322" s="2" t="n"/>
      <c r="AK322" s="2" t="n"/>
      <c r="AL322" s="2" t="n"/>
      <c r="AM322" s="2" t="n"/>
      <c r="AN322" s="2" t="n"/>
      <c r="AO322" s="2" t="n"/>
      <c r="AP322" s="2" t="n"/>
      <c r="AQ322" s="2" t="n"/>
    </row>
    <row r="323">
      <c r="A323" t="n">
        <v>322</v>
      </c>
      <c r="B323" s="2" t="inlineStr">
        <is>
          <t>Dipendra Shah</t>
        </is>
      </c>
      <c r="C323" s="3" t="n">
        <v>9926758216</v>
      </c>
      <c r="D323" s="2" t="inlineStr">
        <is>
          <t>PROV260608604</t>
        </is>
      </c>
      <c r="E323" s="2" t="inlineStr">
        <is>
          <t>SSAHE</t>
        </is>
      </c>
      <c r="F323" s="2" t="inlineStr">
        <is>
          <t>Yes</t>
        </is>
      </c>
      <c r="G323" s="2" t="inlineStr">
        <is>
          <t xml:space="preserve">Non Critical </t>
        </is>
      </c>
      <c r="H323" s="2" t="n">
        <v>12.5</v>
      </c>
      <c r="I323" s="2" t="inlineStr">
        <is>
          <t>24 lakh</t>
        </is>
      </c>
      <c r="J323" s="2" t="n">
        <v>70</v>
      </c>
      <c r="K323" s="2" t="inlineStr">
        <is>
          <t>Father</t>
        </is>
      </c>
      <c r="L323" s="2" t="inlineStr">
        <is>
          <t>Driver</t>
        </is>
      </c>
      <c r="M323" s="2" t="inlineStr">
        <is>
          <t>3 lakh</t>
        </is>
      </c>
      <c r="N323" s="2" t="inlineStr">
        <is>
          <t>Income Certificate</t>
        </is>
      </c>
      <c r="O323" s="2" t="inlineStr">
        <is>
          <t>no</t>
        </is>
      </c>
      <c r="P323" s="2" t="inlineStr">
        <is>
          <t>na</t>
        </is>
      </c>
      <c r="Q323" s="2" t="inlineStr">
        <is>
          <t>na</t>
        </is>
      </c>
      <c r="R323" s="2" t="inlineStr">
        <is>
          <t>na</t>
        </is>
      </c>
      <c r="S323" s="2" t="n"/>
      <c r="T323" s="2" t="inlineStr">
        <is>
          <t>17/7 : Availability of incoming calls are not available. 
27/7 : Loa req : 24L, Father's profession : ddriver , ITR file : Yes, 3L, Annual Income : 3L, Scolarship : 12.5%
31/7:- 9 lakh loan at 14% said by GD</t>
        </is>
      </c>
      <c r="U323" s="2" t="inlineStr">
        <is>
          <t>Yes</t>
        </is>
      </c>
      <c r="V323" s="2" t="inlineStr">
        <is>
          <t>No</t>
        </is>
      </c>
      <c r="W323" s="2" t="inlineStr">
        <is>
          <t>No</t>
        </is>
      </c>
      <c r="X323" s="2" t="inlineStr">
        <is>
          <t>No</t>
        </is>
      </c>
      <c r="Y323" s="2" t="inlineStr">
        <is>
          <t>No</t>
        </is>
      </c>
      <c r="Z323" s="2" t="inlineStr">
        <is>
          <t>Yes</t>
        </is>
      </c>
      <c r="AA323" s="2" t="inlineStr">
        <is>
          <t>Risk</t>
        </is>
      </c>
      <c r="AB323" s="2" t="inlineStr">
        <is>
          <t>Risk</t>
        </is>
      </c>
      <c r="AC323" s="2" t="n"/>
      <c r="AD323" s="2" t="n"/>
      <c r="AE323" s="2" t="n"/>
      <c r="AF323" s="2" t="n"/>
      <c r="AG323" s="2" t="inlineStr">
        <is>
          <t>Not even started</t>
        </is>
      </c>
      <c r="AH323" s="2" t="n"/>
      <c r="AI323" s="2" t="inlineStr">
        <is>
          <t>Yes</t>
        </is>
      </c>
      <c r="AJ323" s="2" t="n"/>
      <c r="AK323" s="2" t="n"/>
      <c r="AL323" s="2" t="inlineStr">
        <is>
          <t>DNP till now</t>
        </is>
      </c>
      <c r="AM323" s="2" t="n"/>
      <c r="AN323" s="2" t="n"/>
      <c r="AO323" s="2" t="n"/>
      <c r="AP323" s="2" t="n"/>
      <c r="AQ323" s="2" t="n"/>
    </row>
    <row r="324">
      <c r="A324" t="n">
        <v>323</v>
      </c>
      <c r="B324" s="2" t="inlineStr">
        <is>
          <t>Ujwal Surendra Lilhare</t>
        </is>
      </c>
      <c r="C324" s="3" t="n">
        <v>8767769262</v>
      </c>
      <c r="D324" s="2" t="inlineStr">
        <is>
          <t>PROV260613147</t>
        </is>
      </c>
      <c r="E324" s="2" t="inlineStr">
        <is>
          <t>SSAHE</t>
        </is>
      </c>
      <c r="F324" s="2" t="inlineStr">
        <is>
          <t>Yes</t>
        </is>
      </c>
      <c r="G324" s="2" t="inlineStr">
        <is>
          <t xml:space="preserve">Critical </t>
        </is>
      </c>
      <c r="H324" s="2" t="n">
        <v>0.1</v>
      </c>
      <c r="I324" s="2" t="n">
        <v>20</v>
      </c>
      <c r="J324" s="2" t="n">
        <v>73.33</v>
      </c>
      <c r="K324" s="2" t="inlineStr">
        <is>
          <t>Father</t>
        </is>
      </c>
      <c r="L324" s="2" t="inlineStr">
        <is>
          <t>Farmer</t>
        </is>
      </c>
      <c r="M324" s="2" t="n">
        <v>1.7</v>
      </c>
      <c r="N324" s="2" t="n"/>
      <c r="O324" s="2" t="n"/>
      <c r="P324" s="2" t="n"/>
      <c r="Q324" s="2" t="n"/>
      <c r="R324" s="2" t="n"/>
      <c r="S324" s="2" t="n"/>
      <c r="T324" s="2" t="inlineStr">
        <is>
          <t>17/7 : Share to gyan dhan. Low income critical case. Gyan dhan told that he would come back again with the thought whether he wants to proceed here or not.
27/7 : Student called, speaking to gyan dhan , had a query between loan sanction and disbursal. 
30/7 : Annual income : 1L, collateral : No</t>
        </is>
      </c>
      <c r="U324" s="2" t="inlineStr">
        <is>
          <t>Yes</t>
        </is>
      </c>
      <c r="V324" s="2" t="n"/>
      <c r="W324" s="2" t="n"/>
      <c r="X324" s="2" t="n"/>
      <c r="Y324" s="2" t="n"/>
      <c r="Z324" s="2" t="inlineStr">
        <is>
          <t>yes</t>
        </is>
      </c>
      <c r="AA324" s="2" t="inlineStr">
        <is>
          <t>Risk</t>
        </is>
      </c>
      <c r="AB324" s="2" t="inlineStr">
        <is>
          <t>Risk</t>
        </is>
      </c>
      <c r="AC324" s="2" t="n"/>
      <c r="AD324" s="2" t="n"/>
      <c r="AE324" s="2" t="n"/>
      <c r="AF324" s="2" t="n"/>
      <c r="AG324" s="2" t="inlineStr">
        <is>
          <t>Ongoing</t>
        </is>
      </c>
      <c r="AH324" s="2" t="inlineStr">
        <is>
          <t>Processing by GyanDhan</t>
        </is>
      </c>
      <c r="AI324" s="2" t="n"/>
      <c r="AJ324" s="2" t="n"/>
      <c r="AK324" s="2" t="n"/>
      <c r="AL324" s="2" t="n"/>
      <c r="AM324" s="2" t="n"/>
      <c r="AN324" s="2" t="n"/>
      <c r="AO324" s="2" t="n"/>
      <c r="AP324" s="2" t="n"/>
      <c r="AQ324" s="2" t="n"/>
    </row>
    <row r="325">
      <c r="A325" t="n">
        <v>324</v>
      </c>
      <c r="B325" s="2" t="inlineStr">
        <is>
          <t>ANIRUDH SINGH SENGAR</t>
        </is>
      </c>
      <c r="C325" s="3" t="n">
        <v>8559900795</v>
      </c>
      <c r="D325" s="2" t="inlineStr">
        <is>
          <t>PROV260614789</t>
        </is>
      </c>
      <c r="E325" s="2" t="inlineStr">
        <is>
          <t>SSAHE</t>
        </is>
      </c>
      <c r="F325" s="2" t="inlineStr">
        <is>
          <t>Yes</t>
        </is>
      </c>
      <c r="G325" s="2" t="inlineStr">
        <is>
          <t xml:space="preserve">Non Critical </t>
        </is>
      </c>
      <c r="H325" s="2" t="n">
        <v>10</v>
      </c>
      <c r="I325" s="2" t="inlineStr">
        <is>
          <t>all</t>
        </is>
      </c>
      <c r="J325" s="2" t="n"/>
      <c r="K325" s="2" t="inlineStr">
        <is>
          <t>Mother</t>
        </is>
      </c>
      <c r="L325" s="2" t="inlineStr">
        <is>
          <t>Business</t>
        </is>
      </c>
      <c r="M325" s="2" t="n"/>
      <c r="N325" s="2" t="n"/>
      <c r="O325" s="2" t="inlineStr">
        <is>
          <t>no</t>
        </is>
      </c>
      <c r="P325" s="2" t="n">
        <v>700</v>
      </c>
      <c r="Q325" s="2" t="inlineStr">
        <is>
          <t>no</t>
        </is>
      </c>
      <c r="R325" s="2" t="inlineStr">
        <is>
          <t>no</t>
        </is>
      </c>
      <c r="S325" s="2" t="inlineStr">
        <is>
          <t>8559900795 call his father, both siblings are here</t>
        </is>
      </c>
      <c r="T325" s="2" t="inlineStr">
        <is>
          <t>17/7 : Loan : 50L, Rental Income : 4L/year, Mother will be the coapplicant 
18/7 : Father called and asked whether we have provided the gyan dhan teeam to talk. WAnted to know if they have to provide the document or not 
28/7 : Have called father, haven't picked, have texted him on 21/7 , he hasn't replied. Provided it to SST team</t>
        </is>
      </c>
      <c r="U325" s="2" t="inlineStr">
        <is>
          <t>Yes</t>
        </is>
      </c>
      <c r="V325" s="2" t="inlineStr">
        <is>
          <t>No</t>
        </is>
      </c>
      <c r="W325" s="2" t="inlineStr">
        <is>
          <t>No</t>
        </is>
      </c>
      <c r="X325" s="2" t="inlineStr">
        <is>
          <t>No</t>
        </is>
      </c>
      <c r="Y325" s="2" t="inlineStr">
        <is>
          <t>No</t>
        </is>
      </c>
      <c r="Z325" s="2" t="inlineStr">
        <is>
          <t>Yes</t>
        </is>
      </c>
      <c r="AA325" s="2" t="inlineStr">
        <is>
          <t>Control</t>
        </is>
      </c>
      <c r="AB325" s="2" t="inlineStr">
        <is>
          <t>Control</t>
        </is>
      </c>
      <c r="AC325" s="2" t="n"/>
      <c r="AD325" s="2" t="inlineStr">
        <is>
          <t xml:space="preserve">Souhardya Bose Need your assistance on this. </t>
        </is>
      </c>
      <c r="AE325" s="2" t="n"/>
      <c r="AF325" s="2" t="n"/>
      <c r="AG325" s="2" t="inlineStr">
        <is>
          <t>Ongoing</t>
        </is>
      </c>
      <c r="AH325" s="2" t="inlineStr">
        <is>
          <t>Processing by GyanDhan</t>
        </is>
      </c>
      <c r="AI325" s="2" t="n"/>
      <c r="AJ325" s="2" t="n"/>
      <c r="AK325" s="2" t="n"/>
      <c r="AL325" s="2" t="n"/>
      <c r="AM325" s="2" t="n"/>
      <c r="AN325" s="2" t="n"/>
      <c r="AO325" s="2" t="n"/>
      <c r="AP325" s="2" t="n"/>
      <c r="AQ325" s="2" t="n"/>
    </row>
    <row r="326">
      <c r="A326" t="n">
        <v>325</v>
      </c>
      <c r="B326" s="2" t="inlineStr">
        <is>
          <t>Kumar Vaibhav</t>
        </is>
      </c>
      <c r="C326" s="3" t="n">
        <v>9942949573</v>
      </c>
      <c r="D326" s="2" t="inlineStr">
        <is>
          <t>PROV260614104</t>
        </is>
      </c>
      <c r="E326" s="2" t="inlineStr">
        <is>
          <t>SSAHE</t>
        </is>
      </c>
      <c r="F326" s="2" t="inlineStr">
        <is>
          <t>Yes</t>
        </is>
      </c>
      <c r="G326" s="2" t="inlineStr">
        <is>
          <t xml:space="preserve">Non Critical </t>
        </is>
      </c>
      <c r="H326" s="2" t="n">
        <v>12.5</v>
      </c>
      <c r="I326" s="2" t="inlineStr">
        <is>
          <t>all</t>
        </is>
      </c>
      <c r="J326" s="2" t="n"/>
      <c r="K326" s="2" t="inlineStr">
        <is>
          <t>Father</t>
        </is>
      </c>
      <c r="L326" s="2" t="inlineStr">
        <is>
          <t>Pvt job</t>
        </is>
      </c>
      <c r="M326" s="2" t="inlineStr">
        <is>
          <t>NO one called for loan</t>
        </is>
      </c>
      <c r="N326" s="2" t="n"/>
      <c r="O326" s="2" t="inlineStr">
        <is>
          <t>yes</t>
        </is>
      </c>
      <c r="P326" s="2" t="n">
        <v>700</v>
      </c>
      <c r="Q326" s="2" t="n"/>
      <c r="R326" s="2" t="n"/>
      <c r="S326" s="2" t="inlineStr">
        <is>
          <t>9835529234 Call his parents</t>
        </is>
      </c>
      <c r="T326" s="2" t="inlineStr">
        <is>
          <t>17/7 : Had a father , Father's profession : Pvt. Job ( Medical field ). 4LPA, ITR not filed. Father wants the loan from second year, he'll pay the fees once he visits the campus by 15th aug</t>
        </is>
      </c>
      <c r="U326" s="2" t="inlineStr">
        <is>
          <t>No</t>
        </is>
      </c>
      <c r="V326" s="2" t="n"/>
      <c r="W326" s="2" t="n"/>
      <c r="X326" s="2" t="n"/>
      <c r="Y326" s="2" t="n"/>
      <c r="Z326" s="2" t="n"/>
      <c r="AA326" s="2" t="inlineStr">
        <is>
          <t>Not required</t>
        </is>
      </c>
      <c r="AB326" s="2" t="inlineStr">
        <is>
          <t>Not required</t>
        </is>
      </c>
      <c r="AC326" s="2" t="n"/>
      <c r="AD326" s="2" t="n"/>
      <c r="AE326" s="2" t="n"/>
      <c r="AF326" s="2" t="n"/>
      <c r="AG326" s="2" t="inlineStr">
        <is>
          <t>Not required</t>
        </is>
      </c>
      <c r="AH326" s="2" t="n"/>
      <c r="AI326" s="2" t="n"/>
      <c r="AJ326" s="2" t="n"/>
      <c r="AK326" s="2" t="n"/>
      <c r="AL326" s="2" t="n"/>
      <c r="AM326" s="2" t="n"/>
      <c r="AN326" s="2" t="n"/>
      <c r="AO326" s="2" t="n"/>
      <c r="AP326" s="2" t="n"/>
      <c r="AQ326" s="2" t="n"/>
    </row>
    <row r="327">
      <c r="A327" t="n">
        <v>326</v>
      </c>
      <c r="B327" s="2" t="inlineStr">
        <is>
          <t>SHREHAN SHARMA</t>
        </is>
      </c>
      <c r="C327" s="3" t="n">
        <v>7628962944</v>
      </c>
      <c r="D327" s="2" t="inlineStr">
        <is>
          <t>PROV260601651</t>
        </is>
      </c>
      <c r="E327" s="2" t="inlineStr">
        <is>
          <t>SSAHE</t>
        </is>
      </c>
      <c r="F327" s="2" t="inlineStr">
        <is>
          <t>Yes</t>
        </is>
      </c>
      <c r="G327" s="2" t="inlineStr">
        <is>
          <t xml:space="preserve">Non Critical </t>
        </is>
      </c>
      <c r="H327" s="2" t="n">
        <v>30</v>
      </c>
      <c r="I327" s="2" t="n">
        <v>19</v>
      </c>
      <c r="J327" s="2" t="n">
        <v>76.2</v>
      </c>
      <c r="K327" s="2" t="inlineStr">
        <is>
          <t>Uncle</t>
        </is>
      </c>
      <c r="L327" s="2" t="inlineStr">
        <is>
          <t>pvt job</t>
        </is>
      </c>
      <c r="M327" s="2" t="n">
        <v>12</v>
      </c>
      <c r="N327" s="2" t="inlineStr">
        <is>
          <t>ITR</t>
        </is>
      </c>
      <c r="O327" s="2" t="n"/>
      <c r="P327" s="2" t="n"/>
      <c r="Q327" s="2" t="n"/>
      <c r="R327" s="2" t="n"/>
      <c r="S327" s="2" t="n"/>
      <c r="T327" s="2" t="inlineStr">
        <is>
          <t>18/7 : HAd a word with the candidate's uncle , he would be the coapplicant since father is no more, uncle is in hcl, files the ITR for last 16 years, has income &gt;1L/m. 
28/7 : Hostel + seat booking ( fees paid ) yesterday + Loan required ( Co applicant : Uncle ) + salary. Student is taking loan from PM vidyalakshmi , have guided him that he would get loan of 7.5L non collateral. Student now got the understanding of the loan clearly , uncle will be the coapplicant. I have told him for his uncle to call me</t>
        </is>
      </c>
      <c r="U327" s="2" t="inlineStr">
        <is>
          <t>Yes</t>
        </is>
      </c>
      <c r="V327" s="2" t="n"/>
      <c r="W327" s="2" t="n"/>
      <c r="X327" s="2" t="n"/>
      <c r="Y327" s="2" t="n"/>
      <c r="Z327" s="2" t="inlineStr">
        <is>
          <t>yes</t>
        </is>
      </c>
      <c r="AA327" s="2" t="inlineStr">
        <is>
          <t>Control</t>
        </is>
      </c>
      <c r="AB327" s="2" t="inlineStr">
        <is>
          <t>Control</t>
        </is>
      </c>
      <c r="AC327" s="2" t="n"/>
      <c r="AD327" s="2" t="n"/>
      <c r="AE327" s="2" t="n"/>
      <c r="AF327" s="2" t="n"/>
      <c r="AG327" s="2" t="inlineStr">
        <is>
          <t>Not even started</t>
        </is>
      </c>
      <c r="AH327" s="2" t="inlineStr">
        <is>
          <t>Processing by GyanDhan</t>
        </is>
      </c>
      <c r="AI327" s="2" t="n"/>
      <c r="AJ327" s="2" t="n"/>
      <c r="AK327" s="2" t="inlineStr">
        <is>
          <t>Yes</t>
        </is>
      </c>
      <c r="AL327" s="2" t="inlineStr">
        <is>
          <t>Will start the process</t>
        </is>
      </c>
      <c r="AM327" s="2" t="n"/>
      <c r="AN327" s="2" t="n"/>
      <c r="AO327" s="2" t="n"/>
      <c r="AP327" s="2" t="n"/>
      <c r="AQ327" s="2" t="n"/>
    </row>
    <row r="328">
      <c r="A328" t="n">
        <v>327</v>
      </c>
      <c r="B328" s="2" t="inlineStr">
        <is>
          <t>luvkush</t>
        </is>
      </c>
      <c r="C328" s="3" t="n">
        <v>8882237905</v>
      </c>
      <c r="D328" s="2" t="inlineStr">
        <is>
          <t>PROV260702034</t>
        </is>
      </c>
      <c r="E328" s="2" t="inlineStr">
        <is>
          <t>SSAHE</t>
        </is>
      </c>
      <c r="F328" s="2" t="inlineStr">
        <is>
          <t>Yes</t>
        </is>
      </c>
      <c r="G328" s="2" t="inlineStr">
        <is>
          <t xml:space="preserve">Non Critical </t>
        </is>
      </c>
      <c r="H328" s="2" t="n">
        <v>0.25</v>
      </c>
      <c r="I328" s="2" t="inlineStr">
        <is>
          <t>20 lakh</t>
        </is>
      </c>
      <c r="J328" s="2" t="n">
        <v>58.8</v>
      </c>
      <c r="K328" s="2" t="inlineStr">
        <is>
          <t>Father</t>
        </is>
      </c>
      <c r="L328" s="2" t="inlineStr">
        <is>
          <t>self employed</t>
        </is>
      </c>
      <c r="M328" s="2" t="inlineStr">
        <is>
          <t>?</t>
        </is>
      </c>
      <c r="N328" s="2" t="inlineStr">
        <is>
          <t>ITR</t>
        </is>
      </c>
      <c r="O328" s="2" t="n">
        <v>750</v>
      </c>
      <c r="P328" s="2" t="inlineStr">
        <is>
          <t>YES</t>
        </is>
      </c>
      <c r="Q328" s="2" t="n"/>
      <c r="R328" s="2" t="n"/>
      <c r="S328" s="2" t="n"/>
      <c r="T328" s="2" t="inlineStr">
        <is>
          <t xml:space="preserve">18/7 : 25L, Brother picked the call, he is working as an MIS executive, Father's profession : Job ( tiles) , Annual Income : 3.2L, ITR filed : Will confirm by evening the income and other aspects
28/7 : They are waiting for the call from gyan dhan , have asked them again to call. 
29/7 : He got the call from gyan dhan , they have asked for his details and documents, student is sharing today. </t>
        </is>
      </c>
      <c r="U328" s="2" t="inlineStr">
        <is>
          <t>Yes</t>
        </is>
      </c>
      <c r="V328" s="2" t="n"/>
      <c r="W328" s="2" t="n"/>
      <c r="X328" s="2" t="n"/>
      <c r="Y328" s="2" t="n"/>
      <c r="Z328" s="2" t="n"/>
      <c r="AA328" s="2" t="inlineStr">
        <is>
          <t>Control</t>
        </is>
      </c>
      <c r="AB328" s="2" t="inlineStr">
        <is>
          <t>Control</t>
        </is>
      </c>
      <c r="AC328" s="2" t="n"/>
      <c r="AD328" s="2" t="n"/>
      <c r="AE328" s="2" t="n"/>
      <c r="AF328" s="2" t="n"/>
      <c r="AG328" s="2" t="inlineStr">
        <is>
          <t>Ongoing</t>
        </is>
      </c>
      <c r="AH328" s="2" t="inlineStr">
        <is>
          <t>Processing by GyanDhan</t>
        </is>
      </c>
      <c r="AI328" s="2" t="n"/>
      <c r="AJ328" s="2" t="n"/>
      <c r="AK328" s="2" t="n"/>
      <c r="AL328" s="2" t="n"/>
      <c r="AM328" s="2" t="n"/>
      <c r="AN328" s="2" t="n"/>
      <c r="AO328" s="2" t="n"/>
      <c r="AP328" s="2" t="n"/>
      <c r="AQ328" s="2" t="n"/>
    </row>
    <row r="329">
      <c r="A329" t="n">
        <v>328</v>
      </c>
      <c r="B329" s="2" t="inlineStr">
        <is>
          <t>ANUGRAH RASTOGI</t>
        </is>
      </c>
      <c r="C329" s="3" t="n">
        <v>8808412325</v>
      </c>
      <c r="D329" s="2" t="inlineStr">
        <is>
          <t>PROV260608023</t>
        </is>
      </c>
      <c r="E329" s="2" t="inlineStr">
        <is>
          <t>SSAHE</t>
        </is>
      </c>
      <c r="F329" s="2" t="inlineStr">
        <is>
          <t>Yes</t>
        </is>
      </c>
      <c r="G329" s="2" t="inlineStr">
        <is>
          <t xml:space="preserve">Non Critical </t>
        </is>
      </c>
      <c r="H329" s="2" t="n">
        <v>10</v>
      </c>
      <c r="I329" s="2" t="inlineStr">
        <is>
          <t>25 lakh</t>
        </is>
      </c>
      <c r="J329" s="2" t="n">
        <v>67</v>
      </c>
      <c r="K329" s="2" t="inlineStr">
        <is>
          <t>Father</t>
        </is>
      </c>
      <c r="L329" s="2" t="inlineStr">
        <is>
          <t>business</t>
        </is>
      </c>
      <c r="M329" s="2" t="inlineStr">
        <is>
          <t>6 lakh</t>
        </is>
      </c>
      <c r="N329" s="2" t="inlineStr">
        <is>
          <t>ITR</t>
        </is>
      </c>
      <c r="O329" s="2" t="inlineStr">
        <is>
          <t>no</t>
        </is>
      </c>
      <c r="P329" s="2" t="inlineStr">
        <is>
          <t>na</t>
        </is>
      </c>
      <c r="Q329" s="2" t="inlineStr">
        <is>
          <t>home</t>
        </is>
      </c>
      <c r="R329" s="2" t="n"/>
      <c r="S329" s="2" t="inlineStr">
        <is>
          <t>9336780714 father number</t>
        </is>
      </c>
      <c r="T329" s="2" t="inlineStr">
        <is>
          <t>18/7 : Switched off
18/7 : 25, business father ( distribution ), annual income : 6L , ITR filed : Yes
Father : 9336780714
24/7 : Student has submitted all the documents to gyandhan , waiting for the response
28/7 : Crediila through gyan dhan</t>
        </is>
      </c>
      <c r="U329" s="2" t="inlineStr">
        <is>
          <t>Yes</t>
        </is>
      </c>
      <c r="V329" s="2" t="inlineStr">
        <is>
          <t>No</t>
        </is>
      </c>
      <c r="W329" s="2" t="inlineStr">
        <is>
          <t>No</t>
        </is>
      </c>
      <c r="X329" s="2" t="inlineStr">
        <is>
          <t>No</t>
        </is>
      </c>
      <c r="Y329" s="2" t="inlineStr">
        <is>
          <t>No</t>
        </is>
      </c>
      <c r="Z329" s="2" t="inlineStr">
        <is>
          <t>yes</t>
        </is>
      </c>
      <c r="AA329" s="2" t="inlineStr">
        <is>
          <t>Control</t>
        </is>
      </c>
      <c r="AB329" s="2" t="inlineStr">
        <is>
          <t>Control</t>
        </is>
      </c>
      <c r="AC329" s="2" t="n"/>
      <c r="AD329" s="2" t="n"/>
      <c r="AE329" s="2" t="n"/>
      <c r="AF329" s="2" t="n"/>
      <c r="AG329" s="2" t="inlineStr">
        <is>
          <t>Loan Proccessed/Accepted</t>
        </is>
      </c>
      <c r="AH329" s="2" t="inlineStr">
        <is>
          <t>Loan sanctioned by gyan dhan</t>
        </is>
      </c>
      <c r="AI329" s="2" t="n"/>
      <c r="AJ329" s="2" t="n"/>
      <c r="AK329" s="2" t="n"/>
      <c r="AL329" s="2" t="n"/>
      <c r="AM329" s="2" t="n"/>
      <c r="AN329" s="2" t="n"/>
      <c r="AO329" s="2" t="n"/>
      <c r="AP329" s="2" t="n"/>
      <c r="AQ329" s="2" t="n"/>
    </row>
    <row r="330">
      <c r="A330" t="n">
        <v>329</v>
      </c>
      <c r="B330" s="2" t="inlineStr">
        <is>
          <t>Kamal Kumar</t>
        </is>
      </c>
      <c r="C330" s="3" t="inlineStr">
        <is>
          <t xml:space="preserve">9958410843 / 9555232133 </t>
        </is>
      </c>
      <c r="D330" s="2" t="inlineStr">
        <is>
          <t>PROV260703692</t>
        </is>
      </c>
      <c r="E330" s="2" t="inlineStr">
        <is>
          <t>SSAHE</t>
        </is>
      </c>
      <c r="F330" s="2" t="inlineStr">
        <is>
          <t>Yes</t>
        </is>
      </c>
      <c r="G330" s="2" t="inlineStr">
        <is>
          <t xml:space="preserve">Critical </t>
        </is>
      </c>
      <c r="H330" s="2" t="n">
        <v>25</v>
      </c>
      <c r="I330" s="2" t="n">
        <v>20</v>
      </c>
      <c r="J330" s="2" t="n"/>
      <c r="K330" s="2" t="inlineStr">
        <is>
          <t>Father</t>
        </is>
      </c>
      <c r="L330" s="2" t="inlineStr">
        <is>
          <t>Salaried</t>
        </is>
      </c>
      <c r="M330" s="2" t="n">
        <v>4</v>
      </c>
      <c r="N330" s="2" t="n"/>
      <c r="O330" s="2" t="n"/>
      <c r="P330" s="2" t="n"/>
      <c r="Q330" s="2" t="n"/>
      <c r="R330" s="2" t="n"/>
      <c r="S330" s="2" t="n"/>
      <c r="T330" s="2" t="inlineStr">
        <is>
          <t>18/7 : DNP
co app - 16,500 income 3500 emi
salaried
no other co app
20,00,000 requirement 
NOT DOABLE 
27/7 : Telling them to move with PM vidyalakshmi , they are applying for non collateral loan of 7.5L.  They have the collateral as well. telling the SST team to reach them</t>
        </is>
      </c>
      <c r="U330" s="2" t="inlineStr">
        <is>
          <t>Yes</t>
        </is>
      </c>
      <c r="V330" s="2" t="inlineStr">
        <is>
          <t>No</t>
        </is>
      </c>
      <c r="W330" s="2" t="inlineStr">
        <is>
          <t>No</t>
        </is>
      </c>
      <c r="X330" s="2" t="inlineStr">
        <is>
          <t>No</t>
        </is>
      </c>
      <c r="Y330" s="2" t="inlineStr">
        <is>
          <t>No</t>
        </is>
      </c>
      <c r="Z330" s="2" t="inlineStr">
        <is>
          <t>No</t>
        </is>
      </c>
      <c r="AA330" s="2" t="inlineStr">
        <is>
          <t>Risk</t>
        </is>
      </c>
      <c r="AB330" s="2" t="inlineStr">
        <is>
          <t>Risk</t>
        </is>
      </c>
      <c r="AC330" s="2" t="n"/>
      <c r="AD330" s="2" t="n"/>
      <c r="AE330" s="2" t="n"/>
      <c r="AF330" s="2" t="n"/>
      <c r="AG330" s="2" t="inlineStr">
        <is>
          <t>Ongoing</t>
        </is>
      </c>
      <c r="AH330" s="2" t="inlineStr">
        <is>
          <t>Not eligbile for any loan, Processing by PM vidyalakshmi</t>
        </is>
      </c>
      <c r="AI330" s="2" t="inlineStr">
        <is>
          <t>Yes</t>
        </is>
      </c>
      <c r="AJ330" s="2" t="inlineStr">
        <is>
          <t>Yes</t>
        </is>
      </c>
      <c r="AK330" s="2" t="n"/>
      <c r="AL330" s="2" t="n"/>
      <c r="AM330" s="2" t="n"/>
      <c r="AN330" s="2" t="n"/>
      <c r="AO330" s="2" t="n"/>
      <c r="AP330" s="2" t="n"/>
      <c r="AQ330" s="2" t="n"/>
    </row>
    <row r="331">
      <c r="A331" t="n">
        <v>330</v>
      </c>
      <c r="B331" s="2" t="inlineStr">
        <is>
          <t>Satyam kumar</t>
        </is>
      </c>
      <c r="C331" s="3" t="n">
        <v>9905532433</v>
      </c>
      <c r="D331" s="2" t="inlineStr">
        <is>
          <t>PROV260501074</t>
        </is>
      </c>
      <c r="E331" s="2" t="inlineStr">
        <is>
          <t>SSHAE</t>
        </is>
      </c>
      <c r="F331" s="2" t="inlineStr">
        <is>
          <t>Yes</t>
        </is>
      </c>
      <c r="G331" s="2" t="inlineStr">
        <is>
          <t xml:space="preserve">Non Critical </t>
        </is>
      </c>
      <c r="H331" s="2" t="n">
        <v>40</v>
      </c>
      <c r="I331" s="2" t="inlineStr">
        <is>
          <t>15 lakh</t>
        </is>
      </c>
      <c r="J331" s="2" t="n">
        <v>78</v>
      </c>
      <c r="K331" s="2" t="inlineStr">
        <is>
          <t>Mother</t>
        </is>
      </c>
      <c r="L331" s="2" t="n"/>
      <c r="M331" s="2" t="n"/>
      <c r="N331" s="2" t="n"/>
      <c r="O331" s="2" t="n"/>
      <c r="P331" s="2" t="n"/>
      <c r="Q331" s="2" t="n"/>
      <c r="R331" s="2" t="n"/>
      <c r="S331" s="2" t="inlineStr">
        <is>
          <t>next year but wants to talk</t>
        </is>
      </c>
      <c r="T331" s="2" t="inlineStr">
        <is>
          <t>- 18/7 : Student doesnt want the loan in the first year, second year he will take the loan</t>
        </is>
      </c>
      <c r="U331" s="2" t="inlineStr">
        <is>
          <t>No</t>
        </is>
      </c>
      <c r="V331" s="2" t="n"/>
      <c r="W331" s="2" t="n"/>
      <c r="X331" s="2" t="n"/>
      <c r="Y331" s="2" t="n"/>
      <c r="Z331" s="2" t="n"/>
      <c r="AA331" s="2" t="inlineStr">
        <is>
          <t>Not required</t>
        </is>
      </c>
      <c r="AB331" s="2" t="inlineStr">
        <is>
          <t>Not required</t>
        </is>
      </c>
      <c r="AC331" s="2" t="n"/>
      <c r="AD331" s="2" t="n"/>
      <c r="AE331" s="2" t="n"/>
      <c r="AF331" s="2" t="n"/>
      <c r="AG331" s="2" t="inlineStr">
        <is>
          <t>Not required</t>
        </is>
      </c>
      <c r="AH331" s="2" t="n"/>
      <c r="AI331" s="2" t="n"/>
      <c r="AJ331" s="2" t="n"/>
      <c r="AK331" s="2" t="n"/>
      <c r="AL331" s="2" t="n"/>
      <c r="AM331" s="2" t="n"/>
      <c r="AN331" s="2" t="n"/>
      <c r="AO331" s="2" t="n"/>
      <c r="AP331" s="2" t="n"/>
      <c r="AQ331" s="2" t="n"/>
    </row>
    <row r="332">
      <c r="A332" t="n">
        <v>331</v>
      </c>
      <c r="B332" s="2" t="inlineStr">
        <is>
          <t>Shalini Tripathi</t>
        </is>
      </c>
      <c r="C332" s="3" t="n">
        <v>7355984801</v>
      </c>
      <c r="D332" s="2" t="inlineStr">
        <is>
          <t>PROV260606977</t>
        </is>
      </c>
      <c r="E332" s="2" t="inlineStr">
        <is>
          <t>SSHAE</t>
        </is>
      </c>
      <c r="F332" s="2" t="inlineStr">
        <is>
          <t>Yes</t>
        </is>
      </c>
      <c r="G332" s="2" t="inlineStr">
        <is>
          <t xml:space="preserve">Non Critical </t>
        </is>
      </c>
      <c r="H332" s="2" t="n">
        <v>10</v>
      </c>
      <c r="I332" s="2" t="inlineStr">
        <is>
          <t>20LAKH</t>
        </is>
      </c>
      <c r="J332" s="2" t="n">
        <v>77</v>
      </c>
      <c r="K332" s="2" t="inlineStr">
        <is>
          <t>Father</t>
        </is>
      </c>
      <c r="L332" s="2" t="inlineStr">
        <is>
          <t>Ayurevedic Doctor</t>
        </is>
      </c>
      <c r="M332" s="2" t="inlineStr">
        <is>
          <t>5-6 lakh</t>
        </is>
      </c>
      <c r="N332" s="2" t="inlineStr">
        <is>
          <t>ITR</t>
        </is>
      </c>
      <c r="O332" s="2" t="inlineStr">
        <is>
          <t>YES</t>
        </is>
      </c>
      <c r="P332" s="2" t="inlineStr">
        <is>
          <t>NA</t>
        </is>
      </c>
      <c r="Q332" s="2" t="inlineStr">
        <is>
          <t>NO</t>
        </is>
      </c>
      <c r="R332" s="2" t="inlineStr">
        <is>
          <t>NO</t>
        </is>
      </c>
      <c r="S332" s="2" t="n"/>
      <c r="T332" s="2" t="inlineStr">
        <is>
          <t xml:space="preserve">18/7 - Not reachable, tried twice, gave it to sst team. 
22/7 : 20 L, father's proff : Ayurvedic Doctor, Annual Income : 6L, ITR Filed.  </t>
        </is>
      </c>
      <c r="U332" s="2" t="inlineStr">
        <is>
          <t>Yes</t>
        </is>
      </c>
      <c r="V332" s="2" t="inlineStr">
        <is>
          <t>Yes</t>
        </is>
      </c>
      <c r="W332" s="2" t="inlineStr">
        <is>
          <t>No</t>
        </is>
      </c>
      <c r="X332" s="2" t="inlineStr">
        <is>
          <t>No</t>
        </is>
      </c>
      <c r="Y332" s="2" t="inlineStr">
        <is>
          <t>No</t>
        </is>
      </c>
      <c r="Z332" s="2" t="inlineStr">
        <is>
          <t>yes</t>
        </is>
      </c>
      <c r="AA332" s="2" t="inlineStr">
        <is>
          <t>Control</t>
        </is>
      </c>
      <c r="AB332" s="2" t="inlineStr">
        <is>
          <t>Control</t>
        </is>
      </c>
      <c r="AC332" s="2" t="n"/>
      <c r="AD332" s="2" t="n"/>
      <c r="AE332" s="2" t="n"/>
      <c r="AF332" s="2" t="n"/>
      <c r="AG332" s="2" t="inlineStr">
        <is>
          <t>Not even started</t>
        </is>
      </c>
      <c r="AH332" s="2" t="n"/>
      <c r="AI332" s="2" t="n"/>
      <c r="AJ332" s="2" t="n"/>
      <c r="AK332" s="2" t="n"/>
      <c r="AL332" s="2" t="inlineStr">
        <is>
          <t>DNP</t>
        </is>
      </c>
      <c r="AM332" s="2" t="n"/>
      <c r="AN332" s="2" t="n"/>
      <c r="AO332" s="2" t="n"/>
      <c r="AP332" s="2" t="n"/>
      <c r="AQ332" s="2" t="n"/>
    </row>
    <row r="333">
      <c r="A333" t="n">
        <v>332</v>
      </c>
      <c r="B333" s="2" t="inlineStr">
        <is>
          <t>Palash Prabhakar Paripelli</t>
        </is>
      </c>
      <c r="C333" s="3" t="n">
        <v>9373378054</v>
      </c>
      <c r="D333" s="2" t="inlineStr">
        <is>
          <t>PROV260614183</t>
        </is>
      </c>
      <c r="E333" s="2" t="inlineStr">
        <is>
          <t>ADYPU</t>
        </is>
      </c>
      <c r="F333" s="2" t="inlineStr">
        <is>
          <t>Drop</t>
        </is>
      </c>
      <c r="G333" s="2" t="inlineStr">
        <is>
          <t>Loan not required</t>
        </is>
      </c>
      <c r="H333" s="2" t="n"/>
      <c r="I333" s="2" t="n"/>
      <c r="J333" s="2" t="n"/>
      <c r="K333" s="2" t="n"/>
      <c r="L333" s="2" t="n"/>
      <c r="M333" s="2" t="n"/>
      <c r="N333" s="2" t="n"/>
      <c r="O333" s="2" t="n"/>
      <c r="P333" s="2" t="n"/>
      <c r="Q333" s="2" t="n"/>
      <c r="R333" s="2" t="n"/>
      <c r="S333" s="2" t="n"/>
      <c r="T333" s="2" t="inlineStr">
        <is>
          <t>18/7 : was speaking to someone else, tried twice. Doesnt require loan, they'll be self funding it</t>
        </is>
      </c>
      <c r="U333" s="2" t="inlineStr">
        <is>
          <t>Refund</t>
        </is>
      </c>
      <c r="V333" s="2" t="n"/>
      <c r="W333" s="2" t="n"/>
      <c r="X333" s="2" t="n"/>
      <c r="Y333" s="2" t="n"/>
      <c r="Z333" s="2" t="n"/>
      <c r="AA333" s="2" t="inlineStr">
        <is>
          <t>Refund case</t>
        </is>
      </c>
      <c r="AB333" s="2" t="inlineStr">
        <is>
          <t>Refund case</t>
        </is>
      </c>
      <c r="AC333" s="2" t="n"/>
      <c r="AD333" s="2" t="n"/>
      <c r="AE333" s="2" t="n"/>
      <c r="AF333" s="2" t="n"/>
      <c r="AG333" s="2" t="n"/>
      <c r="AH333" s="2" t="n"/>
      <c r="AI333" s="2" t="n"/>
      <c r="AJ333" s="2" t="n"/>
      <c r="AK333" s="2" t="n"/>
      <c r="AL333" s="2" t="n"/>
      <c r="AM333" s="2" t="n"/>
      <c r="AN333" s="2" t="n"/>
      <c r="AO333" s="2" t="n"/>
      <c r="AP333" s="2" t="n"/>
      <c r="AQ333" s="2" t="n"/>
    </row>
    <row r="334">
      <c r="A334" t="n">
        <v>333</v>
      </c>
      <c r="B334" s="2" t="inlineStr">
        <is>
          <t>Prakhar Srivastava</t>
        </is>
      </c>
      <c r="C334" s="3" t="n">
        <v>7000689129</v>
      </c>
      <c r="D334" s="2" t="inlineStr">
        <is>
          <t>PROV260701543</t>
        </is>
      </c>
      <c r="E334" s="2" t="inlineStr">
        <is>
          <t>ADYPU</t>
        </is>
      </c>
      <c r="F334" s="2" t="inlineStr">
        <is>
          <t>Yes</t>
        </is>
      </c>
      <c r="G334" s="2" t="inlineStr">
        <is>
          <t xml:space="preserve">Non Critical </t>
        </is>
      </c>
      <c r="H334" s="2" t="n"/>
      <c r="I334" s="2" t="n"/>
      <c r="J334" s="2" t="n"/>
      <c r="K334" s="2" t="n"/>
      <c r="L334" s="2" t="n"/>
      <c r="M334" s="2" t="n"/>
      <c r="N334" s="2" t="n"/>
      <c r="O334" s="2" t="n"/>
      <c r="P334" s="2" t="n"/>
      <c r="Q334" s="2" t="n"/>
      <c r="R334" s="2" t="n"/>
      <c r="S334" s="2" t="n"/>
      <c r="T334" s="2" t="inlineStr">
        <is>
          <t xml:space="preserve">18'7 - DNP
20/7: DNP
27/7 : Loan req : 20L, Co applicant : Father , Business ( construction ), ITR filed : 6L, Annual Income : 6L. Father explored all the options , he mentioned he would pay the first year by himself and next year they would go for the loan. </t>
        </is>
      </c>
      <c r="U334" s="2" t="inlineStr">
        <is>
          <t>No</t>
        </is>
      </c>
      <c r="V334" s="2" t="inlineStr">
        <is>
          <t>No</t>
        </is>
      </c>
      <c r="W334" s="2" t="inlineStr">
        <is>
          <t>No</t>
        </is>
      </c>
      <c r="X334" s="2" t="inlineStr">
        <is>
          <t>No</t>
        </is>
      </c>
      <c r="Y334" s="2" t="inlineStr">
        <is>
          <t>No</t>
        </is>
      </c>
      <c r="Z334" s="2" t="inlineStr">
        <is>
          <t>No</t>
        </is>
      </c>
      <c r="AA334" s="2" t="inlineStr">
        <is>
          <t>Not required</t>
        </is>
      </c>
      <c r="AB334" s="2" t="inlineStr">
        <is>
          <t>Not required</t>
        </is>
      </c>
      <c r="AC334" s="2" t="n"/>
      <c r="AD334" s="2" t="n"/>
      <c r="AE334" s="2" t="n"/>
      <c r="AF334" s="2" t="n"/>
      <c r="AG334" s="2" t="inlineStr">
        <is>
          <t>Not required</t>
        </is>
      </c>
      <c r="AH334" s="2" t="n"/>
      <c r="AI334" s="2" t="n"/>
      <c r="AJ334" s="2" t="n"/>
      <c r="AK334" s="2" t="n"/>
      <c r="AL334" s="2" t="n"/>
      <c r="AM334" s="2" t="n"/>
      <c r="AN334" s="2" t="n"/>
      <c r="AO334" s="2" t="n"/>
      <c r="AP334" s="2" t="n"/>
      <c r="AQ334" s="2" t="n"/>
    </row>
    <row r="335">
      <c r="A335" t="n">
        <v>334</v>
      </c>
      <c r="B335" s="2" t="inlineStr">
        <is>
          <t>Kritagya Gour</t>
        </is>
      </c>
      <c r="C335" s="3" t="n">
        <v>9982623011</v>
      </c>
      <c r="D335" s="2" t="inlineStr">
        <is>
          <t>PROV260501256</t>
        </is>
      </c>
      <c r="E335" s="2" t="inlineStr">
        <is>
          <t>ADYPU</t>
        </is>
      </c>
      <c r="F335" s="2" t="inlineStr">
        <is>
          <t>Yes</t>
        </is>
      </c>
      <c r="G335" s="2" t="inlineStr">
        <is>
          <t xml:space="preserve">Non Critical </t>
        </is>
      </c>
      <c r="H335" s="2" t="n"/>
      <c r="I335" s="2" t="n"/>
      <c r="J335" s="2" t="n"/>
      <c r="K335" s="2" t="n"/>
      <c r="L335" s="2" t="n"/>
      <c r="M335" s="2" t="n"/>
      <c r="N335" s="2" t="n"/>
      <c r="O335" s="2" t="n"/>
      <c r="P335" s="2" t="n"/>
      <c r="Q335" s="2" t="n"/>
      <c r="R335" s="2" t="n"/>
      <c r="S335" s="2" t="n"/>
      <c r="T335" s="2" t="inlineStr">
        <is>
          <t xml:space="preserve">- 18/7 : loan required : 16L, father's profession : Textile job , Position : Head, Annual Income : 8L, ITR filed : no 
- 28/7 : DNP , student called back , student hasn't started loan process as he has not received the POL with updated scholarship of 25%,.current scholarship 5%. Student is collecting all the documents , have checked on updated POL on group with vijitha. </t>
        </is>
      </c>
      <c r="U335" s="2" t="inlineStr">
        <is>
          <t>Yes</t>
        </is>
      </c>
      <c r="V335" s="2" t="n"/>
      <c r="W335" s="2" t="n"/>
      <c r="X335" s="2" t="n"/>
      <c r="Y335" s="2" t="n"/>
      <c r="Z335" s="2" t="inlineStr">
        <is>
          <t>Yes</t>
        </is>
      </c>
      <c r="AA335" s="2" t="inlineStr">
        <is>
          <t>Control</t>
        </is>
      </c>
      <c r="AB335" s="2" t="inlineStr">
        <is>
          <t>Control</t>
        </is>
      </c>
      <c r="AC335" s="2" t="n"/>
      <c r="AD335" s="2" t="n"/>
      <c r="AE335" s="2" t="n"/>
      <c r="AF335" s="2" t="n"/>
      <c r="AG335" s="2" t="inlineStr">
        <is>
          <t>Not even started</t>
        </is>
      </c>
      <c r="AH335" s="2" t="n"/>
      <c r="AI335" s="2" t="n"/>
      <c r="AJ335" s="2" t="n"/>
      <c r="AK335" s="2" t="n"/>
      <c r="AL335" s="2" t="inlineStr">
        <is>
          <t>Process will start now</t>
        </is>
      </c>
      <c r="AM335" s="2" t="n"/>
      <c r="AN335" s="2" t="n"/>
      <c r="AO335" s="2" t="n"/>
      <c r="AP335" s="2" t="n"/>
      <c r="AQ335" s="2" t="n"/>
    </row>
    <row r="336">
      <c r="A336" t="n">
        <v>335</v>
      </c>
      <c r="B336" s="2" t="inlineStr">
        <is>
          <t>tanmay kadam</t>
        </is>
      </c>
      <c r="C336" s="3" t="n">
        <v>9552535898</v>
      </c>
      <c r="D336" s="2" t="inlineStr">
        <is>
          <t>PROV260615647</t>
        </is>
      </c>
      <c r="E336" s="2" t="inlineStr">
        <is>
          <t>ADYPU</t>
        </is>
      </c>
      <c r="F336" s="2" t="inlineStr">
        <is>
          <t>Yes</t>
        </is>
      </c>
      <c r="G336" s="2" t="inlineStr">
        <is>
          <t xml:space="preserve">Non Critical </t>
        </is>
      </c>
      <c r="H336" s="2" t="inlineStr">
        <is>
          <t>17 for first year; 7.5 for next three</t>
        </is>
      </c>
      <c r="I336" s="2" t="inlineStr">
        <is>
          <t>20 lakhs</t>
        </is>
      </c>
      <c r="J336" s="2" t="n">
        <v>50.33</v>
      </c>
      <c r="K336" s="2" t="inlineStr">
        <is>
          <t>cousin</t>
        </is>
      </c>
      <c r="L336" s="2" t="inlineStr">
        <is>
          <t>Business</t>
        </is>
      </c>
      <c r="M336" s="2" t="inlineStr">
        <is>
          <t>3LPA</t>
        </is>
      </c>
      <c r="N336" s="2" t="inlineStr">
        <is>
          <t>ITR</t>
        </is>
      </c>
      <c r="O336" s="2" t="inlineStr">
        <is>
          <t>NO</t>
        </is>
      </c>
      <c r="P336" s="2" t="inlineStr">
        <is>
          <t>NA</t>
        </is>
      </c>
      <c r="Q336" s="2" t="inlineStr">
        <is>
          <t>Agricultural</t>
        </is>
      </c>
      <c r="R336" s="2" t="n"/>
      <c r="S336" s="2" t="inlineStr">
        <is>
          <t>have already spoken to Pranjal Sir</t>
        </is>
      </c>
      <c r="T336" s="2" t="inlineStr">
        <is>
          <t>- 18/7 : Had spoken to him before also, spoke to him today, he is putting co applicant as cousin brother || Loan required : 20 , COusin coapplicant cibil is low , ITR : has sent by the student , 8,64,460 , sent to gyan dhan
28/7 : Student has sent all the required documents to gyan dhan 
1/8 : cibil issue and the case got rejected from gyan dhan.  income : 70000/year , for collateral house has to be kept , have suggested to apply for collateral loan from pm vidyalakshmi</t>
        </is>
      </c>
      <c r="U336" s="2" t="inlineStr">
        <is>
          <t>Yes</t>
        </is>
      </c>
      <c r="V336" s="2" t="n"/>
      <c r="W336" s="2" t="n"/>
      <c r="X336" s="2" t="n"/>
      <c r="Y336" s="2" t="n"/>
      <c r="Z336" s="2" t="inlineStr">
        <is>
          <t>Yes</t>
        </is>
      </c>
      <c r="AA336" s="2" t="inlineStr">
        <is>
          <t>Risk</t>
        </is>
      </c>
      <c r="AB336" s="2" t="inlineStr">
        <is>
          <t>Risk</t>
        </is>
      </c>
      <c r="AC336" s="2" t="n"/>
      <c r="AD336" s="2" t="n"/>
      <c r="AE336" s="2" t="n"/>
      <c r="AF336" s="2" t="n"/>
      <c r="AG336" s="2" t="inlineStr">
        <is>
          <t>Ongoing</t>
        </is>
      </c>
      <c r="AH336" s="2" t="inlineStr">
        <is>
          <t>Processing by GyanDhan</t>
        </is>
      </c>
      <c r="AI336" s="2" t="n"/>
      <c r="AJ336" s="2" t="n"/>
      <c r="AK336" s="2" t="n"/>
      <c r="AL336" s="2" t="n"/>
      <c r="AM336" s="2" t="n"/>
      <c r="AN336" s="2" t="n"/>
      <c r="AO336" s="2" t="n"/>
      <c r="AP336" s="2" t="n"/>
      <c r="AQ336" s="2" t="n"/>
    </row>
    <row r="337">
      <c r="A337" t="n">
        <v>336</v>
      </c>
      <c r="B337" s="2" t="inlineStr">
        <is>
          <t>Bhagyesh Jitendra Rane</t>
        </is>
      </c>
      <c r="C337" s="3" t="n">
        <v>8208179435</v>
      </c>
      <c r="D337" s="2" t="inlineStr">
        <is>
          <t>PROV260702809</t>
        </is>
      </c>
      <c r="E337" s="2" t="inlineStr">
        <is>
          <t>ADYPU</t>
        </is>
      </c>
      <c r="F337" s="2" t="inlineStr">
        <is>
          <t>Yes</t>
        </is>
      </c>
      <c r="G337" s="2" t="inlineStr">
        <is>
          <t xml:space="preserve">Critical </t>
        </is>
      </c>
      <c r="H337" s="2" t="n"/>
      <c r="I337" s="2" t="n"/>
      <c r="J337" s="2" t="n"/>
      <c r="K337" s="2" t="n"/>
      <c r="L337" s="2" t="n"/>
      <c r="M337" s="2" t="n"/>
      <c r="N337" s="2" t="n"/>
      <c r="O337" s="2" t="n"/>
      <c r="P337" s="2" t="n"/>
      <c r="Q337" s="2" t="n"/>
      <c r="R337" s="2" t="n"/>
      <c r="S337" s="2" t="n"/>
      <c r="T337" s="2" t="inlineStr">
        <is>
          <t>- 18/7 : Amount required : Not sure, father's profession : Farmer , Annual Income : 95K,Low intent is not worried about the loan
29/7: Student not started cuase someone told him he will get loan in two days, also saw SBI on website ,have suggested to start working, sharing leads too</t>
        </is>
      </c>
      <c r="U337" s="2" t="inlineStr">
        <is>
          <t>Yes</t>
        </is>
      </c>
      <c r="V337" s="2" t="n"/>
      <c r="W337" s="2" t="n"/>
      <c r="X337" s="2" t="n"/>
      <c r="Y337" s="2" t="n"/>
      <c r="Z337" s="2" t="n"/>
      <c r="AA337" s="2" t="inlineStr">
        <is>
          <t>Risk</t>
        </is>
      </c>
      <c r="AB337" s="2" t="inlineStr">
        <is>
          <t>Risk</t>
        </is>
      </c>
      <c r="AC337" s="2" t="n"/>
      <c r="AD337" s="2" t="n"/>
      <c r="AE337" s="2" t="n"/>
      <c r="AF337" s="2" t="n"/>
      <c r="AG337" s="2" t="inlineStr">
        <is>
          <t>Not even started</t>
        </is>
      </c>
      <c r="AH337" s="2" t="n"/>
      <c r="AI337" s="2" t="n"/>
      <c r="AJ337" s="2" t="n"/>
      <c r="AK337" s="2" t="n"/>
      <c r="AL337" s="2" t="inlineStr">
        <is>
          <t>Process will start now</t>
        </is>
      </c>
      <c r="AM337" s="2" t="n"/>
      <c r="AN337" s="2" t="n"/>
      <c r="AO337" s="2" t="n"/>
      <c r="AP337" s="2" t="n"/>
      <c r="AQ337" s="2" t="n"/>
    </row>
    <row r="338">
      <c r="A338" t="n">
        <v>337</v>
      </c>
      <c r="B338" s="2" t="inlineStr">
        <is>
          <t>Naman yadav</t>
        </is>
      </c>
      <c r="C338" s="3" t="n">
        <v>7082096729</v>
      </c>
      <c r="D338" s="2" t="inlineStr">
        <is>
          <t>PROV260612714</t>
        </is>
      </c>
      <c r="E338" s="2" t="inlineStr">
        <is>
          <t>ADYPU</t>
        </is>
      </c>
      <c r="F338" s="2" t="inlineStr">
        <is>
          <t>Yes</t>
        </is>
      </c>
      <c r="G338" s="2" t="inlineStr">
        <is>
          <t xml:space="preserve">Critical </t>
        </is>
      </c>
      <c r="H338" s="2" t="n"/>
      <c r="I338" s="2" t="n"/>
      <c r="J338" s="2" t="n"/>
      <c r="K338" s="2" t="n"/>
      <c r="L338" s="2" t="n"/>
      <c r="M338" s="2" t="n"/>
      <c r="N338" s="2" t="n"/>
      <c r="O338" s="2" t="n"/>
      <c r="P338" s="2" t="n"/>
      <c r="Q338" s="2" t="n"/>
      <c r="R338" s="2" t="n"/>
      <c r="S338" s="2" t="n"/>
      <c r="T338" s="2" t="inlineStr">
        <is>
          <t>- 18/7 : Student hasn't chosen the college yet, not yet sure of anything , low intent</t>
        </is>
      </c>
      <c r="U338" s="2" t="inlineStr">
        <is>
          <t>Not sure</t>
        </is>
      </c>
      <c r="V338" s="2" t="n"/>
      <c r="W338" s="2" t="n"/>
      <c r="X338" s="2" t="n"/>
      <c r="Y338" s="2" t="n"/>
      <c r="Z338" s="2" t="n"/>
      <c r="AA338" s="2" t="inlineStr">
        <is>
          <t>Not Sure</t>
        </is>
      </c>
      <c r="AB338" s="2" t="inlineStr">
        <is>
          <t>Not Sure</t>
        </is>
      </c>
      <c r="AC338" s="2" t="n"/>
      <c r="AD338" s="2" t="n"/>
      <c r="AE338" s="2" t="n"/>
      <c r="AF338" s="2" t="n"/>
      <c r="AG338" s="2" t="n"/>
      <c r="AH338" s="2" t="n"/>
      <c r="AI338" s="2" t="n"/>
      <c r="AJ338" s="2" t="n"/>
      <c r="AK338" s="2" t="n"/>
      <c r="AL338" s="2" t="n"/>
      <c r="AM338" s="2" t="n"/>
      <c r="AN338" s="2" t="n"/>
      <c r="AO338" s="2" t="n"/>
      <c r="AP338" s="2" t="n"/>
      <c r="AQ338" s="2" t="n"/>
    </row>
    <row r="339">
      <c r="A339" t="n">
        <v>338</v>
      </c>
      <c r="B339" s="2" t="inlineStr">
        <is>
          <t>ANKIT RAJ</t>
        </is>
      </c>
      <c r="C339" s="3" t="n">
        <v>7484824508</v>
      </c>
      <c r="D339" s="2" t="inlineStr">
        <is>
          <t>PROV260612833</t>
        </is>
      </c>
      <c r="E339" s="2" t="inlineStr">
        <is>
          <t>SSHAE</t>
        </is>
      </c>
      <c r="F339" s="2" t="inlineStr">
        <is>
          <t>Yes</t>
        </is>
      </c>
      <c r="G339" s="2" t="inlineStr">
        <is>
          <t xml:space="preserve">Critical </t>
        </is>
      </c>
      <c r="H339" s="2" t="n">
        <v>18</v>
      </c>
      <c r="I339" s="2" t="n"/>
      <c r="J339" s="2" t="n">
        <v>58.4</v>
      </c>
      <c r="K339" s="2" t="n"/>
      <c r="L339" s="2" t="n"/>
      <c r="M339" s="2" t="n"/>
      <c r="N339" s="2" t="n"/>
      <c r="O339" s="2" t="n"/>
      <c r="P339" s="2" t="n"/>
      <c r="Q339" s="2" t="n"/>
      <c r="R339" s="2" t="n"/>
      <c r="S339" s="2" t="inlineStr">
        <is>
          <t>FATHER</t>
        </is>
      </c>
      <c r="T339" s="2" t="inlineStr">
        <is>
          <t>24/7: Father says he was misguided about scholarship and is really furious, says no solution has been received for the problem, if problem not solved want refund</t>
        </is>
      </c>
      <c r="U339" s="2" t="inlineStr">
        <is>
          <t>Yes</t>
        </is>
      </c>
      <c r="V339" s="2" t="n"/>
      <c r="W339" s="2" t="n"/>
      <c r="X339" s="2" t="n"/>
      <c r="Y339" s="2" t="n"/>
      <c r="Z339" s="2" t="n"/>
      <c r="AA339" s="2" t="inlineStr">
        <is>
          <t>Risk</t>
        </is>
      </c>
      <c r="AB339" s="2" t="inlineStr">
        <is>
          <t>Risk</t>
        </is>
      </c>
      <c r="AC339" s="2" t="n"/>
      <c r="AD339" s="2" t="inlineStr">
        <is>
          <t>Father says he was misguided about scholarship and is really furious, says no solution has been received for the problem</t>
        </is>
      </c>
      <c r="AE339" s="2" t="n"/>
      <c r="AF339" s="2" t="n"/>
      <c r="AG339" s="2" t="inlineStr">
        <is>
          <t>Not even started</t>
        </is>
      </c>
      <c r="AH339" s="2" t="n"/>
      <c r="AI339" s="2" t="n"/>
      <c r="AJ339" s="2" t="n"/>
      <c r="AK339" s="2" t="n"/>
      <c r="AL339" s="2" t="n"/>
      <c r="AM339" s="2" t="n"/>
      <c r="AN339" s="2" t="n"/>
      <c r="AO339" s="2" t="n"/>
      <c r="AP339" s="2" t="n"/>
      <c r="AQ339" s="2" t="n"/>
    </row>
    <row r="340">
      <c r="A340" t="n">
        <v>339</v>
      </c>
      <c r="B340" s="2" t="inlineStr">
        <is>
          <t>Kishan Pratap Singh</t>
        </is>
      </c>
      <c r="C340" s="3" t="n">
        <v>9140059991</v>
      </c>
      <c r="D340" s="2" t="inlineStr">
        <is>
          <t>PROV260611025</t>
        </is>
      </c>
      <c r="E340" s="2" t="inlineStr">
        <is>
          <t>SSHAE</t>
        </is>
      </c>
      <c r="F340" s="2" t="inlineStr">
        <is>
          <t>Yes</t>
        </is>
      </c>
      <c r="G340" s="2" t="inlineStr">
        <is>
          <t xml:space="preserve">Non Critical </t>
        </is>
      </c>
      <c r="H340" s="2" t="n">
        <v>20</v>
      </c>
      <c r="I340" s="2" t="inlineStr">
        <is>
          <t>20 LAKH</t>
        </is>
      </c>
      <c r="J340" s="2" t="n">
        <v>80</v>
      </c>
      <c r="K340" s="2" t="inlineStr">
        <is>
          <t>Father</t>
        </is>
      </c>
      <c r="L340" s="2" t="inlineStr">
        <is>
          <t>GOVT TEACHER</t>
        </is>
      </c>
      <c r="M340" s="2" t="inlineStr">
        <is>
          <t>10 LAC</t>
        </is>
      </c>
      <c r="N340" s="2" t="inlineStr">
        <is>
          <t>Income Certificate</t>
        </is>
      </c>
      <c r="O340" s="2" t="n">
        <v>750</v>
      </c>
      <c r="P340" s="2" t="inlineStr">
        <is>
          <t xml:space="preserve">YES </t>
        </is>
      </c>
      <c r="Q340" s="2" t="inlineStr">
        <is>
          <t>WITHOUT</t>
        </is>
      </c>
      <c r="R340" s="2" t="n"/>
      <c r="S340" s="2" t="n"/>
      <c r="T340" s="2" t="inlineStr">
        <is>
          <t xml:space="preserve"> 21/7 : Co Applicant Father
Father Name Mr Jai Prakash Singh 
Father's Occupation Uttar Pradesh State Government Primary School Teacher 
Salary 10 LPA
ITR Yes , have shared it to ICICI, gyan dhan, PPL too .</t>
        </is>
      </c>
      <c r="U340" s="2" t="inlineStr">
        <is>
          <t>Yes</t>
        </is>
      </c>
      <c r="V340" s="2" t="inlineStr">
        <is>
          <t>Yes</t>
        </is>
      </c>
      <c r="W340" s="2" t="inlineStr">
        <is>
          <t>Yes</t>
        </is>
      </c>
      <c r="X340" s="2" t="inlineStr">
        <is>
          <t>No</t>
        </is>
      </c>
      <c r="Y340" s="2" t="inlineStr">
        <is>
          <t>NO</t>
        </is>
      </c>
      <c r="Z340" s="2" t="inlineStr">
        <is>
          <t>yes</t>
        </is>
      </c>
      <c r="AA340" s="2" t="inlineStr">
        <is>
          <t>Control</t>
        </is>
      </c>
      <c r="AB340" s="2" t="inlineStr">
        <is>
          <t>Control</t>
        </is>
      </c>
      <c r="AC340" s="2" t="n"/>
      <c r="AD340" s="2" t="n"/>
      <c r="AE340" s="2" t="n"/>
      <c r="AF340" s="2" t="n"/>
      <c r="AG340" s="2" t="inlineStr">
        <is>
          <t>Not even started</t>
        </is>
      </c>
      <c r="AH340" s="2" t="n"/>
      <c r="AI340" s="2" t="n"/>
      <c r="AJ340" s="2" t="n"/>
      <c r="AK340" s="2" t="n"/>
      <c r="AL340" s="2" t="inlineStr">
        <is>
          <t>Process will start now</t>
        </is>
      </c>
      <c r="AM340" s="2" t="n"/>
      <c r="AN340" s="2" t="n"/>
      <c r="AO340" s="2" t="n"/>
      <c r="AP340" s="2" t="n"/>
      <c r="AQ340" s="2" t="n"/>
    </row>
    <row r="341">
      <c r="A341" t="n">
        <v>340</v>
      </c>
      <c r="B341" s="2" t="inlineStr">
        <is>
          <t>Deepali</t>
        </is>
      </c>
      <c r="C341" s="3" t="n">
        <v>7879285792</v>
      </c>
      <c r="D341" s="2" t="inlineStr">
        <is>
          <t>PROV260616272</t>
        </is>
      </c>
      <c r="E341" s="2" t="inlineStr">
        <is>
          <t>SSHAE</t>
        </is>
      </c>
      <c r="F341" s="2" t="inlineStr">
        <is>
          <t>Yes</t>
        </is>
      </c>
      <c r="G341" s="2" t="inlineStr">
        <is>
          <t xml:space="preserve">Critical </t>
        </is>
      </c>
      <c r="H341" s="2" t="n">
        <v>20.5</v>
      </c>
      <c r="I341" s="2" t="inlineStr">
        <is>
          <t>23LAKH</t>
        </is>
      </c>
      <c r="J341" s="2" t="n">
        <v>61</v>
      </c>
      <c r="K341" s="2" t="inlineStr">
        <is>
          <t>Father</t>
        </is>
      </c>
      <c r="L341" s="2" t="inlineStr">
        <is>
          <t xml:space="preserve">PVT </t>
        </is>
      </c>
      <c r="M341" s="2" t="n">
        <v>80</v>
      </c>
      <c r="N341" s="2" t="inlineStr">
        <is>
          <t>Income Certificate</t>
        </is>
      </c>
      <c r="O341" s="2" t="inlineStr">
        <is>
          <t>NA</t>
        </is>
      </c>
      <c r="P341" s="2" t="inlineStr">
        <is>
          <t>NA</t>
        </is>
      </c>
      <c r="Q341" s="2" t="n"/>
      <c r="R341" s="2" t="n"/>
      <c r="S341" s="2" t="n"/>
      <c r="T341" s="2" t="inlineStr">
        <is>
          <t>21/7 : Loan req : 22L, Annual Income : 1L, Profession : Guard duty , ITR filed : No. 
9691344679
28/7 : Gyan dhan called them , but told her that her case won't be approved. She is going for collateral loan through SBI, through PM vidyalakshmi . 
Can move from Risk to control.</t>
        </is>
      </c>
      <c r="U341" s="2" t="inlineStr">
        <is>
          <t>Yes</t>
        </is>
      </c>
      <c r="V341" s="2" t="inlineStr">
        <is>
          <t>No</t>
        </is>
      </c>
      <c r="W341" s="2" t="inlineStr">
        <is>
          <t>No</t>
        </is>
      </c>
      <c r="X341" s="2" t="inlineStr">
        <is>
          <t>No</t>
        </is>
      </c>
      <c r="Y341" s="2" t="inlineStr">
        <is>
          <t>No</t>
        </is>
      </c>
      <c r="Z341" s="2" t="inlineStr">
        <is>
          <t>No</t>
        </is>
      </c>
      <c r="AA341" s="2" t="inlineStr">
        <is>
          <t>Risk</t>
        </is>
      </c>
      <c r="AB341" s="2" t="inlineStr">
        <is>
          <t>Risk</t>
        </is>
      </c>
      <c r="AC341" s="2" t="n"/>
      <c r="AD341" s="2" t="n"/>
      <c r="AE341" s="2" t="n"/>
      <c r="AF341" s="2" t="n"/>
      <c r="AG341" s="2" t="inlineStr">
        <is>
          <t>Not even started</t>
        </is>
      </c>
      <c r="AH341" s="2" t="inlineStr">
        <is>
          <t>Not eligbile for any loan</t>
        </is>
      </c>
      <c r="AI341" s="2" t="inlineStr">
        <is>
          <t>Yes</t>
        </is>
      </c>
      <c r="AJ341" s="2" t="inlineStr">
        <is>
          <t>Yes</t>
        </is>
      </c>
      <c r="AK341" s="2" t="n"/>
      <c r="AL341" s="2" t="inlineStr">
        <is>
          <t>Low eligibilty</t>
        </is>
      </c>
      <c r="AM341" s="2" t="n"/>
      <c r="AN341" s="2" t="n"/>
      <c r="AO341" s="2" t="n"/>
      <c r="AP341" s="2" t="n"/>
      <c r="AQ341" s="2" t="n"/>
    </row>
    <row r="342">
      <c r="A342" t="n">
        <v>341</v>
      </c>
      <c r="B342" s="2" t="inlineStr">
        <is>
          <t>PODUGU SAI krishna</t>
        </is>
      </c>
      <c r="C342" s="3" t="n">
        <v>7816079716</v>
      </c>
      <c r="D342" s="2" t="inlineStr">
        <is>
          <t>PROV260703101</t>
        </is>
      </c>
      <c r="E342" s="2" t="inlineStr">
        <is>
          <t>SSAHE</t>
        </is>
      </c>
      <c r="F342" s="2" t="inlineStr">
        <is>
          <t>Yes</t>
        </is>
      </c>
      <c r="G342" s="2" t="inlineStr">
        <is>
          <t xml:space="preserve">Critical </t>
        </is>
      </c>
      <c r="H342" s="2" t="n"/>
      <c r="I342" s="2" t="inlineStr">
        <is>
          <t>25 LAKH</t>
        </is>
      </c>
      <c r="J342" s="2" t="n">
        <v>98</v>
      </c>
      <c r="K342" s="2" t="inlineStr">
        <is>
          <t>Father, Mother</t>
        </is>
      </c>
      <c r="L342" s="2" t="inlineStr">
        <is>
          <t>BUSINESSMAN/ BUSINESS WOMEN</t>
        </is>
      </c>
      <c r="M342" s="2" t="inlineStr">
        <is>
          <t>8-9 LAKHS</t>
        </is>
      </c>
      <c r="N342" s="2" t="inlineStr">
        <is>
          <t>NA RETAIL BUSINESS</t>
        </is>
      </c>
      <c r="O342" s="2" t="inlineStr">
        <is>
          <t>NO</t>
        </is>
      </c>
      <c r="P342" s="2" t="n">
        <v>780</v>
      </c>
      <c r="Q342" s="2" t="inlineStr">
        <is>
          <t>WITHOUT</t>
        </is>
      </c>
      <c r="R342" s="2" t="n"/>
      <c r="S342" s="2" t="inlineStr">
        <is>
          <t>WANTS LOAN, BUT NO ONE CONTACTED.</t>
        </is>
      </c>
      <c r="T342" s="2" t="inlineStr">
        <is>
          <t xml:space="preserve">21/7 : 25L, Father : Business || Annual Income : 8-10 L, ITR filed : Will get filed 
, father has to talk to get the call from gyandhan , ICICI. Call after 5 days as student is in Poori. </t>
        </is>
      </c>
      <c r="U342" s="2" t="inlineStr">
        <is>
          <t>Yes</t>
        </is>
      </c>
      <c r="V342" s="2" t="inlineStr">
        <is>
          <t>Yes</t>
        </is>
      </c>
      <c r="W342" s="2" t="inlineStr">
        <is>
          <t>Yes</t>
        </is>
      </c>
      <c r="X342" s="2" t="inlineStr">
        <is>
          <t>No</t>
        </is>
      </c>
      <c r="Y342" s="2" t="inlineStr">
        <is>
          <t>NO</t>
        </is>
      </c>
      <c r="Z342" s="2" t="inlineStr">
        <is>
          <t>yes</t>
        </is>
      </c>
      <c r="AA342" s="2" t="inlineStr">
        <is>
          <t>Control</t>
        </is>
      </c>
      <c r="AB342" s="2" t="inlineStr">
        <is>
          <t>Control</t>
        </is>
      </c>
      <c r="AC342" s="2" t="n"/>
      <c r="AD342" s="2" t="n"/>
      <c r="AE342" s="2" t="n"/>
      <c r="AF342" s="2" t="n"/>
      <c r="AG342" s="2" t="inlineStr">
        <is>
          <t>Not even started</t>
        </is>
      </c>
      <c r="AH342" s="2" t="n"/>
      <c r="AI342" s="2" t="n"/>
      <c r="AJ342" s="2" t="n"/>
      <c r="AK342" s="2" t="n"/>
      <c r="AL342" s="2" t="inlineStr">
        <is>
          <t>Process will start now</t>
        </is>
      </c>
      <c r="AM342" s="2" t="n"/>
      <c r="AN342" s="2" t="n"/>
      <c r="AO342" s="2" t="n"/>
      <c r="AP342" s="2" t="n"/>
      <c r="AQ342" s="2" t="n"/>
    </row>
    <row r="343">
      <c r="A343" t="n">
        <v>342</v>
      </c>
      <c r="B343" s="2" t="inlineStr">
        <is>
          <t>Kanchan Chadar</t>
        </is>
      </c>
      <c r="C343" s="3" t="n">
        <v>9303785839</v>
      </c>
      <c r="D343" s="2" t="inlineStr">
        <is>
          <t>PROV260503289</t>
        </is>
      </c>
      <c r="E343" s="2" t="inlineStr">
        <is>
          <t>SSHAE</t>
        </is>
      </c>
      <c r="F343" s="2" t="inlineStr">
        <is>
          <t>Yes</t>
        </is>
      </c>
      <c r="G343" s="2" t="inlineStr">
        <is>
          <t xml:space="preserve">Critical </t>
        </is>
      </c>
      <c r="H343" s="2" t="n">
        <v>30</v>
      </c>
      <c r="I343" s="2" t="inlineStr">
        <is>
          <t>25LAKH</t>
        </is>
      </c>
      <c r="J343" s="2" t="n">
        <v>78</v>
      </c>
      <c r="K343" s="2" t="inlineStr">
        <is>
          <t>Father</t>
        </is>
      </c>
      <c r="L343" s="2" t="inlineStr">
        <is>
          <t>FARMER</t>
        </is>
      </c>
      <c r="M343" s="2" t="inlineStr">
        <is>
          <t>1 LAKH</t>
        </is>
      </c>
      <c r="N343" s="2" t="inlineStr">
        <is>
          <t>Income Certificate</t>
        </is>
      </c>
      <c r="O343" s="2" t="inlineStr">
        <is>
          <t>NA</t>
        </is>
      </c>
      <c r="P343" s="2" t="inlineStr">
        <is>
          <t>NA</t>
        </is>
      </c>
      <c r="Q343" s="2" t="inlineStr">
        <is>
          <t>NA</t>
        </is>
      </c>
      <c r="R343" s="2" t="n"/>
      <c r="S343" s="2" t="n"/>
      <c r="T343" s="2" t="inlineStr">
        <is>
          <t>21/7 :Name:- Kanchan Chadar
Email ID: -kanchanathya04@gmail.com
Application ID:- PROV260503289
Father's Name:- Chhaviram Chadar
Father's Annual Income:- ₹1,00,000
Mobile no. - 9303785839
1/8 : Collateral not possible, PM vidyalakshmi yet haven't r</t>
        </is>
      </c>
      <c r="U343" s="2" t="inlineStr">
        <is>
          <t>Yes</t>
        </is>
      </c>
      <c r="V343" s="2" t="inlineStr">
        <is>
          <t>No</t>
        </is>
      </c>
      <c r="W343" s="2" t="inlineStr">
        <is>
          <t>No</t>
        </is>
      </c>
      <c r="X343" s="2" t="inlineStr">
        <is>
          <t>No</t>
        </is>
      </c>
      <c r="Y343" s="2" t="inlineStr">
        <is>
          <t>No</t>
        </is>
      </c>
      <c r="Z343" s="2" t="inlineStr">
        <is>
          <t>YEs</t>
        </is>
      </c>
      <c r="AA343" s="2" t="inlineStr">
        <is>
          <t>Risk</t>
        </is>
      </c>
      <c r="AB343" s="2" t="inlineStr">
        <is>
          <t>Risk</t>
        </is>
      </c>
      <c r="AC343" s="2" t="n"/>
      <c r="AD343" s="2" t="n"/>
      <c r="AE343" s="2" t="n"/>
      <c r="AF343" s="2" t="n"/>
      <c r="AG343" s="2" t="inlineStr">
        <is>
          <t>Not even started</t>
        </is>
      </c>
      <c r="AH343" s="2" t="inlineStr">
        <is>
          <t>Not eligbile for any loan</t>
        </is>
      </c>
      <c r="AI343" s="2" t="inlineStr">
        <is>
          <t>Yes</t>
        </is>
      </c>
      <c r="AJ343" s="2" t="inlineStr">
        <is>
          <t>Yes</t>
        </is>
      </c>
      <c r="AK343" s="2" t="inlineStr">
        <is>
          <t>Yes</t>
        </is>
      </c>
      <c r="AL343" s="2" t="inlineStr">
        <is>
          <t>Low eligibilty</t>
        </is>
      </c>
      <c r="AM343" s="2" t="n"/>
      <c r="AN343" s="2" t="n"/>
      <c r="AO343" s="2" t="n"/>
      <c r="AP343" s="2" t="n"/>
      <c r="AQ343" s="2" t="n"/>
    </row>
    <row r="344">
      <c r="A344" t="n">
        <v>343</v>
      </c>
      <c r="B344" s="2" t="inlineStr">
        <is>
          <t>SHUBHAM CHOUDHARY</t>
        </is>
      </c>
      <c r="C344" s="3" t="n">
        <v>9204806205</v>
      </c>
      <c r="D344" s="2" t="inlineStr">
        <is>
          <t>PROV260609537</t>
        </is>
      </c>
      <c r="E344" s="2" t="inlineStr">
        <is>
          <t>SSHAE</t>
        </is>
      </c>
      <c r="F344" s="2" t="inlineStr">
        <is>
          <t>Yes</t>
        </is>
      </c>
      <c r="G344" s="2" t="inlineStr">
        <is>
          <t xml:space="preserve">Critical </t>
        </is>
      </c>
      <c r="H344" s="2" t="n"/>
      <c r="I344" s="2" t="n">
        <v>20</v>
      </c>
      <c r="J344" s="2" t="n"/>
      <c r="K344" s="2" t="n"/>
      <c r="L344" s="2" t="n"/>
      <c r="M344" s="2" t="n"/>
      <c r="N344" s="2" t="n"/>
      <c r="O344" s="2" t="n"/>
      <c r="P344" s="2" t="n"/>
      <c r="Q344" s="2" t="n"/>
      <c r="R344" s="2" t="n"/>
      <c r="S344" s="2" t="n"/>
      <c r="T344" s="2" t="inlineStr">
        <is>
          <t>21/7 : FATHER/ CO-APPLICANT NAME:- KRISHNA KUMAR CHOUDHARY
ANNUAL CO-APPLICANT SALARY:- 18 * 12 = 216000
EMAIL:- shubhamprntagon@gmail.com
provisional email:- shubhamithila@gmail.com
MOBILE NO-:- 9204806205
CO-APPLICANT MOBILE NUMBER:- 7320986753
have shared his data to gyan dhan , gyan dhan mentioned
Co app income is too low &gt;20,000, NEED ADDITIONAL CO APP
Shubham has sent the mail for refund
27/7 : Case revived again, helped him to apply for PM Vidyalakshmi , his school is not showing up in the PM vidyalakshmi portal as his school has been removed from the list</t>
        </is>
      </c>
      <c r="U344" s="2" t="inlineStr">
        <is>
          <t>Refund</t>
        </is>
      </c>
      <c r="V344" s="2" t="inlineStr">
        <is>
          <t>No</t>
        </is>
      </c>
      <c r="W344" s="2" t="inlineStr">
        <is>
          <t>No</t>
        </is>
      </c>
      <c r="X344" s="2" t="inlineStr">
        <is>
          <t>No</t>
        </is>
      </c>
      <c r="Y344" s="2" t="inlineStr">
        <is>
          <t>No</t>
        </is>
      </c>
      <c r="Z344" s="2" t="inlineStr">
        <is>
          <t>YEs</t>
        </is>
      </c>
      <c r="AA344" s="2" t="inlineStr">
        <is>
          <t>Risk</t>
        </is>
      </c>
      <c r="AB344" s="2" t="inlineStr">
        <is>
          <t>Risk</t>
        </is>
      </c>
      <c r="AC344" s="2" t="n"/>
      <c r="AD344" s="2" t="n"/>
      <c r="AE344" s="2" t="n"/>
      <c r="AF344" s="2" t="n"/>
      <c r="AG344" s="2" t="inlineStr">
        <is>
          <t>Ongoing</t>
        </is>
      </c>
      <c r="AH344" s="2" t="inlineStr">
        <is>
          <t>Not eligbile for any loan, Processing by PM vidyalakshmi</t>
        </is>
      </c>
      <c r="AI344" s="2" t="inlineStr">
        <is>
          <t>Yes</t>
        </is>
      </c>
      <c r="AJ344" s="2" t="inlineStr">
        <is>
          <t>Yes</t>
        </is>
      </c>
      <c r="AK344" s="2" t="inlineStr">
        <is>
          <t>Yes</t>
        </is>
      </c>
      <c r="AL344" s="2" t="n"/>
      <c r="AM344" s="2" t="n"/>
      <c r="AN344" s="2" t="n"/>
      <c r="AO344" s="2" t="n"/>
      <c r="AP344" s="2" t="n"/>
      <c r="AQ344" s="2" t="n"/>
    </row>
    <row r="345">
      <c r="A345" t="n">
        <v>344</v>
      </c>
      <c r="B345" s="2" t="inlineStr">
        <is>
          <t>Priyanshu Raj</t>
        </is>
      </c>
      <c r="C345" s="3" t="n">
        <v>9123203659</v>
      </c>
      <c r="D345" s="2" t="inlineStr">
        <is>
          <t>PROV260503240</t>
        </is>
      </c>
      <c r="E345" s="2" t="inlineStr">
        <is>
          <t>ssHAE</t>
        </is>
      </c>
      <c r="F345" s="2" t="inlineStr">
        <is>
          <t>Drop</t>
        </is>
      </c>
      <c r="G345" s="2" t="inlineStr">
        <is>
          <t xml:space="preserve">Critical </t>
        </is>
      </c>
      <c r="H345" s="2" t="n">
        <v>30</v>
      </c>
      <c r="I345" s="2" t="n">
        <v>20</v>
      </c>
      <c r="J345" s="2" t="n">
        <v>70</v>
      </c>
      <c r="K345" s="2" t="inlineStr">
        <is>
          <t>Father</t>
        </is>
      </c>
      <c r="L345" s="2" t="inlineStr">
        <is>
          <t>FARMER</t>
        </is>
      </c>
      <c r="M345" s="2" t="n"/>
      <c r="N345" s="2" t="n"/>
      <c r="O345" s="2" t="n"/>
      <c r="P345" s="2" t="n"/>
      <c r="Q345" s="2" t="n"/>
      <c r="R345" s="2" t="n"/>
      <c r="S345" s="2" t="inlineStr">
        <is>
          <t>NO income</t>
        </is>
      </c>
      <c r="T345" s="2" t="inlineStr">
        <is>
          <t>22/7 : DNP</t>
        </is>
      </c>
      <c r="U345" s="2" t="inlineStr">
        <is>
          <t>Refund</t>
        </is>
      </c>
      <c r="V345" s="2" t="n"/>
      <c r="W345" s="2" t="n"/>
      <c r="X345" s="2" t="n"/>
      <c r="Y345" s="2" t="n"/>
      <c r="Z345" s="2" t="n"/>
      <c r="AA345" s="2" t="inlineStr">
        <is>
          <t>Refund case</t>
        </is>
      </c>
      <c r="AB345" s="2" t="inlineStr">
        <is>
          <t>Refund case</t>
        </is>
      </c>
      <c r="AC345" s="2" t="n"/>
      <c r="AD345" s="2" t="n"/>
      <c r="AE345" s="2" t="n"/>
      <c r="AF345" s="2" t="n"/>
      <c r="AG345" s="2" t="n"/>
      <c r="AH345" s="2" t="n"/>
      <c r="AI345" s="2" t="n"/>
      <c r="AJ345" s="2" t="n"/>
      <c r="AK345" s="2" t="n"/>
      <c r="AL345" s="2" t="n"/>
      <c r="AM345" s="2" t="n"/>
      <c r="AN345" s="2" t="n"/>
      <c r="AO345" s="2" t="n"/>
      <c r="AP345" s="2" t="n"/>
      <c r="AQ345" s="2" t="n"/>
    </row>
    <row r="346">
      <c r="A346" t="n">
        <v>345</v>
      </c>
      <c r="B346" s="2" t="inlineStr">
        <is>
          <t>Rohit yadav</t>
        </is>
      </c>
      <c r="C346" s="3" t="n">
        <v>7985404707</v>
      </c>
      <c r="D346" s="2" t="inlineStr">
        <is>
          <t>PROV260606367</t>
        </is>
      </c>
      <c r="E346" s="2" t="inlineStr">
        <is>
          <t>SSAHE</t>
        </is>
      </c>
      <c r="F346" s="2" t="inlineStr">
        <is>
          <t>Yes</t>
        </is>
      </c>
      <c r="G346" s="2" t="inlineStr">
        <is>
          <t xml:space="preserve">Non Critical </t>
        </is>
      </c>
      <c r="H346" s="2" t="n">
        <v>5</v>
      </c>
      <c r="I346" s="2" t="n">
        <v>17</v>
      </c>
      <c r="J346" s="2" t="n">
        <v>64</v>
      </c>
      <c r="K346" s="2" t="inlineStr">
        <is>
          <t>Father</t>
        </is>
      </c>
      <c r="L346" s="2" t="inlineStr">
        <is>
          <t>Govt employer</t>
        </is>
      </c>
      <c r="M346" s="2" t="inlineStr">
        <is>
          <t>3 lac</t>
        </is>
      </c>
      <c r="N346" s="2" t="inlineStr">
        <is>
          <t>Income certificate</t>
        </is>
      </c>
      <c r="O346" s="2" t="inlineStr">
        <is>
          <t>no</t>
        </is>
      </c>
      <c r="P346" s="2" t="inlineStr">
        <is>
          <t>na</t>
        </is>
      </c>
      <c r="Q346" s="2" t="inlineStr">
        <is>
          <t>na</t>
        </is>
      </c>
      <c r="R346" s="2" t="inlineStr">
        <is>
          <t>na</t>
        </is>
      </c>
      <c r="S346" s="2" t="n"/>
      <c r="T346" s="2" t="inlineStr">
        <is>
          <t xml:space="preserve">25/7 : Loan req : 16L, Father : Govt. bank employee , Annual income : 3.75L, ITR filed : yes </t>
        </is>
      </c>
      <c r="U346" s="2" t="inlineStr">
        <is>
          <t>Yes</t>
        </is>
      </c>
      <c r="V346" s="2" t="inlineStr">
        <is>
          <t>Yes</t>
        </is>
      </c>
      <c r="W346" s="2" t="inlineStr">
        <is>
          <t>Yes</t>
        </is>
      </c>
      <c r="X346" s="2" t="inlineStr">
        <is>
          <t>No</t>
        </is>
      </c>
      <c r="Y346" s="2" t="inlineStr">
        <is>
          <t>No</t>
        </is>
      </c>
      <c r="Z346" s="2" t="inlineStr">
        <is>
          <t>Yes</t>
        </is>
      </c>
      <c r="AA346" s="2" t="inlineStr">
        <is>
          <t>Control</t>
        </is>
      </c>
      <c r="AB346" s="2" t="inlineStr">
        <is>
          <t>Control</t>
        </is>
      </c>
      <c r="AC346" s="2" t="n"/>
      <c r="AD346" s="2" t="n"/>
      <c r="AE346" s="2" t="n"/>
      <c r="AF346" s="2" t="n"/>
      <c r="AG346" s="2" t="inlineStr">
        <is>
          <t>Ongoing</t>
        </is>
      </c>
      <c r="AH346" s="2" t="n"/>
      <c r="AI346" s="2" t="n"/>
      <c r="AJ346" s="2" t="n"/>
      <c r="AK346" s="2" t="n"/>
      <c r="AL346" s="2" t="n"/>
      <c r="AM346" s="2" t="n"/>
      <c r="AN346" s="2" t="n"/>
      <c r="AO346" s="2" t="n"/>
      <c r="AP346" s="2" t="n"/>
      <c r="AQ346" s="2" t="n"/>
    </row>
    <row r="347">
      <c r="A347" t="n">
        <v>346</v>
      </c>
      <c r="B347" s="2" t="inlineStr">
        <is>
          <t>Aryan Sinha</t>
        </is>
      </c>
      <c r="C347" s="3" t="n">
        <v>8969613846</v>
      </c>
      <c r="D347" s="2" t="inlineStr">
        <is>
          <t>PROV260608868</t>
        </is>
      </c>
      <c r="E347" s="2" t="inlineStr">
        <is>
          <t>ssahe</t>
        </is>
      </c>
      <c r="F347" s="2" t="inlineStr">
        <is>
          <t>Yes</t>
        </is>
      </c>
      <c r="G347" s="2" t="inlineStr">
        <is>
          <t xml:space="preserve">Non Critical </t>
        </is>
      </c>
      <c r="H347" s="2" t="n">
        <v>40</v>
      </c>
      <c r="I347" s="2" t="inlineStr">
        <is>
          <t>5 lakhs</t>
        </is>
      </c>
      <c r="J347" s="2" t="n">
        <v>81</v>
      </c>
      <c r="K347" s="2" t="inlineStr">
        <is>
          <t>Father</t>
        </is>
      </c>
      <c r="L347" s="2" t="inlineStr">
        <is>
          <t>business</t>
        </is>
      </c>
      <c r="M347" s="2" t="inlineStr">
        <is>
          <t>1 lakh in income certificate ( but real income is quite well)</t>
        </is>
      </c>
      <c r="N347" s="2" t="inlineStr">
        <is>
          <t>Income certificate</t>
        </is>
      </c>
      <c r="O347" s="2" t="inlineStr">
        <is>
          <t>4 lakh from bscc</t>
        </is>
      </c>
      <c r="P347" s="2" t="n">
        <v>750</v>
      </c>
      <c r="Q347" s="2" t="inlineStr">
        <is>
          <t>na</t>
        </is>
      </c>
      <c r="R347" s="2" t="inlineStr">
        <is>
          <t>na</t>
        </is>
      </c>
      <c r="S347" s="2" t="inlineStr">
        <is>
          <t>he is more intrested in icici bank, please coonect.</t>
        </is>
      </c>
      <c r="T347" s="2" t="inlineStr">
        <is>
          <t xml:space="preserve">25/7 - Father profession : Business ( School ), On paper , have told him to apply forPM vidyalakshmi since he has the income of EWS on paper, he is taking loan BCSS and PM vidyalakshmi. 
27/7 : Student called regarding PM vidyalakshmi, asked about ITR , only require 5L. 
30/7 : Student needs bonafide with AI and ML removed. </t>
        </is>
      </c>
      <c r="U347" s="2" t="inlineStr">
        <is>
          <t>Yes</t>
        </is>
      </c>
      <c r="V347" s="2" t="n"/>
      <c r="W347" s="2" t="n"/>
      <c r="X347" s="2" t="n"/>
      <c r="Y347" s="2" t="n"/>
      <c r="Z347" s="2" t="n"/>
      <c r="AA347" s="2" t="inlineStr">
        <is>
          <t>Control</t>
        </is>
      </c>
      <c r="AB347" s="2" t="inlineStr">
        <is>
          <t>Control</t>
        </is>
      </c>
      <c r="AC347" s="2" t="n"/>
      <c r="AD347" s="2" t="n"/>
      <c r="AE347" s="2" t="n"/>
      <c r="AF347" s="2" t="n"/>
      <c r="AG347" s="2" t="inlineStr">
        <is>
          <t>Ongoing</t>
        </is>
      </c>
      <c r="AH347" s="2" t="inlineStr">
        <is>
          <t>State Scheme, Processing by PM vidyalakshmi</t>
        </is>
      </c>
      <c r="AI347" s="2" t="n"/>
      <c r="AJ347" s="2" t="n"/>
      <c r="AK347" s="2" t="n"/>
      <c r="AL347" s="2" t="n"/>
      <c r="AM347" s="2" t="n"/>
      <c r="AN347" s="2" t="n"/>
      <c r="AO347" s="2" t="n"/>
      <c r="AP347" s="2" t="n"/>
      <c r="AQ347" s="2" t="n"/>
    </row>
    <row r="348">
      <c r="A348" t="n">
        <v>347</v>
      </c>
      <c r="B348" s="2" t="inlineStr">
        <is>
          <t>Prashant Yadav</t>
        </is>
      </c>
      <c r="C348" s="3" t="n">
        <v>7509206015</v>
      </c>
      <c r="D348" s="2" t="inlineStr">
        <is>
          <t>PROV260616513</t>
        </is>
      </c>
      <c r="E348" s="2" t="inlineStr">
        <is>
          <t>SSHAE</t>
        </is>
      </c>
      <c r="F348" s="2" t="inlineStr">
        <is>
          <t>Yes</t>
        </is>
      </c>
      <c r="G348" s="2" t="inlineStr">
        <is>
          <t xml:space="preserve">Critical </t>
        </is>
      </c>
      <c r="H348" s="2" t="n">
        <v>30</v>
      </c>
      <c r="I348" s="2" t="n">
        <v>18.5</v>
      </c>
      <c r="J348" s="2" t="n"/>
      <c r="K348" s="2" t="n"/>
      <c r="L348" s="2" t="n"/>
      <c r="M348" s="2" t="n"/>
      <c r="N348" s="2" t="n"/>
      <c r="O348" s="2" t="n"/>
      <c r="P348" s="2" t="n"/>
      <c r="Q348" s="2" t="n"/>
      <c r="R348" s="2" t="n"/>
      <c r="S348" s="2" t="n"/>
      <c r="T348" s="2" t="inlineStr">
        <is>
          <t>-22/7 :  Loan document : 20L , Father's profession :: Farmer , Yearly income : 40K, Student has a grandfather, and is retired but wont be eligible for bank loan. Have guided him around PM vidyalakshmi, Have asked who all can be the co applicant. have infomed him, student also asked can we pay fees for first year by ourselves and then the rest is funded by the loan next year.  Confirmed him the same 
10th - 68.4
12th - 69.4
No JEE 
Not doable case</t>
        </is>
      </c>
      <c r="U348" s="2" t="inlineStr">
        <is>
          <t>No</t>
        </is>
      </c>
      <c r="V348" s="2" t="n"/>
      <c r="W348" s="2" t="n"/>
      <c r="X348" s="2" t="n"/>
      <c r="Y348" s="2" t="n"/>
      <c r="Z348" s="2" t="n"/>
      <c r="AA348" s="2" t="inlineStr">
        <is>
          <t>Not required</t>
        </is>
      </c>
      <c r="AB348" s="2" t="inlineStr">
        <is>
          <t>Not required</t>
        </is>
      </c>
      <c r="AC348" s="2" t="n"/>
      <c r="AD348" s="2" t="n"/>
      <c r="AE348" s="2" t="n"/>
      <c r="AF348" s="2" t="n"/>
      <c r="AG348" s="2" t="n"/>
      <c r="AH348" s="2" t="n"/>
      <c r="AI348" s="2" t="n"/>
      <c r="AJ348" s="2" t="n"/>
      <c r="AK348" s="2" t="inlineStr">
        <is>
          <t>Yes</t>
        </is>
      </c>
      <c r="AL348" s="2" t="n"/>
      <c r="AM348" s="2" t="n"/>
      <c r="AN348" s="2" t="n"/>
      <c r="AO348" s="2" t="n"/>
      <c r="AP348" s="2" t="n"/>
      <c r="AQ348" s="2" t="n"/>
    </row>
    <row r="349">
      <c r="A349" t="n">
        <v>348</v>
      </c>
      <c r="B349" s="2" t="inlineStr">
        <is>
          <t>Prashant Kumar</t>
        </is>
      </c>
      <c r="C349" s="3" t="n">
        <v>9942513847</v>
      </c>
      <c r="D349" s="2" t="inlineStr">
        <is>
          <t>PROV260606843</t>
        </is>
      </c>
      <c r="E349" s="2" t="inlineStr">
        <is>
          <t>SSHAE</t>
        </is>
      </c>
      <c r="F349" s="2" t="inlineStr">
        <is>
          <t>Yes</t>
        </is>
      </c>
      <c r="G349" s="2" t="inlineStr">
        <is>
          <t xml:space="preserve">Critical </t>
        </is>
      </c>
      <c r="H349" s="2" t="n">
        <v>12.5</v>
      </c>
      <c r="I349" s="2" t="inlineStr">
        <is>
          <t>22 lakh</t>
        </is>
      </c>
      <c r="J349" s="2" t="n">
        <v>64</v>
      </c>
      <c r="K349" s="2" t="inlineStr">
        <is>
          <t>Father</t>
        </is>
      </c>
      <c r="L349" s="2" t="inlineStr">
        <is>
          <t>Shopkeeper</t>
        </is>
      </c>
      <c r="M349" s="2" t="inlineStr">
        <is>
          <t>1.5 lakh</t>
        </is>
      </c>
      <c r="N349" s="2" t="inlineStr">
        <is>
          <t>Income certificate</t>
        </is>
      </c>
      <c r="O349" s="2" t="inlineStr">
        <is>
          <t>yes</t>
        </is>
      </c>
      <c r="P349" s="2" t="n">
        <v>704</v>
      </c>
      <c r="Q349" s="2" t="inlineStr">
        <is>
          <t>land</t>
        </is>
      </c>
      <c r="R349" s="2" t="inlineStr">
        <is>
          <t>yes</t>
        </is>
      </c>
      <c r="S349" s="2" t="inlineStr">
        <is>
          <t>call please</t>
        </is>
      </c>
      <c r="T349" s="2" t="inlineStr">
        <is>
          <t>24/7 : Loan req : 23L, Father's income : shopkeeper , salary :17K, have suggested the student for PM vidyalakshmi , student's father's friend is in canara bank and is supporting the student to apply loan from PM vidyalakshmi</t>
        </is>
      </c>
      <c r="U349" s="2" t="inlineStr">
        <is>
          <t>Yes</t>
        </is>
      </c>
      <c r="V349" s="2" t="n"/>
      <c r="W349" s="2" t="n"/>
      <c r="X349" s="2" t="n"/>
      <c r="Y349" s="2" t="n"/>
      <c r="Z349" s="2" t="n"/>
      <c r="AA349" s="2" t="inlineStr">
        <is>
          <t>Control</t>
        </is>
      </c>
      <c r="AB349" s="2" t="inlineStr">
        <is>
          <t>Control</t>
        </is>
      </c>
      <c r="AC349" s="2" t="n"/>
      <c r="AD349" s="2" t="n"/>
      <c r="AE349" s="2" t="n"/>
      <c r="AF349" s="2" t="n"/>
      <c r="AG349" s="2" t="inlineStr">
        <is>
          <t>Not even started</t>
        </is>
      </c>
      <c r="AH349" s="2" t="n"/>
      <c r="AI349" s="2" t="n"/>
      <c r="AJ349" s="2" t="n"/>
      <c r="AK349" s="2" t="n"/>
      <c r="AL349" s="2" t="inlineStr">
        <is>
          <t>DNP till now , now started</t>
        </is>
      </c>
      <c r="AM349" s="2" t="n"/>
      <c r="AN349" s="2" t="n"/>
      <c r="AO349" s="2" t="n"/>
      <c r="AP349" s="2" t="n"/>
      <c r="AQ349" s="2" t="n"/>
    </row>
    <row r="350">
      <c r="A350" t="n">
        <v>349</v>
      </c>
      <c r="B350" s="2" t="inlineStr">
        <is>
          <t xml:space="preserve">Galegave Shivam </t>
        </is>
      </c>
      <c r="C350" s="3" t="n">
        <v>9390623237</v>
      </c>
      <c r="D350" s="2" t="inlineStr">
        <is>
          <t>PROV260613694</t>
        </is>
      </c>
      <c r="E350" s="2" t="inlineStr">
        <is>
          <t>SSHAE</t>
        </is>
      </c>
      <c r="F350" s="2" t="inlineStr">
        <is>
          <t>Yes</t>
        </is>
      </c>
      <c r="G350" s="2" t="inlineStr">
        <is>
          <t xml:space="preserve">Non Critical </t>
        </is>
      </c>
      <c r="H350" s="2" t="n">
        <v>30</v>
      </c>
      <c r="I350" s="2" t="n">
        <v>22</v>
      </c>
      <c r="J350" s="2" t="n">
        <v>91.59999999999999</v>
      </c>
      <c r="K350" s="2" t="inlineStr">
        <is>
          <t>Father</t>
        </is>
      </c>
      <c r="L350" s="2" t="inlineStr">
        <is>
          <t>Doctor</t>
        </is>
      </c>
      <c r="M350" s="2" t="n">
        <v>8</v>
      </c>
      <c r="N350" s="2" t="inlineStr">
        <is>
          <t>Income certificate</t>
        </is>
      </c>
      <c r="O350" s="2" t="inlineStr">
        <is>
          <t>No</t>
        </is>
      </c>
      <c r="P350" s="2" t="n"/>
      <c r="Q350" s="2" t="n"/>
      <c r="R350" s="2" t="n"/>
      <c r="S350" s="2" t="n"/>
      <c r="T350" s="2" t="inlineStr">
        <is>
          <t xml:space="preserve">23/7 : Case is doable , father is a doctor , spoke to him in the morning. father is a doctor have shared his details to gyan dhan </t>
        </is>
      </c>
      <c r="U350" s="2" t="inlineStr">
        <is>
          <t>Yes</t>
        </is>
      </c>
      <c r="V350" s="2" t="inlineStr">
        <is>
          <t>No</t>
        </is>
      </c>
      <c r="W350" s="2" t="inlineStr">
        <is>
          <t>No</t>
        </is>
      </c>
      <c r="X350" s="2" t="inlineStr">
        <is>
          <t>No</t>
        </is>
      </c>
      <c r="Y350" s="2" t="inlineStr">
        <is>
          <t>No</t>
        </is>
      </c>
      <c r="Z350" s="2" t="inlineStr">
        <is>
          <t>YEs</t>
        </is>
      </c>
      <c r="AA350" s="2" t="inlineStr">
        <is>
          <t>Control</t>
        </is>
      </c>
      <c r="AB350" s="2" t="inlineStr">
        <is>
          <t>Control</t>
        </is>
      </c>
      <c r="AC350" s="2" t="n"/>
      <c r="AD350" s="2" t="n"/>
      <c r="AE350" s="2" t="n"/>
      <c r="AF350" s="2" t="n"/>
      <c r="AG350" s="2" t="inlineStr">
        <is>
          <t>Ongoing</t>
        </is>
      </c>
      <c r="AH350" s="2" t="inlineStr">
        <is>
          <t>Docs Pending</t>
        </is>
      </c>
      <c r="AI350" s="2" t="inlineStr">
        <is>
          <t>No</t>
        </is>
      </c>
      <c r="AJ350" s="2" t="inlineStr">
        <is>
          <t>No</t>
        </is>
      </c>
      <c r="AK350" s="2" t="n"/>
      <c r="AL350" s="2" t="n"/>
      <c r="AM350" s="2" t="n"/>
      <c r="AN350" s="2" t="n"/>
      <c r="AO350" s="2" t="n"/>
      <c r="AP350" s="2" t="n"/>
      <c r="AQ350" s="2" t="n"/>
    </row>
    <row r="351">
      <c r="A351" t="n">
        <v>350</v>
      </c>
      <c r="B351" s="2" t="inlineStr">
        <is>
          <t>Rishav Shaw</t>
        </is>
      </c>
      <c r="C351" s="3" t="n">
        <v>6289296316</v>
      </c>
      <c r="D351" s="2" t="inlineStr">
        <is>
          <t>PROV260502745</t>
        </is>
      </c>
      <c r="E351" s="2" t="n"/>
      <c r="F351" s="2" t="inlineStr">
        <is>
          <t>Yes</t>
        </is>
      </c>
      <c r="G351" s="2" t="inlineStr">
        <is>
          <t xml:space="preserve">Non Critical </t>
        </is>
      </c>
      <c r="H351" s="2" t="n"/>
      <c r="I351" s="2" t="n">
        <v>20</v>
      </c>
      <c r="J351" s="2" t="n">
        <v>64</v>
      </c>
      <c r="K351" s="2" t="inlineStr">
        <is>
          <t>Father</t>
        </is>
      </c>
      <c r="L351" s="2" t="inlineStr">
        <is>
          <t>Business ( grocery )</t>
        </is>
      </c>
      <c r="M351" s="2" t="inlineStr">
        <is>
          <t xml:space="preserve">Not sure </t>
        </is>
      </c>
      <c r="N351" s="2" t="n"/>
      <c r="O351" s="2" t="n"/>
      <c r="P351" s="2" t="n"/>
      <c r="Q351" s="2" t="n"/>
      <c r="R351" s="2" t="n"/>
      <c r="S351" s="2" t="n"/>
      <c r="T351" s="2" t="inlineStr">
        <is>
          <t xml:space="preserve">23/7 : Student didnt know much details about the coapplicant, have given him the format to share the details directly to me in a proper format 
Student name : 
FAther Name : 
Mobile number : 
Student Email : 
Father’s Number : 
Loan required : 25L 
ITR filed : Yes/No
Annual Income : 
Co applicant :
Waiting for his details to arrrive </t>
        </is>
      </c>
      <c r="U351" s="2" t="inlineStr">
        <is>
          <t>Yes</t>
        </is>
      </c>
      <c r="V351" s="2" t="n"/>
      <c r="W351" s="2" t="n"/>
      <c r="X351" s="2" t="n"/>
      <c r="Y351" s="2" t="n"/>
      <c r="Z351" s="2" t="n"/>
      <c r="AA351" s="2" t="inlineStr">
        <is>
          <t>Control</t>
        </is>
      </c>
      <c r="AB351" s="2" t="inlineStr">
        <is>
          <t>Control</t>
        </is>
      </c>
      <c r="AC351" s="2" t="n"/>
      <c r="AD351" s="2" t="n"/>
      <c r="AE351" s="2" t="n"/>
      <c r="AF351" s="2" t="n"/>
      <c r="AG351" s="2" t="inlineStr">
        <is>
          <t>Ongoing</t>
        </is>
      </c>
      <c r="AH351" s="2" t="n"/>
      <c r="AI351" s="2" t="n"/>
      <c r="AJ351" s="2" t="n"/>
      <c r="AK351" s="2" t="n"/>
      <c r="AL351" s="2" t="n"/>
      <c r="AM351" s="2" t="n"/>
      <c r="AN351" s="2" t="n"/>
      <c r="AO351" s="2" t="n"/>
      <c r="AP351" s="2" t="n"/>
      <c r="AQ351" s="2" t="n"/>
    </row>
    <row r="352">
      <c r="A352" t="n">
        <v>351</v>
      </c>
      <c r="B352" s="2" t="inlineStr">
        <is>
          <t>Aryan Kumar</t>
        </is>
      </c>
      <c r="C352" s="3" t="n">
        <v>7543977498</v>
      </c>
      <c r="D352" s="2" t="inlineStr">
        <is>
          <t>PROV1000000305</t>
        </is>
      </c>
      <c r="E352" s="2" t="inlineStr">
        <is>
          <t>SSHAE</t>
        </is>
      </c>
      <c r="F352" s="2" t="inlineStr">
        <is>
          <t>Yes</t>
        </is>
      </c>
      <c r="G352" s="2" t="inlineStr">
        <is>
          <t xml:space="preserve">Non Critical </t>
        </is>
      </c>
      <c r="H352" s="2" t="n">
        <v>0.2</v>
      </c>
      <c r="I352" s="2" t="n"/>
      <c r="J352" s="2" t="n"/>
      <c r="K352" s="2" t="n"/>
      <c r="L352" s="2" t="n"/>
      <c r="M352" s="2" t="n"/>
      <c r="N352" s="2" t="n"/>
      <c r="O352" s="2" t="n"/>
      <c r="P352" s="2" t="n"/>
      <c r="Q352" s="2" t="n"/>
      <c r="R352" s="2" t="n"/>
      <c r="S352" s="2" t="n"/>
      <c r="T352" s="2" t="inlineStr">
        <is>
          <t>24/7: Going by themselves, need one dicument</t>
        </is>
      </c>
      <c r="U352" s="2" t="inlineStr">
        <is>
          <t>Yes</t>
        </is>
      </c>
      <c r="V352" s="2" t="n"/>
      <c r="W352" s="2" t="n"/>
      <c r="X352" s="2" t="n"/>
      <c r="Y352" s="2" t="n"/>
      <c r="Z352" s="2" t="n"/>
      <c r="AA352" s="2" t="inlineStr">
        <is>
          <t>Control</t>
        </is>
      </c>
      <c r="AB352" s="2" t="inlineStr">
        <is>
          <t>Control</t>
        </is>
      </c>
      <c r="AC352" s="2" t="n"/>
      <c r="AD352" s="2" t="n"/>
      <c r="AE352" s="2" t="n"/>
      <c r="AF352" s="2" t="n"/>
      <c r="AG352" s="2" t="inlineStr">
        <is>
          <t>Ongoing</t>
        </is>
      </c>
      <c r="AH352" s="2" t="inlineStr">
        <is>
          <t>Processing at other bank</t>
        </is>
      </c>
      <c r="AI352" s="2" t="n"/>
      <c r="AJ352" s="2" t="n"/>
      <c r="AK352" s="2" t="n"/>
      <c r="AL352" s="2" t="n"/>
      <c r="AM352" s="2" t="n"/>
      <c r="AN352" s="2" t="n"/>
      <c r="AO352" s="2" t="n"/>
      <c r="AP352" s="2" t="n"/>
      <c r="AQ352" s="2" t="n"/>
    </row>
    <row r="353">
      <c r="A353" t="n">
        <v>352</v>
      </c>
      <c r="B353" s="2" t="inlineStr">
        <is>
          <t>Apoorva Bhardwaj</t>
        </is>
      </c>
      <c r="C353" s="3" t="n">
        <v>8826838144</v>
      </c>
      <c r="D353" s="2" t="inlineStr">
        <is>
          <t>PROV260500759</t>
        </is>
      </c>
      <c r="E353" s="2" t="inlineStr">
        <is>
          <t>SSHAE</t>
        </is>
      </c>
      <c r="F353" s="2" t="inlineStr">
        <is>
          <t>Drop</t>
        </is>
      </c>
      <c r="G353" s="2" t="n"/>
      <c r="H353" s="2" t="n"/>
      <c r="I353" s="2" t="n"/>
      <c r="J353" s="2" t="n"/>
      <c r="K353" s="2" t="n"/>
      <c r="L353" s="2" t="n"/>
      <c r="M353" s="2" t="n"/>
      <c r="N353" s="2" t="n"/>
      <c r="O353" s="2" t="n"/>
      <c r="P353" s="2" t="n"/>
      <c r="Q353" s="2" t="n"/>
      <c r="R353" s="2" t="n"/>
      <c r="S353" s="2" t="n"/>
      <c r="T353" s="2" t="n"/>
      <c r="U353" s="2" t="inlineStr">
        <is>
          <t>Refund</t>
        </is>
      </c>
      <c r="V353" s="2" t="n"/>
      <c r="W353" s="2" t="n"/>
      <c r="X353" s="2" t="n"/>
      <c r="Y353" s="2" t="n"/>
      <c r="Z353" s="2" t="n"/>
      <c r="AA353" s="2" t="inlineStr">
        <is>
          <t>Refund case</t>
        </is>
      </c>
      <c r="AB353" s="2" t="inlineStr">
        <is>
          <t>Refund case</t>
        </is>
      </c>
      <c r="AC353" s="2" t="n"/>
      <c r="AD353" s="2" t="n"/>
      <c r="AE353" s="2" t="n"/>
      <c r="AF353" s="2" t="n"/>
      <c r="AG353" s="2" t="n"/>
      <c r="AH353" s="2" t="n"/>
      <c r="AI353" s="2" t="n"/>
      <c r="AJ353" s="2" t="n"/>
      <c r="AK353" s="2" t="n"/>
      <c r="AL353" s="2" t="n"/>
      <c r="AM353" s="2" t="n"/>
      <c r="AN353" s="2" t="n"/>
      <c r="AO353" s="2" t="n"/>
      <c r="AP353" s="2" t="n"/>
      <c r="AQ353" s="2" t="n"/>
    </row>
    <row r="354">
      <c r="A354" t="n">
        <v>353</v>
      </c>
      <c r="B354" s="2" t="inlineStr">
        <is>
          <t>Prabhnoor Singh</t>
        </is>
      </c>
      <c r="C354" s="3" t="n">
        <v>9945388133</v>
      </c>
      <c r="D354" s="2" t="inlineStr">
        <is>
          <t>PROV1000002122</t>
        </is>
      </c>
      <c r="E354" s="2" t="inlineStr">
        <is>
          <t>SSHAE</t>
        </is>
      </c>
      <c r="F354" s="2" t="inlineStr">
        <is>
          <t>Drop</t>
        </is>
      </c>
      <c r="G354" s="2" t="n"/>
      <c r="H354" s="2" t="n"/>
      <c r="I354" s="2" t="n"/>
      <c r="J354" s="2" t="n"/>
      <c r="K354" s="2" t="n"/>
      <c r="L354" s="2" t="n"/>
      <c r="M354" s="2" t="n"/>
      <c r="N354" s="2" t="n"/>
      <c r="O354" s="2" t="n"/>
      <c r="P354" s="2" t="n"/>
      <c r="Q354" s="2" t="n"/>
      <c r="R354" s="2" t="n"/>
      <c r="S354" s="2" t="n"/>
      <c r="T354" s="2" t="n"/>
      <c r="U354" s="2" t="inlineStr">
        <is>
          <t>Refund</t>
        </is>
      </c>
      <c r="V354" s="2" t="n"/>
      <c r="W354" s="2" t="n"/>
      <c r="X354" s="2" t="n"/>
      <c r="Y354" s="2" t="n"/>
      <c r="Z354" s="2" t="n"/>
      <c r="AA354" s="2" t="inlineStr">
        <is>
          <t>Refund case</t>
        </is>
      </c>
      <c r="AB354" s="2" t="inlineStr">
        <is>
          <t>Refund case</t>
        </is>
      </c>
      <c r="AC354" s="2" t="n"/>
      <c r="AD354" s="2" t="n"/>
      <c r="AE354" s="2" t="n"/>
      <c r="AF354" s="2" t="n"/>
      <c r="AG354" s="2" t="n"/>
      <c r="AH354" s="2" t="n"/>
      <c r="AI354" s="2" t="n"/>
      <c r="AJ354" s="2" t="n"/>
      <c r="AK354" s="2" t="n"/>
      <c r="AL354" s="2" t="n"/>
      <c r="AM354" s="2" t="n"/>
      <c r="AN354" s="2" t="n"/>
      <c r="AO354" s="2" t="n"/>
      <c r="AP354" s="2" t="n"/>
      <c r="AQ354" s="2" t="n"/>
    </row>
    <row r="355">
      <c r="A355" t="n">
        <v>354</v>
      </c>
      <c r="B355" s="2" t="inlineStr">
        <is>
          <t>Ishan Kumar</t>
        </is>
      </c>
      <c r="C355" s="3" t="n">
        <v>7004463590</v>
      </c>
      <c r="D355" s="2" t="inlineStr">
        <is>
          <t>PROV1000000240</t>
        </is>
      </c>
      <c r="E355" s="2" t="inlineStr">
        <is>
          <t>SSHAE</t>
        </is>
      </c>
      <c r="F355" s="2" t="inlineStr">
        <is>
          <t>Drop</t>
        </is>
      </c>
      <c r="G355" s="2" t="n"/>
      <c r="H355" s="2" t="n"/>
      <c r="I355" s="2" t="n"/>
      <c r="J355" s="2" t="n"/>
      <c r="K355" s="2" t="n"/>
      <c r="L355" s="2" t="n"/>
      <c r="M355" s="2" t="n"/>
      <c r="N355" s="2" t="n"/>
      <c r="O355" s="2" t="n"/>
      <c r="P355" s="2" t="n"/>
      <c r="Q355" s="2" t="n"/>
      <c r="R355" s="2" t="n"/>
      <c r="S355" s="2" t="n"/>
      <c r="T355" s="2" t="n"/>
      <c r="U355" s="2" t="inlineStr">
        <is>
          <t>Refund</t>
        </is>
      </c>
      <c r="V355" s="2" t="n"/>
      <c r="W355" s="2" t="n"/>
      <c r="X355" s="2" t="n"/>
      <c r="Y355" s="2" t="n"/>
      <c r="Z355" s="2" t="n"/>
      <c r="AA355" s="2" t="inlineStr">
        <is>
          <t>Refund case</t>
        </is>
      </c>
      <c r="AB355" s="2" t="inlineStr">
        <is>
          <t>Refund case</t>
        </is>
      </c>
      <c r="AC355" s="2" t="n"/>
      <c r="AD355" s="2" t="n"/>
      <c r="AE355" s="2" t="n"/>
      <c r="AF355" s="2" t="n"/>
      <c r="AG355" s="2" t="n"/>
      <c r="AH355" s="2" t="n"/>
      <c r="AI355" s="2" t="n"/>
      <c r="AJ355" s="2" t="n"/>
      <c r="AK355" s="2" t="n"/>
      <c r="AL355" s="2" t="n"/>
      <c r="AM355" s="2" t="n"/>
      <c r="AN355" s="2" t="n"/>
      <c r="AO355" s="2" t="n"/>
      <c r="AP355" s="2" t="n"/>
      <c r="AQ355" s="2" t="n"/>
    </row>
    <row r="356">
      <c r="A356" t="n">
        <v>355</v>
      </c>
      <c r="B356" s="2" t="inlineStr">
        <is>
          <t>Raashi Jadhav</t>
        </is>
      </c>
      <c r="C356" s="3" t="n">
        <v>6364054229</v>
      </c>
      <c r="D356" s="2" t="inlineStr">
        <is>
          <t>PROV1000000324</t>
        </is>
      </c>
      <c r="E356" s="2" t="inlineStr">
        <is>
          <t>SSHAE</t>
        </is>
      </c>
      <c r="F356" s="2" t="inlineStr">
        <is>
          <t>Drop</t>
        </is>
      </c>
      <c r="G356" s="2" t="n"/>
      <c r="H356" s="2" t="n"/>
      <c r="I356" s="2" t="n"/>
      <c r="J356" s="2" t="n"/>
      <c r="K356" s="2" t="n"/>
      <c r="L356" s="2" t="n"/>
      <c r="M356" s="2" t="n"/>
      <c r="N356" s="2" t="n"/>
      <c r="O356" s="2" t="n"/>
      <c r="P356" s="2" t="n"/>
      <c r="Q356" s="2" t="n"/>
      <c r="R356" s="2" t="n"/>
      <c r="S356" s="2" t="n"/>
      <c r="T356" s="2" t="n"/>
      <c r="U356" s="2" t="inlineStr">
        <is>
          <t>Refund</t>
        </is>
      </c>
      <c r="V356" s="2" t="n"/>
      <c r="W356" s="2" t="n"/>
      <c r="X356" s="2" t="n"/>
      <c r="Y356" s="2" t="n"/>
      <c r="Z356" s="2" t="n"/>
      <c r="AA356" s="2" t="inlineStr">
        <is>
          <t>Refund case</t>
        </is>
      </c>
      <c r="AB356" s="2" t="inlineStr">
        <is>
          <t>Refund case</t>
        </is>
      </c>
      <c r="AC356" s="2" t="n"/>
      <c r="AD356" s="2" t="n"/>
      <c r="AE356" s="2" t="n"/>
      <c r="AF356" s="2" t="n"/>
      <c r="AG356" s="2" t="n"/>
      <c r="AH356" s="2" t="n"/>
      <c r="AI356" s="2" t="n"/>
      <c r="AJ356" s="2" t="n"/>
      <c r="AK356" s="2" t="n"/>
      <c r="AL356" s="2" t="n"/>
      <c r="AM356" s="2" t="n"/>
      <c r="AN356" s="2" t="n"/>
      <c r="AO356" s="2" t="n"/>
      <c r="AP356" s="2" t="n"/>
      <c r="AQ356" s="2" t="n"/>
    </row>
    <row r="357">
      <c r="A357" t="n">
        <v>356</v>
      </c>
      <c r="B357" s="2" t="inlineStr">
        <is>
          <t>Venkata Karunya Annasamudram</t>
        </is>
      </c>
      <c r="C357" s="3" t="n">
        <v>9573713503</v>
      </c>
      <c r="D357" s="2" t="inlineStr">
        <is>
          <t>PROV1000000458</t>
        </is>
      </c>
      <c r="E357" s="2" t="inlineStr">
        <is>
          <t>SSHAE</t>
        </is>
      </c>
      <c r="F357" s="2" t="inlineStr">
        <is>
          <t>Drop</t>
        </is>
      </c>
      <c r="G357" s="2" t="n"/>
      <c r="H357" s="2" t="n"/>
      <c r="I357" s="2" t="n"/>
      <c r="J357" s="2" t="n"/>
      <c r="K357" s="2" t="n"/>
      <c r="L357" s="2" t="n"/>
      <c r="M357" s="2" t="n"/>
      <c r="N357" s="2" t="n"/>
      <c r="O357" s="2" t="n"/>
      <c r="P357" s="2" t="n"/>
      <c r="Q357" s="2" t="n"/>
      <c r="R357" s="2" t="n"/>
      <c r="S357" s="2" t="n"/>
      <c r="T357" s="2" t="n"/>
      <c r="U357" s="2" t="inlineStr">
        <is>
          <t>Refund</t>
        </is>
      </c>
      <c r="V357" s="2" t="n"/>
      <c r="W357" s="2" t="n"/>
      <c r="X357" s="2" t="n"/>
      <c r="Y357" s="2" t="n"/>
      <c r="Z357" s="2" t="n"/>
      <c r="AA357" s="2" t="inlineStr">
        <is>
          <t>Refund case</t>
        </is>
      </c>
      <c r="AB357" s="2" t="inlineStr">
        <is>
          <t>Refund case</t>
        </is>
      </c>
      <c r="AC357" s="2" t="n"/>
      <c r="AD357" s="2" t="n"/>
      <c r="AE357" s="2" t="n"/>
      <c r="AF357" s="2" t="n"/>
      <c r="AG357" s="2" t="n"/>
      <c r="AH357" s="2" t="n"/>
      <c r="AI357" s="2" t="n"/>
      <c r="AJ357" s="2" t="n"/>
      <c r="AK357" s="2" t="n"/>
      <c r="AL357" s="2" t="n"/>
      <c r="AM357" s="2" t="n"/>
      <c r="AN357" s="2" t="n"/>
      <c r="AO357" s="2" t="n"/>
      <c r="AP357" s="2" t="n"/>
      <c r="AQ357" s="2" t="n"/>
    </row>
    <row r="358">
      <c r="A358" t="n">
        <v>357</v>
      </c>
      <c r="B358" s="2" t="inlineStr">
        <is>
          <t>Vansh Goyal</t>
        </is>
      </c>
      <c r="C358" s="3" t="n">
        <v>6395429310</v>
      </c>
      <c r="D358" s="2" t="inlineStr">
        <is>
          <t>PROV1000002052</t>
        </is>
      </c>
      <c r="E358" s="2" t="inlineStr">
        <is>
          <t>SSHAE</t>
        </is>
      </c>
      <c r="F358" s="2" t="inlineStr">
        <is>
          <t>Drop</t>
        </is>
      </c>
      <c r="G358" s="2" t="n"/>
      <c r="H358" s="2" t="n"/>
      <c r="I358" s="2" t="n"/>
      <c r="J358" s="2" t="n"/>
      <c r="K358" s="2" t="n"/>
      <c r="L358" s="2" t="n"/>
      <c r="M358" s="2" t="n"/>
      <c r="N358" s="2" t="n"/>
      <c r="O358" s="2" t="n"/>
      <c r="P358" s="2" t="n"/>
      <c r="Q358" s="2" t="n"/>
      <c r="R358" s="2" t="n"/>
      <c r="S358" s="2" t="n"/>
      <c r="T358" s="2" t="n"/>
      <c r="U358" s="2" t="inlineStr">
        <is>
          <t>Refund</t>
        </is>
      </c>
      <c r="V358" s="2" t="n"/>
      <c r="W358" s="2" t="n"/>
      <c r="X358" s="2" t="n"/>
      <c r="Y358" s="2" t="n"/>
      <c r="Z358" s="2" t="n"/>
      <c r="AA358" s="2" t="inlineStr">
        <is>
          <t>Refund case</t>
        </is>
      </c>
      <c r="AB358" s="2" t="inlineStr">
        <is>
          <t>Refund case</t>
        </is>
      </c>
      <c r="AC358" s="2" t="n"/>
      <c r="AD358" s="2" t="n"/>
      <c r="AE358" s="2" t="n"/>
      <c r="AF358" s="2" t="n"/>
      <c r="AG358" s="2" t="n"/>
      <c r="AH358" s="2" t="n"/>
      <c r="AI358" s="2" t="n"/>
      <c r="AJ358" s="2" t="n"/>
      <c r="AK358" s="2" t="n"/>
      <c r="AL358" s="2" t="n"/>
      <c r="AM358" s="2" t="n"/>
      <c r="AN358" s="2" t="n"/>
      <c r="AO358" s="2" t="n"/>
      <c r="AP358" s="2" t="n"/>
      <c r="AQ358" s="2" t="n"/>
    </row>
    <row r="359">
      <c r="A359" t="n">
        <v>358</v>
      </c>
      <c r="B359" s="2" t="inlineStr">
        <is>
          <t>Krishna Pandey</t>
        </is>
      </c>
      <c r="C359" s="3" t="n">
        <v>9764940377</v>
      </c>
      <c r="D359" s="2" t="inlineStr">
        <is>
          <t>PROV1000001284</t>
        </is>
      </c>
      <c r="E359" s="2" t="inlineStr">
        <is>
          <t>ADYPU</t>
        </is>
      </c>
      <c r="F359" s="2" t="inlineStr">
        <is>
          <t>Drop</t>
        </is>
      </c>
      <c r="G359" s="2" t="n"/>
      <c r="H359" s="2" t="n"/>
      <c r="I359" s="2" t="n"/>
      <c r="J359" s="2" t="n"/>
      <c r="K359" s="2" t="n"/>
      <c r="L359" s="2" t="n"/>
      <c r="M359" s="2" t="n"/>
      <c r="N359" s="2" t="n"/>
      <c r="O359" s="2" t="n"/>
      <c r="P359" s="2" t="n"/>
      <c r="Q359" s="2" t="n"/>
      <c r="R359" s="2" t="n"/>
      <c r="S359" s="2" t="n"/>
      <c r="T359" s="2" t="n"/>
      <c r="U359" s="2" t="inlineStr">
        <is>
          <t>Refund</t>
        </is>
      </c>
      <c r="V359" s="2" t="n"/>
      <c r="W359" s="2" t="n"/>
      <c r="X359" s="2" t="n"/>
      <c r="Y359" s="2" t="n"/>
      <c r="Z359" s="2" t="n"/>
      <c r="AA359" s="2" t="inlineStr">
        <is>
          <t>Refund case</t>
        </is>
      </c>
      <c r="AB359" s="2" t="inlineStr">
        <is>
          <t>Refund case</t>
        </is>
      </c>
      <c r="AC359" s="2" t="n"/>
      <c r="AD359" s="2" t="n"/>
      <c r="AE359" s="2" t="n"/>
      <c r="AF359" s="2" t="n"/>
      <c r="AG359" s="2" t="n"/>
      <c r="AH359" s="2" t="n"/>
      <c r="AI359" s="2" t="n"/>
      <c r="AJ359" s="2" t="n"/>
      <c r="AK359" s="2" t="n"/>
      <c r="AL359" s="2" t="n"/>
      <c r="AM359" s="2" t="n"/>
      <c r="AN359" s="2" t="n"/>
      <c r="AO359" s="2" t="n"/>
      <c r="AP359" s="2" t="n"/>
      <c r="AQ359" s="2" t="n"/>
    </row>
    <row r="360">
      <c r="A360" t="n">
        <v>359</v>
      </c>
      <c r="B360" s="2" t="inlineStr">
        <is>
          <t>Naveen chaubey</t>
        </is>
      </c>
      <c r="C360" s="3" t="n">
        <v>8582050553</v>
      </c>
      <c r="D360" s="2" t="inlineStr">
        <is>
          <t>PROV1000000482</t>
        </is>
      </c>
      <c r="E360" s="2" t="inlineStr">
        <is>
          <t>ADYPU</t>
        </is>
      </c>
      <c r="F360" s="2" t="inlineStr">
        <is>
          <t>Drop</t>
        </is>
      </c>
      <c r="G360" s="2" t="n"/>
      <c r="H360" s="2" t="n"/>
      <c r="I360" s="2" t="n"/>
      <c r="J360" s="2" t="n"/>
      <c r="K360" s="2" t="n"/>
      <c r="L360" s="2" t="n"/>
      <c r="M360" s="2" t="n"/>
      <c r="N360" s="2" t="n"/>
      <c r="O360" s="2" t="n"/>
      <c r="P360" s="2" t="n"/>
      <c r="Q360" s="2" t="n"/>
      <c r="R360" s="2" t="n"/>
      <c r="S360" s="2" t="n"/>
      <c r="T360" s="2" t="n"/>
      <c r="U360" s="2" t="inlineStr">
        <is>
          <t>Refund</t>
        </is>
      </c>
      <c r="V360" s="2" t="n"/>
      <c r="W360" s="2" t="n"/>
      <c r="X360" s="2" t="n"/>
      <c r="Y360" s="2" t="n"/>
      <c r="Z360" s="2" t="n"/>
      <c r="AA360" s="2" t="inlineStr">
        <is>
          <t>Refund case</t>
        </is>
      </c>
      <c r="AB360" s="2" t="inlineStr">
        <is>
          <t>Refund case</t>
        </is>
      </c>
      <c r="AC360" s="2" t="n"/>
      <c r="AD360" s="2" t="n"/>
      <c r="AE360" s="2" t="n"/>
      <c r="AF360" s="2" t="n"/>
      <c r="AG360" s="2" t="n"/>
      <c r="AH360" s="2" t="n"/>
      <c r="AI360" s="2" t="n"/>
      <c r="AJ360" s="2" t="n"/>
      <c r="AK360" s="2" t="n"/>
      <c r="AL360" s="2" t="n"/>
      <c r="AM360" s="2" t="n"/>
      <c r="AN360" s="2" t="n"/>
      <c r="AO360" s="2" t="n"/>
      <c r="AP360" s="2" t="n"/>
      <c r="AQ360" s="2" t="n"/>
    </row>
    <row r="361">
      <c r="A361" t="n">
        <v>360</v>
      </c>
      <c r="B361" s="2" t="inlineStr">
        <is>
          <t>Shashank  Pawar</t>
        </is>
      </c>
      <c r="C361" s="3" t="n">
        <v>9309883346</v>
      </c>
      <c r="D361" s="2" t="inlineStr">
        <is>
          <t>PROV260502481</t>
        </is>
      </c>
      <c r="E361" s="2" t="inlineStr">
        <is>
          <t>ADYPU</t>
        </is>
      </c>
      <c r="F361" s="2" t="inlineStr">
        <is>
          <t>Drop</t>
        </is>
      </c>
      <c r="G361" s="2" t="n"/>
      <c r="H361" s="2" t="n"/>
      <c r="I361" s="2" t="n"/>
      <c r="J361" s="2" t="n"/>
      <c r="K361" s="2" t="n"/>
      <c r="L361" s="2" t="n"/>
      <c r="M361" s="2" t="n"/>
      <c r="N361" s="2" t="n"/>
      <c r="O361" s="2" t="n"/>
      <c r="P361" s="2" t="n"/>
      <c r="Q361" s="2" t="n"/>
      <c r="R361" s="2" t="n"/>
      <c r="S361" s="2" t="n"/>
      <c r="T361" s="2" t="n"/>
      <c r="U361" s="2" t="inlineStr">
        <is>
          <t>Refund</t>
        </is>
      </c>
      <c r="V361" s="2" t="n"/>
      <c r="W361" s="2" t="n"/>
      <c r="X361" s="2" t="n"/>
      <c r="Y361" s="2" t="n"/>
      <c r="Z361" s="2" t="n"/>
      <c r="AA361" s="2" t="inlineStr">
        <is>
          <t>Refund case</t>
        </is>
      </c>
      <c r="AB361" s="2" t="inlineStr">
        <is>
          <t>Refund case</t>
        </is>
      </c>
      <c r="AC361" s="2" t="n"/>
      <c r="AD361" s="2" t="n"/>
      <c r="AE361" s="2" t="n"/>
      <c r="AF361" s="2" t="n"/>
      <c r="AG361" s="2" t="n"/>
      <c r="AH361" s="2" t="n"/>
      <c r="AI361" s="2" t="n"/>
      <c r="AJ361" s="2" t="n"/>
      <c r="AK361" s="2" t="n"/>
      <c r="AL361" s="2" t="n"/>
      <c r="AM361" s="2" t="n"/>
      <c r="AN361" s="2" t="n"/>
      <c r="AO361" s="2" t="n"/>
      <c r="AP361" s="2" t="n"/>
      <c r="AQ361" s="2" t="n"/>
    </row>
    <row r="362">
      <c r="A362" t="n">
        <v>361</v>
      </c>
      <c r="B362" s="2" t="inlineStr">
        <is>
          <t>Mohit..</t>
        </is>
      </c>
      <c r="C362" s="3" t="n">
        <v>6367769663</v>
      </c>
      <c r="D362" s="2" t="inlineStr">
        <is>
          <t>PROV1000000260</t>
        </is>
      </c>
      <c r="E362" s="2" t="inlineStr">
        <is>
          <t>ADYPU</t>
        </is>
      </c>
      <c r="F362" s="2" t="inlineStr">
        <is>
          <t>Drop</t>
        </is>
      </c>
      <c r="G362" s="2" t="n"/>
      <c r="H362" s="2" t="n"/>
      <c r="I362" s="2" t="n"/>
      <c r="J362" s="2" t="n"/>
      <c r="K362" s="2" t="n"/>
      <c r="L362" s="2" t="n"/>
      <c r="M362" s="2" t="n"/>
      <c r="N362" s="2" t="n"/>
      <c r="O362" s="2" t="n"/>
      <c r="P362" s="2" t="n"/>
      <c r="Q362" s="2" t="n"/>
      <c r="R362" s="2" t="n"/>
      <c r="S362" s="2" t="n"/>
      <c r="T362" s="2" t="n"/>
      <c r="U362" s="2" t="inlineStr">
        <is>
          <t>Refund</t>
        </is>
      </c>
      <c r="V362" s="2" t="n"/>
      <c r="W362" s="2" t="n"/>
      <c r="X362" s="2" t="n"/>
      <c r="Y362" s="2" t="n"/>
      <c r="Z362" s="2" t="n"/>
      <c r="AA362" s="2" t="inlineStr">
        <is>
          <t>Refund case</t>
        </is>
      </c>
      <c r="AB362" s="2" t="inlineStr">
        <is>
          <t>Refund case</t>
        </is>
      </c>
      <c r="AC362" s="2" t="n"/>
      <c r="AD362" s="2" t="n"/>
      <c r="AE362" s="2" t="n"/>
      <c r="AF362" s="2" t="n"/>
      <c r="AG362" s="2" t="n"/>
      <c r="AH362" s="2" t="n"/>
      <c r="AI362" s="2" t="n"/>
      <c r="AJ362" s="2" t="n"/>
      <c r="AK362" s="2" t="n"/>
      <c r="AL362" s="2" t="n"/>
      <c r="AM362" s="2" t="n"/>
      <c r="AN362" s="2" t="n"/>
      <c r="AO362" s="2" t="n"/>
      <c r="AP362" s="2" t="n"/>
      <c r="AQ362" s="2" t="n"/>
    </row>
    <row r="363">
      <c r="A363" t="n">
        <v>362</v>
      </c>
      <c r="B363" s="2" t="inlineStr">
        <is>
          <t>Chaitanya Gupta</t>
        </is>
      </c>
      <c r="C363" s="3" t="n">
        <v>9920871231</v>
      </c>
      <c r="D363" s="2" t="inlineStr">
        <is>
          <t>PROV260502162</t>
        </is>
      </c>
      <c r="E363" s="2" t="inlineStr">
        <is>
          <t>SSHAE</t>
        </is>
      </c>
      <c r="F363" s="2" t="inlineStr">
        <is>
          <t>Drop</t>
        </is>
      </c>
      <c r="G363" s="2" t="n"/>
      <c r="H363" s="2" t="n"/>
      <c r="I363" s="2" t="n"/>
      <c r="J363" s="2" t="n"/>
      <c r="K363" s="2" t="n"/>
      <c r="L363" s="2" t="n"/>
      <c r="M363" s="2" t="n"/>
      <c r="N363" s="2" t="n"/>
      <c r="O363" s="2" t="n"/>
      <c r="P363" s="2" t="n"/>
      <c r="Q363" s="2" t="n"/>
      <c r="R363" s="2" t="n"/>
      <c r="S363" s="2" t="n"/>
      <c r="T363" s="2" t="n"/>
      <c r="U363" s="2" t="inlineStr">
        <is>
          <t>Refund</t>
        </is>
      </c>
      <c r="V363" s="2" t="n"/>
      <c r="W363" s="2" t="n"/>
      <c r="X363" s="2" t="n"/>
      <c r="Y363" s="2" t="n"/>
      <c r="Z363" s="2" t="n"/>
      <c r="AA363" s="2" t="inlineStr">
        <is>
          <t>Refund case</t>
        </is>
      </c>
      <c r="AB363" s="2" t="inlineStr">
        <is>
          <t>Refund case</t>
        </is>
      </c>
      <c r="AC363" s="2" t="n"/>
      <c r="AD363" s="2" t="n"/>
      <c r="AE363" s="2" t="n"/>
      <c r="AF363" s="2" t="n"/>
      <c r="AG363" s="2" t="n"/>
      <c r="AH363" s="2" t="n"/>
      <c r="AI363" s="2" t="n"/>
      <c r="AJ363" s="2" t="n"/>
      <c r="AK363" s="2" t="n"/>
      <c r="AL363" s="2" t="n"/>
      <c r="AM363" s="2" t="n"/>
      <c r="AN363" s="2" t="n"/>
      <c r="AO363" s="2" t="n"/>
      <c r="AP363" s="2" t="n"/>
      <c r="AQ363" s="2" t="n"/>
    </row>
    <row r="364">
      <c r="A364" t="n">
        <v>363</v>
      </c>
      <c r="B364" s="2" t="inlineStr">
        <is>
          <t>DEEPANSHU</t>
        </is>
      </c>
      <c r="C364" s="3" t="n">
        <v>7988369914</v>
      </c>
      <c r="D364" s="2" t="inlineStr">
        <is>
          <t>PROV260504814</t>
        </is>
      </c>
      <c r="E364" s="2" t="inlineStr">
        <is>
          <t>SSHAE</t>
        </is>
      </c>
      <c r="F364" s="2" t="inlineStr">
        <is>
          <t>Drop</t>
        </is>
      </c>
      <c r="G364" s="2" t="n"/>
      <c r="H364" s="2" t="n"/>
      <c r="I364" s="2" t="n"/>
      <c r="J364" s="2" t="n"/>
      <c r="K364" s="2" t="n"/>
      <c r="L364" s="2" t="n"/>
      <c r="M364" s="2" t="n"/>
      <c r="N364" s="2" t="n"/>
      <c r="O364" s="2" t="n"/>
      <c r="P364" s="2" t="n"/>
      <c r="Q364" s="2" t="n"/>
      <c r="R364" s="2" t="n"/>
      <c r="S364" s="2" t="n"/>
      <c r="T364" s="2" t="n"/>
      <c r="U364" s="2" t="inlineStr">
        <is>
          <t>Refund</t>
        </is>
      </c>
      <c r="V364" s="2" t="n"/>
      <c r="W364" s="2" t="n"/>
      <c r="X364" s="2" t="n"/>
      <c r="Y364" s="2" t="n"/>
      <c r="Z364" s="2" t="n"/>
      <c r="AA364" s="2" t="inlineStr">
        <is>
          <t>Refund case</t>
        </is>
      </c>
      <c r="AB364" s="2" t="inlineStr">
        <is>
          <t>Refund case</t>
        </is>
      </c>
      <c r="AC364" s="2" t="n"/>
      <c r="AD364" s="2" t="n"/>
      <c r="AE364" s="2" t="n"/>
      <c r="AF364" s="2" t="n"/>
      <c r="AG364" s="2" t="n"/>
      <c r="AH364" s="2" t="n"/>
      <c r="AI364" s="2" t="n"/>
      <c r="AJ364" s="2" t="n"/>
      <c r="AK364" s="2" t="n"/>
      <c r="AL364" s="2" t="n"/>
      <c r="AM364" s="2" t="n"/>
      <c r="AN364" s="2" t="n"/>
      <c r="AO364" s="2" t="n"/>
      <c r="AP364" s="2" t="n"/>
      <c r="AQ364" s="2" t="n"/>
    </row>
    <row r="365">
      <c r="A365" t="n">
        <v>364</v>
      </c>
      <c r="B365" s="2" t="inlineStr">
        <is>
          <t>Tamanna Gupta</t>
        </is>
      </c>
      <c r="C365" s="3" t="n">
        <v>9555636552</v>
      </c>
      <c r="D365" s="2" t="inlineStr">
        <is>
          <t>PROV260503927</t>
        </is>
      </c>
      <c r="E365" s="2" t="inlineStr">
        <is>
          <t>SSHAE</t>
        </is>
      </c>
      <c r="F365" s="2" t="inlineStr">
        <is>
          <t>Drop</t>
        </is>
      </c>
      <c r="G365" s="2" t="n"/>
      <c r="H365" s="2" t="n"/>
      <c r="I365" s="2" t="n"/>
      <c r="J365" s="2" t="n"/>
      <c r="K365" s="2" t="n"/>
      <c r="L365" s="2" t="n"/>
      <c r="M365" s="2" t="n"/>
      <c r="N365" s="2" t="n"/>
      <c r="O365" s="2" t="n"/>
      <c r="P365" s="2" t="n"/>
      <c r="Q365" s="2" t="n"/>
      <c r="R365" s="2" t="n"/>
      <c r="S365" s="2" t="n"/>
      <c r="T365" s="2" t="n"/>
      <c r="U365" s="2" t="inlineStr">
        <is>
          <t>Refund</t>
        </is>
      </c>
      <c r="V365" s="2" t="n"/>
      <c r="W365" s="2" t="n"/>
      <c r="X365" s="2" t="n"/>
      <c r="Y365" s="2" t="n"/>
      <c r="Z365" s="2" t="n"/>
      <c r="AA365" s="2" t="inlineStr">
        <is>
          <t>Refund case</t>
        </is>
      </c>
      <c r="AB365" s="2" t="inlineStr">
        <is>
          <t>Refund case</t>
        </is>
      </c>
      <c r="AC365" s="2" t="n"/>
      <c r="AD365" s="2" t="n"/>
      <c r="AE365" s="2" t="n"/>
      <c r="AF365" s="2" t="n"/>
      <c r="AG365" s="2" t="n"/>
      <c r="AH365" s="2" t="n"/>
      <c r="AI365" s="2" t="n"/>
      <c r="AJ365" s="2" t="n"/>
      <c r="AK365" s="2" t="n"/>
      <c r="AL365" s="2" t="n"/>
      <c r="AM365" s="2" t="n"/>
      <c r="AN365" s="2" t="n"/>
      <c r="AO365" s="2" t="n"/>
      <c r="AP365" s="2" t="n"/>
      <c r="AQ365" s="2" t="n"/>
    </row>
    <row r="366">
      <c r="A366" t="n">
        <v>365</v>
      </c>
      <c r="B366" s="2" t="inlineStr">
        <is>
          <t>Swayam Pragyan Panigrahi</t>
        </is>
      </c>
      <c r="C366" s="3" t="n">
        <v>8080832804</v>
      </c>
      <c r="D366" s="2" t="inlineStr">
        <is>
          <t>PROV260503531</t>
        </is>
      </c>
      <c r="E366" s="2" t="inlineStr">
        <is>
          <t>ADYPU</t>
        </is>
      </c>
      <c r="F366" s="2" t="inlineStr">
        <is>
          <t>Drop</t>
        </is>
      </c>
      <c r="G366" s="2" t="n"/>
      <c r="H366" s="2" t="n"/>
      <c r="I366" s="2" t="n"/>
      <c r="J366" s="2" t="n"/>
      <c r="K366" s="2" t="n"/>
      <c r="L366" s="2" t="n"/>
      <c r="M366" s="2" t="n"/>
      <c r="N366" s="2" t="n"/>
      <c r="O366" s="2" t="n"/>
      <c r="P366" s="2" t="n"/>
      <c r="Q366" s="2" t="n"/>
      <c r="R366" s="2" t="n"/>
      <c r="S366" s="2" t="n"/>
      <c r="T366" s="2" t="n"/>
      <c r="U366" s="2" t="inlineStr">
        <is>
          <t>Refund</t>
        </is>
      </c>
      <c r="V366" s="2" t="n"/>
      <c r="W366" s="2" t="n"/>
      <c r="X366" s="2" t="n"/>
      <c r="Y366" s="2" t="n"/>
      <c r="Z366" s="2" t="n"/>
      <c r="AA366" s="2" t="inlineStr">
        <is>
          <t>Refund case</t>
        </is>
      </c>
      <c r="AB366" s="2" t="inlineStr">
        <is>
          <t>Refund case</t>
        </is>
      </c>
      <c r="AC366" s="2" t="n"/>
      <c r="AD366" s="2" t="n"/>
      <c r="AE366" s="2" t="n"/>
      <c r="AF366" s="2" t="n"/>
      <c r="AG366" s="2" t="n"/>
      <c r="AH366" s="2" t="n"/>
      <c r="AI366" s="2" t="n"/>
      <c r="AJ366" s="2" t="n"/>
      <c r="AK366" s="2" t="n"/>
      <c r="AL366" s="2" t="n"/>
      <c r="AM366" s="2" t="n"/>
      <c r="AN366" s="2" t="n"/>
      <c r="AO366" s="2" t="n"/>
      <c r="AP366" s="2" t="n"/>
      <c r="AQ366" s="2" t="n"/>
    </row>
    <row r="367">
      <c r="A367" t="n">
        <v>366</v>
      </c>
      <c r="B367" s="2" t="inlineStr">
        <is>
          <t>Sanika</t>
        </is>
      </c>
      <c r="C367" s="3" t="n">
        <v>9672700464</v>
      </c>
      <c r="D367" s="2" t="inlineStr">
        <is>
          <t>PROV1000000447</t>
        </is>
      </c>
      <c r="E367" s="2" t="inlineStr">
        <is>
          <t>ADYPU</t>
        </is>
      </c>
      <c r="F367" s="2" t="inlineStr">
        <is>
          <t>Drop</t>
        </is>
      </c>
      <c r="G367" s="2" t="n"/>
      <c r="H367" s="2" t="n"/>
      <c r="I367" s="2" t="n"/>
      <c r="J367" s="2" t="n"/>
      <c r="K367" s="2" t="n"/>
      <c r="L367" s="2" t="n"/>
      <c r="M367" s="2" t="n"/>
      <c r="N367" s="2" t="n"/>
      <c r="O367" s="2" t="n"/>
      <c r="P367" s="2" t="n"/>
      <c r="Q367" s="2" t="n"/>
      <c r="R367" s="2" t="n"/>
      <c r="S367" s="2" t="n"/>
      <c r="T367" s="2" t="n"/>
      <c r="U367" s="2" t="inlineStr">
        <is>
          <t>Refund</t>
        </is>
      </c>
      <c r="V367" s="2" t="n"/>
      <c r="W367" s="2" t="n"/>
      <c r="X367" s="2" t="n"/>
      <c r="Y367" s="2" t="n"/>
      <c r="Z367" s="2" t="n"/>
      <c r="AA367" s="2" t="inlineStr">
        <is>
          <t>Refund case</t>
        </is>
      </c>
      <c r="AB367" s="2" t="inlineStr">
        <is>
          <t>Refund case</t>
        </is>
      </c>
      <c r="AC367" s="2" t="n"/>
      <c r="AD367" s="2" t="n"/>
      <c r="AE367" s="2" t="n"/>
      <c r="AF367" s="2" t="n"/>
      <c r="AG367" s="2" t="n"/>
      <c r="AH367" s="2" t="n"/>
      <c r="AI367" s="2" t="n"/>
      <c r="AJ367" s="2" t="n"/>
      <c r="AK367" s="2" t="n"/>
      <c r="AL367" s="2" t="n"/>
      <c r="AM367" s="2" t="n"/>
      <c r="AN367" s="2" t="n"/>
      <c r="AO367" s="2" t="n"/>
      <c r="AP367" s="2" t="n"/>
      <c r="AQ367" s="2" t="n"/>
    </row>
    <row r="368">
      <c r="A368" t="n">
        <v>367</v>
      </c>
      <c r="B368" s="2" t="inlineStr">
        <is>
          <t>Naman Pandey</t>
        </is>
      </c>
      <c r="C368" s="3" t="n">
        <v>9599819061</v>
      </c>
      <c r="D368" s="2" t="inlineStr">
        <is>
          <t>PROV260506541</t>
        </is>
      </c>
      <c r="E368" s="2" t="inlineStr">
        <is>
          <t>SSHAE</t>
        </is>
      </c>
      <c r="F368" s="2" t="inlineStr">
        <is>
          <t>No</t>
        </is>
      </c>
      <c r="G368" s="2" t="inlineStr">
        <is>
          <t>Loan not required</t>
        </is>
      </c>
      <c r="H368" s="2" t="n"/>
      <c r="I368" s="2" t="n"/>
      <c r="J368" s="2" t="n"/>
      <c r="K368" s="2" t="n"/>
      <c r="L368" s="2" t="n"/>
      <c r="M368" s="2" t="n"/>
      <c r="N368" s="2" t="n"/>
      <c r="O368" s="2" t="n"/>
      <c r="P368" s="2" t="n"/>
      <c r="Q368" s="2" t="n"/>
      <c r="R368" s="2" t="n"/>
      <c r="S368" s="2" t="n"/>
      <c r="T368" s="2" t="n"/>
      <c r="U368" s="2" t="inlineStr">
        <is>
          <t>No</t>
        </is>
      </c>
      <c r="V368" s="2" t="n"/>
      <c r="W368" s="2" t="n"/>
      <c r="X368" s="2" t="n"/>
      <c r="Y368" s="2" t="n"/>
      <c r="Z368" s="2" t="n"/>
      <c r="AA368" s="2" t="inlineStr">
        <is>
          <t>Not required</t>
        </is>
      </c>
      <c r="AB368" s="2" t="inlineStr">
        <is>
          <t>Not required</t>
        </is>
      </c>
      <c r="AC368" s="2" t="n"/>
      <c r="AD368" s="2" t="n"/>
      <c r="AE368" s="2" t="n"/>
      <c r="AF368" s="2" t="n"/>
      <c r="AG368" s="2" t="inlineStr">
        <is>
          <t>Not required</t>
        </is>
      </c>
      <c r="AH368" s="2" t="n"/>
      <c r="AI368" s="2" t="n"/>
      <c r="AJ368" s="2" t="n"/>
      <c r="AK368" s="2" t="n"/>
      <c r="AL368" s="2" t="n"/>
      <c r="AM368" s="2" t="n"/>
      <c r="AN368" s="2" t="n"/>
      <c r="AO368" s="2" t="n"/>
      <c r="AP368" s="2" t="n"/>
      <c r="AQ368" s="2" t="n"/>
    </row>
    <row r="369">
      <c r="A369" t="n">
        <v>368</v>
      </c>
      <c r="B369" s="2" t="inlineStr">
        <is>
          <t>JINISHA TIKARIHA</t>
        </is>
      </c>
      <c r="C369" s="3" t="n">
        <v>8602864310</v>
      </c>
      <c r="D369" s="2" t="inlineStr">
        <is>
          <t>PROV260505028</t>
        </is>
      </c>
      <c r="E369" s="2" t="inlineStr">
        <is>
          <t>ADYPU</t>
        </is>
      </c>
      <c r="F369" s="2" t="inlineStr">
        <is>
          <t>Drop</t>
        </is>
      </c>
      <c r="G369" s="2" t="n"/>
      <c r="H369" s="2" t="n"/>
      <c r="I369" s="2" t="n"/>
      <c r="J369" s="2" t="n"/>
      <c r="K369" s="2" t="n"/>
      <c r="L369" s="2" t="n"/>
      <c r="M369" s="2" t="n"/>
      <c r="N369" s="2" t="n"/>
      <c r="O369" s="2" t="n"/>
      <c r="P369" s="2" t="n"/>
      <c r="Q369" s="2" t="n"/>
      <c r="R369" s="2" t="n"/>
      <c r="S369" s="2" t="n"/>
      <c r="T369" s="2" t="n"/>
      <c r="U369" s="2" t="inlineStr">
        <is>
          <t>Refund</t>
        </is>
      </c>
      <c r="V369" s="2" t="n"/>
      <c r="W369" s="2" t="n"/>
      <c r="X369" s="2" t="n"/>
      <c r="Y369" s="2" t="n"/>
      <c r="Z369" s="2" t="n"/>
      <c r="AA369" s="2" t="inlineStr">
        <is>
          <t>Refund case</t>
        </is>
      </c>
      <c r="AB369" s="2" t="inlineStr">
        <is>
          <t>Refund case</t>
        </is>
      </c>
      <c r="AC369" s="2" t="n"/>
      <c r="AD369" s="2" t="n"/>
      <c r="AE369" s="2" t="n"/>
      <c r="AF369" s="2" t="n"/>
      <c r="AG369" s="2" t="n"/>
      <c r="AH369" s="2" t="n"/>
      <c r="AI369" s="2" t="n"/>
      <c r="AJ369" s="2" t="n"/>
      <c r="AK369" s="2" t="n"/>
      <c r="AL369" s="2" t="n"/>
      <c r="AM369" s="2" t="n"/>
      <c r="AN369" s="2" t="n"/>
      <c r="AO369" s="2" t="n"/>
      <c r="AP369" s="2" t="n"/>
      <c r="AQ369" s="2" t="n"/>
    </row>
    <row r="370">
      <c r="A370" t="n">
        <v>369</v>
      </c>
      <c r="B370" s="2" t="inlineStr">
        <is>
          <t>Shubham Vishe</t>
        </is>
      </c>
      <c r="C370" s="3" t="n">
        <v>8087531744</v>
      </c>
      <c r="D370" s="2" t="inlineStr">
        <is>
          <t>PROV260504965</t>
        </is>
      </c>
      <c r="E370" s="2" t="inlineStr">
        <is>
          <t>ADYPU</t>
        </is>
      </c>
      <c r="F370" s="2" t="inlineStr">
        <is>
          <t>Drop</t>
        </is>
      </c>
      <c r="G370" s="2" t="n"/>
      <c r="H370" s="2" t="n"/>
      <c r="I370" s="2" t="n"/>
      <c r="J370" s="2" t="n"/>
      <c r="K370" s="2" t="n"/>
      <c r="L370" s="2" t="n"/>
      <c r="M370" s="2" t="n"/>
      <c r="N370" s="2" t="n"/>
      <c r="O370" s="2" t="n"/>
      <c r="P370" s="2" t="n"/>
      <c r="Q370" s="2" t="n"/>
      <c r="R370" s="2" t="n"/>
      <c r="S370" s="2" t="n"/>
      <c r="T370" s="2" t="n"/>
      <c r="U370" s="2" t="inlineStr">
        <is>
          <t>Refund</t>
        </is>
      </c>
      <c r="V370" s="2" t="n"/>
      <c r="W370" s="2" t="n"/>
      <c r="X370" s="2" t="n"/>
      <c r="Y370" s="2" t="n"/>
      <c r="Z370" s="2" t="n"/>
      <c r="AA370" s="2" t="inlineStr">
        <is>
          <t>Refund case</t>
        </is>
      </c>
      <c r="AB370" s="2" t="inlineStr">
        <is>
          <t>Refund case</t>
        </is>
      </c>
      <c r="AC370" s="2" t="n"/>
      <c r="AD370" s="2" t="n"/>
      <c r="AE370" s="2" t="n"/>
      <c r="AF370" s="2" t="n"/>
      <c r="AG370" s="2" t="n"/>
      <c r="AH370" s="2" t="n"/>
      <c r="AI370" s="2" t="n"/>
      <c r="AJ370" s="2" t="n"/>
      <c r="AK370" s="2" t="n"/>
      <c r="AL370" s="2" t="n"/>
      <c r="AM370" s="2" t="n"/>
      <c r="AN370" s="2" t="n"/>
      <c r="AO370" s="2" t="n"/>
      <c r="AP370" s="2" t="n"/>
      <c r="AQ370" s="2" t="n"/>
    </row>
    <row r="371">
      <c r="A371" t="n">
        <v>370</v>
      </c>
      <c r="B371" s="2" t="inlineStr">
        <is>
          <t>Ishant</t>
        </is>
      </c>
      <c r="C371" s="3" t="n">
        <v>9468684626</v>
      </c>
      <c r="D371" s="2" t="inlineStr">
        <is>
          <t>PROV260615424</t>
        </is>
      </c>
      <c r="E371" s="2" t="inlineStr">
        <is>
          <t>SSHAE</t>
        </is>
      </c>
      <c r="F371" s="2" t="inlineStr">
        <is>
          <t>No</t>
        </is>
      </c>
      <c r="G371" s="2" t="inlineStr">
        <is>
          <t>Loan not required</t>
        </is>
      </c>
      <c r="H371" s="2" t="n"/>
      <c r="I371" s="2" t="n"/>
      <c r="J371" s="2" t="n"/>
      <c r="K371" s="2" t="n"/>
      <c r="L371" s="2" t="n"/>
      <c r="M371" s="2" t="n"/>
      <c r="N371" s="2" t="n"/>
      <c r="O371" s="2" t="n"/>
      <c r="P371" s="2" t="n"/>
      <c r="Q371" s="2" t="n"/>
      <c r="R371" s="2" t="n"/>
      <c r="S371" s="2" t="n"/>
      <c r="T371" s="2" t="n"/>
      <c r="U371" s="2" t="inlineStr">
        <is>
          <t>No</t>
        </is>
      </c>
      <c r="V371" s="2" t="n"/>
      <c r="W371" s="2" t="n"/>
      <c r="X371" s="2" t="n"/>
      <c r="Y371" s="2" t="n"/>
      <c r="Z371" s="2" t="n"/>
      <c r="AA371" s="2" t="inlineStr">
        <is>
          <t>Not required</t>
        </is>
      </c>
      <c r="AB371" s="2" t="inlineStr">
        <is>
          <t>Not required</t>
        </is>
      </c>
      <c r="AC371" s="2" t="n"/>
      <c r="AD371" s="2" t="n"/>
      <c r="AE371" s="2" t="n"/>
      <c r="AF371" s="2" t="n"/>
      <c r="AG371" s="2" t="inlineStr">
        <is>
          <t>Not required</t>
        </is>
      </c>
      <c r="AH371" s="2" t="n"/>
      <c r="AI371" s="2" t="n"/>
      <c r="AJ371" s="2" t="n"/>
      <c r="AK371" s="2" t="n"/>
      <c r="AL371" s="2" t="n"/>
      <c r="AM371" s="2" t="n"/>
      <c r="AN371" s="2" t="n"/>
      <c r="AO371" s="2" t="n"/>
      <c r="AP371" s="2" t="n"/>
      <c r="AQ371" s="2" t="n"/>
    </row>
    <row r="372">
      <c r="A372" t="n">
        <v>371</v>
      </c>
      <c r="B372" s="2" t="inlineStr">
        <is>
          <t>Aryan Shukla</t>
        </is>
      </c>
      <c r="C372" s="3" t="n">
        <v>7693919069</v>
      </c>
      <c r="D372" s="2" t="inlineStr">
        <is>
          <t>PROV1000000306</t>
        </is>
      </c>
      <c r="E372" s="2" t="inlineStr">
        <is>
          <t>SSHAE</t>
        </is>
      </c>
      <c r="F372" s="2" t="inlineStr">
        <is>
          <t>No</t>
        </is>
      </c>
      <c r="G372" s="2" t="inlineStr">
        <is>
          <t>Loan not required</t>
        </is>
      </c>
      <c r="H372" s="2" t="n"/>
      <c r="I372" s="2" t="n"/>
      <c r="J372" s="2" t="n"/>
      <c r="K372" s="2" t="n"/>
      <c r="L372" s="2" t="n"/>
      <c r="M372" s="2" t="n"/>
      <c r="N372" s="2" t="n"/>
      <c r="O372" s="2" t="n"/>
      <c r="P372" s="2" t="n"/>
      <c r="Q372" s="2" t="n"/>
      <c r="R372" s="2" t="n"/>
      <c r="S372" s="2" t="n"/>
      <c r="T372" s="2" t="n"/>
      <c r="U372" s="2" t="inlineStr">
        <is>
          <t>No</t>
        </is>
      </c>
      <c r="V372" s="2" t="n"/>
      <c r="W372" s="2" t="n"/>
      <c r="X372" s="2" t="n"/>
      <c r="Y372" s="2" t="n"/>
      <c r="Z372" s="2" t="n"/>
      <c r="AA372" s="2" t="inlineStr">
        <is>
          <t>Not required</t>
        </is>
      </c>
      <c r="AB372" s="2" t="inlineStr">
        <is>
          <t>Not required</t>
        </is>
      </c>
      <c r="AC372" s="2" t="n"/>
      <c r="AD372" s="2" t="n"/>
      <c r="AE372" s="2" t="n"/>
      <c r="AF372" s="2" t="n"/>
      <c r="AG372" s="2" t="inlineStr">
        <is>
          <t>Not required</t>
        </is>
      </c>
      <c r="AH372" s="2" t="n"/>
      <c r="AI372" s="2" t="n"/>
      <c r="AJ372" s="2" t="n"/>
      <c r="AK372" s="2" t="n"/>
      <c r="AL372" s="2" t="n"/>
      <c r="AM372" s="2" t="n"/>
      <c r="AN372" s="2" t="n"/>
      <c r="AO372" s="2" t="n"/>
      <c r="AP372" s="2" t="n"/>
      <c r="AQ372" s="2" t="n"/>
    </row>
    <row r="373">
      <c r="A373" t="n">
        <v>372</v>
      </c>
      <c r="B373" s="2" t="inlineStr">
        <is>
          <t>Swapnil chourasiya</t>
        </is>
      </c>
      <c r="C373" s="3" t="n">
        <v>7067981321</v>
      </c>
      <c r="D373" s="2" t="inlineStr">
        <is>
          <t>PROV260610944</t>
        </is>
      </c>
      <c r="E373" s="2" t="inlineStr">
        <is>
          <t>SSHAE</t>
        </is>
      </c>
      <c r="F373" s="2" t="inlineStr">
        <is>
          <t>Drop</t>
        </is>
      </c>
      <c r="G373" s="2" t="n"/>
      <c r="H373" s="2" t="n"/>
      <c r="I373" s="2" t="n"/>
      <c r="J373" s="2" t="n"/>
      <c r="K373" s="2" t="n"/>
      <c r="L373" s="2" t="n"/>
      <c r="M373" s="2" t="n"/>
      <c r="N373" s="2" t="n"/>
      <c r="O373" s="2" t="n"/>
      <c r="P373" s="2" t="n"/>
      <c r="Q373" s="2" t="n"/>
      <c r="R373" s="2" t="n"/>
      <c r="S373" s="2" t="n"/>
      <c r="T373" s="2" t="n"/>
      <c r="U373" s="2" t="inlineStr">
        <is>
          <t>Refund</t>
        </is>
      </c>
      <c r="V373" s="2" t="n"/>
      <c r="W373" s="2" t="n"/>
      <c r="X373" s="2" t="n"/>
      <c r="Y373" s="2" t="n"/>
      <c r="Z373" s="2" t="n"/>
      <c r="AA373" s="2" t="inlineStr">
        <is>
          <t>Refund case</t>
        </is>
      </c>
      <c r="AB373" s="2" t="inlineStr">
        <is>
          <t>Refund case</t>
        </is>
      </c>
      <c r="AC373" s="2" t="n"/>
      <c r="AD373" s="2" t="n"/>
      <c r="AE373" s="2" t="n"/>
      <c r="AF373" s="2" t="n"/>
      <c r="AG373" s="2" t="n"/>
      <c r="AH373" s="2" t="n"/>
      <c r="AI373" s="2" t="n"/>
      <c r="AJ373" s="2" t="n"/>
      <c r="AK373" s="2" t="n"/>
      <c r="AL373" s="2" t="n"/>
      <c r="AM373" s="2" t="n"/>
      <c r="AN373" s="2" t="n"/>
      <c r="AO373" s="2" t="n"/>
      <c r="AP373" s="2" t="n"/>
      <c r="AQ373" s="2" t="n"/>
    </row>
    <row r="374">
      <c r="A374" t="n">
        <v>373</v>
      </c>
      <c r="B374" s="2" t="inlineStr">
        <is>
          <t>Shivani rai</t>
        </is>
      </c>
      <c r="C374" s="3" t="n">
        <v>6203834028</v>
      </c>
      <c r="D374" s="2" t="inlineStr">
        <is>
          <t>PROV260615561</t>
        </is>
      </c>
      <c r="E374" s="2" t="inlineStr">
        <is>
          <t>SSHAE</t>
        </is>
      </c>
      <c r="F374" s="2" t="inlineStr">
        <is>
          <t>No</t>
        </is>
      </c>
      <c r="G374" s="2" t="inlineStr">
        <is>
          <t>Loan not required</t>
        </is>
      </c>
      <c r="H374" s="2" t="n"/>
      <c r="I374" s="2" t="n"/>
      <c r="J374" s="2" t="n"/>
      <c r="K374" s="2" t="n"/>
      <c r="L374" s="2" t="n"/>
      <c r="M374" s="2" t="n"/>
      <c r="N374" s="2" t="n"/>
      <c r="O374" s="2" t="n"/>
      <c r="P374" s="2" t="n"/>
      <c r="Q374" s="2" t="n"/>
      <c r="R374" s="2" t="n"/>
      <c r="S374" s="2" t="n"/>
      <c r="T374" s="2" t="n"/>
      <c r="U374" s="2" t="inlineStr">
        <is>
          <t>No</t>
        </is>
      </c>
      <c r="V374" s="2" t="n"/>
      <c r="W374" s="2" t="n"/>
      <c r="X374" s="2" t="n"/>
      <c r="Y374" s="2" t="n"/>
      <c r="Z374" s="2" t="n"/>
      <c r="AA374" s="2" t="inlineStr">
        <is>
          <t>Not required</t>
        </is>
      </c>
      <c r="AB374" s="2" t="inlineStr">
        <is>
          <t>Not required</t>
        </is>
      </c>
      <c r="AC374" s="2" t="n"/>
      <c r="AD374" s="2" t="n"/>
      <c r="AE374" s="2" t="n"/>
      <c r="AF374" s="2" t="n"/>
      <c r="AG374" s="2" t="inlineStr">
        <is>
          <t>Not required</t>
        </is>
      </c>
      <c r="AH374" s="2" t="n"/>
      <c r="AI374" s="2" t="n"/>
      <c r="AJ374" s="2" t="n"/>
      <c r="AK374" s="2" t="n"/>
      <c r="AL374" s="2" t="n"/>
      <c r="AM374" s="2" t="n"/>
      <c r="AN374" s="2" t="n"/>
      <c r="AO374" s="2" t="n"/>
      <c r="AP374" s="2" t="n"/>
      <c r="AQ374" s="2" t="n"/>
    </row>
    <row r="375">
      <c r="A375" t="n">
        <v>374</v>
      </c>
      <c r="B375" s="2" t="inlineStr">
        <is>
          <t>Himanshu</t>
        </is>
      </c>
      <c r="C375" s="3" t="n">
        <v>9416488524</v>
      </c>
      <c r="D375" s="2" t="inlineStr">
        <is>
          <t>PROV260612022</t>
        </is>
      </c>
      <c r="E375" s="2" t="inlineStr">
        <is>
          <t>SSHAE</t>
        </is>
      </c>
      <c r="F375" s="2" t="inlineStr">
        <is>
          <t>No</t>
        </is>
      </c>
      <c r="G375" s="2" t="inlineStr">
        <is>
          <t>Loan not required</t>
        </is>
      </c>
      <c r="H375" s="2" t="n"/>
      <c r="I375" s="2" t="n"/>
      <c r="J375" s="2" t="n"/>
      <c r="K375" s="2" t="n"/>
      <c r="L375" s="2" t="n"/>
      <c r="M375" s="2" t="n"/>
      <c r="N375" s="2" t="n"/>
      <c r="O375" s="2" t="n"/>
      <c r="P375" s="2" t="n"/>
      <c r="Q375" s="2" t="n"/>
      <c r="R375" s="2" t="n"/>
      <c r="S375" s="2" t="n"/>
      <c r="T375" s="2" t="n"/>
      <c r="U375" s="2" t="inlineStr">
        <is>
          <t>No</t>
        </is>
      </c>
      <c r="V375" s="2" t="n"/>
      <c r="W375" s="2" t="n"/>
      <c r="X375" s="2" t="n"/>
      <c r="Y375" s="2" t="n"/>
      <c r="Z375" s="2" t="n"/>
      <c r="AA375" s="2" t="inlineStr">
        <is>
          <t>Not required</t>
        </is>
      </c>
      <c r="AB375" s="2" t="inlineStr">
        <is>
          <t>Not required</t>
        </is>
      </c>
      <c r="AC375" s="2" t="n"/>
      <c r="AD375" s="2" t="n"/>
      <c r="AE375" s="2" t="n"/>
      <c r="AF375" s="2" t="n"/>
      <c r="AG375" s="2" t="inlineStr">
        <is>
          <t>Not required</t>
        </is>
      </c>
      <c r="AH375" s="2" t="n"/>
      <c r="AI375" s="2" t="n"/>
      <c r="AJ375" s="2" t="n"/>
      <c r="AK375" s="2" t="n"/>
      <c r="AL375" s="2" t="n"/>
      <c r="AM375" s="2" t="n"/>
      <c r="AN375" s="2" t="n"/>
      <c r="AO375" s="2" t="n"/>
      <c r="AP375" s="2" t="n"/>
      <c r="AQ375" s="2" t="n"/>
    </row>
    <row r="376">
      <c r="A376" t="n">
        <v>375</v>
      </c>
      <c r="B376" s="2" t="inlineStr">
        <is>
          <t>Prem Parakhe</t>
        </is>
      </c>
      <c r="C376" s="3" t="n">
        <v>7558479907</v>
      </c>
      <c r="D376" s="2" t="inlineStr">
        <is>
          <t>PROV260615552</t>
        </is>
      </c>
      <c r="E376" s="2" t="inlineStr">
        <is>
          <t>SSHAE</t>
        </is>
      </c>
      <c r="F376" s="2" t="inlineStr">
        <is>
          <t>DNR</t>
        </is>
      </c>
      <c r="G376" s="2" t="n"/>
      <c r="H376" s="2" t="n"/>
      <c r="I376" s="2" t="n"/>
      <c r="J376" s="2" t="n"/>
      <c r="K376" s="2" t="n"/>
      <c r="L376" s="2" t="n"/>
      <c r="M376" s="2" t="n"/>
      <c r="N376" s="2" t="n"/>
      <c r="O376" s="2" t="n"/>
      <c r="P376" s="2" t="n"/>
      <c r="Q376" s="2" t="n"/>
      <c r="R376" s="2" t="n"/>
      <c r="S376" s="2" t="n"/>
      <c r="T376" s="2" t="inlineStr">
        <is>
          <t>24/7: DNP</t>
        </is>
      </c>
      <c r="U376" s="2" t="inlineStr">
        <is>
          <t>DNP</t>
        </is>
      </c>
      <c r="V376" s="2" t="n"/>
      <c r="W376" s="2" t="n"/>
      <c r="X376" s="2" t="n"/>
      <c r="Y376" s="2" t="n"/>
      <c r="Z376" s="2" t="n"/>
      <c r="AA376" s="2" t="inlineStr">
        <is>
          <t>DNP</t>
        </is>
      </c>
      <c r="AB376" s="2" t="inlineStr">
        <is>
          <t>DNP</t>
        </is>
      </c>
      <c r="AC376" s="2" t="n"/>
      <c r="AD376" s="2" t="n"/>
      <c r="AE376" s="2" t="n"/>
      <c r="AF376" s="2" t="n"/>
      <c r="AG376" s="2" t="inlineStr">
        <is>
          <t>Not even started</t>
        </is>
      </c>
      <c r="AH376" s="2" t="n"/>
      <c r="AI376" s="2" t="n"/>
      <c r="AJ376" s="2" t="n"/>
      <c r="AK376" s="2" t="n"/>
      <c r="AL376" s="2" t="n"/>
      <c r="AM376" s="2" t="n"/>
      <c r="AN376" s="2" t="n"/>
      <c r="AO376" s="2" t="n"/>
      <c r="AP376" s="2" t="n"/>
      <c r="AQ376" s="2" t="n"/>
    </row>
    <row r="377">
      <c r="A377" t="n">
        <v>376</v>
      </c>
      <c r="B377" s="2" t="inlineStr">
        <is>
          <t>Hemant Varhat</t>
        </is>
      </c>
      <c r="C377" s="3" t="n">
        <v>7340412173</v>
      </c>
      <c r="D377" s="2" t="inlineStr">
        <is>
          <t>PROV260506124</t>
        </is>
      </c>
      <c r="E377" s="2" t="inlineStr">
        <is>
          <t>SSHAE</t>
        </is>
      </c>
      <c r="F377" s="2" t="inlineStr">
        <is>
          <t>No</t>
        </is>
      </c>
      <c r="G377" s="2" t="inlineStr">
        <is>
          <t>Loan not required</t>
        </is>
      </c>
      <c r="H377" s="2" t="n"/>
      <c r="I377" s="2" t="n"/>
      <c r="J377" s="2" t="n"/>
      <c r="K377" s="2" t="n"/>
      <c r="L377" s="2" t="n"/>
      <c r="M377" s="2" t="n"/>
      <c r="N377" s="2" t="n"/>
      <c r="O377" s="2" t="n"/>
      <c r="P377" s="2" t="n"/>
      <c r="Q377" s="2" t="n"/>
      <c r="R377" s="2" t="n"/>
      <c r="S377" s="2" t="n"/>
      <c r="T377" s="2" t="n"/>
      <c r="U377" s="2" t="inlineStr">
        <is>
          <t>No</t>
        </is>
      </c>
      <c r="V377" s="2" t="n"/>
      <c r="W377" s="2" t="n"/>
      <c r="X377" s="2" t="n"/>
      <c r="Y377" s="2" t="n"/>
      <c r="Z377" s="2" t="n"/>
      <c r="AA377" s="2" t="inlineStr">
        <is>
          <t>Not required</t>
        </is>
      </c>
      <c r="AB377" s="2" t="inlineStr">
        <is>
          <t>Not required</t>
        </is>
      </c>
      <c r="AC377" s="2" t="n"/>
      <c r="AD377" s="2" t="n"/>
      <c r="AE377" s="2" t="n"/>
      <c r="AF377" s="2" t="n"/>
      <c r="AG377" s="2" t="inlineStr">
        <is>
          <t>Not required</t>
        </is>
      </c>
      <c r="AH377" s="2" t="n"/>
      <c r="AI377" s="2" t="n"/>
      <c r="AJ377" s="2" t="n"/>
      <c r="AK377" s="2" t="n"/>
      <c r="AL377" s="2" t="n"/>
      <c r="AM377" s="2" t="n"/>
      <c r="AN377" s="2" t="n"/>
      <c r="AO377" s="2" t="n"/>
      <c r="AP377" s="2" t="n"/>
      <c r="AQ377" s="2" t="n"/>
    </row>
    <row r="378">
      <c r="A378" t="n">
        <v>377</v>
      </c>
      <c r="B378" s="2" t="inlineStr">
        <is>
          <t>Shaurya Dhyani</t>
        </is>
      </c>
      <c r="C378" s="3" t="n">
        <v>8874277333</v>
      </c>
      <c r="D378" s="2" t="inlineStr">
        <is>
          <t>PROV260702164</t>
        </is>
      </c>
      <c r="E378" s="2" t="inlineStr">
        <is>
          <t>SSHAE</t>
        </is>
      </c>
      <c r="F378" s="2" t="inlineStr">
        <is>
          <t>No</t>
        </is>
      </c>
      <c r="G378" s="2" t="inlineStr">
        <is>
          <t>Loan not required</t>
        </is>
      </c>
      <c r="H378" s="2" t="n"/>
      <c r="I378" s="2" t="n"/>
      <c r="J378" s="2" t="n"/>
      <c r="K378" s="2" t="n"/>
      <c r="L378" s="2" t="n"/>
      <c r="M378" s="2" t="n"/>
      <c r="N378" s="2" t="n"/>
      <c r="O378" s="2" t="n"/>
      <c r="P378" s="2" t="n"/>
      <c r="Q378" s="2" t="n"/>
      <c r="R378" s="2" t="n"/>
      <c r="S378" s="2" t="n"/>
      <c r="T378" s="2" t="inlineStr">
        <is>
          <t>24/7: Dont want loan</t>
        </is>
      </c>
      <c r="U378" s="2" t="inlineStr">
        <is>
          <t>No</t>
        </is>
      </c>
      <c r="V378" s="2" t="n"/>
      <c r="W378" s="2" t="n"/>
      <c r="X378" s="2" t="n"/>
      <c r="Y378" s="2" t="n"/>
      <c r="Z378" s="2" t="n"/>
      <c r="AA378" s="2" t="inlineStr">
        <is>
          <t>Not required</t>
        </is>
      </c>
      <c r="AB378" s="2" t="inlineStr">
        <is>
          <t>Not required</t>
        </is>
      </c>
      <c r="AC378" s="2" t="n"/>
      <c r="AD378" s="2" t="n"/>
      <c r="AE378" s="2" t="n"/>
      <c r="AF378" s="2" t="n"/>
      <c r="AG378" s="2" t="inlineStr">
        <is>
          <t>Not required</t>
        </is>
      </c>
      <c r="AH378" s="2" t="n"/>
      <c r="AI378" s="2" t="n"/>
      <c r="AJ378" s="2" t="n"/>
      <c r="AK378" s="2" t="n"/>
      <c r="AL378" s="2" t="n"/>
      <c r="AM378" s="2" t="n"/>
      <c r="AN378" s="2" t="n"/>
      <c r="AO378" s="2" t="n"/>
      <c r="AP378" s="2" t="n"/>
      <c r="AQ378" s="2" t="n"/>
    </row>
    <row r="379">
      <c r="A379" t="n">
        <v>378</v>
      </c>
      <c r="B379" s="2" t="inlineStr">
        <is>
          <t>Prakhar sachan</t>
        </is>
      </c>
      <c r="C379" s="3" t="n">
        <v>9559667291</v>
      </c>
      <c r="D379" s="2" t="inlineStr">
        <is>
          <t>PROV260701062</t>
        </is>
      </c>
      <c r="E379" s="2" t="inlineStr">
        <is>
          <t>SSHAE</t>
        </is>
      </c>
      <c r="F379" s="2" t="inlineStr">
        <is>
          <t>No</t>
        </is>
      </c>
      <c r="G379" s="2" t="inlineStr">
        <is>
          <t>Loan not required</t>
        </is>
      </c>
      <c r="H379" s="2" t="n"/>
      <c r="I379" s="2" t="n"/>
      <c r="J379" s="2" t="n"/>
      <c r="K379" s="2" t="n"/>
      <c r="L379" s="2" t="n"/>
      <c r="M379" s="2" t="n"/>
      <c r="N379" s="2" t="n"/>
      <c r="O379" s="2" t="n"/>
      <c r="P379" s="2" t="n"/>
      <c r="Q379" s="2" t="n"/>
      <c r="R379" s="2" t="n"/>
      <c r="S379" s="2" t="n"/>
      <c r="T379" s="2" t="n"/>
      <c r="U379" s="2" t="inlineStr">
        <is>
          <t>No</t>
        </is>
      </c>
      <c r="V379" s="2" t="n"/>
      <c r="W379" s="2" t="n"/>
      <c r="X379" s="2" t="n"/>
      <c r="Y379" s="2" t="n"/>
      <c r="Z379" s="2" t="n"/>
      <c r="AA379" s="2" t="inlineStr">
        <is>
          <t>Not required</t>
        </is>
      </c>
      <c r="AB379" s="2" t="inlineStr">
        <is>
          <t>Not required</t>
        </is>
      </c>
      <c r="AC379" s="2" t="n"/>
      <c r="AD379" s="2" t="n"/>
      <c r="AE379" s="2" t="n"/>
      <c r="AF379" s="2" t="n"/>
      <c r="AG379" s="2" t="inlineStr">
        <is>
          <t>Not required</t>
        </is>
      </c>
      <c r="AH379" s="2" t="n"/>
      <c r="AI379" s="2" t="n"/>
      <c r="AJ379" s="2" t="n"/>
      <c r="AK379" s="2" t="n"/>
      <c r="AL379" s="2" t="n"/>
      <c r="AM379" s="2" t="n"/>
      <c r="AN379" s="2" t="n"/>
      <c r="AO379" s="2" t="n"/>
      <c r="AP379" s="2" t="n"/>
      <c r="AQ379" s="2" t="n"/>
    </row>
    <row r="380">
      <c r="A380" t="n">
        <v>379</v>
      </c>
      <c r="B380" s="2" t="inlineStr">
        <is>
          <t>Manyata Agarwal</t>
        </is>
      </c>
      <c r="C380" s="3" t="n">
        <v>8509812085</v>
      </c>
      <c r="D380" s="2" t="inlineStr">
        <is>
          <t>PROV1000000409</t>
        </is>
      </c>
      <c r="E380" s="2" t="inlineStr">
        <is>
          <t>SSHAE</t>
        </is>
      </c>
      <c r="F380" s="2" t="inlineStr">
        <is>
          <t>Drop</t>
        </is>
      </c>
      <c r="G380" s="2" t="n"/>
      <c r="H380" s="2" t="n"/>
      <c r="I380" s="2" t="n"/>
      <c r="J380" s="2" t="n"/>
      <c r="K380" s="2" t="n"/>
      <c r="L380" s="2" t="n"/>
      <c r="M380" s="2" t="n"/>
      <c r="N380" s="2" t="n"/>
      <c r="O380" s="2" t="n"/>
      <c r="P380" s="2" t="n"/>
      <c r="Q380" s="2" t="n"/>
      <c r="R380" s="2" t="n"/>
      <c r="S380" s="2" t="n"/>
      <c r="T380" s="2" t="n"/>
      <c r="U380" s="2" t="inlineStr">
        <is>
          <t>Refund</t>
        </is>
      </c>
      <c r="V380" s="2" t="n"/>
      <c r="W380" s="2" t="n"/>
      <c r="X380" s="2" t="n"/>
      <c r="Y380" s="2" t="n"/>
      <c r="Z380" s="2" t="n"/>
      <c r="AA380" s="2" t="inlineStr">
        <is>
          <t>Refund case</t>
        </is>
      </c>
      <c r="AB380" s="2" t="inlineStr">
        <is>
          <t>Refund case</t>
        </is>
      </c>
      <c r="AC380" s="2" t="n"/>
      <c r="AD380" s="2" t="n"/>
      <c r="AE380" s="2" t="n"/>
      <c r="AF380" s="2" t="n"/>
      <c r="AG380" s="2" t="n"/>
      <c r="AH380" s="2" t="n"/>
      <c r="AI380" s="2" t="n"/>
      <c r="AJ380" s="2" t="n"/>
      <c r="AK380" s="2" t="n"/>
      <c r="AL380" s="2" t="n"/>
      <c r="AM380" s="2" t="n"/>
      <c r="AN380" s="2" t="n"/>
      <c r="AO380" s="2" t="n"/>
      <c r="AP380" s="2" t="n"/>
      <c r="AQ380" s="2" t="n"/>
    </row>
    <row r="381">
      <c r="A381" t="n">
        <v>380</v>
      </c>
      <c r="B381" s="2" t="inlineStr">
        <is>
          <t>Adesh kumar Prince</t>
        </is>
      </c>
      <c r="C381" s="3" t="n">
        <v>6299722856</v>
      </c>
      <c r="D381" s="2" t="inlineStr">
        <is>
          <t>PROV260614861</t>
        </is>
      </c>
      <c r="E381" s="2" t="inlineStr">
        <is>
          <t>SSHAE</t>
        </is>
      </c>
      <c r="F381" s="2" t="inlineStr">
        <is>
          <t>Drop</t>
        </is>
      </c>
      <c r="G381" s="2" t="n"/>
      <c r="H381" s="2" t="n"/>
      <c r="I381" s="2" t="n"/>
      <c r="J381" s="2" t="n"/>
      <c r="K381" s="2" t="n"/>
      <c r="L381" s="2" t="n"/>
      <c r="M381" s="2" t="n"/>
      <c r="N381" s="2" t="n"/>
      <c r="O381" s="2" t="n"/>
      <c r="P381" s="2" t="n"/>
      <c r="Q381" s="2" t="n"/>
      <c r="R381" s="2" t="n"/>
      <c r="S381" s="2" t="n"/>
      <c r="T381" s="2" t="n"/>
      <c r="U381" s="2" t="inlineStr">
        <is>
          <t>Refund</t>
        </is>
      </c>
      <c r="V381" s="2" t="n"/>
      <c r="W381" s="2" t="n"/>
      <c r="X381" s="2" t="n"/>
      <c r="Y381" s="2" t="n"/>
      <c r="Z381" s="2" t="n"/>
      <c r="AA381" s="2" t="inlineStr">
        <is>
          <t>Refund case</t>
        </is>
      </c>
      <c r="AB381" s="2" t="inlineStr">
        <is>
          <t>Refund case</t>
        </is>
      </c>
      <c r="AC381" s="2" t="n"/>
      <c r="AD381" s="2" t="n"/>
      <c r="AE381" s="2" t="n"/>
      <c r="AF381" s="2" t="n"/>
      <c r="AG381" s="2" t="n"/>
      <c r="AH381" s="2" t="n"/>
      <c r="AI381" s="2" t="n"/>
      <c r="AJ381" s="2" t="n"/>
      <c r="AK381" s="2" t="n"/>
      <c r="AL381" s="2" t="n"/>
      <c r="AM381" s="2" t="n"/>
      <c r="AN381" s="2" t="n"/>
      <c r="AO381" s="2" t="n"/>
      <c r="AP381" s="2" t="n"/>
      <c r="AQ381" s="2" t="n"/>
    </row>
    <row r="382">
      <c r="A382" t="n">
        <v>381</v>
      </c>
      <c r="B382" s="2" t="inlineStr">
        <is>
          <t>Aryen Aditya</t>
        </is>
      </c>
      <c r="C382" s="3" t="n">
        <v>8695997417</v>
      </c>
      <c r="D382" s="2" t="inlineStr">
        <is>
          <t>PROV1000000285</t>
        </is>
      </c>
      <c r="E382" s="2" t="inlineStr">
        <is>
          <t>SSHAE</t>
        </is>
      </c>
      <c r="F382" s="2" t="inlineStr">
        <is>
          <t>Yes</t>
        </is>
      </c>
      <c r="G382" s="2" t="inlineStr">
        <is>
          <t xml:space="preserve">Critical </t>
        </is>
      </c>
      <c r="H382" s="2" t="n">
        <v>0.25</v>
      </c>
      <c r="I382" s="2" t="n">
        <v>20</v>
      </c>
      <c r="J382" s="2" t="n">
        <v>82.5</v>
      </c>
      <c r="K382" s="2" t="inlineStr">
        <is>
          <t>Father</t>
        </is>
      </c>
      <c r="L382" s="2" t="inlineStr">
        <is>
          <t>Small Business</t>
        </is>
      </c>
      <c r="M382" s="2" t="inlineStr">
        <is>
          <t>3L</t>
        </is>
      </c>
      <c r="N382" s="2" t="inlineStr">
        <is>
          <t>Income Certificate</t>
        </is>
      </c>
      <c r="O382" s="2" t="inlineStr">
        <is>
          <t>Had a loan in 21-22</t>
        </is>
      </c>
      <c r="P382" s="2" t="n">
        <v>620</v>
      </c>
      <c r="Q382" s="2" t="inlineStr">
        <is>
          <t>Yes</t>
        </is>
      </c>
      <c r="R382" s="2" t="inlineStr">
        <is>
          <t>House</t>
        </is>
      </c>
      <c r="S382" s="2" t="n"/>
      <c r="T382" s="2" t="inlineStr">
        <is>
          <t>24/7: Looking by himseld but couldnt get, will share leads now</t>
        </is>
      </c>
      <c r="U382" s="2" t="inlineStr">
        <is>
          <t>Yes</t>
        </is>
      </c>
      <c r="V382" s="2" t="n"/>
      <c r="W382" s="2" t="n"/>
      <c r="X382" s="2" t="n"/>
      <c r="Y382" s="2" t="n"/>
      <c r="Z382" s="2" t="n"/>
      <c r="AA382" s="2" t="inlineStr">
        <is>
          <t>Risk</t>
        </is>
      </c>
      <c r="AB382" s="2" t="inlineStr">
        <is>
          <t>Risk</t>
        </is>
      </c>
      <c r="AC382" s="2" t="n"/>
      <c r="AD382" s="2" t="n"/>
      <c r="AE382" s="2" t="n"/>
      <c r="AF382" s="2" t="n"/>
      <c r="AG382" s="2" t="inlineStr">
        <is>
          <t>Not even started</t>
        </is>
      </c>
      <c r="AH382" s="2" t="n"/>
      <c r="AI382" s="2" t="n"/>
      <c r="AJ382" s="2" t="n"/>
      <c r="AK382" s="2" t="n"/>
      <c r="AL382" s="2" t="inlineStr">
        <is>
          <t>Started elsewhere didnt get it</t>
        </is>
      </c>
      <c r="AM382" s="2" t="n"/>
      <c r="AN382" s="2" t="n"/>
      <c r="AO382" s="2" t="n"/>
      <c r="AP382" s="2" t="n"/>
      <c r="AQ382" s="2" t="n"/>
    </row>
    <row r="383">
      <c r="A383" t="n">
        <v>382</v>
      </c>
      <c r="B383" s="2" t="inlineStr">
        <is>
          <t>Aman kumar</t>
        </is>
      </c>
      <c r="C383" s="3" t="n">
        <v>9510716310</v>
      </c>
      <c r="D383" s="2" t="inlineStr">
        <is>
          <t>PROV260701615</t>
        </is>
      </c>
      <c r="E383" s="2" t="inlineStr">
        <is>
          <t>SSHAE</t>
        </is>
      </c>
      <c r="F383" s="2" t="inlineStr">
        <is>
          <t>Yes</t>
        </is>
      </c>
      <c r="G383" s="2" t="n"/>
      <c r="H383" s="2" t="n">
        <v>0.25</v>
      </c>
      <c r="I383" s="2" t="n"/>
      <c r="J383" s="2" t="n"/>
      <c r="K383" s="2" t="n"/>
      <c r="L383" s="2" t="n"/>
      <c r="M383" s="2" t="n"/>
      <c r="N383" s="2" t="n"/>
      <c r="O383" s="2" t="n"/>
      <c r="P383" s="2" t="n"/>
      <c r="Q383" s="2" t="n"/>
      <c r="R383" s="2" t="n"/>
      <c r="S383" s="2" t="n"/>
      <c r="T383" s="2" t="inlineStr">
        <is>
          <t>24/7 : 15L, loan required , father : Private employee, ( Diamond ) , Annual Income Father : 2.59L.
29/7 : Student hasn't received the call from gyan dhan , have sent the details again to them to call</t>
        </is>
      </c>
      <c r="U383" s="2" t="inlineStr">
        <is>
          <t>Yes</t>
        </is>
      </c>
      <c r="V383" s="2" t="n"/>
      <c r="W383" s="2" t="n"/>
      <c r="X383" s="2" t="n"/>
      <c r="Y383" s="2" t="n"/>
      <c r="Z383" s="2" t="n"/>
      <c r="AA383" s="2" t="inlineStr">
        <is>
          <t>Control</t>
        </is>
      </c>
      <c r="AB383" s="2" t="inlineStr">
        <is>
          <t>Control</t>
        </is>
      </c>
      <c r="AC383" s="2" t="n"/>
      <c r="AD383" s="2" t="n"/>
      <c r="AE383" s="2" t="n"/>
      <c r="AF383" s="2" t="n"/>
      <c r="AG383" s="2" t="inlineStr">
        <is>
          <t>Ongoing</t>
        </is>
      </c>
      <c r="AH383" s="2" t="inlineStr">
        <is>
          <t>Processing at other bank</t>
        </is>
      </c>
      <c r="AI383" s="2" t="n"/>
      <c r="AJ383" s="2" t="n"/>
      <c r="AK383" s="2" t="n"/>
      <c r="AL383" s="2" t="n"/>
      <c r="AM383" s="2" t="n"/>
      <c r="AN383" s="2" t="n"/>
      <c r="AO383" s="2" t="n"/>
      <c r="AP383" s="2" t="n"/>
      <c r="AQ383" s="2" t="n"/>
    </row>
    <row r="384">
      <c r="A384" t="n">
        <v>383</v>
      </c>
      <c r="B384" s="2" t="inlineStr">
        <is>
          <t>Ganesh Shankar Kale</t>
        </is>
      </c>
      <c r="C384" s="3" t="n">
        <v>8390213266</v>
      </c>
      <c r="D384" s="2" t="inlineStr">
        <is>
          <t>PROV260611419</t>
        </is>
      </c>
      <c r="E384" s="2" t="inlineStr">
        <is>
          <t>SSHAE</t>
        </is>
      </c>
      <c r="F384" s="2" t="inlineStr">
        <is>
          <t>No</t>
        </is>
      </c>
      <c r="G384" s="2" t="inlineStr">
        <is>
          <t>Loan not required</t>
        </is>
      </c>
      <c r="H384" s="2" t="n"/>
      <c r="I384" s="2" t="n"/>
      <c r="J384" s="2" t="n"/>
      <c r="K384" s="2" t="n"/>
      <c r="L384" s="2" t="n"/>
      <c r="M384" s="2" t="n"/>
      <c r="N384" s="2" t="n"/>
      <c r="O384" s="2" t="n"/>
      <c r="P384" s="2" t="n"/>
      <c r="Q384" s="2" t="n"/>
      <c r="R384" s="2" t="n"/>
      <c r="S384" s="2" t="n"/>
      <c r="T384" s="2" t="n"/>
      <c r="U384" s="2" t="inlineStr">
        <is>
          <t>No</t>
        </is>
      </c>
      <c r="V384" s="2" t="n"/>
      <c r="W384" s="2" t="n"/>
      <c r="X384" s="2" t="n"/>
      <c r="Y384" s="2" t="n"/>
      <c r="Z384" s="2" t="n"/>
      <c r="AA384" s="2" t="inlineStr">
        <is>
          <t>Not required</t>
        </is>
      </c>
      <c r="AB384" s="2" t="inlineStr">
        <is>
          <t>Not required</t>
        </is>
      </c>
      <c r="AC384" s="2" t="n"/>
      <c r="AD384" s="2" t="n"/>
      <c r="AE384" s="2" t="n"/>
      <c r="AF384" s="2" t="n"/>
      <c r="AG384" s="2" t="inlineStr">
        <is>
          <t>Not required</t>
        </is>
      </c>
      <c r="AH384" s="2" t="n"/>
      <c r="AI384" s="2" t="n"/>
      <c r="AJ384" s="2" t="n"/>
      <c r="AK384" s="2" t="n"/>
      <c r="AL384" s="2" t="n"/>
      <c r="AM384" s="2" t="n"/>
      <c r="AN384" s="2" t="n"/>
      <c r="AO384" s="2" t="n"/>
      <c r="AP384" s="2" t="n"/>
      <c r="AQ384" s="2" t="n"/>
    </row>
    <row r="385">
      <c r="A385" t="n">
        <v>384</v>
      </c>
      <c r="B385" s="2" t="inlineStr">
        <is>
          <t>MALIK REHAN</t>
        </is>
      </c>
      <c r="C385" s="3" t="n">
        <v>8147129862</v>
      </c>
      <c r="D385" s="2" t="inlineStr">
        <is>
          <t>PROV260701395</t>
        </is>
      </c>
      <c r="E385" s="2" t="inlineStr">
        <is>
          <t>SSHAE</t>
        </is>
      </c>
      <c r="F385" s="2" t="inlineStr">
        <is>
          <t>Drop</t>
        </is>
      </c>
      <c r="G385" s="2" t="n"/>
      <c r="H385" s="2" t="n"/>
      <c r="I385" s="2" t="n"/>
      <c r="J385" s="2" t="n"/>
      <c r="K385" s="2" t="n"/>
      <c r="L385" s="2" t="n"/>
      <c r="M385" s="2" t="n"/>
      <c r="N385" s="2" t="n"/>
      <c r="O385" s="2" t="n"/>
      <c r="P385" s="2" t="n"/>
      <c r="Q385" s="2" t="n"/>
      <c r="R385" s="2" t="n"/>
      <c r="S385" s="2" t="n"/>
      <c r="T385" s="2" t="n"/>
      <c r="U385" s="2" t="inlineStr">
        <is>
          <t>Refund</t>
        </is>
      </c>
      <c r="V385" s="2" t="n"/>
      <c r="W385" s="2" t="n"/>
      <c r="X385" s="2" t="n"/>
      <c r="Y385" s="2" t="n"/>
      <c r="Z385" s="2" t="n"/>
      <c r="AA385" s="2" t="inlineStr">
        <is>
          <t>Refund case</t>
        </is>
      </c>
      <c r="AB385" s="2" t="inlineStr">
        <is>
          <t>Refund case</t>
        </is>
      </c>
      <c r="AC385" s="2" t="n"/>
      <c r="AD385" s="2" t="n"/>
      <c r="AE385" s="2" t="n"/>
      <c r="AF385" s="2" t="n"/>
      <c r="AG385" s="2" t="n"/>
      <c r="AH385" s="2" t="n"/>
      <c r="AI385" s="2" t="n"/>
      <c r="AJ385" s="2" t="n"/>
      <c r="AK385" s="2" t="n"/>
      <c r="AL385" s="2" t="n"/>
      <c r="AM385" s="2" t="n"/>
      <c r="AN385" s="2" t="n"/>
      <c r="AO385" s="2" t="n"/>
      <c r="AP385" s="2" t="n"/>
      <c r="AQ385" s="2" t="n"/>
    </row>
    <row r="386">
      <c r="A386" t="n">
        <v>385</v>
      </c>
      <c r="B386" s="2" t="inlineStr">
        <is>
          <t>Surthineni Jayakar</t>
        </is>
      </c>
      <c r="C386" s="3" t="n">
        <v>9441641619</v>
      </c>
      <c r="D386" s="2" t="inlineStr">
        <is>
          <t>PROV260607637</t>
        </is>
      </c>
      <c r="E386" s="2" t="inlineStr">
        <is>
          <t>SSHAE</t>
        </is>
      </c>
      <c r="F386" s="2" t="inlineStr">
        <is>
          <t>No</t>
        </is>
      </c>
      <c r="G386" s="2" t="inlineStr">
        <is>
          <t>Loan not required</t>
        </is>
      </c>
      <c r="H386" s="2" t="n"/>
      <c r="I386" s="2" t="n"/>
      <c r="J386" s="2" t="n"/>
      <c r="K386" s="2" t="n"/>
      <c r="L386" s="2" t="n"/>
      <c r="M386" s="2" t="n"/>
      <c r="N386" s="2" t="n"/>
      <c r="O386" s="2" t="n"/>
      <c r="P386" s="2" t="n"/>
      <c r="Q386" s="2" t="n"/>
      <c r="R386" s="2" t="n"/>
      <c r="S386" s="2" t="n"/>
      <c r="T386" s="2" t="n"/>
      <c r="U386" s="2" t="inlineStr">
        <is>
          <t>No</t>
        </is>
      </c>
      <c r="V386" s="2" t="n"/>
      <c r="W386" s="2" t="n"/>
      <c r="X386" s="2" t="n"/>
      <c r="Y386" s="2" t="n"/>
      <c r="Z386" s="2" t="n"/>
      <c r="AA386" s="2" t="inlineStr">
        <is>
          <t>Not required</t>
        </is>
      </c>
      <c r="AB386" s="2" t="inlineStr">
        <is>
          <t>Not required</t>
        </is>
      </c>
      <c r="AC386" s="2" t="n"/>
      <c r="AD386" s="2" t="n"/>
      <c r="AE386" s="2" t="n"/>
      <c r="AF386" s="2" t="n"/>
      <c r="AG386" s="2" t="inlineStr">
        <is>
          <t>Not required</t>
        </is>
      </c>
      <c r="AH386" s="2" t="n"/>
      <c r="AI386" s="2" t="n"/>
      <c r="AJ386" s="2" t="n"/>
      <c r="AK386" s="2" t="n"/>
      <c r="AL386" s="2" t="n"/>
      <c r="AM386" s="2" t="n"/>
      <c r="AN386" s="2" t="n"/>
      <c r="AO386" s="2" t="n"/>
      <c r="AP386" s="2" t="n"/>
      <c r="AQ386" s="2" t="n"/>
    </row>
    <row r="387">
      <c r="A387" t="n">
        <v>386</v>
      </c>
      <c r="B387" s="2" t="inlineStr">
        <is>
          <t>Pramananda Swain</t>
        </is>
      </c>
      <c r="C387" s="3" t="n">
        <v>6372739589</v>
      </c>
      <c r="D387" s="2" t="inlineStr">
        <is>
          <t>PROV260502325</t>
        </is>
      </c>
      <c r="E387" s="2" t="inlineStr">
        <is>
          <t>SSHAE</t>
        </is>
      </c>
      <c r="F387" s="2" t="inlineStr">
        <is>
          <t>Yes</t>
        </is>
      </c>
      <c r="G387" s="2" t="inlineStr">
        <is>
          <t xml:space="preserve">Critical </t>
        </is>
      </c>
      <c r="H387" s="2" t="n"/>
      <c r="I387" s="2" t="n">
        <v>20</v>
      </c>
      <c r="J387" s="2" t="n">
        <v>88.5</v>
      </c>
      <c r="K387" s="2" t="inlineStr">
        <is>
          <t>Father</t>
        </is>
      </c>
      <c r="L387" s="2" t="inlineStr">
        <is>
          <t>Govt employee</t>
        </is>
      </c>
      <c r="M387" s="2" t="n"/>
      <c r="N387" s="2" t="n"/>
      <c r="O387" s="2" t="n"/>
      <c r="P387" s="2" t="n"/>
      <c r="Q387" s="2" t="n"/>
      <c r="R387" s="2" t="n"/>
      <c r="S387" s="2" t="n"/>
      <c r="T387" s="2" t="inlineStr">
        <is>
          <t xml:space="preserve">25/7 : Coapplicant : Father , Father annual income : 3.6L, income tax not filed , provided his number to gyandhan and propelld. Very low intent of the kid. </t>
        </is>
      </c>
      <c r="U387" s="2" t="inlineStr">
        <is>
          <t>Yes</t>
        </is>
      </c>
      <c r="V387" s="2" t="inlineStr">
        <is>
          <t>Yes</t>
        </is>
      </c>
      <c r="W387" s="2" t="inlineStr">
        <is>
          <t>Yes</t>
        </is>
      </c>
      <c r="X387" s="2" t="inlineStr">
        <is>
          <t xml:space="preserve">No </t>
        </is>
      </c>
      <c r="Y387" s="2" t="inlineStr">
        <is>
          <t>No</t>
        </is>
      </c>
      <c r="Z387" s="2" t="inlineStr">
        <is>
          <t>Yes</t>
        </is>
      </c>
      <c r="AA387" s="2" t="inlineStr">
        <is>
          <t>Control</t>
        </is>
      </c>
      <c r="AB387" s="2" t="inlineStr">
        <is>
          <t>Control</t>
        </is>
      </c>
      <c r="AC387" s="2" t="n"/>
      <c r="AD387" s="2" t="n"/>
      <c r="AE387" s="2" t="n"/>
      <c r="AF387" s="2" t="n"/>
      <c r="AG387" s="2" t="inlineStr">
        <is>
          <t>Not even started</t>
        </is>
      </c>
      <c r="AH387" s="2" t="n"/>
      <c r="AI387" s="2" t="n"/>
      <c r="AJ387" s="2" t="n"/>
      <c r="AK387" s="2" t="n"/>
      <c r="AL387" s="2" t="inlineStr">
        <is>
          <t>DNP till now , now started</t>
        </is>
      </c>
      <c r="AM387" s="2" t="n"/>
      <c r="AN387" s="2" t="n"/>
      <c r="AO387" s="2" t="n"/>
      <c r="AP387" s="2" t="n"/>
      <c r="AQ387" s="2" t="n"/>
    </row>
    <row r="388">
      <c r="A388" t="n">
        <v>387</v>
      </c>
      <c r="B388" s="2" t="inlineStr">
        <is>
          <t>Uday Saha</t>
        </is>
      </c>
      <c r="C388" s="3" t="n">
        <v>9679604282</v>
      </c>
      <c r="D388" s="2" t="inlineStr">
        <is>
          <t>PROV260606832</t>
        </is>
      </c>
      <c r="E388" s="2" t="inlineStr">
        <is>
          <t>SSHAE</t>
        </is>
      </c>
      <c r="F388" s="2" t="inlineStr">
        <is>
          <t>No</t>
        </is>
      </c>
      <c r="G388" s="2" t="inlineStr">
        <is>
          <t>Loan not required</t>
        </is>
      </c>
      <c r="H388" s="2" t="n"/>
      <c r="I388" s="2" t="n"/>
      <c r="J388" s="2" t="n"/>
      <c r="K388" s="2" t="n"/>
      <c r="L388" s="2" t="n"/>
      <c r="M388" s="2" t="n"/>
      <c r="N388" s="2" t="n"/>
      <c r="O388" s="2" t="n"/>
      <c r="P388" s="2" t="n"/>
      <c r="Q388" s="2" t="n"/>
      <c r="R388" s="2" t="n"/>
      <c r="S388" s="2" t="n"/>
      <c r="T388" s="2" t="n"/>
      <c r="U388" s="2" t="inlineStr">
        <is>
          <t>No</t>
        </is>
      </c>
      <c r="V388" s="2" t="n"/>
      <c r="W388" s="2" t="n"/>
      <c r="X388" s="2" t="n"/>
      <c r="Y388" s="2" t="n"/>
      <c r="Z388" s="2" t="n"/>
      <c r="AA388" s="2" t="inlineStr">
        <is>
          <t>Not required</t>
        </is>
      </c>
      <c r="AB388" s="2" t="inlineStr">
        <is>
          <t>Not required</t>
        </is>
      </c>
      <c r="AC388" s="2" t="n"/>
      <c r="AD388" s="2" t="n"/>
      <c r="AE388" s="2" t="n"/>
      <c r="AF388" s="2" t="n"/>
      <c r="AG388" s="2" t="inlineStr">
        <is>
          <t>Not required</t>
        </is>
      </c>
      <c r="AH388" s="2" t="n"/>
      <c r="AI388" s="2" t="n"/>
      <c r="AJ388" s="2" t="n"/>
      <c r="AK388" s="2" t="n"/>
      <c r="AL388" s="2" t="n"/>
      <c r="AM388" s="2" t="n"/>
      <c r="AN388" s="2" t="n"/>
      <c r="AO388" s="2" t="n"/>
      <c r="AP388" s="2" t="n"/>
      <c r="AQ388" s="2" t="n"/>
    </row>
    <row r="389">
      <c r="A389" t="n">
        <v>388</v>
      </c>
      <c r="B389" s="2" t="inlineStr">
        <is>
          <t>Vanshika</t>
        </is>
      </c>
      <c r="C389" s="3" t="n">
        <v>9838008373</v>
      </c>
      <c r="D389" s="2" t="inlineStr">
        <is>
          <t>PROV260702093</t>
        </is>
      </c>
      <c r="E389" s="2" t="inlineStr">
        <is>
          <t>SSHAE</t>
        </is>
      </c>
      <c r="F389" s="2" t="inlineStr">
        <is>
          <t>DNR</t>
        </is>
      </c>
      <c r="G389" s="2" t="n"/>
      <c r="H389" s="2" t="n"/>
      <c r="I389" s="2" t="n"/>
      <c r="J389" s="2" t="n"/>
      <c r="K389" s="2" t="n"/>
      <c r="L389" s="2" t="n"/>
      <c r="M389" s="2" t="n"/>
      <c r="N389" s="2" t="n"/>
      <c r="O389" s="2" t="n"/>
      <c r="P389" s="2" t="n"/>
      <c r="Q389" s="2" t="n"/>
      <c r="R389" s="2" t="n"/>
      <c r="S389" s="2" t="n"/>
      <c r="T389" s="2" t="inlineStr">
        <is>
          <t>24/7: DNP</t>
        </is>
      </c>
      <c r="U389" s="2" t="inlineStr">
        <is>
          <t>DNP</t>
        </is>
      </c>
      <c r="V389" s="2" t="n"/>
      <c r="W389" s="2" t="n"/>
      <c r="X389" s="2" t="n"/>
      <c r="Y389" s="2" t="n"/>
      <c r="Z389" s="2" t="n"/>
      <c r="AA389" s="2" t="inlineStr">
        <is>
          <t>DNP</t>
        </is>
      </c>
      <c r="AB389" s="2" t="inlineStr">
        <is>
          <t>DNP</t>
        </is>
      </c>
      <c r="AC389" s="2" t="n"/>
      <c r="AD389" s="2" t="n"/>
      <c r="AE389" s="2" t="n"/>
      <c r="AF389" s="2" t="n"/>
      <c r="AG389" s="2" t="inlineStr">
        <is>
          <t>Not even started</t>
        </is>
      </c>
      <c r="AH389" s="2" t="n"/>
      <c r="AI389" s="2" t="n"/>
      <c r="AJ389" s="2" t="n"/>
      <c r="AK389" s="2" t="n"/>
      <c r="AL389" s="2" t="n"/>
      <c r="AM389" s="2" t="n"/>
      <c r="AN389" s="2" t="n"/>
      <c r="AO389" s="2" t="n"/>
      <c r="AP389" s="2" t="n"/>
      <c r="AQ389" s="2" t="n"/>
    </row>
    <row r="390">
      <c r="A390" t="n">
        <v>389</v>
      </c>
      <c r="B390" s="2" t="inlineStr">
        <is>
          <t>Dhruvi Choradia</t>
        </is>
      </c>
      <c r="C390" s="3" t="n">
        <v>7389062247</v>
      </c>
      <c r="D390" s="2" t="inlineStr">
        <is>
          <t>PROV260702391</t>
        </is>
      </c>
      <c r="E390" s="2" t="inlineStr">
        <is>
          <t>SSHAE</t>
        </is>
      </c>
      <c r="F390" s="2" t="inlineStr">
        <is>
          <t>No</t>
        </is>
      </c>
      <c r="G390" s="2" t="inlineStr">
        <is>
          <t>Loan not required</t>
        </is>
      </c>
      <c r="H390" s="2" t="n"/>
      <c r="I390" s="2" t="n"/>
      <c r="J390" s="2" t="n"/>
      <c r="K390" s="2" t="n"/>
      <c r="L390" s="2" t="n"/>
      <c r="M390" s="2" t="n"/>
      <c r="N390" s="2" t="n"/>
      <c r="O390" s="2" t="n"/>
      <c r="P390" s="2" t="n"/>
      <c r="Q390" s="2" t="n"/>
      <c r="R390" s="2" t="n"/>
      <c r="S390" s="2" t="n"/>
      <c r="T390" s="2" t="n"/>
      <c r="U390" s="2" t="inlineStr">
        <is>
          <t>No</t>
        </is>
      </c>
      <c r="V390" s="2" t="n"/>
      <c r="W390" s="2" t="n"/>
      <c r="X390" s="2" t="n"/>
      <c r="Y390" s="2" t="n"/>
      <c r="Z390" s="2" t="n"/>
      <c r="AA390" s="2" t="inlineStr">
        <is>
          <t>Not required</t>
        </is>
      </c>
      <c r="AB390" s="2" t="inlineStr">
        <is>
          <t>Not required</t>
        </is>
      </c>
      <c r="AC390" s="2" t="n"/>
      <c r="AD390" s="2" t="n"/>
      <c r="AE390" s="2" t="n"/>
      <c r="AF390" s="2" t="n"/>
      <c r="AG390" s="2" t="inlineStr">
        <is>
          <t>Not required</t>
        </is>
      </c>
      <c r="AH390" s="2" t="n"/>
      <c r="AI390" s="2" t="n"/>
      <c r="AJ390" s="2" t="n"/>
      <c r="AK390" s="2" t="n"/>
      <c r="AL390" s="2" t="n"/>
      <c r="AM390" s="2" t="n"/>
      <c r="AN390" s="2" t="n"/>
      <c r="AO390" s="2" t="n"/>
      <c r="AP390" s="2" t="n"/>
      <c r="AQ390" s="2" t="n"/>
    </row>
    <row r="391">
      <c r="A391" t="n">
        <v>390</v>
      </c>
      <c r="B391" s="2" t="inlineStr">
        <is>
          <t>Sumit Chavan</t>
        </is>
      </c>
      <c r="C391" s="3" t="n">
        <v>7981811800</v>
      </c>
      <c r="D391" s="2" t="inlineStr">
        <is>
          <t>Prov ID not in the system</t>
        </is>
      </c>
      <c r="E391" s="2" t="inlineStr">
        <is>
          <t>SSHAE</t>
        </is>
      </c>
      <c r="F391" s="2" t="inlineStr">
        <is>
          <t>Yes</t>
        </is>
      </c>
      <c r="G391" s="2" t="inlineStr">
        <is>
          <t>Loan not required</t>
        </is>
      </c>
      <c r="H391" s="2" t="n"/>
      <c r="I391" s="2" t="n"/>
      <c r="J391" s="2" t="n"/>
      <c r="K391" s="2" t="n"/>
      <c r="L391" s="2" t="n"/>
      <c r="M391" s="2" t="n"/>
      <c r="N391" s="2" t="n"/>
      <c r="O391" s="2" t="n"/>
      <c r="P391" s="2" t="n"/>
      <c r="Q391" s="2" t="n"/>
      <c r="R391" s="2" t="n"/>
      <c r="S391" s="2" t="n"/>
      <c r="T391" s="2" t="inlineStr">
        <is>
          <t xml:space="preserve">24/7: Dont want loan
27/7 : Loan req : 18L, coapplicant : Father 
Annual income : 3L, Father's profession : Agriculture </t>
        </is>
      </c>
      <c r="U391" s="2" t="inlineStr">
        <is>
          <t>Yes</t>
        </is>
      </c>
      <c r="V391" s="2" t="inlineStr">
        <is>
          <t xml:space="preserve">No </t>
        </is>
      </c>
      <c r="W391" s="2" t="inlineStr">
        <is>
          <t xml:space="preserve">No </t>
        </is>
      </c>
      <c r="X391" s="2" t="inlineStr">
        <is>
          <t xml:space="preserve">No </t>
        </is>
      </c>
      <c r="Y391" s="2" t="inlineStr">
        <is>
          <t>No</t>
        </is>
      </c>
      <c r="Z391" s="2" t="inlineStr">
        <is>
          <t>Yes</t>
        </is>
      </c>
      <c r="AA391" s="2" t="inlineStr">
        <is>
          <t>Risk</t>
        </is>
      </c>
      <c r="AB391" s="2" t="inlineStr">
        <is>
          <t>Risk</t>
        </is>
      </c>
      <c r="AC391" s="2" t="n"/>
      <c r="AD391" s="2" t="n"/>
      <c r="AE391" s="2" t="n"/>
      <c r="AF391" s="2" t="n"/>
      <c r="AG391" s="2" t="inlineStr">
        <is>
          <t>Not even started</t>
        </is>
      </c>
      <c r="AH391" s="2" t="n"/>
      <c r="AI391" s="2" t="n"/>
      <c r="AJ391" s="2" t="n"/>
      <c r="AK391" s="2" t="n"/>
      <c r="AL391" s="2" t="inlineStr">
        <is>
          <t>Newer Lead</t>
        </is>
      </c>
      <c r="AM391" s="2" t="n"/>
      <c r="AN391" s="2" t="n"/>
      <c r="AO391" s="2" t="n"/>
      <c r="AP391" s="2" t="n"/>
      <c r="AQ391" s="2" t="n"/>
    </row>
    <row r="392">
      <c r="A392" t="n">
        <v>391</v>
      </c>
      <c r="B392" s="2" t="inlineStr">
        <is>
          <t>Sneha Kumari</t>
        </is>
      </c>
      <c r="C392" s="3" t="n">
        <v>7766877456</v>
      </c>
      <c r="D392" s="2" t="inlineStr">
        <is>
          <t>PROV260613840</t>
        </is>
      </c>
      <c r="E392" s="2" t="inlineStr">
        <is>
          <t>SSHAE</t>
        </is>
      </c>
      <c r="F392" s="2" t="inlineStr">
        <is>
          <t>Yes</t>
        </is>
      </c>
      <c r="G392" s="2" t="n"/>
      <c r="H392" s="2" t="n"/>
      <c r="I392" s="2" t="n"/>
      <c r="J392" s="2" t="n"/>
      <c r="K392" s="2" t="n"/>
      <c r="L392" s="2" t="n"/>
      <c r="M392" s="2" t="n"/>
      <c r="N392" s="2" t="n"/>
      <c r="O392" s="2" t="n"/>
      <c r="P392" s="2" t="n"/>
      <c r="Q392" s="2" t="n"/>
      <c r="R392" s="2" t="n"/>
      <c r="S392" s="2" t="n"/>
      <c r="T392" s="2" t="inlineStr">
        <is>
          <t xml:space="preserve">29/7 : Had a very long conversation of 55 with the student's mother, mother wanted to know every detail about the interest and have explained everything. Mother asked me everything around upgrad. She should be applying through PM vidyalakshmi of 7.5Lakhs
1/8 : Student hasn't applied for loan yet , PM vidyalakshmi.Was not convinced if the loan would be processed in the time. </t>
        </is>
      </c>
      <c r="U392" s="2" t="inlineStr">
        <is>
          <t>Refund</t>
        </is>
      </c>
      <c r="V392" s="2" t="n"/>
      <c r="W392" s="2" t="n"/>
      <c r="X392" s="2" t="n"/>
      <c r="Y392" s="2" t="n"/>
      <c r="Z392" s="2" t="n"/>
      <c r="AA392" s="2" t="inlineStr">
        <is>
          <t>Refund case</t>
        </is>
      </c>
      <c r="AB392" s="2" t="inlineStr">
        <is>
          <t>Refund case</t>
        </is>
      </c>
      <c r="AC392" s="2" t="n"/>
      <c r="AD392" s="2" t="n"/>
      <c r="AE392" s="2" t="n"/>
      <c r="AF392" s="2" t="n"/>
      <c r="AG392" s="2" t="n"/>
      <c r="AH392" s="2" t="n"/>
      <c r="AI392" s="2" t="n"/>
      <c r="AJ392" s="2" t="n"/>
      <c r="AK392" s="2" t="n"/>
      <c r="AL392" s="2" t="n"/>
      <c r="AM392" s="2" t="n"/>
      <c r="AN392" s="2" t="n"/>
      <c r="AO392" s="2" t="n"/>
      <c r="AP392" s="2" t="n"/>
      <c r="AQ392" s="2" t="n"/>
    </row>
    <row r="393">
      <c r="A393" t="n">
        <v>392</v>
      </c>
      <c r="B393" s="2" t="inlineStr">
        <is>
          <t>PRINCE KUMAR DHAKAD</t>
        </is>
      </c>
      <c r="C393" s="3" t="n">
        <v>9636865316</v>
      </c>
      <c r="D393" s="2" t="inlineStr">
        <is>
          <t>PROV260703632</t>
        </is>
      </c>
      <c r="E393" s="2" t="inlineStr">
        <is>
          <t>SSHAE</t>
        </is>
      </c>
      <c r="F393" s="2" t="inlineStr">
        <is>
          <t>Yes</t>
        </is>
      </c>
      <c r="G393" s="2" t="inlineStr">
        <is>
          <t xml:space="preserve">Critical </t>
        </is>
      </c>
      <c r="H393" s="2" t="n">
        <v>20</v>
      </c>
      <c r="I393" s="2" t="inlineStr">
        <is>
          <t>20 lakh</t>
        </is>
      </c>
      <c r="J393" s="2" t="n">
        <v>80</v>
      </c>
      <c r="K393" s="2" t="inlineStr">
        <is>
          <t>Father</t>
        </is>
      </c>
      <c r="L393" s="2" t="inlineStr">
        <is>
          <t>pvt job</t>
        </is>
      </c>
      <c r="M393" s="2" t="n">
        <v>4.5</v>
      </c>
      <c r="N393" s="2" t="inlineStr">
        <is>
          <t>ITR</t>
        </is>
      </c>
      <c r="O393" s="2" t="inlineStr">
        <is>
          <t>HOME LOAN</t>
        </is>
      </c>
      <c r="P393" s="2" t="n">
        <v>758</v>
      </c>
      <c r="Q393" s="2" t="inlineStr">
        <is>
          <t>NO</t>
        </is>
      </c>
      <c r="R393" s="2" t="inlineStr">
        <is>
          <t>NO</t>
        </is>
      </c>
      <c r="S393" s="2" t="n"/>
      <c r="T393" s="2" t="inlineStr">
        <is>
          <t>25/7 : DNP
"25/7 : have student tried twice, he has not picked the call, he called back but he is not speaking anything from the other side. 
25/7 : Loan required : 20L, father salary :  4lpa, itr filed : 
brother : 15K "</t>
        </is>
      </c>
      <c r="U393" s="2" t="inlineStr">
        <is>
          <t>Yes</t>
        </is>
      </c>
      <c r="V393" s="2" t="inlineStr">
        <is>
          <t>Yes</t>
        </is>
      </c>
      <c r="W393" s="2" t="inlineStr">
        <is>
          <t>Yes</t>
        </is>
      </c>
      <c r="X393" s="2" t="inlineStr">
        <is>
          <t xml:space="preserve">No </t>
        </is>
      </c>
      <c r="Y393" s="2" t="inlineStr">
        <is>
          <t>No</t>
        </is>
      </c>
      <c r="Z393" s="2" t="inlineStr">
        <is>
          <t>Yes</t>
        </is>
      </c>
      <c r="AA393" s="2" t="inlineStr">
        <is>
          <t>Control</t>
        </is>
      </c>
      <c r="AB393" s="2" t="inlineStr">
        <is>
          <t>Control</t>
        </is>
      </c>
      <c r="AC393" s="2" t="n"/>
      <c r="AD393" s="2" t="n"/>
      <c r="AE393" s="2" t="n"/>
      <c r="AF393" s="2" t="n"/>
      <c r="AG393" s="2" t="inlineStr">
        <is>
          <t>Ongoing</t>
        </is>
      </c>
      <c r="AH393" s="2" t="inlineStr">
        <is>
          <t>Processing by GyanDhan</t>
        </is>
      </c>
      <c r="AI393" s="2" t="n"/>
      <c r="AJ393" s="2" t="n"/>
      <c r="AK393" s="2" t="n"/>
      <c r="AL393" s="2" t="n"/>
      <c r="AM393" s="2" t="n"/>
      <c r="AN393" s="2" t="n"/>
      <c r="AO393" s="2" t="n"/>
      <c r="AP393" s="2" t="n"/>
      <c r="AQ393" s="2" t="n"/>
    </row>
    <row r="394">
      <c r="A394" t="n">
        <v>393</v>
      </c>
      <c r="B394" s="2" t="inlineStr">
        <is>
          <t>Rudransh Singh</t>
        </is>
      </c>
      <c r="C394" s="3" t="n">
        <v>7565932557</v>
      </c>
      <c r="D394" s="2" t="inlineStr">
        <is>
          <t>PROV260702007</t>
        </is>
      </c>
      <c r="E394" s="2" t="inlineStr">
        <is>
          <t>SSHAE</t>
        </is>
      </c>
      <c r="F394" s="2" t="inlineStr">
        <is>
          <t>No</t>
        </is>
      </c>
      <c r="G394" s="2" t="inlineStr">
        <is>
          <t>Loan not required</t>
        </is>
      </c>
      <c r="H394" s="2" t="n"/>
      <c r="I394" s="2" t="n"/>
      <c r="J394" s="2" t="n"/>
      <c r="K394" s="2" t="n"/>
      <c r="L394" s="2" t="n"/>
      <c r="M394" s="2" t="n"/>
      <c r="N394" s="2" t="n"/>
      <c r="O394" s="2" t="n"/>
      <c r="P394" s="2" t="n"/>
      <c r="Q394" s="2" t="n"/>
      <c r="R394" s="2" t="n"/>
      <c r="S394" s="2" t="n"/>
      <c r="T394" s="2" t="inlineStr">
        <is>
          <t>24/7: Father: 9473652872: Self fund</t>
        </is>
      </c>
      <c r="U394" s="2" t="inlineStr">
        <is>
          <t>No</t>
        </is>
      </c>
      <c r="V394" s="2" t="n"/>
      <c r="W394" s="2" t="n"/>
      <c r="X394" s="2" t="n"/>
      <c r="Y394" s="2" t="n"/>
      <c r="Z394" s="2" t="n"/>
      <c r="AA394" s="2" t="inlineStr">
        <is>
          <t>Not required</t>
        </is>
      </c>
      <c r="AB394" s="2" t="inlineStr">
        <is>
          <t>Not required</t>
        </is>
      </c>
      <c r="AC394" s="2" t="n"/>
      <c r="AD394" s="2" t="n"/>
      <c r="AE394" s="2" t="n"/>
      <c r="AF394" s="2" t="n"/>
      <c r="AG394" s="2" t="inlineStr">
        <is>
          <t>Not required</t>
        </is>
      </c>
      <c r="AH394" s="2" t="n"/>
      <c r="AI394" s="2" t="n"/>
      <c r="AJ394" s="2" t="n"/>
      <c r="AK394" s="2" t="n"/>
      <c r="AL394" s="2" t="n"/>
      <c r="AM394" s="2" t="n"/>
      <c r="AN394" s="2" t="n"/>
      <c r="AO394" s="2" t="n"/>
      <c r="AP394" s="2" t="n"/>
      <c r="AQ394" s="2" t="n"/>
    </row>
    <row r="395">
      <c r="A395" t="n">
        <v>394</v>
      </c>
      <c r="B395" s="2" t="inlineStr">
        <is>
          <t>Sangam</t>
        </is>
      </c>
      <c r="C395" s="3" t="n">
        <v>8303955399</v>
      </c>
      <c r="D395" s="2" t="inlineStr">
        <is>
          <t>PROV260603266</t>
        </is>
      </c>
      <c r="E395" s="2" t="inlineStr">
        <is>
          <t>SSHAE</t>
        </is>
      </c>
      <c r="F395" s="2" t="inlineStr">
        <is>
          <t>Drop</t>
        </is>
      </c>
      <c r="G395" s="2" t="n"/>
      <c r="H395" s="2" t="n"/>
      <c r="I395" s="2" t="n"/>
      <c r="J395" s="2" t="n"/>
      <c r="K395" s="2" t="n"/>
      <c r="L395" s="2" t="n"/>
      <c r="M395" s="2" t="n"/>
      <c r="N395" s="2" t="n"/>
      <c r="O395" s="2" t="n"/>
      <c r="P395" s="2" t="n"/>
      <c r="Q395" s="2" t="n"/>
      <c r="R395" s="2" t="n"/>
      <c r="S395" s="2" t="n"/>
      <c r="T395" s="2" t="n"/>
      <c r="U395" s="2" t="inlineStr">
        <is>
          <t>Refund</t>
        </is>
      </c>
      <c r="V395" s="2" t="n"/>
      <c r="W395" s="2" t="n"/>
      <c r="X395" s="2" t="n"/>
      <c r="Y395" s="2" t="n"/>
      <c r="Z395" s="2" t="n"/>
      <c r="AA395" s="2" t="inlineStr">
        <is>
          <t>Refund case</t>
        </is>
      </c>
      <c r="AB395" s="2" t="inlineStr">
        <is>
          <t>Refund case</t>
        </is>
      </c>
      <c r="AC395" s="2" t="n"/>
      <c r="AD395" s="2" t="n"/>
      <c r="AE395" s="2" t="n"/>
      <c r="AF395" s="2" t="n"/>
      <c r="AG395" s="2" t="n"/>
      <c r="AH395" s="2" t="n"/>
      <c r="AI395" s="2" t="n"/>
      <c r="AJ395" s="2" t="n"/>
      <c r="AK395" s="2" t="n"/>
      <c r="AL395" s="2" t="n"/>
      <c r="AM395" s="2" t="n"/>
      <c r="AN395" s="2" t="n"/>
      <c r="AO395" s="2" t="n"/>
      <c r="AP395" s="2" t="n"/>
      <c r="AQ395" s="2" t="n"/>
    </row>
    <row r="396">
      <c r="A396" t="n">
        <v>395</v>
      </c>
      <c r="B396" s="2" t="inlineStr">
        <is>
          <t>Keerthana</t>
        </is>
      </c>
      <c r="C396" s="3" t="n">
        <v>6364405489</v>
      </c>
      <c r="D396" s="2" t="inlineStr">
        <is>
          <t>PROV260702346</t>
        </is>
      </c>
      <c r="E396" s="2" t="inlineStr">
        <is>
          <t>SSHAE</t>
        </is>
      </c>
      <c r="F396" s="2" t="inlineStr">
        <is>
          <t>No</t>
        </is>
      </c>
      <c r="G396" s="2" t="inlineStr">
        <is>
          <t>Loan not required</t>
        </is>
      </c>
      <c r="H396" s="2" t="n"/>
      <c r="I396" s="2" t="n"/>
      <c r="J396" s="2" t="n"/>
      <c r="K396" s="2" t="n"/>
      <c r="L396" s="2" t="n"/>
      <c r="M396" s="2" t="n"/>
      <c r="N396" s="2" t="n"/>
      <c r="O396" s="2" t="n"/>
      <c r="P396" s="2" t="n"/>
      <c r="Q396" s="2" t="n"/>
      <c r="R396" s="2" t="n"/>
      <c r="S396" s="2" t="n"/>
      <c r="T396" s="2" t="n"/>
      <c r="U396" s="2" t="inlineStr">
        <is>
          <t>No</t>
        </is>
      </c>
      <c r="V396" s="2" t="n"/>
      <c r="W396" s="2" t="n"/>
      <c r="X396" s="2" t="n"/>
      <c r="Y396" s="2" t="n"/>
      <c r="Z396" s="2" t="n"/>
      <c r="AA396" s="2" t="inlineStr">
        <is>
          <t>Not required</t>
        </is>
      </c>
      <c r="AB396" s="2" t="inlineStr">
        <is>
          <t>Not required</t>
        </is>
      </c>
      <c r="AC396" s="2" t="n"/>
      <c r="AD396" s="2" t="n"/>
      <c r="AE396" s="2" t="n"/>
      <c r="AF396" s="2" t="n"/>
      <c r="AG396" s="2" t="inlineStr">
        <is>
          <t>Not required</t>
        </is>
      </c>
      <c r="AH396" s="2" t="n"/>
      <c r="AI396" s="2" t="n"/>
      <c r="AJ396" s="2" t="n"/>
      <c r="AK396" s="2" t="n"/>
      <c r="AL396" s="2" t="n"/>
      <c r="AM396" s="2" t="n"/>
      <c r="AN396" s="2" t="n"/>
      <c r="AO396" s="2" t="n"/>
      <c r="AP396" s="2" t="n"/>
      <c r="AQ396" s="2" t="n"/>
    </row>
    <row r="397">
      <c r="A397" t="n">
        <v>396</v>
      </c>
      <c r="B397" s="2" t="inlineStr">
        <is>
          <t>Soham Saha Ray</t>
        </is>
      </c>
      <c r="C397" s="3" t="n">
        <v>9830744974</v>
      </c>
      <c r="D397" s="2" t="inlineStr">
        <is>
          <t>PROV260702940</t>
        </is>
      </c>
      <c r="E397" s="2" t="inlineStr">
        <is>
          <t>SSHAE</t>
        </is>
      </c>
      <c r="F397" s="2" t="inlineStr">
        <is>
          <t>No</t>
        </is>
      </c>
      <c r="G397" s="2" t="inlineStr">
        <is>
          <t>Loan not required</t>
        </is>
      </c>
      <c r="H397" s="2" t="n"/>
      <c r="I397" s="2" t="n"/>
      <c r="J397" s="2" t="n"/>
      <c r="K397" s="2" t="n"/>
      <c r="L397" s="2" t="n"/>
      <c r="M397" s="2" t="n"/>
      <c r="N397" s="2" t="n"/>
      <c r="O397" s="2" t="n"/>
      <c r="P397" s="2" t="n"/>
      <c r="Q397" s="2" t="n"/>
      <c r="R397" s="2" t="n"/>
      <c r="S397" s="2" t="n"/>
      <c r="T397" s="2" t="n"/>
      <c r="U397" s="2" t="inlineStr">
        <is>
          <t>No</t>
        </is>
      </c>
      <c r="V397" s="2" t="n"/>
      <c r="W397" s="2" t="n"/>
      <c r="X397" s="2" t="n"/>
      <c r="Y397" s="2" t="n"/>
      <c r="Z397" s="2" t="n"/>
      <c r="AA397" s="2" t="inlineStr">
        <is>
          <t>Not required</t>
        </is>
      </c>
      <c r="AB397" s="2" t="inlineStr">
        <is>
          <t>Not required</t>
        </is>
      </c>
      <c r="AC397" s="2" t="n"/>
      <c r="AD397" s="2" t="n"/>
      <c r="AE397" s="2" t="n"/>
      <c r="AF397" s="2" t="n"/>
      <c r="AG397" s="2" t="inlineStr">
        <is>
          <t>Not required</t>
        </is>
      </c>
      <c r="AH397" s="2" t="n"/>
      <c r="AI397" s="2" t="n"/>
      <c r="AJ397" s="2" t="n"/>
      <c r="AK397" s="2" t="n"/>
      <c r="AL397" s="2" t="n"/>
      <c r="AM397" s="2" t="n"/>
      <c r="AN397" s="2" t="n"/>
      <c r="AO397" s="2" t="n"/>
      <c r="AP397" s="2" t="n"/>
      <c r="AQ397" s="2" t="n"/>
    </row>
    <row r="398">
      <c r="A398" t="n">
        <v>397</v>
      </c>
      <c r="B398" s="2" t="inlineStr">
        <is>
          <t>Gungun jain</t>
        </is>
      </c>
      <c r="C398" s="3" t="n">
        <v>6261320070</v>
      </c>
      <c r="D398" s="2" t="inlineStr">
        <is>
          <t>PROV260614267</t>
        </is>
      </c>
      <c r="E398" s="2" t="inlineStr">
        <is>
          <t>ADYPU</t>
        </is>
      </c>
      <c r="F398" s="2" t="inlineStr">
        <is>
          <t>No</t>
        </is>
      </c>
      <c r="G398" s="2" t="inlineStr">
        <is>
          <t>Loan not required</t>
        </is>
      </c>
      <c r="H398" s="2" t="n"/>
      <c r="I398" s="2" t="n"/>
      <c r="J398" s="2" t="n"/>
      <c r="K398" s="2" t="n"/>
      <c r="L398" s="2" t="n"/>
      <c r="M398" s="2" t="n"/>
      <c r="N398" s="2" t="n"/>
      <c r="O398" s="2" t="n"/>
      <c r="P398" s="2" t="n"/>
      <c r="Q398" s="2" t="n"/>
      <c r="R398" s="2" t="n"/>
      <c r="S398" s="2" t="n"/>
      <c r="T398" s="2" t="n"/>
      <c r="U398" s="2" t="inlineStr">
        <is>
          <t>No</t>
        </is>
      </c>
      <c r="V398" s="2" t="n"/>
      <c r="W398" s="2" t="n"/>
      <c r="X398" s="2" t="n"/>
      <c r="Y398" s="2" t="n"/>
      <c r="Z398" s="2" t="n"/>
      <c r="AA398" s="2" t="inlineStr">
        <is>
          <t>Not required</t>
        </is>
      </c>
      <c r="AB398" s="2" t="inlineStr">
        <is>
          <t>Not required</t>
        </is>
      </c>
      <c r="AC398" s="2" t="n"/>
      <c r="AD398" s="2" t="n"/>
      <c r="AE398" s="2" t="n"/>
      <c r="AF398" s="2" t="n"/>
      <c r="AG398" s="2" t="inlineStr">
        <is>
          <t>Not required</t>
        </is>
      </c>
      <c r="AH398" s="2" t="n"/>
      <c r="AI398" s="2" t="n"/>
      <c r="AJ398" s="2" t="n"/>
      <c r="AK398" s="2" t="n"/>
      <c r="AL398" s="2" t="n"/>
      <c r="AM398" s="2" t="n"/>
      <c r="AN398" s="2" t="n"/>
      <c r="AO398" s="2" t="n"/>
      <c r="AP398" s="2" t="n"/>
      <c r="AQ398" s="2" t="n"/>
    </row>
    <row r="399">
      <c r="A399" t="n">
        <v>398</v>
      </c>
      <c r="B399" s="2" t="inlineStr">
        <is>
          <t>Arjun Malik</t>
        </is>
      </c>
      <c r="C399" s="3" t="n">
        <v>9582390833</v>
      </c>
      <c r="D399" s="2" t="inlineStr">
        <is>
          <t>PROV260612593</t>
        </is>
      </c>
      <c r="E399" s="2" t="inlineStr">
        <is>
          <t>ADYPU</t>
        </is>
      </c>
      <c r="F399" s="2" t="inlineStr">
        <is>
          <t>DNR</t>
        </is>
      </c>
      <c r="G399" s="2" t="n"/>
      <c r="H399" s="2" t="n"/>
      <c r="I399" s="2" t="n"/>
      <c r="J399" s="2" t="n"/>
      <c r="K399" s="2" t="n"/>
      <c r="L399" s="2" t="n"/>
      <c r="M399" s="2" t="n"/>
      <c r="N399" s="2" t="n"/>
      <c r="O399" s="2" t="n"/>
      <c r="P399" s="2" t="n"/>
      <c r="Q399" s="2" t="n"/>
      <c r="R399" s="2" t="n"/>
      <c r="S399" s="2" t="n"/>
      <c r="T399" s="2" t="inlineStr">
        <is>
          <t>24/7: DNP</t>
        </is>
      </c>
      <c r="U399" s="2" t="inlineStr">
        <is>
          <t>DNP</t>
        </is>
      </c>
      <c r="V399" s="2" t="n"/>
      <c r="W399" s="2" t="n"/>
      <c r="X399" s="2" t="n"/>
      <c r="Y399" s="2" t="n"/>
      <c r="Z399" s="2" t="n"/>
      <c r="AA399" s="2" t="inlineStr">
        <is>
          <t>DNP</t>
        </is>
      </c>
      <c r="AB399" s="2" t="inlineStr">
        <is>
          <t>DNP</t>
        </is>
      </c>
      <c r="AC399" s="2" t="n"/>
      <c r="AD399" s="2" t="n"/>
      <c r="AE399" s="2" t="n"/>
      <c r="AF399" s="2" t="n"/>
      <c r="AG399" s="2" t="inlineStr">
        <is>
          <t>Not even started</t>
        </is>
      </c>
      <c r="AH399" s="2" t="n"/>
      <c r="AI399" s="2" t="n"/>
      <c r="AJ399" s="2" t="n"/>
      <c r="AK399" s="2" t="n"/>
      <c r="AL399" s="2" t="n"/>
      <c r="AM399" s="2" t="n"/>
      <c r="AN399" s="2" t="n"/>
      <c r="AO399" s="2" t="n"/>
      <c r="AP399" s="2" t="n"/>
      <c r="AQ399" s="2" t="n"/>
    </row>
    <row r="400">
      <c r="A400" t="n">
        <v>399</v>
      </c>
      <c r="B400" s="2" t="inlineStr">
        <is>
          <t>Vishwamohan purohit</t>
        </is>
      </c>
      <c r="C400" s="3" t="n">
        <v>9351517932</v>
      </c>
      <c r="D400" s="2" t="inlineStr">
        <is>
          <t>PROV260504390</t>
        </is>
      </c>
      <c r="E400" s="2" t="inlineStr">
        <is>
          <t>ADYPU</t>
        </is>
      </c>
      <c r="F400" s="2" t="inlineStr">
        <is>
          <t>Drop</t>
        </is>
      </c>
      <c r="G400" s="2" t="n"/>
      <c r="H400" s="2" t="n"/>
      <c r="I400" s="2" t="n"/>
      <c r="J400" s="2" t="n"/>
      <c r="K400" s="2" t="n"/>
      <c r="L400" s="2" t="n"/>
      <c r="M400" s="2" t="n"/>
      <c r="N400" s="2" t="n"/>
      <c r="O400" s="2" t="n"/>
      <c r="P400" s="2" t="n"/>
      <c r="Q400" s="2" t="n"/>
      <c r="R400" s="2" t="n"/>
      <c r="S400" s="2" t="n"/>
      <c r="T400" s="2" t="n"/>
      <c r="U400" s="2" t="inlineStr">
        <is>
          <t>Refund</t>
        </is>
      </c>
      <c r="V400" s="2" t="n"/>
      <c r="W400" s="2" t="n"/>
      <c r="X400" s="2" t="n"/>
      <c r="Y400" s="2" t="n"/>
      <c r="Z400" s="2" t="n"/>
      <c r="AA400" s="2" t="inlineStr">
        <is>
          <t>Refund case</t>
        </is>
      </c>
      <c r="AB400" s="2" t="inlineStr">
        <is>
          <t>Refund case</t>
        </is>
      </c>
      <c r="AC400" s="2" t="n"/>
      <c r="AD400" s="2" t="n"/>
      <c r="AE400" s="2" t="n"/>
      <c r="AF400" s="2" t="n"/>
      <c r="AG400" s="2" t="n"/>
      <c r="AH400" s="2" t="n"/>
      <c r="AI400" s="2" t="n"/>
      <c r="AJ400" s="2" t="n"/>
      <c r="AK400" s="2" t="n"/>
      <c r="AL400" s="2" t="n"/>
      <c r="AM400" s="2" t="n"/>
      <c r="AN400" s="2" t="n"/>
      <c r="AO400" s="2" t="n"/>
      <c r="AP400" s="2" t="n"/>
      <c r="AQ400" s="2" t="n"/>
    </row>
    <row r="401">
      <c r="A401" t="n">
        <v>400</v>
      </c>
      <c r="B401" s="2" t="inlineStr">
        <is>
          <t>devraj singh</t>
        </is>
      </c>
      <c r="C401" s="3" t="n">
        <v>9521540770</v>
      </c>
      <c r="D401" s="2" t="inlineStr">
        <is>
          <t>PROV260606578</t>
        </is>
      </c>
      <c r="E401" s="2" t="inlineStr">
        <is>
          <t>ADYPU</t>
        </is>
      </c>
      <c r="F401" s="2" t="inlineStr">
        <is>
          <t>Yes</t>
        </is>
      </c>
      <c r="G401" s="2" t="inlineStr">
        <is>
          <t xml:space="preserve">Non Critical </t>
        </is>
      </c>
      <c r="H401" s="2" t="n">
        <v>5</v>
      </c>
      <c r="I401" s="2" t="inlineStr">
        <is>
          <t>15 lakhs</t>
        </is>
      </c>
      <c r="J401" s="2" t="n">
        <v>69</v>
      </c>
      <c r="K401" s="2" t="inlineStr">
        <is>
          <t>Mother</t>
        </is>
      </c>
      <c r="L401" s="2" t="inlineStr">
        <is>
          <t>Housewife</t>
        </is>
      </c>
      <c r="M401" s="2" t="inlineStr">
        <is>
          <t>6 lakhs</t>
        </is>
      </c>
      <c r="N401" s="2" t="inlineStr">
        <is>
          <t>EWS</t>
        </is>
      </c>
      <c r="O401" s="2" t="inlineStr">
        <is>
          <t>kcc loan; gold lan</t>
        </is>
      </c>
      <c r="P401" s="2" t="n">
        <v>651</v>
      </c>
      <c r="Q401" s="2" t="inlineStr">
        <is>
          <t>agricultural land</t>
        </is>
      </c>
      <c r="R401" s="2" t="n"/>
      <c r="S401" s="2" t="n"/>
      <c r="T401" s="2" t="inlineStr">
        <is>
          <t>24/7: DNP
29/7 : loan req : need loan for 4 years || 20 L || Father : Foreign ( Saudi ) - Driver cab || 50K/month,Non Collatreral,  cibil , ITR filed, mother will think and tell. asked me the interest and was not sure on the interest part whether they want loan on so much interest</t>
        </is>
      </c>
      <c r="U401" s="2" t="inlineStr">
        <is>
          <t>Not sure</t>
        </is>
      </c>
      <c r="V401" s="2" t="n"/>
      <c r="W401" s="2" t="n"/>
      <c r="X401" s="2" t="n"/>
      <c r="Y401" s="2" t="n"/>
      <c r="Z401" s="2" t="n"/>
      <c r="AA401" s="2" t="inlineStr">
        <is>
          <t>Risk</t>
        </is>
      </c>
      <c r="AB401" s="2" t="inlineStr">
        <is>
          <t>Risk</t>
        </is>
      </c>
      <c r="AC401" s="2" t="n"/>
      <c r="AD401" s="2" t="n"/>
      <c r="AE401" s="2" t="n"/>
      <c r="AF401" s="2" t="n"/>
      <c r="AG401" s="2" t="n"/>
      <c r="AH401" s="2" t="n"/>
      <c r="AI401" s="2" t="n"/>
      <c r="AJ401" s="2" t="n"/>
      <c r="AK401" s="2" t="n"/>
      <c r="AL401" s="2" t="n"/>
      <c r="AM401" s="2" t="n"/>
      <c r="AN401" s="2" t="n"/>
      <c r="AO401" s="2" t="n"/>
      <c r="AP401" s="2" t="n"/>
      <c r="AQ401" s="2" t="n"/>
    </row>
    <row r="402">
      <c r="A402" t="n">
        <v>401</v>
      </c>
      <c r="B402" s="2" t="inlineStr">
        <is>
          <t>Piyush Yashvant Shinde</t>
        </is>
      </c>
      <c r="C402" s="3" t="n">
        <v>9860984594</v>
      </c>
      <c r="D402" s="2" t="inlineStr">
        <is>
          <t>PROV260600045</t>
        </is>
      </c>
      <c r="E402" s="2" t="inlineStr">
        <is>
          <t>ADYPU</t>
        </is>
      </c>
      <c r="F402" s="2" t="n"/>
      <c r="G402" s="2" t="n"/>
      <c r="H402" s="2" t="n"/>
      <c r="I402" s="2" t="n"/>
      <c r="J402" s="2" t="n"/>
      <c r="K402" s="2" t="n"/>
      <c r="L402" s="2" t="n"/>
      <c r="M402" s="2" t="n"/>
      <c r="N402" s="2" t="n"/>
      <c r="O402" s="2" t="n"/>
      <c r="P402" s="2" t="n"/>
      <c r="Q402" s="2" t="n"/>
      <c r="R402" s="2" t="n"/>
      <c r="S402" s="2" t="n"/>
      <c r="T402" s="2" t="inlineStr">
        <is>
          <t>24/7: Will confirm in some time</t>
        </is>
      </c>
      <c r="U402" s="2" t="inlineStr">
        <is>
          <t>Not sure</t>
        </is>
      </c>
      <c r="V402" s="2" t="n"/>
      <c r="W402" s="2" t="n"/>
      <c r="X402" s="2" t="n"/>
      <c r="Y402" s="2" t="n"/>
      <c r="Z402" s="2" t="n"/>
      <c r="AA402" s="2" t="inlineStr">
        <is>
          <t>Not Sure</t>
        </is>
      </c>
      <c r="AB402" s="2" t="inlineStr">
        <is>
          <t>Not Sure</t>
        </is>
      </c>
      <c r="AC402" s="2" t="n"/>
      <c r="AD402" s="2" t="n"/>
      <c r="AE402" s="2" t="n"/>
      <c r="AF402" s="2" t="n"/>
      <c r="AG402" s="2" t="n"/>
      <c r="AH402" s="2" t="n"/>
      <c r="AI402" s="2" t="n"/>
      <c r="AJ402" s="2" t="n"/>
      <c r="AK402" s="2" t="n"/>
      <c r="AL402" s="2" t="n"/>
      <c r="AM402" s="2" t="n"/>
      <c r="AN402" s="2" t="n"/>
      <c r="AO402" s="2" t="n"/>
      <c r="AP402" s="2" t="n"/>
      <c r="AQ402" s="2" t="n"/>
    </row>
    <row r="403">
      <c r="A403" t="n">
        <v>402</v>
      </c>
      <c r="B403" s="2" t="inlineStr">
        <is>
          <t>Laksh Ramesh Patil</t>
        </is>
      </c>
      <c r="C403" s="3" t="n">
        <v>9923035779</v>
      </c>
      <c r="D403" s="2" t="inlineStr">
        <is>
          <t>PROV260701278</t>
        </is>
      </c>
      <c r="E403" s="2" t="inlineStr">
        <is>
          <t>ADYPU</t>
        </is>
      </c>
      <c r="F403" s="2" t="inlineStr">
        <is>
          <t>No</t>
        </is>
      </c>
      <c r="G403" s="2" t="inlineStr">
        <is>
          <t>Loan not required</t>
        </is>
      </c>
      <c r="H403" s="2" t="n"/>
      <c r="I403" s="2" t="n"/>
      <c r="J403" s="2" t="n"/>
      <c r="K403" s="2" t="n"/>
      <c r="L403" s="2" t="n"/>
      <c r="M403" s="2" t="n"/>
      <c r="N403" s="2" t="n"/>
      <c r="O403" s="2" t="n"/>
      <c r="P403" s="2" t="n"/>
      <c r="Q403" s="2" t="n"/>
      <c r="R403" s="2" t="n"/>
      <c r="S403" s="2" t="n"/>
      <c r="T403" s="2" t="inlineStr">
        <is>
          <t>24/7: DNP</t>
        </is>
      </c>
      <c r="U403" s="2" t="inlineStr">
        <is>
          <t>No</t>
        </is>
      </c>
      <c r="V403" s="2" t="n"/>
      <c r="W403" s="2" t="n"/>
      <c r="X403" s="2" t="n"/>
      <c r="Y403" s="2" t="n"/>
      <c r="Z403" s="2" t="n"/>
      <c r="AA403" s="2" t="inlineStr">
        <is>
          <t>Not required</t>
        </is>
      </c>
      <c r="AB403" s="2" t="inlineStr">
        <is>
          <t>Not required</t>
        </is>
      </c>
      <c r="AC403" s="2" t="n"/>
      <c r="AD403" s="2" t="n"/>
      <c r="AE403" s="2" t="n"/>
      <c r="AF403" s="2" t="n"/>
      <c r="AG403" s="2" t="n"/>
      <c r="AH403" s="2" t="n"/>
      <c r="AI403" s="2" t="n"/>
      <c r="AJ403" s="2" t="n"/>
      <c r="AK403" s="2" t="n"/>
      <c r="AL403" s="2" t="n"/>
      <c r="AM403" s="2" t="n"/>
      <c r="AN403" s="2" t="n"/>
      <c r="AO403" s="2" t="n"/>
      <c r="AP403" s="2" t="n"/>
      <c r="AQ403" s="2" t="n"/>
    </row>
    <row r="404">
      <c r="A404" t="n">
        <v>403</v>
      </c>
      <c r="B404" s="2" t="inlineStr">
        <is>
          <t>Rudransh Sethi</t>
        </is>
      </c>
      <c r="C404" s="3" t="n">
        <v>7042657700</v>
      </c>
      <c r="D404" s="2" t="inlineStr">
        <is>
          <t>PROV260615874</t>
        </is>
      </c>
      <c r="E404" s="2" t="inlineStr">
        <is>
          <t>ADYPU</t>
        </is>
      </c>
      <c r="F404" s="2" t="inlineStr">
        <is>
          <t>Yes</t>
        </is>
      </c>
      <c r="G404" s="2" t="inlineStr">
        <is>
          <t xml:space="preserve">Non Critical </t>
        </is>
      </c>
      <c r="H404" s="2" t="n"/>
      <c r="I404" s="2" t="inlineStr">
        <is>
          <t>20L</t>
        </is>
      </c>
      <c r="J404" s="2" t="n"/>
      <c r="K404" s="2" t="n"/>
      <c r="L404" s="2" t="n"/>
      <c r="M404" s="2" t="n"/>
      <c r="N404" s="2" t="n"/>
      <c r="O404" s="2" t="n"/>
      <c r="P404" s="2" t="n"/>
      <c r="Q404" s="2" t="n"/>
      <c r="R404" s="2" t="n"/>
      <c r="S404" s="2" t="n"/>
      <c r="T404" s="2" t="inlineStr">
        <is>
          <t>24/7: Want  to share with ICICI</t>
        </is>
      </c>
      <c r="U404" s="2" t="inlineStr">
        <is>
          <t>Yes</t>
        </is>
      </c>
      <c r="V404" s="2" t="n"/>
      <c r="W404" s="2" t="n"/>
      <c r="X404" s="2" t="n"/>
      <c r="Y404" s="2" t="n"/>
      <c r="Z404" s="2" t="n"/>
      <c r="AA404" s="2" t="inlineStr">
        <is>
          <t>Control</t>
        </is>
      </c>
      <c r="AB404" s="2" t="inlineStr">
        <is>
          <t>Control</t>
        </is>
      </c>
      <c r="AC404" s="2" t="n"/>
      <c r="AD404" s="2" t="n"/>
      <c r="AE404" s="2" t="n"/>
      <c r="AF404" s="2" t="n"/>
      <c r="AG404" s="2" t="inlineStr">
        <is>
          <t>Not even started</t>
        </is>
      </c>
      <c r="AH404" s="2" t="n"/>
      <c r="AI404" s="2" t="n"/>
      <c r="AJ404" s="2" t="n"/>
      <c r="AK404" s="2" t="n"/>
      <c r="AL404" s="2" t="inlineStr">
        <is>
          <t>Will start now</t>
        </is>
      </c>
      <c r="AM404" s="2" t="n"/>
      <c r="AN404" s="2" t="n"/>
      <c r="AO404" s="2" t="n"/>
      <c r="AP404" s="2" t="n"/>
      <c r="AQ404" s="2" t="n"/>
    </row>
    <row r="405">
      <c r="A405" t="n">
        <v>404</v>
      </c>
      <c r="B405" s="2" t="inlineStr">
        <is>
          <t>Himanshu Handa</t>
        </is>
      </c>
      <c r="C405" s="3" t="n">
        <v>9466192709</v>
      </c>
      <c r="D405" s="2" t="inlineStr">
        <is>
          <t>PROV260614468</t>
        </is>
      </c>
      <c r="E405" s="2" t="inlineStr">
        <is>
          <t>ADYPU</t>
        </is>
      </c>
      <c r="F405" s="2" t="inlineStr">
        <is>
          <t>No</t>
        </is>
      </c>
      <c r="G405" s="2" t="inlineStr">
        <is>
          <t>Loan not required</t>
        </is>
      </c>
      <c r="H405" s="2" t="n"/>
      <c r="I405" s="2" t="n"/>
      <c r="J405" s="2" t="n"/>
      <c r="K405" s="2" t="n"/>
      <c r="L405" s="2" t="n"/>
      <c r="M405" s="2" t="n"/>
      <c r="N405" s="2" t="n"/>
      <c r="O405" s="2" t="n"/>
      <c r="P405" s="2" t="n"/>
      <c r="Q405" s="2" t="n"/>
      <c r="R405" s="2" t="n"/>
      <c r="S405" s="2" t="n"/>
      <c r="T405" s="2" t="inlineStr">
        <is>
          <t>24/7: 9416824454(father): dnp</t>
        </is>
      </c>
      <c r="U405" s="2" t="inlineStr">
        <is>
          <t>No</t>
        </is>
      </c>
      <c r="V405" s="2" t="n"/>
      <c r="W405" s="2" t="n"/>
      <c r="X405" s="2" t="n"/>
      <c r="Y405" s="2" t="n"/>
      <c r="Z405" s="2" t="n"/>
      <c r="AA405" s="2" t="inlineStr">
        <is>
          <t>Not required</t>
        </is>
      </c>
      <c r="AB405" s="2" t="inlineStr">
        <is>
          <t>Not required</t>
        </is>
      </c>
      <c r="AC405" s="2" t="n"/>
      <c r="AD405" s="2" t="n"/>
      <c r="AE405" s="2" t="n"/>
      <c r="AF405" s="2" t="n"/>
      <c r="AG405" s="2" t="n"/>
      <c r="AH405" s="2" t="n"/>
      <c r="AI405" s="2" t="n"/>
      <c r="AJ405" s="2" t="n"/>
      <c r="AK405" s="2" t="n"/>
      <c r="AL405" s="2" t="n"/>
      <c r="AM405" s="2" t="n"/>
      <c r="AN405" s="2" t="n"/>
      <c r="AO405" s="2" t="n"/>
      <c r="AP405" s="2" t="n"/>
      <c r="AQ405" s="2" t="n"/>
    </row>
    <row r="406">
      <c r="A406" t="n">
        <v>405</v>
      </c>
      <c r="B406" s="2" t="inlineStr">
        <is>
          <t>Subhadip Biswas</t>
        </is>
      </c>
      <c r="C406" s="3" t="n">
        <v>9933467911</v>
      </c>
      <c r="D406" s="2" t="inlineStr">
        <is>
          <t>PROV260608275</t>
        </is>
      </c>
      <c r="E406" s="2" t="inlineStr">
        <is>
          <t>ADYPU</t>
        </is>
      </c>
      <c r="F406" s="2" t="inlineStr">
        <is>
          <t>Drop</t>
        </is>
      </c>
      <c r="G406" s="2" t="n"/>
      <c r="H406" s="2" t="n"/>
      <c r="I406" s="2" t="n"/>
      <c r="J406" s="2" t="n"/>
      <c r="K406" s="2" t="n"/>
      <c r="L406" s="2" t="n"/>
      <c r="M406" s="2" t="n"/>
      <c r="N406" s="2" t="n"/>
      <c r="O406" s="2" t="n"/>
      <c r="P406" s="2" t="n"/>
      <c r="Q406" s="2" t="n"/>
      <c r="R406" s="2" t="n"/>
      <c r="S406" s="2" t="n"/>
      <c r="T406" s="2" t="n"/>
      <c r="U406" s="2" t="inlineStr">
        <is>
          <t>Refund</t>
        </is>
      </c>
      <c r="V406" s="2" t="n"/>
      <c r="W406" s="2" t="n"/>
      <c r="X406" s="2" t="n"/>
      <c r="Y406" s="2" t="n"/>
      <c r="Z406" s="2" t="n"/>
      <c r="AA406" s="2" t="inlineStr">
        <is>
          <t>Refund case</t>
        </is>
      </c>
      <c r="AB406" s="2" t="inlineStr">
        <is>
          <t>Refund case</t>
        </is>
      </c>
      <c r="AC406" s="2" t="n"/>
      <c r="AD406" s="2" t="n"/>
      <c r="AE406" s="2" t="n"/>
      <c r="AF406" s="2" t="n"/>
      <c r="AG406" s="2" t="n"/>
      <c r="AH406" s="2" t="n"/>
      <c r="AI406" s="2" t="n"/>
      <c r="AJ406" s="2" t="n"/>
      <c r="AK406" s="2" t="n"/>
      <c r="AL406" s="2" t="n"/>
      <c r="AM406" s="2" t="n"/>
      <c r="AN406" s="2" t="n"/>
      <c r="AO406" s="2" t="n"/>
      <c r="AP406" s="2" t="n"/>
      <c r="AQ406" s="2" t="n"/>
    </row>
    <row r="407">
      <c r="A407" t="n">
        <v>406</v>
      </c>
      <c r="B407" s="2" t="inlineStr">
        <is>
          <t>Adhyansh bhandari</t>
        </is>
      </c>
      <c r="C407" s="3" t="n">
        <v>7044745486</v>
      </c>
      <c r="D407" s="2" t="inlineStr">
        <is>
          <t>PROV260614896</t>
        </is>
      </c>
      <c r="E407" s="2" t="inlineStr">
        <is>
          <t>ADYPU</t>
        </is>
      </c>
      <c r="F407" s="2" t="inlineStr">
        <is>
          <t>No</t>
        </is>
      </c>
      <c r="G407" s="2" t="inlineStr">
        <is>
          <t>Loan not required</t>
        </is>
      </c>
      <c r="H407" s="2" t="n"/>
      <c r="I407" s="2" t="n"/>
      <c r="J407" s="2" t="n"/>
      <c r="K407" s="2" t="n"/>
      <c r="L407" s="2" t="n"/>
      <c r="M407" s="2" t="n"/>
      <c r="N407" s="2" t="n"/>
      <c r="O407" s="2" t="n"/>
      <c r="P407" s="2" t="n"/>
      <c r="Q407" s="2" t="n"/>
      <c r="R407" s="2" t="n"/>
      <c r="S407" s="2" t="n"/>
      <c r="T407" s="2" t="inlineStr">
        <is>
          <t>24/7: Dont want loan</t>
        </is>
      </c>
      <c r="U407" s="2" t="inlineStr">
        <is>
          <t>No</t>
        </is>
      </c>
      <c r="V407" s="2" t="n"/>
      <c r="W407" s="2" t="n"/>
      <c r="X407" s="2" t="n"/>
      <c r="Y407" s="2" t="n"/>
      <c r="Z407" s="2" t="n"/>
      <c r="AA407" s="2" t="inlineStr">
        <is>
          <t>Not required</t>
        </is>
      </c>
      <c r="AB407" s="2" t="inlineStr">
        <is>
          <t>Not required</t>
        </is>
      </c>
      <c r="AC407" s="2" t="n"/>
      <c r="AD407" s="2" t="n"/>
      <c r="AE407" s="2" t="n"/>
      <c r="AF407" s="2" t="n"/>
      <c r="AG407" s="2" t="inlineStr">
        <is>
          <t>Not required</t>
        </is>
      </c>
      <c r="AH407" s="2" t="n"/>
      <c r="AI407" s="2" t="n"/>
      <c r="AJ407" s="2" t="n"/>
      <c r="AK407" s="2" t="n"/>
      <c r="AL407" s="2" t="n"/>
      <c r="AM407" s="2" t="n"/>
      <c r="AN407" s="2" t="n"/>
      <c r="AO407" s="2" t="n"/>
      <c r="AP407" s="2" t="n"/>
      <c r="AQ407" s="2" t="n"/>
    </row>
    <row r="408">
      <c r="A408" t="n">
        <v>407</v>
      </c>
      <c r="B408" s="2" t="inlineStr">
        <is>
          <t>Mayur padamakar Patil</t>
        </is>
      </c>
      <c r="C408" s="3" t="n">
        <v>9175893613</v>
      </c>
      <c r="D408" s="2" t="inlineStr">
        <is>
          <t>PROV260606260</t>
        </is>
      </c>
      <c r="E408" s="2" t="inlineStr">
        <is>
          <t>ADYPU</t>
        </is>
      </c>
      <c r="F408" s="2" t="inlineStr">
        <is>
          <t>No</t>
        </is>
      </c>
      <c r="G408" s="2" t="inlineStr">
        <is>
          <t>Loan not required</t>
        </is>
      </c>
      <c r="H408" s="2" t="n"/>
      <c r="I408" s="2" t="n"/>
      <c r="J408" s="2" t="n"/>
      <c r="K408" s="2" t="n"/>
      <c r="L408" s="2" t="n"/>
      <c r="M408" s="2" t="n"/>
      <c r="N408" s="2" t="n"/>
      <c r="O408" s="2" t="n"/>
      <c r="P408" s="2" t="n"/>
      <c r="Q408" s="2" t="n"/>
      <c r="R408" s="2" t="n"/>
      <c r="S408" s="2" t="n"/>
      <c r="T408" s="2" t="inlineStr">
        <is>
          <t>Call back after some time</t>
        </is>
      </c>
      <c r="U408" s="2" t="inlineStr">
        <is>
          <t>No</t>
        </is>
      </c>
      <c r="V408" s="2" t="n"/>
      <c r="W408" s="2" t="n"/>
      <c r="X408" s="2" t="n"/>
      <c r="Y408" s="2" t="n"/>
      <c r="Z408" s="2" t="n"/>
      <c r="AA408" s="2" t="inlineStr">
        <is>
          <t>Not required</t>
        </is>
      </c>
      <c r="AB408" s="2" t="inlineStr">
        <is>
          <t>Not required</t>
        </is>
      </c>
      <c r="AC408" s="2" t="n"/>
      <c r="AD408" s="2" t="n"/>
      <c r="AE408" s="2" t="n"/>
      <c r="AF408" s="2" t="n"/>
      <c r="AG408" s="2" t="n"/>
      <c r="AH408" s="2" t="n"/>
      <c r="AI408" s="2" t="n"/>
      <c r="AJ408" s="2" t="n"/>
      <c r="AK408" s="2" t="n"/>
      <c r="AL408" s="2" t="n"/>
      <c r="AM408" s="2" t="n"/>
      <c r="AN408" s="2" t="n"/>
      <c r="AO408" s="2" t="n"/>
      <c r="AP408" s="2" t="n"/>
      <c r="AQ408" s="2" t="n"/>
    </row>
    <row r="409">
      <c r="A409" t="n">
        <v>408</v>
      </c>
      <c r="B409" s="2" t="inlineStr">
        <is>
          <t>Shivam Rao</t>
        </is>
      </c>
      <c r="C409" s="3" t="n">
        <v>9580759304</v>
      </c>
      <c r="D409" s="2" t="inlineStr">
        <is>
          <t>PROV260614712</t>
        </is>
      </c>
      <c r="E409" s="2" t="inlineStr">
        <is>
          <t>ADYPU</t>
        </is>
      </c>
      <c r="F409" s="2" t="inlineStr">
        <is>
          <t>Drop</t>
        </is>
      </c>
      <c r="G409" s="2" t="inlineStr">
        <is>
          <t>Loan not required</t>
        </is>
      </c>
      <c r="H409" s="2" t="n"/>
      <c r="I409" s="2" t="n"/>
      <c r="J409" s="2" t="n"/>
      <c r="K409" s="2" t="n"/>
      <c r="L409" s="2" t="n"/>
      <c r="M409" s="2" t="n"/>
      <c r="N409" s="2" t="n"/>
      <c r="O409" s="2" t="n"/>
      <c r="P409" s="2" t="n"/>
      <c r="Q409" s="2" t="n"/>
      <c r="R409" s="2" t="n"/>
      <c r="S409" s="2" t="n"/>
      <c r="T409" s="2" t="inlineStr">
        <is>
          <t>24/7: Dont want loan</t>
        </is>
      </c>
      <c r="U409" s="2" t="inlineStr">
        <is>
          <t>Refund</t>
        </is>
      </c>
      <c r="V409" s="2" t="n"/>
      <c r="W409" s="2" t="n"/>
      <c r="X409" s="2" t="n"/>
      <c r="Y409" s="2" t="n"/>
      <c r="Z409" s="2" t="n"/>
      <c r="AA409" s="2" t="inlineStr">
        <is>
          <t>Refund case</t>
        </is>
      </c>
      <c r="AB409" s="2" t="inlineStr">
        <is>
          <t>Refund case</t>
        </is>
      </c>
      <c r="AC409" s="2" t="n"/>
      <c r="AD409" s="2" t="n"/>
      <c r="AE409" s="2" t="n"/>
      <c r="AF409" s="2" t="n"/>
      <c r="AG409" s="2" t="inlineStr">
        <is>
          <t>Not required</t>
        </is>
      </c>
      <c r="AH409" s="2" t="n"/>
      <c r="AI409" s="2" t="n"/>
      <c r="AJ409" s="2" t="n"/>
      <c r="AK409" s="2" t="n"/>
      <c r="AL409" s="2" t="n"/>
      <c r="AM409" s="2" t="n"/>
      <c r="AN409" s="2" t="n"/>
      <c r="AO409" s="2" t="n"/>
      <c r="AP409" s="2" t="n"/>
      <c r="AQ409" s="2" t="n"/>
    </row>
    <row r="410">
      <c r="A410" t="n">
        <v>409</v>
      </c>
      <c r="B410" s="2" t="inlineStr">
        <is>
          <t>Snehdeep Santosh pawar</t>
        </is>
      </c>
      <c r="C410" s="3" t="n">
        <v>7666121311</v>
      </c>
      <c r="D410" s="2" t="inlineStr">
        <is>
          <t>PROV260614786</t>
        </is>
      </c>
      <c r="E410" s="2" t="inlineStr">
        <is>
          <t>ADYPU</t>
        </is>
      </c>
      <c r="F410" s="2" t="inlineStr">
        <is>
          <t>Yes</t>
        </is>
      </c>
      <c r="G410" s="2" t="n"/>
      <c r="H410" s="2" t="n"/>
      <c r="I410" s="2" t="n"/>
      <c r="J410" s="2" t="n"/>
      <c r="K410" s="2" t="n"/>
      <c r="L410" s="2" t="n"/>
      <c r="M410" s="2" t="n"/>
      <c r="N410" s="2" t="n"/>
      <c r="O410" s="2" t="n"/>
      <c r="P410" s="2" t="n"/>
      <c r="Q410" s="2" t="n"/>
      <c r="R410" s="2" t="n"/>
      <c r="S410" s="2" t="n"/>
      <c r="T410" s="2" t="inlineStr">
        <is>
          <t>24/7: They will decide after visiting the college</t>
        </is>
      </c>
      <c r="U410" s="2" t="inlineStr">
        <is>
          <t>Not sure</t>
        </is>
      </c>
      <c r="V410" s="2" t="n"/>
      <c r="W410" s="2" t="n"/>
      <c r="X410" s="2" t="n"/>
      <c r="Y410" s="2" t="n"/>
      <c r="Z410" s="2" t="n"/>
      <c r="AA410" s="2" t="inlineStr">
        <is>
          <t>Not Sure</t>
        </is>
      </c>
      <c r="AB410" s="2" t="inlineStr">
        <is>
          <t>Not Sure</t>
        </is>
      </c>
      <c r="AC410" s="2" t="n"/>
      <c r="AD410" s="2" t="n"/>
      <c r="AE410" s="2" t="n"/>
      <c r="AF410" s="2" t="n"/>
      <c r="AG410" s="2" t="inlineStr">
        <is>
          <t>Not even started</t>
        </is>
      </c>
      <c r="AH410" s="2" t="n"/>
      <c r="AI410" s="2" t="n"/>
      <c r="AJ410" s="2" t="n"/>
      <c r="AK410" s="2" t="n"/>
      <c r="AL410" s="2" t="n"/>
      <c r="AM410" s="2" t="n"/>
      <c r="AN410" s="2" t="n"/>
      <c r="AO410" s="2" t="n"/>
      <c r="AP410" s="2" t="n"/>
      <c r="AQ410" s="2" t="n"/>
    </row>
    <row r="411">
      <c r="A411" t="n">
        <v>410</v>
      </c>
      <c r="B411" s="2" t="inlineStr">
        <is>
          <t>Karan Baliram Adhe</t>
        </is>
      </c>
      <c r="C411" s="3" t="n">
        <v>9423113031</v>
      </c>
      <c r="D411" s="2" t="inlineStr">
        <is>
          <t>PROV260615118</t>
        </is>
      </c>
      <c r="E411" s="2" t="inlineStr">
        <is>
          <t>ADYPU</t>
        </is>
      </c>
      <c r="F411" s="2" t="inlineStr">
        <is>
          <t>DNR</t>
        </is>
      </c>
      <c r="G411" s="2" t="n"/>
      <c r="H411" s="2" t="n"/>
      <c r="I411" s="2" t="n"/>
      <c r="J411" s="2" t="n"/>
      <c r="K411" s="2" t="n"/>
      <c r="L411" s="2" t="n"/>
      <c r="M411" s="2" t="n"/>
      <c r="N411" s="2" t="n"/>
      <c r="O411" s="2" t="n"/>
      <c r="P411" s="2" t="n"/>
      <c r="Q411" s="2" t="n"/>
      <c r="R411" s="2" t="n"/>
      <c r="S411" s="2" t="n"/>
      <c r="T411" s="2" t="inlineStr">
        <is>
          <t>24/7: DNP</t>
        </is>
      </c>
      <c r="U411" s="2" t="inlineStr">
        <is>
          <t>DNP</t>
        </is>
      </c>
      <c r="V411" s="2" t="n"/>
      <c r="W411" s="2" t="n"/>
      <c r="X411" s="2" t="n"/>
      <c r="Y411" s="2" t="n"/>
      <c r="Z411" s="2" t="n"/>
      <c r="AA411" s="2" t="inlineStr">
        <is>
          <t>DNP</t>
        </is>
      </c>
      <c r="AB411" s="2" t="inlineStr">
        <is>
          <t>DNP</t>
        </is>
      </c>
      <c r="AC411" s="2" t="n"/>
      <c r="AD411" s="2" t="n"/>
      <c r="AE411" s="2" t="n"/>
      <c r="AF411" s="2" t="n"/>
      <c r="AG411" s="2" t="inlineStr">
        <is>
          <t>Not even started</t>
        </is>
      </c>
      <c r="AH411" s="2" t="n"/>
      <c r="AI411" s="2" t="n"/>
      <c r="AJ411" s="2" t="n"/>
      <c r="AK411" s="2" t="n"/>
      <c r="AL411" s="2" t="n"/>
      <c r="AM411" s="2" t="n"/>
      <c r="AN411" s="2" t="n"/>
      <c r="AO411" s="2" t="n"/>
      <c r="AP411" s="2" t="n"/>
      <c r="AQ411" s="2" t="n"/>
    </row>
    <row r="412">
      <c r="A412" t="n">
        <v>411</v>
      </c>
      <c r="B412" s="2" t="inlineStr">
        <is>
          <t>jheel bharat santani</t>
        </is>
      </c>
      <c r="C412" s="3" t="n">
        <v>8511676740</v>
      </c>
      <c r="D412" s="2" t="inlineStr">
        <is>
          <t>PROV260614961</t>
        </is>
      </c>
      <c r="E412" s="2" t="inlineStr">
        <is>
          <t>ADYPU</t>
        </is>
      </c>
      <c r="F412" s="2" t="inlineStr">
        <is>
          <t>No</t>
        </is>
      </c>
      <c r="G412" s="2" t="inlineStr">
        <is>
          <t>Loan not required</t>
        </is>
      </c>
      <c r="H412" s="2" t="n"/>
      <c r="I412" s="2" t="n"/>
      <c r="J412" s="2" t="n"/>
      <c r="K412" s="2" t="n"/>
      <c r="L412" s="2" t="n"/>
      <c r="M412" s="2" t="n"/>
      <c r="N412" s="2" t="n"/>
      <c r="O412" s="2" t="n"/>
      <c r="P412" s="2" t="n"/>
      <c r="Q412" s="2" t="n"/>
      <c r="R412" s="2" t="n"/>
      <c r="S412" s="2" t="n"/>
      <c r="T412" s="2" t="inlineStr">
        <is>
          <t>24/7: Slef fund</t>
        </is>
      </c>
      <c r="U412" s="2" t="inlineStr">
        <is>
          <t>No</t>
        </is>
      </c>
      <c r="V412" s="2" t="n"/>
      <c r="W412" s="2" t="n"/>
      <c r="X412" s="2" t="n"/>
      <c r="Y412" s="2" t="n"/>
      <c r="Z412" s="2" t="n"/>
      <c r="AA412" s="2" t="inlineStr">
        <is>
          <t>Not required</t>
        </is>
      </c>
      <c r="AB412" s="2" t="inlineStr">
        <is>
          <t>Not required</t>
        </is>
      </c>
      <c r="AC412" s="2" t="n"/>
      <c r="AD412" s="2" t="n"/>
      <c r="AE412" s="2" t="n"/>
      <c r="AF412" s="2" t="n"/>
      <c r="AG412" s="2" t="inlineStr">
        <is>
          <t>Not required</t>
        </is>
      </c>
      <c r="AH412" s="2" t="n"/>
      <c r="AI412" s="2" t="n"/>
      <c r="AJ412" s="2" t="n"/>
      <c r="AK412" s="2" t="n"/>
      <c r="AL412" s="2" t="n"/>
      <c r="AM412" s="2" t="n"/>
      <c r="AN412" s="2" t="n"/>
      <c r="AO412" s="2" t="n"/>
      <c r="AP412" s="2" t="n"/>
      <c r="AQ412" s="2" t="n"/>
    </row>
    <row r="413">
      <c r="A413" t="n">
        <v>412</v>
      </c>
      <c r="B413" s="2" t="inlineStr">
        <is>
          <t>Abhi shrivas</t>
        </is>
      </c>
      <c r="C413" s="3" t="n">
        <v>8109635116</v>
      </c>
      <c r="D413" s="2" t="inlineStr">
        <is>
          <t>PROV1000000238</t>
        </is>
      </c>
      <c r="E413" s="2" t="inlineStr">
        <is>
          <t>ADYPU</t>
        </is>
      </c>
      <c r="F413" s="2" t="inlineStr">
        <is>
          <t>Yes</t>
        </is>
      </c>
      <c r="G413" s="2" t="inlineStr">
        <is>
          <t xml:space="preserve">Non Critical </t>
        </is>
      </c>
      <c r="H413" s="2" t="n">
        <v>0.3</v>
      </c>
      <c r="I413" s="2" t="n">
        <v>20</v>
      </c>
      <c r="J413" s="2" t="n">
        <v>79.5</v>
      </c>
      <c r="K413" s="2" t="inlineStr">
        <is>
          <t>Uncle</t>
        </is>
      </c>
      <c r="L413" s="2" t="inlineStr">
        <is>
          <t xml:space="preserve">BUsiness </t>
        </is>
      </c>
      <c r="M413" s="2" t="inlineStr">
        <is>
          <t>12L</t>
        </is>
      </c>
      <c r="N413" s="2" t="inlineStr">
        <is>
          <t>ITR</t>
        </is>
      </c>
      <c r="O413" s="2" t="n"/>
      <c r="P413" s="2" t="inlineStr">
        <is>
          <t>720+</t>
        </is>
      </c>
      <c r="Q413" s="2" t="inlineStr">
        <is>
          <t>Yes</t>
        </is>
      </c>
      <c r="R413" s="2" t="inlineStr">
        <is>
          <t>House</t>
        </is>
      </c>
      <c r="S413" s="2" t="n"/>
      <c r="T413" s="2" t="inlineStr">
        <is>
          <t>24/7: SBI rejected, sharing leads to other places, want fast
1/8 : 10th - 80
12th - 81%
Maths - 93 (10th ), 92(12th )
JEE : 96  , have to confirm with vishwa , needs vishwa attention</t>
        </is>
      </c>
      <c r="U413" s="2" t="inlineStr">
        <is>
          <t>Yes</t>
        </is>
      </c>
      <c r="V413" s="2" t="n"/>
      <c r="W413" s="2" t="n"/>
      <c r="X413" s="2" t="n"/>
      <c r="Y413" s="2" t="n"/>
      <c r="Z413" s="2" t="n"/>
      <c r="AA413" s="2" t="inlineStr">
        <is>
          <t>Control</t>
        </is>
      </c>
      <c r="AB413" s="2" t="inlineStr">
        <is>
          <t>Control</t>
        </is>
      </c>
      <c r="AC413" s="2" t="n"/>
      <c r="AD413" s="2" t="n"/>
      <c r="AE413" s="2" t="n"/>
      <c r="AF413" s="2" t="n"/>
      <c r="AG413" s="2" t="inlineStr">
        <is>
          <t>Ongoing</t>
        </is>
      </c>
      <c r="AH413" s="2" t="inlineStr">
        <is>
          <t>Processing by PM vidyalakshmi</t>
        </is>
      </c>
      <c r="AI413" s="2" t="n"/>
      <c r="AJ413" s="2" t="n"/>
      <c r="AK413" s="2" t="inlineStr">
        <is>
          <t>Yes</t>
        </is>
      </c>
      <c r="AL413" s="2" t="inlineStr">
        <is>
          <t>Went to SBI:- Rejected</t>
        </is>
      </c>
      <c r="AM413" s="2" t="n"/>
      <c r="AN413" s="2" t="n"/>
      <c r="AO413" s="2" t="n"/>
      <c r="AP413" s="2" t="n"/>
      <c r="AQ413" s="2" t="n"/>
    </row>
    <row r="414">
      <c r="A414" t="n">
        <v>413</v>
      </c>
      <c r="B414" s="2" t="inlineStr">
        <is>
          <t>Sarthak Dhole</t>
        </is>
      </c>
      <c r="C414" s="3" t="n">
        <v>7558798453</v>
      </c>
      <c r="D414" s="2" t="inlineStr">
        <is>
          <t>PROV260610837</t>
        </is>
      </c>
      <c r="E414" s="2" t="inlineStr">
        <is>
          <t>ADYPU</t>
        </is>
      </c>
      <c r="F414" s="2" t="inlineStr">
        <is>
          <t>Yes</t>
        </is>
      </c>
      <c r="G414" s="2" t="n"/>
      <c r="H414" s="2" t="n">
        <v>0.2</v>
      </c>
      <c r="I414" s="2" t="n"/>
      <c r="J414" s="2" t="n">
        <v>61.5</v>
      </c>
      <c r="K414" s="2" t="n"/>
      <c r="L414" s="2" t="n"/>
      <c r="M414" s="2" t="n"/>
      <c r="N414" s="2" t="n"/>
      <c r="O414" s="2" t="n"/>
      <c r="P414" s="2" t="n"/>
      <c r="Q414" s="2" t="n"/>
      <c r="R414" s="2" t="n"/>
      <c r="S414" s="2" t="n"/>
      <c r="T414" s="2" t="inlineStr">
        <is>
          <t>24/7: will decide today whether to take loan or not</t>
        </is>
      </c>
      <c r="U414" s="2" t="inlineStr">
        <is>
          <t>Not sure</t>
        </is>
      </c>
      <c r="V414" s="2" t="n"/>
      <c r="W414" s="2" t="n"/>
      <c r="X414" s="2" t="n"/>
      <c r="Y414" s="2" t="n"/>
      <c r="Z414" s="2" t="n"/>
      <c r="AA414" s="2" t="inlineStr">
        <is>
          <t>Not Sure</t>
        </is>
      </c>
      <c r="AB414" s="2" t="inlineStr">
        <is>
          <t>Not Sure</t>
        </is>
      </c>
      <c r="AC414" s="2" t="n"/>
      <c r="AD414" s="2" t="n"/>
      <c r="AE414" s="2" t="n"/>
      <c r="AF414" s="2" t="n"/>
      <c r="AG414" s="2" t="inlineStr">
        <is>
          <t>Not even started</t>
        </is>
      </c>
      <c r="AH414" s="2" t="n"/>
      <c r="AI414" s="2" t="n"/>
      <c r="AJ414" s="2" t="n"/>
      <c r="AK414" s="2" t="n"/>
      <c r="AL414" s="2" t="n"/>
      <c r="AM414" s="2" t="n"/>
      <c r="AN414" s="2" t="n"/>
      <c r="AO414" s="2" t="n"/>
      <c r="AP414" s="2" t="n"/>
      <c r="AQ414" s="2" t="n"/>
    </row>
    <row r="415">
      <c r="A415" t="n">
        <v>414</v>
      </c>
      <c r="B415" s="2" t="inlineStr">
        <is>
          <t>Tanishq Adgale</t>
        </is>
      </c>
      <c r="C415" s="3" t="n">
        <v>8208130370</v>
      </c>
      <c r="D415" s="2" t="inlineStr">
        <is>
          <t>PROV260616092</t>
        </is>
      </c>
      <c r="E415" s="2" t="inlineStr">
        <is>
          <t>ADYPU</t>
        </is>
      </c>
      <c r="F415" s="2" t="inlineStr">
        <is>
          <t>Drop</t>
        </is>
      </c>
      <c r="G415" s="2" t="n"/>
      <c r="H415" s="2" t="n"/>
      <c r="I415" s="2" t="n"/>
      <c r="J415" s="2" t="n"/>
      <c r="K415" s="2" t="n"/>
      <c r="L415" s="2" t="n"/>
      <c r="M415" s="2" t="n"/>
      <c r="N415" s="2" t="n"/>
      <c r="O415" s="2" t="n"/>
      <c r="P415" s="2" t="n"/>
      <c r="Q415" s="2" t="n"/>
      <c r="R415" s="2" t="n"/>
      <c r="S415" s="2" t="n"/>
      <c r="T415" s="2" t="inlineStr">
        <is>
          <t>Taking somewhere else, will send for refund</t>
        </is>
      </c>
      <c r="U415" s="2" t="inlineStr">
        <is>
          <t>Refund</t>
        </is>
      </c>
      <c r="V415" s="2" t="n"/>
      <c r="W415" s="2" t="n"/>
      <c r="X415" s="2" t="n"/>
      <c r="Y415" s="2" t="n"/>
      <c r="Z415" s="2" t="n"/>
      <c r="AA415" s="2" t="inlineStr">
        <is>
          <t>Refund case</t>
        </is>
      </c>
      <c r="AB415" s="2" t="inlineStr">
        <is>
          <t>Refund case</t>
        </is>
      </c>
      <c r="AC415" s="2" t="n"/>
      <c r="AD415" s="2" t="n"/>
      <c r="AE415" s="2" t="n"/>
      <c r="AF415" s="2" t="n"/>
      <c r="AG415" s="2" t="n"/>
      <c r="AH415" s="2" t="n"/>
      <c r="AI415" s="2" t="n"/>
      <c r="AJ415" s="2" t="n"/>
      <c r="AK415" s="2" t="n"/>
      <c r="AL415" s="2" t="n"/>
      <c r="AM415" s="2" t="n"/>
      <c r="AN415" s="2" t="n"/>
      <c r="AO415" s="2" t="n"/>
      <c r="AP415" s="2" t="n"/>
      <c r="AQ415" s="2" t="n"/>
    </row>
    <row r="416">
      <c r="A416" t="n">
        <v>415</v>
      </c>
      <c r="B416" s="2" t="inlineStr">
        <is>
          <t>Taqueeur Rahman</t>
        </is>
      </c>
      <c r="C416" s="3" t="n">
        <v>8252794942</v>
      </c>
      <c r="D416" s="2" t="inlineStr">
        <is>
          <t>PROV260702632</t>
        </is>
      </c>
      <c r="E416" s="2" t="inlineStr">
        <is>
          <t>ADYPU</t>
        </is>
      </c>
      <c r="F416" s="2" t="inlineStr">
        <is>
          <t>Yes</t>
        </is>
      </c>
      <c r="G416" s="2" t="n"/>
      <c r="H416" s="2" t="n"/>
      <c r="I416" s="2" t="n"/>
      <c r="J416" s="2" t="n"/>
      <c r="K416" s="2" t="n"/>
      <c r="L416" s="2" t="n"/>
      <c r="M416" s="2" t="n"/>
      <c r="N416" s="2" t="n"/>
      <c r="O416" s="2" t="n"/>
      <c r="P416" s="2" t="n"/>
      <c r="Q416" s="2" t="n"/>
      <c r="R416" s="2" t="n"/>
      <c r="S416" s="2" t="n"/>
      <c r="T416" s="2" t="inlineStr">
        <is>
          <t xml:space="preserve">28/7 : Loan req : Not sure </t>
        </is>
      </c>
      <c r="U416" s="2" t="inlineStr">
        <is>
          <t>Not sure</t>
        </is>
      </c>
      <c r="V416" s="2" t="n"/>
      <c r="W416" s="2" t="n"/>
      <c r="X416" s="2" t="n"/>
      <c r="Y416" s="2" t="n"/>
      <c r="Z416" s="2" t="n"/>
      <c r="AA416" s="2" t="inlineStr">
        <is>
          <t>Not Sure</t>
        </is>
      </c>
      <c r="AB416" s="2" t="inlineStr">
        <is>
          <t>Not Sure</t>
        </is>
      </c>
      <c r="AC416" s="2" t="n"/>
      <c r="AD416" s="2" t="n"/>
      <c r="AE416" s="2" t="n"/>
      <c r="AF416" s="2" t="n"/>
      <c r="AG416" s="2" t="inlineStr">
        <is>
          <t>Not even started</t>
        </is>
      </c>
      <c r="AH416" s="2" t="n"/>
      <c r="AI416" s="2" t="n"/>
      <c r="AJ416" s="2" t="n"/>
      <c r="AK416" s="2" t="n"/>
      <c r="AL416" s="2" t="n"/>
      <c r="AM416" s="2" t="n"/>
      <c r="AN416" s="2" t="n"/>
      <c r="AO416" s="2" t="n"/>
      <c r="AP416" s="2" t="n"/>
      <c r="AQ416" s="2" t="n"/>
    </row>
    <row r="417">
      <c r="A417" t="n">
        <v>416</v>
      </c>
      <c r="B417" s="2" t="inlineStr">
        <is>
          <t>Aryan dubey</t>
        </is>
      </c>
      <c r="C417" s="3" t="n">
        <v>7905812281</v>
      </c>
      <c r="D417" s="2" t="inlineStr">
        <is>
          <t>PROV260505813</t>
        </is>
      </c>
      <c r="E417" s="2" t="inlineStr">
        <is>
          <t>ADYPU</t>
        </is>
      </c>
      <c r="F417" s="2" t="inlineStr">
        <is>
          <t>Drop</t>
        </is>
      </c>
      <c r="G417" s="2" t="n"/>
      <c r="H417" s="2" t="n"/>
      <c r="I417" s="2" t="n"/>
      <c r="J417" s="2" t="n"/>
      <c r="K417" s="2" t="n"/>
      <c r="L417" s="2" t="n"/>
      <c r="M417" s="2" t="n"/>
      <c r="N417" s="2" t="n"/>
      <c r="O417" s="2" t="n"/>
      <c r="P417" s="2" t="n"/>
      <c r="Q417" s="2" t="n"/>
      <c r="R417" s="2" t="n"/>
      <c r="S417" s="2" t="n"/>
      <c r="T417" s="2" t="n"/>
      <c r="U417" s="2" t="inlineStr">
        <is>
          <t>Refund</t>
        </is>
      </c>
      <c r="V417" s="2" t="n"/>
      <c r="W417" s="2" t="n"/>
      <c r="X417" s="2" t="n"/>
      <c r="Y417" s="2" t="n"/>
      <c r="Z417" s="2" t="n"/>
      <c r="AA417" s="2" t="inlineStr">
        <is>
          <t>Refund case</t>
        </is>
      </c>
      <c r="AB417" s="2" t="inlineStr">
        <is>
          <t>Refund case</t>
        </is>
      </c>
      <c r="AC417" s="2" t="n"/>
      <c r="AD417" s="2" t="n"/>
      <c r="AE417" s="2" t="n"/>
      <c r="AF417" s="2" t="n"/>
      <c r="AG417" s="2" t="n"/>
      <c r="AH417" s="2" t="n"/>
      <c r="AI417" s="2" t="n"/>
      <c r="AJ417" s="2" t="n"/>
      <c r="AK417" s="2" t="n"/>
      <c r="AL417" s="2" t="n"/>
      <c r="AM417" s="2" t="n"/>
      <c r="AN417" s="2" t="n"/>
      <c r="AO417" s="2" t="n"/>
      <c r="AP417" s="2" t="n"/>
      <c r="AQ417" s="2" t="n"/>
    </row>
    <row r="418">
      <c r="A418" t="n">
        <v>417</v>
      </c>
      <c r="B418" s="2" t="inlineStr">
        <is>
          <t>Afsha Quraishi</t>
        </is>
      </c>
      <c r="C418" s="3" t="n">
        <v>7974972940</v>
      </c>
      <c r="D418" s="2" t="inlineStr">
        <is>
          <t>PROV260702211</t>
        </is>
      </c>
      <c r="E418" s="2" t="inlineStr">
        <is>
          <t>SSHAE</t>
        </is>
      </c>
      <c r="F418" s="2" t="inlineStr">
        <is>
          <t>No</t>
        </is>
      </c>
      <c r="G418" s="2" t="inlineStr">
        <is>
          <t>Loan not required</t>
        </is>
      </c>
      <c r="H418" s="2" t="n"/>
      <c r="I418" s="2" t="n"/>
      <c r="J418" s="2" t="n"/>
      <c r="K418" s="2" t="n"/>
      <c r="L418" s="2" t="n"/>
      <c r="M418" s="2" t="n"/>
      <c r="N418" s="2" t="n"/>
      <c r="O418" s="2" t="n"/>
      <c r="P418" s="2" t="n"/>
      <c r="Q418" s="2" t="n"/>
      <c r="R418" s="2" t="n"/>
      <c r="S418" s="2" t="n"/>
      <c r="T418" s="2" t="n"/>
      <c r="U418" s="2" t="inlineStr">
        <is>
          <t>No</t>
        </is>
      </c>
      <c r="V418" s="2" t="n"/>
      <c r="W418" s="2" t="n"/>
      <c r="X418" s="2" t="n"/>
      <c r="Y418" s="2" t="n"/>
      <c r="Z418" s="2" t="n"/>
      <c r="AA418" s="2" t="inlineStr">
        <is>
          <t>Not required</t>
        </is>
      </c>
      <c r="AB418" s="2" t="inlineStr">
        <is>
          <t>Not required</t>
        </is>
      </c>
      <c r="AC418" s="2" t="n"/>
      <c r="AD418" s="2" t="n"/>
      <c r="AE418" s="2" t="n"/>
      <c r="AF418" s="2" t="n"/>
      <c r="AG418" s="2" t="inlineStr">
        <is>
          <t>Not required</t>
        </is>
      </c>
      <c r="AH418" s="2" t="n"/>
      <c r="AI418" s="2" t="n"/>
      <c r="AJ418" s="2" t="n"/>
      <c r="AK418" s="2" t="n"/>
      <c r="AL418" s="2" t="n"/>
      <c r="AM418" s="2" t="n"/>
      <c r="AN418" s="2" t="n"/>
      <c r="AO418" s="2" t="n"/>
      <c r="AP418" s="2" t="n"/>
      <c r="AQ418" s="2" t="n"/>
    </row>
    <row r="419">
      <c r="A419" t="n">
        <v>418</v>
      </c>
      <c r="B419" s="2" t="inlineStr">
        <is>
          <t>Anwesha Debta</t>
        </is>
      </c>
      <c r="C419" s="3" t="n">
        <v>9668798990</v>
      </c>
      <c r="D419" s="2" t="inlineStr">
        <is>
          <t>PROV260608015</t>
        </is>
      </c>
      <c r="E419" s="2" t="inlineStr">
        <is>
          <t>SSHAE</t>
        </is>
      </c>
      <c r="F419" s="2" t="inlineStr">
        <is>
          <t>DNR</t>
        </is>
      </c>
      <c r="G419" s="2" t="n"/>
      <c r="H419" s="2" t="n"/>
      <c r="I419" s="2" t="n"/>
      <c r="J419" s="2" t="n"/>
      <c r="K419" s="2" t="n"/>
      <c r="L419" s="2" t="n"/>
      <c r="M419" s="2" t="n"/>
      <c r="N419" s="2" t="n"/>
      <c r="O419" s="2" t="n"/>
      <c r="P419" s="2" t="n"/>
      <c r="Q419" s="2" t="n"/>
      <c r="R419" s="2" t="n"/>
      <c r="S419" s="2" t="n"/>
      <c r="T419" s="2" t="inlineStr">
        <is>
          <t>24/7: DNP</t>
        </is>
      </c>
      <c r="U419" s="2" t="inlineStr">
        <is>
          <t>DNP</t>
        </is>
      </c>
      <c r="V419" s="2" t="n"/>
      <c r="W419" s="2" t="n"/>
      <c r="X419" s="2" t="n"/>
      <c r="Y419" s="2" t="n"/>
      <c r="Z419" s="2" t="n"/>
      <c r="AA419" s="2" t="inlineStr">
        <is>
          <t>DNP</t>
        </is>
      </c>
      <c r="AB419" s="2" t="inlineStr">
        <is>
          <t>DNP</t>
        </is>
      </c>
      <c r="AC419" s="2" t="n"/>
      <c r="AD419" s="2" t="n"/>
      <c r="AE419" s="2" t="n"/>
      <c r="AF419" s="2" t="n"/>
      <c r="AG419" s="2" t="inlineStr">
        <is>
          <t>Not even started</t>
        </is>
      </c>
      <c r="AH419" s="2" t="n"/>
      <c r="AI419" s="2" t="n"/>
      <c r="AJ419" s="2" t="n"/>
      <c r="AK419" s="2" t="n"/>
      <c r="AL419" s="2" t="n"/>
      <c r="AM419" s="2" t="n"/>
      <c r="AN419" s="2" t="n"/>
      <c r="AO419" s="2" t="n"/>
      <c r="AP419" s="2" t="n"/>
      <c r="AQ419" s="2" t="n"/>
    </row>
    <row r="420">
      <c r="A420" t="n">
        <v>419</v>
      </c>
      <c r="B420" s="2" t="inlineStr">
        <is>
          <t>Arpit Patel</t>
        </is>
      </c>
      <c r="C420" s="3" t="n">
        <v>9699423388</v>
      </c>
      <c r="D420" s="2" t="inlineStr">
        <is>
          <t>PROV1000004104</t>
        </is>
      </c>
      <c r="E420" s="2" t="inlineStr">
        <is>
          <t>SSHAE</t>
        </is>
      </c>
      <c r="F420" s="2" t="inlineStr">
        <is>
          <t>Yes</t>
        </is>
      </c>
      <c r="G420" s="2" t="inlineStr">
        <is>
          <t>DNR</t>
        </is>
      </c>
      <c r="H420" s="2" t="n"/>
      <c r="I420" s="2" t="n"/>
      <c r="J420" s="2" t="n"/>
      <c r="K420" s="2" t="n"/>
      <c r="L420" s="2" t="n"/>
      <c r="M420" s="2" t="n"/>
      <c r="N420" s="2" t="n"/>
      <c r="O420" s="2" t="n"/>
      <c r="P420" s="2" t="n"/>
      <c r="Q420" s="2" t="n"/>
      <c r="R420" s="2" t="n"/>
      <c r="S420" s="2" t="n"/>
      <c r="T420" s="2" t="inlineStr">
        <is>
          <t>25/7 : dnp
30/7 : Loan req : 15L , Coapplicant : father ( job ), kalyan , textile ( KG silk mills ) , supervisor, annual income : 6.5L, house owned , ITR filed : Yes</t>
        </is>
      </c>
      <c r="U420" s="2" t="inlineStr">
        <is>
          <t>Yes</t>
        </is>
      </c>
      <c r="V420" s="2" t="inlineStr">
        <is>
          <t>Yes</t>
        </is>
      </c>
      <c r="W420" s="2" t="inlineStr">
        <is>
          <t>Yes</t>
        </is>
      </c>
      <c r="X420" s="2" t="inlineStr">
        <is>
          <t>No</t>
        </is>
      </c>
      <c r="Y420" s="2" t="inlineStr">
        <is>
          <t>No</t>
        </is>
      </c>
      <c r="Z420" s="2" t="inlineStr">
        <is>
          <t>Yes</t>
        </is>
      </c>
      <c r="AA420" s="2" t="inlineStr">
        <is>
          <t>DNP</t>
        </is>
      </c>
      <c r="AB420" s="2" t="inlineStr">
        <is>
          <t>DNP</t>
        </is>
      </c>
      <c r="AC420" s="2" t="n"/>
      <c r="AD420" s="2" t="n"/>
      <c r="AE420" s="2" t="n"/>
      <c r="AF420" s="2" t="n"/>
      <c r="AG420" s="2" t="n"/>
      <c r="AH420" s="2" t="n"/>
      <c r="AI420" s="2" t="n"/>
      <c r="AJ420" s="2" t="n"/>
      <c r="AK420" s="2" t="n"/>
      <c r="AL420" s="2" t="n"/>
      <c r="AM420" s="2" t="n"/>
      <c r="AN420" s="2" t="n"/>
      <c r="AO420" s="2" t="n"/>
      <c r="AP420" s="2" t="n"/>
      <c r="AQ420" s="2" t="n"/>
    </row>
    <row r="421">
      <c r="A421" t="n">
        <v>420</v>
      </c>
      <c r="B421" s="2" t="inlineStr">
        <is>
          <t>Mahtab Aziz Barbhuiya</t>
        </is>
      </c>
      <c r="C421" s="3" t="n">
        <v>9954578264</v>
      </c>
      <c r="D421" s="2" t="inlineStr">
        <is>
          <t>PROV260703888</t>
        </is>
      </c>
      <c r="E421" s="2" t="inlineStr">
        <is>
          <t>SSHAE</t>
        </is>
      </c>
      <c r="F421" s="2" t="inlineStr">
        <is>
          <t>Yes</t>
        </is>
      </c>
      <c r="G421" s="2" t="inlineStr">
        <is>
          <t xml:space="preserve">Non Critical </t>
        </is>
      </c>
      <c r="H421" s="2" t="n"/>
      <c r="I421" s="2" t="n"/>
      <c r="J421" s="2" t="n"/>
      <c r="K421" s="2" t="n"/>
      <c r="L421" s="2" t="n"/>
      <c r="M421" s="2" t="n"/>
      <c r="N421" s="2" t="n"/>
      <c r="O421" s="2" t="n"/>
      <c r="P421" s="2" t="n"/>
      <c r="Q421" s="2" t="n"/>
      <c r="R421" s="2" t="n"/>
      <c r="S421" s="2" t="n"/>
      <c r="T421" s="2" t="inlineStr">
        <is>
          <t xml:space="preserve">24/7 : Father : Govt teacher, 10L salary, Have shared his details with gyan dhan </t>
        </is>
      </c>
      <c r="U421" s="2" t="inlineStr">
        <is>
          <t>Yes</t>
        </is>
      </c>
      <c r="V421" s="2" t="inlineStr">
        <is>
          <t>No</t>
        </is>
      </c>
      <c r="W421" s="2" t="inlineStr">
        <is>
          <t>No</t>
        </is>
      </c>
      <c r="X421" s="2" t="inlineStr">
        <is>
          <t>No</t>
        </is>
      </c>
      <c r="Y421" s="2" t="inlineStr">
        <is>
          <t>No</t>
        </is>
      </c>
      <c r="Z421" s="2" t="inlineStr">
        <is>
          <t>Yes</t>
        </is>
      </c>
      <c r="AA421" s="2" t="inlineStr">
        <is>
          <t>Control</t>
        </is>
      </c>
      <c r="AB421" s="2" t="inlineStr">
        <is>
          <t>Control</t>
        </is>
      </c>
      <c r="AC421" s="2" t="n"/>
      <c r="AD421" s="2" t="n"/>
      <c r="AE421" s="2" t="n"/>
      <c r="AF421" s="2" t="n"/>
      <c r="AG421" s="2" t="inlineStr">
        <is>
          <t>Ongoing</t>
        </is>
      </c>
      <c r="AH421" s="2" t="inlineStr">
        <is>
          <t>Processing by GyanDhan</t>
        </is>
      </c>
      <c r="AI421" s="2" t="n"/>
      <c r="AJ421" s="2" t="n"/>
      <c r="AK421" s="2" t="n"/>
      <c r="AL421" s="2" t="n"/>
      <c r="AM421" s="2" t="n"/>
      <c r="AN421" s="2" t="n"/>
      <c r="AO421" s="2" t="n"/>
      <c r="AP421" s="2" t="n"/>
      <c r="AQ421" s="2" t="n"/>
    </row>
    <row r="422">
      <c r="A422" t="n">
        <v>421</v>
      </c>
      <c r="B422" s="2" t="inlineStr">
        <is>
          <t>Dhruv Awasthi</t>
        </is>
      </c>
      <c r="C422" s="3" t="n">
        <v>7415427902</v>
      </c>
      <c r="D422" s="2" t="inlineStr">
        <is>
          <t>PROV260500266</t>
        </is>
      </c>
      <c r="E422" s="2" t="inlineStr">
        <is>
          <t>SSHAE</t>
        </is>
      </c>
      <c r="F422" s="2" t="inlineStr">
        <is>
          <t>Yes</t>
        </is>
      </c>
      <c r="G422" s="2" t="inlineStr">
        <is>
          <t xml:space="preserve">Critical </t>
        </is>
      </c>
      <c r="H422" s="2" t="n"/>
      <c r="I422" s="2" t="n"/>
      <c r="J422" s="2" t="n"/>
      <c r="K422" s="2" t="n"/>
      <c r="L422" s="2" t="n"/>
      <c r="M422" s="2" t="n"/>
      <c r="N422" s="2" t="n"/>
      <c r="O422" s="2" t="n"/>
      <c r="P422" s="2" t="n"/>
      <c r="Q422" s="2" t="n"/>
      <c r="R422" s="2" t="n"/>
      <c r="S422" s="2" t="n"/>
      <c r="T422" s="2" t="inlineStr">
        <is>
          <t xml:space="preserve">25/7 : Loan req : 20L, Father : farmer , Annual income : 3-4L, ITR filed : no </t>
        </is>
      </c>
      <c r="U422" s="2" t="inlineStr">
        <is>
          <t>Yes</t>
        </is>
      </c>
      <c r="V422" s="2" t="inlineStr">
        <is>
          <t>Yes</t>
        </is>
      </c>
      <c r="W422" s="2" t="inlineStr">
        <is>
          <t>Yes</t>
        </is>
      </c>
      <c r="X422" s="2" t="inlineStr">
        <is>
          <t>No</t>
        </is>
      </c>
      <c r="Y422" s="2" t="inlineStr">
        <is>
          <t>No</t>
        </is>
      </c>
      <c r="Z422" s="2" t="inlineStr">
        <is>
          <t>Yes</t>
        </is>
      </c>
      <c r="AA422" s="2" t="inlineStr">
        <is>
          <t>Risk</t>
        </is>
      </c>
      <c r="AB422" s="2" t="inlineStr">
        <is>
          <t>Risk</t>
        </is>
      </c>
      <c r="AC422" s="2" t="n"/>
      <c r="AD422" s="2" t="n"/>
      <c r="AE422" s="2" t="n"/>
      <c r="AF422" s="2" t="n"/>
      <c r="AG422" s="2" t="inlineStr">
        <is>
          <t>Not even started</t>
        </is>
      </c>
      <c r="AH422" s="2" t="n"/>
      <c r="AI422" s="2" t="n"/>
      <c r="AJ422" s="2" t="n"/>
      <c r="AK422" s="2" t="n"/>
      <c r="AL422" s="2" t="inlineStr">
        <is>
          <t>Newer Lead</t>
        </is>
      </c>
      <c r="AM422" s="2" t="n"/>
      <c r="AN422" s="2" t="n"/>
      <c r="AO422" s="2" t="n"/>
      <c r="AP422" s="2" t="n"/>
      <c r="AQ422" s="2" t="n"/>
    </row>
    <row r="423">
      <c r="A423" t="n">
        <v>422</v>
      </c>
      <c r="B423" s="2" t="inlineStr">
        <is>
          <t>Anupam Kislay</t>
        </is>
      </c>
      <c r="C423" s="3" t="n">
        <v>6376754589</v>
      </c>
      <c r="D423" s="2" t="inlineStr">
        <is>
          <t>PROV260703033</t>
        </is>
      </c>
      <c r="E423" s="2" t="inlineStr">
        <is>
          <t>SSHAE</t>
        </is>
      </c>
      <c r="F423" s="2" t="inlineStr">
        <is>
          <t>DNR</t>
        </is>
      </c>
      <c r="G423" s="2" t="n"/>
      <c r="H423" s="2" t="n"/>
      <c r="I423" s="2" t="n"/>
      <c r="J423" s="2" t="n"/>
      <c r="K423" s="2" t="n"/>
      <c r="L423" s="2" t="n"/>
      <c r="M423" s="2" t="n"/>
      <c r="N423" s="2" t="n"/>
      <c r="O423" s="2" t="n"/>
      <c r="P423" s="2" t="n"/>
      <c r="Q423" s="2" t="n"/>
      <c r="R423" s="2" t="n"/>
      <c r="S423" s="2" t="n"/>
      <c r="T423" s="2" t="inlineStr">
        <is>
          <t>24/7: DNP</t>
        </is>
      </c>
      <c r="U423" s="2" t="inlineStr">
        <is>
          <t>DNP</t>
        </is>
      </c>
      <c r="V423" s="2" t="n"/>
      <c r="W423" s="2" t="n"/>
      <c r="X423" s="2" t="n"/>
      <c r="Y423" s="2" t="n"/>
      <c r="Z423" s="2" t="n"/>
      <c r="AA423" s="2" t="inlineStr">
        <is>
          <t>DNP</t>
        </is>
      </c>
      <c r="AB423" s="2" t="inlineStr">
        <is>
          <t>DNP</t>
        </is>
      </c>
      <c r="AC423" s="2" t="n"/>
      <c r="AD423" s="2" t="n"/>
      <c r="AE423" s="2" t="n"/>
      <c r="AF423" s="2" t="n"/>
      <c r="AG423" s="2" t="inlineStr">
        <is>
          <t>Not even started</t>
        </is>
      </c>
      <c r="AH423" s="2" t="n"/>
      <c r="AI423" s="2" t="n"/>
      <c r="AJ423" s="2" t="n"/>
      <c r="AK423" s="2" t="n"/>
      <c r="AL423" s="2" t="n"/>
      <c r="AM423" s="2" t="n"/>
      <c r="AN423" s="2" t="n"/>
      <c r="AO423" s="2" t="n"/>
      <c r="AP423" s="2" t="n"/>
      <c r="AQ423" s="2" t="n"/>
    </row>
    <row r="424">
      <c r="A424" t="n">
        <v>423</v>
      </c>
      <c r="B424" s="2" t="inlineStr">
        <is>
          <t>Manasvi kumar</t>
        </is>
      </c>
      <c r="C424" s="3" t="n">
        <v>6207784635</v>
      </c>
      <c r="D424" s="2" t="inlineStr">
        <is>
          <t>PROV260611033</t>
        </is>
      </c>
      <c r="E424" s="2" t="inlineStr">
        <is>
          <t>SSHAE</t>
        </is>
      </c>
      <c r="F424" s="2" t="inlineStr">
        <is>
          <t>No</t>
        </is>
      </c>
      <c r="G424" s="2" t="inlineStr">
        <is>
          <t>Loan not required</t>
        </is>
      </c>
      <c r="H424" s="2" t="n"/>
      <c r="I424" s="2" t="n"/>
      <c r="J424" s="2" t="n"/>
      <c r="K424" s="2" t="n"/>
      <c r="L424" s="2" t="n"/>
      <c r="M424" s="2" t="n"/>
      <c r="N424" s="2" t="n"/>
      <c r="O424" s="2" t="n"/>
      <c r="P424" s="2" t="n"/>
      <c r="Q424" s="2" t="n"/>
      <c r="R424" s="2" t="n"/>
      <c r="S424" s="2" t="n"/>
      <c r="T424" s="2" t="n"/>
      <c r="U424" s="2" t="inlineStr">
        <is>
          <t>No</t>
        </is>
      </c>
      <c r="V424" s="2" t="n"/>
      <c r="W424" s="2" t="n"/>
      <c r="X424" s="2" t="n"/>
      <c r="Y424" s="2" t="n"/>
      <c r="Z424" s="2" t="n"/>
      <c r="AA424" s="2" t="inlineStr">
        <is>
          <t>Not required</t>
        </is>
      </c>
      <c r="AB424" s="2" t="inlineStr">
        <is>
          <t>Not required</t>
        </is>
      </c>
      <c r="AC424" s="2" t="n"/>
      <c r="AD424" s="2" t="n"/>
      <c r="AE424" s="2" t="n"/>
      <c r="AF424" s="2" t="n"/>
      <c r="AG424" s="2" t="inlineStr">
        <is>
          <t>Not required</t>
        </is>
      </c>
      <c r="AH424" s="2" t="n"/>
      <c r="AI424" s="2" t="n"/>
      <c r="AJ424" s="2" t="n"/>
      <c r="AK424" s="2" t="n"/>
      <c r="AL424" s="2" t="n"/>
      <c r="AM424" s="2" t="n"/>
      <c r="AN424" s="2" t="n"/>
      <c r="AO424" s="2" t="n"/>
      <c r="AP424" s="2" t="n"/>
      <c r="AQ424" s="2" t="n"/>
    </row>
    <row r="425">
      <c r="A425" t="n">
        <v>424</v>
      </c>
      <c r="B425" s="2" t="inlineStr">
        <is>
          <t>Nishant Patel</t>
        </is>
      </c>
      <c r="C425" s="3" t="n">
        <v>6370007680</v>
      </c>
      <c r="D425" s="2" t="inlineStr">
        <is>
          <t>PROV260704033</t>
        </is>
      </c>
      <c r="E425" s="2" t="inlineStr">
        <is>
          <t>SSHAE</t>
        </is>
      </c>
      <c r="F425" s="2" t="inlineStr">
        <is>
          <t>Yes</t>
        </is>
      </c>
      <c r="G425" s="2" t="inlineStr">
        <is>
          <t xml:space="preserve">Non Critical </t>
        </is>
      </c>
      <c r="H425" s="2" t="n"/>
      <c r="I425" s="2" t="n"/>
      <c r="J425" s="2" t="n"/>
      <c r="K425" s="2" t="n"/>
      <c r="L425" s="2" t="n"/>
      <c r="M425" s="2" t="n"/>
      <c r="N425" s="2" t="n"/>
      <c r="O425" s="2" t="n"/>
      <c r="P425" s="2" t="n"/>
      <c r="Q425" s="2" t="n"/>
      <c r="R425" s="2" t="n"/>
      <c r="S425" s="2" t="n"/>
      <c r="T425" s="2" t="inlineStr">
        <is>
          <t xml:space="preserve">25/7 : Loan req : 20L, coapplicant : Father , Father's profession : Govt. teacher and Annual income : 7L, land collateral. </t>
        </is>
      </c>
      <c r="U425" s="2" t="inlineStr">
        <is>
          <t>Yes</t>
        </is>
      </c>
      <c r="V425" s="2" t="inlineStr">
        <is>
          <t>Yes</t>
        </is>
      </c>
      <c r="W425" s="2" t="inlineStr">
        <is>
          <t>Yes</t>
        </is>
      </c>
      <c r="X425" s="2" t="inlineStr">
        <is>
          <t>No</t>
        </is>
      </c>
      <c r="Y425" s="2" t="inlineStr">
        <is>
          <t>No</t>
        </is>
      </c>
      <c r="Z425" s="2" t="inlineStr">
        <is>
          <t>Yes</t>
        </is>
      </c>
      <c r="AA425" s="2" t="inlineStr">
        <is>
          <t>Control</t>
        </is>
      </c>
      <c r="AB425" s="2" t="inlineStr">
        <is>
          <t>Control</t>
        </is>
      </c>
      <c r="AC425" s="2" t="n"/>
      <c r="AD425" s="2" t="n"/>
      <c r="AE425" s="2" t="n"/>
      <c r="AF425" s="2" t="n"/>
      <c r="AG425" s="2" t="inlineStr">
        <is>
          <t>Not even started</t>
        </is>
      </c>
      <c r="AH425" s="2" t="n"/>
      <c r="AI425" s="2" t="n"/>
      <c r="AJ425" s="2" t="n"/>
      <c r="AK425" s="2" t="n"/>
      <c r="AL425" s="2" t="inlineStr">
        <is>
          <t>Newer Lead</t>
        </is>
      </c>
      <c r="AM425" s="2" t="n"/>
      <c r="AN425" s="2" t="n"/>
      <c r="AO425" s="2" t="n"/>
      <c r="AP425" s="2" t="n"/>
      <c r="AQ425" s="2" t="n"/>
    </row>
    <row r="426">
      <c r="A426" t="n">
        <v>425</v>
      </c>
      <c r="B426" s="2" t="inlineStr">
        <is>
          <t>Ameenuddin S M</t>
        </is>
      </c>
      <c r="C426" s="3" t="n">
        <v>6361213417</v>
      </c>
      <c r="D426" s="2" t="inlineStr">
        <is>
          <t>PROV1000005248</t>
        </is>
      </c>
      <c r="E426" s="2" t="inlineStr">
        <is>
          <t>SSHAE</t>
        </is>
      </c>
      <c r="F426" s="2" t="inlineStr">
        <is>
          <t>No</t>
        </is>
      </c>
      <c r="G426" s="2" t="inlineStr">
        <is>
          <t>Loan not required</t>
        </is>
      </c>
      <c r="H426" s="2" t="n"/>
      <c r="I426" s="2" t="n"/>
      <c r="J426" s="2" t="n"/>
      <c r="K426" s="2" t="n"/>
      <c r="L426" s="2" t="n"/>
      <c r="M426" s="2" t="n"/>
      <c r="N426" s="2" t="n"/>
      <c r="O426" s="2" t="n"/>
      <c r="P426" s="2" t="n"/>
      <c r="Q426" s="2" t="n"/>
      <c r="R426" s="2" t="n"/>
      <c r="S426" s="2" t="n"/>
      <c r="T426" s="2" t="n"/>
      <c r="U426" s="2" t="inlineStr">
        <is>
          <t>No</t>
        </is>
      </c>
      <c r="V426" s="2" t="n"/>
      <c r="W426" s="2" t="n"/>
      <c r="X426" s="2" t="n"/>
      <c r="Y426" s="2" t="n"/>
      <c r="Z426" s="2" t="n"/>
      <c r="AA426" s="2" t="inlineStr">
        <is>
          <t>Not required</t>
        </is>
      </c>
      <c r="AB426" s="2" t="inlineStr">
        <is>
          <t>Not required</t>
        </is>
      </c>
      <c r="AC426" s="2" t="n"/>
      <c r="AD426" s="2" t="n"/>
      <c r="AE426" s="2" t="n"/>
      <c r="AF426" s="2" t="n"/>
      <c r="AG426" s="2" t="inlineStr">
        <is>
          <t>Not required</t>
        </is>
      </c>
      <c r="AH426" s="2" t="n"/>
      <c r="AI426" s="2" t="n"/>
      <c r="AJ426" s="2" t="n"/>
      <c r="AK426" s="2" t="n"/>
      <c r="AL426" s="2" t="n"/>
      <c r="AM426" s="2" t="n"/>
      <c r="AN426" s="2" t="n"/>
      <c r="AO426" s="2" t="n"/>
      <c r="AP426" s="2" t="n"/>
      <c r="AQ426" s="2" t="n"/>
    </row>
    <row r="427">
      <c r="A427" t="n">
        <v>426</v>
      </c>
      <c r="B427" s="2" t="inlineStr">
        <is>
          <t>Pratha chandavat</t>
        </is>
      </c>
      <c r="C427" s="3" t="n">
        <v>9313583927</v>
      </c>
      <c r="D427" s="2" t="inlineStr">
        <is>
          <t>PROV260700614</t>
        </is>
      </c>
      <c r="E427" s="2" t="inlineStr">
        <is>
          <t>SSHAE</t>
        </is>
      </c>
      <c r="F427" s="2" t="inlineStr">
        <is>
          <t>No</t>
        </is>
      </c>
      <c r="G427" s="2" t="inlineStr">
        <is>
          <t>Loan not required</t>
        </is>
      </c>
      <c r="H427" s="2" t="n"/>
      <c r="I427" s="2" t="n"/>
      <c r="J427" s="2" t="n"/>
      <c r="K427" s="2" t="n"/>
      <c r="L427" s="2" t="n"/>
      <c r="M427" s="2" t="n"/>
      <c r="N427" s="2" t="n"/>
      <c r="O427" s="2" t="n"/>
      <c r="P427" s="2" t="n"/>
      <c r="Q427" s="2" t="n"/>
      <c r="R427" s="2" t="n"/>
      <c r="S427" s="2" t="n"/>
      <c r="T427" s="2" t="inlineStr">
        <is>
          <t>24/7: Not wanting loan</t>
        </is>
      </c>
      <c r="U427" s="2" t="inlineStr">
        <is>
          <t>No</t>
        </is>
      </c>
      <c r="V427" s="2" t="n"/>
      <c r="W427" s="2" t="n"/>
      <c r="X427" s="2" t="n"/>
      <c r="Y427" s="2" t="n"/>
      <c r="Z427" s="2" t="n"/>
      <c r="AA427" s="2" t="inlineStr">
        <is>
          <t>Not required</t>
        </is>
      </c>
      <c r="AB427" s="2" t="inlineStr">
        <is>
          <t>Not required</t>
        </is>
      </c>
      <c r="AC427" s="2" t="n"/>
      <c r="AD427" s="2" t="n"/>
      <c r="AE427" s="2" t="n"/>
      <c r="AF427" s="2" t="n"/>
      <c r="AG427" s="2" t="inlineStr">
        <is>
          <t>Not required</t>
        </is>
      </c>
      <c r="AH427" s="2" t="n"/>
      <c r="AI427" s="2" t="n"/>
      <c r="AJ427" s="2" t="n"/>
      <c r="AK427" s="2" t="n"/>
      <c r="AL427" s="2" t="n"/>
      <c r="AM427" s="2" t="n"/>
      <c r="AN427" s="2" t="n"/>
      <c r="AO427" s="2" t="n"/>
      <c r="AP427" s="2" t="n"/>
      <c r="AQ427" s="2" t="n"/>
    </row>
    <row r="428">
      <c r="A428" t="n">
        <v>427</v>
      </c>
      <c r="B428" s="2" t="inlineStr">
        <is>
          <t>Aditya kumar rai</t>
        </is>
      </c>
      <c r="C428" s="3" t="n">
        <v>7085345769</v>
      </c>
      <c r="D428" s="2" t="inlineStr">
        <is>
          <t>PROV260611255</t>
        </is>
      </c>
      <c r="E428" s="2" t="inlineStr">
        <is>
          <t>SSHAE</t>
        </is>
      </c>
      <c r="F428" s="2" t="inlineStr">
        <is>
          <t>DNR</t>
        </is>
      </c>
      <c r="G428" s="2" t="n"/>
      <c r="H428" s="2" t="n"/>
      <c r="I428" s="2" t="n"/>
      <c r="J428" s="2" t="n"/>
      <c r="K428" s="2" t="n"/>
      <c r="L428" s="2" t="n"/>
      <c r="M428" s="2" t="n"/>
      <c r="N428" s="2" t="n"/>
      <c r="O428" s="2" t="n"/>
      <c r="P428" s="2" t="n"/>
      <c r="Q428" s="2" t="n"/>
      <c r="R428" s="2" t="n"/>
      <c r="S428" s="2" t="n"/>
      <c r="T428" s="2" t="inlineStr">
        <is>
          <t>24/7: DNP</t>
        </is>
      </c>
      <c r="U428" s="2" t="inlineStr">
        <is>
          <t>DNP</t>
        </is>
      </c>
      <c r="V428" s="2" t="n"/>
      <c r="W428" s="2" t="n"/>
      <c r="X428" s="2" t="n"/>
      <c r="Y428" s="2" t="n"/>
      <c r="Z428" s="2" t="n"/>
      <c r="AA428" s="2" t="inlineStr">
        <is>
          <t>DNP</t>
        </is>
      </c>
      <c r="AB428" s="2" t="inlineStr">
        <is>
          <t>DNP</t>
        </is>
      </c>
      <c r="AC428" s="2" t="n"/>
      <c r="AD428" s="2" t="n"/>
      <c r="AE428" s="2" t="n"/>
      <c r="AF428" s="2" t="n"/>
      <c r="AG428" s="2" t="inlineStr">
        <is>
          <t>Not even started</t>
        </is>
      </c>
      <c r="AH428" s="2" t="n"/>
      <c r="AI428" s="2" t="n"/>
      <c r="AJ428" s="2" t="n"/>
      <c r="AK428" s="2" t="n"/>
      <c r="AL428" s="2" t="n"/>
      <c r="AM428" s="2" t="n"/>
      <c r="AN428" s="2" t="n"/>
      <c r="AO428" s="2" t="n"/>
      <c r="AP428" s="2" t="n"/>
      <c r="AQ428" s="2" t="n"/>
    </row>
    <row r="429">
      <c r="A429" t="n">
        <v>428</v>
      </c>
      <c r="B429" s="2" t="inlineStr">
        <is>
          <t>Anushree AN</t>
        </is>
      </c>
      <c r="C429" s="3" t="n">
        <v>7259747901</v>
      </c>
      <c r="D429" s="2" t="inlineStr">
        <is>
          <t>PROV260502894</t>
        </is>
      </c>
      <c r="E429" s="2" t="inlineStr">
        <is>
          <t>SSHAE</t>
        </is>
      </c>
      <c r="F429" s="2" t="inlineStr">
        <is>
          <t>No</t>
        </is>
      </c>
      <c r="G429" s="2" t="inlineStr">
        <is>
          <t>Loan not required</t>
        </is>
      </c>
      <c r="H429" s="2" t="n"/>
      <c r="I429" s="2" t="n"/>
      <c r="J429" s="2" t="n"/>
      <c r="K429" s="2" t="n"/>
      <c r="L429" s="2" t="n"/>
      <c r="M429" s="2" t="n"/>
      <c r="N429" s="2" t="n"/>
      <c r="O429" s="2" t="n"/>
      <c r="P429" s="2" t="n"/>
      <c r="Q429" s="2" t="n"/>
      <c r="R429" s="2" t="n"/>
      <c r="S429" s="2" t="n"/>
      <c r="T429" s="2" t="n"/>
      <c r="U429" s="2" t="inlineStr">
        <is>
          <t>No</t>
        </is>
      </c>
      <c r="V429" s="2" t="n"/>
      <c r="W429" s="2" t="n"/>
      <c r="X429" s="2" t="n"/>
      <c r="Y429" s="2" t="n"/>
      <c r="Z429" s="2" t="n"/>
      <c r="AA429" s="2" t="inlineStr">
        <is>
          <t>Not required</t>
        </is>
      </c>
      <c r="AB429" s="2" t="inlineStr">
        <is>
          <t>Not required</t>
        </is>
      </c>
      <c r="AC429" s="2" t="n"/>
      <c r="AD429" s="2" t="n"/>
      <c r="AE429" s="2" t="n"/>
      <c r="AF429" s="2" t="n"/>
      <c r="AG429" s="2" t="inlineStr">
        <is>
          <t>Not required</t>
        </is>
      </c>
      <c r="AH429" s="2" t="n"/>
      <c r="AI429" s="2" t="n"/>
      <c r="AJ429" s="2" t="n"/>
      <c r="AK429" s="2" t="n"/>
      <c r="AL429" s="2" t="n"/>
      <c r="AM429" s="2" t="n"/>
      <c r="AN429" s="2" t="n"/>
      <c r="AO429" s="2" t="n"/>
      <c r="AP429" s="2" t="n"/>
      <c r="AQ429" s="2" t="n"/>
    </row>
    <row r="430">
      <c r="A430" t="n">
        <v>429</v>
      </c>
      <c r="B430" s="2" t="inlineStr">
        <is>
          <t>Mihir Kumar Singh</t>
        </is>
      </c>
      <c r="C430" s="3" t="n">
        <v>9471840917</v>
      </c>
      <c r="D430" s="2" t="inlineStr">
        <is>
          <t>PROV260705216</t>
        </is>
      </c>
      <c r="E430" s="2" t="inlineStr">
        <is>
          <t>SSHAE</t>
        </is>
      </c>
      <c r="F430" s="2" t="inlineStr">
        <is>
          <t>DNR</t>
        </is>
      </c>
      <c r="G430" s="2" t="n"/>
      <c r="H430" s="2" t="n"/>
      <c r="I430" s="2" t="n"/>
      <c r="J430" s="2" t="n"/>
      <c r="K430" s="2" t="n"/>
      <c r="L430" s="2" t="n"/>
      <c r="M430" s="2" t="n"/>
      <c r="N430" s="2" t="n"/>
      <c r="O430" s="2" t="n"/>
      <c r="P430" s="2" t="n"/>
      <c r="Q430" s="2" t="n"/>
      <c r="R430" s="2" t="n"/>
      <c r="S430" s="2" t="n"/>
      <c r="T430" s="2" t="inlineStr">
        <is>
          <t>24/7: DNP</t>
        </is>
      </c>
      <c r="U430" s="2" t="inlineStr">
        <is>
          <t>DNP</t>
        </is>
      </c>
      <c r="V430" s="2" t="n"/>
      <c r="W430" s="2" t="n"/>
      <c r="X430" s="2" t="n"/>
      <c r="Y430" s="2" t="n"/>
      <c r="Z430" s="2" t="n"/>
      <c r="AA430" s="2" t="inlineStr">
        <is>
          <t>DNP</t>
        </is>
      </c>
      <c r="AB430" s="2" t="inlineStr">
        <is>
          <t>DNP</t>
        </is>
      </c>
      <c r="AC430" s="2" t="n"/>
      <c r="AD430" s="2" t="n"/>
      <c r="AE430" s="2" t="n"/>
      <c r="AF430" s="2" t="n"/>
      <c r="AG430" s="2" t="inlineStr">
        <is>
          <t>Not even started</t>
        </is>
      </c>
      <c r="AH430" s="2" t="n"/>
      <c r="AI430" s="2" t="n"/>
      <c r="AJ430" s="2" t="n"/>
      <c r="AK430" s="2" t="n"/>
      <c r="AL430" s="2" t="n"/>
      <c r="AM430" s="2" t="n"/>
      <c r="AN430" s="2" t="n"/>
      <c r="AO430" s="2" t="n"/>
      <c r="AP430" s="2" t="n"/>
      <c r="AQ430" s="2" t="n"/>
    </row>
    <row r="431">
      <c r="A431" t="n">
        <v>430</v>
      </c>
      <c r="B431" s="2" t="inlineStr">
        <is>
          <t>KARTIK SINGH</t>
        </is>
      </c>
      <c r="C431" s="3" t="n">
        <v>9911208892</v>
      </c>
      <c r="D431" s="2" t="inlineStr">
        <is>
          <t>PROV260702141</t>
        </is>
      </c>
      <c r="E431" s="2" t="inlineStr">
        <is>
          <t>SSHAE</t>
        </is>
      </c>
      <c r="F431" s="2" t="inlineStr">
        <is>
          <t>Yes</t>
        </is>
      </c>
      <c r="G431" s="2" t="inlineStr">
        <is>
          <t xml:space="preserve">Non Critical </t>
        </is>
      </c>
      <c r="H431" s="2" t="n"/>
      <c r="I431" s="2" t="n"/>
      <c r="J431" s="2" t="n"/>
      <c r="K431" s="2" t="n"/>
      <c r="L431" s="2" t="n"/>
      <c r="M431" s="2" t="n"/>
      <c r="N431" s="2" t="n"/>
      <c r="O431" s="2" t="n"/>
      <c r="P431" s="2" t="n"/>
      <c r="Q431" s="2" t="n"/>
      <c r="R431" s="2" t="n"/>
      <c r="S431" s="2" t="n"/>
      <c r="T431" s="2" t="inlineStr">
        <is>
          <t>25/7 : Loan required but the student is processing by himself from canara bank under PM vidyalakshmi + Self fund</t>
        </is>
      </c>
      <c r="U431" s="2" t="inlineStr">
        <is>
          <t>Yes</t>
        </is>
      </c>
      <c r="V431" s="2" t="n"/>
      <c r="W431" s="2" t="n"/>
      <c r="X431" s="2" t="n"/>
      <c r="Y431" s="2" t="n"/>
      <c r="Z431" s="2" t="n"/>
      <c r="AA431" s="2" t="inlineStr">
        <is>
          <t>Control</t>
        </is>
      </c>
      <c r="AB431" s="2" t="inlineStr">
        <is>
          <t>Control</t>
        </is>
      </c>
      <c r="AC431" s="2" t="n"/>
      <c r="AD431" s="2" t="n"/>
      <c r="AE431" s="2" t="n"/>
      <c r="AF431" s="2" t="n"/>
      <c r="AG431" s="2" t="inlineStr">
        <is>
          <t>Ongoing</t>
        </is>
      </c>
      <c r="AH431" s="2" t="n"/>
      <c r="AI431" s="2" t="n"/>
      <c r="AJ431" s="2" t="n"/>
      <c r="AK431" s="2" t="n"/>
      <c r="AL431" s="2" t="n"/>
      <c r="AM431" s="2" t="n"/>
      <c r="AN431" s="2" t="n"/>
      <c r="AO431" s="2" t="n"/>
      <c r="AP431" s="2" t="n"/>
      <c r="AQ431" s="2" t="n"/>
    </row>
    <row r="432">
      <c r="A432" t="n">
        <v>431</v>
      </c>
      <c r="B432" s="2" t="inlineStr">
        <is>
          <t>Hansraj Kumar</t>
        </is>
      </c>
      <c r="C432" s="3" t="n">
        <v>7856087598</v>
      </c>
      <c r="D432" s="2" t="inlineStr">
        <is>
          <t>PROV260606122</t>
        </is>
      </c>
      <c r="E432" s="2" t="inlineStr">
        <is>
          <t>ADYPU</t>
        </is>
      </c>
      <c r="F432" s="2" t="inlineStr">
        <is>
          <t>Yes</t>
        </is>
      </c>
      <c r="G432" s="2" t="n"/>
      <c r="H432" s="2" t="n">
        <v>40</v>
      </c>
      <c r="I432" s="2" t="n">
        <v>20</v>
      </c>
      <c r="J432" s="2" t="n">
        <v>65</v>
      </c>
      <c r="K432" s="2" t="inlineStr">
        <is>
          <t>Mother</t>
        </is>
      </c>
      <c r="L432" s="2" t="inlineStr">
        <is>
          <t>Teacher</t>
        </is>
      </c>
      <c r="M432" s="2" t="inlineStr">
        <is>
          <t>5l</t>
        </is>
      </c>
      <c r="N432" s="2" t="inlineStr">
        <is>
          <t>yes</t>
        </is>
      </c>
      <c r="O432" s="2" t="inlineStr">
        <is>
          <t>yes</t>
        </is>
      </c>
      <c r="P432" s="2" t="inlineStr">
        <is>
          <t>na</t>
        </is>
      </c>
      <c r="Q432" s="2" t="inlineStr">
        <is>
          <t>na</t>
        </is>
      </c>
      <c r="R432" s="2" t="inlineStr">
        <is>
          <t>na</t>
        </is>
      </c>
      <c r="S432" s="2" t="n"/>
      <c r="T432" s="2" t="inlineStr">
        <is>
          <t>25/7 : DNP</t>
        </is>
      </c>
      <c r="U432" s="2" t="inlineStr">
        <is>
          <t>Yes</t>
        </is>
      </c>
      <c r="V432" s="2" t="n"/>
      <c r="W432" s="2" t="n"/>
      <c r="X432" s="2" t="n"/>
      <c r="Y432" s="2" t="n"/>
      <c r="Z432" s="2" t="n"/>
      <c r="AA432" s="2" t="inlineStr">
        <is>
          <t>DNP</t>
        </is>
      </c>
      <c r="AB432" s="2" t="inlineStr">
        <is>
          <t>DNP</t>
        </is>
      </c>
      <c r="AC432" s="2" t="n"/>
      <c r="AD432" s="2" t="n"/>
      <c r="AE432" s="2" t="n"/>
      <c r="AF432" s="2" t="n"/>
      <c r="AG432" s="2" t="n"/>
      <c r="AH432" s="2" t="n"/>
      <c r="AI432" s="2" t="n"/>
      <c r="AJ432" s="2" t="n"/>
      <c r="AK432" s="2" t="n"/>
      <c r="AL432" s="2" t="n"/>
      <c r="AM432" s="2" t="n"/>
      <c r="AN432" s="2" t="n"/>
      <c r="AO432" s="2" t="n"/>
      <c r="AP432" s="2" t="n"/>
      <c r="AQ432" s="2" t="n"/>
    </row>
    <row r="433">
      <c r="A433" t="n">
        <v>432</v>
      </c>
      <c r="B433" s="2" t="inlineStr">
        <is>
          <t>Ranveer Malkunaik</t>
        </is>
      </c>
      <c r="C433" s="3" t="n">
        <v>7020660676</v>
      </c>
      <c r="D433" s="2" t="inlineStr">
        <is>
          <t>PROV260614708</t>
        </is>
      </c>
      <c r="E433" s="2" t="inlineStr">
        <is>
          <t>ADYPU</t>
        </is>
      </c>
      <c r="F433" s="2" t="inlineStr">
        <is>
          <t>No</t>
        </is>
      </c>
      <c r="G433" s="2" t="inlineStr">
        <is>
          <t>Loan not required</t>
        </is>
      </c>
      <c r="H433" s="2" t="n"/>
      <c r="I433" s="2" t="n"/>
      <c r="J433" s="2" t="n"/>
      <c r="K433" s="2" t="n"/>
      <c r="L433" s="2" t="n"/>
      <c r="M433" s="2" t="n"/>
      <c r="N433" s="2" t="n"/>
      <c r="O433" s="2" t="n"/>
      <c r="P433" s="2" t="n"/>
      <c r="Q433" s="2" t="n"/>
      <c r="R433" s="2" t="n"/>
      <c r="S433" s="2" t="n"/>
      <c r="T433" s="2" t="inlineStr">
        <is>
          <t>24/7: Not wanting loan</t>
        </is>
      </c>
      <c r="U433" s="2" t="inlineStr">
        <is>
          <t>No</t>
        </is>
      </c>
      <c r="V433" s="2" t="n"/>
      <c r="W433" s="2" t="n"/>
      <c r="X433" s="2" t="n"/>
      <c r="Y433" s="2" t="n"/>
      <c r="Z433" s="2" t="n"/>
      <c r="AA433" s="2" t="inlineStr">
        <is>
          <t>Not required</t>
        </is>
      </c>
      <c r="AB433" s="2" t="inlineStr">
        <is>
          <t>Not required</t>
        </is>
      </c>
      <c r="AC433" s="2" t="n"/>
      <c r="AD433" s="2" t="n"/>
      <c r="AE433" s="2" t="n"/>
      <c r="AF433" s="2" t="n"/>
      <c r="AG433" s="2" t="inlineStr">
        <is>
          <t>Not required</t>
        </is>
      </c>
      <c r="AH433" s="2" t="n"/>
      <c r="AI433" s="2" t="n"/>
      <c r="AJ433" s="2" t="n"/>
      <c r="AK433" s="2" t="n"/>
      <c r="AL433" s="2" t="n"/>
      <c r="AM433" s="2" t="n"/>
      <c r="AN433" s="2" t="n"/>
      <c r="AO433" s="2" t="n"/>
      <c r="AP433" s="2" t="n"/>
      <c r="AQ433" s="2" t="n"/>
    </row>
    <row r="434">
      <c r="A434" t="n">
        <v>433</v>
      </c>
      <c r="B434" s="2" t="inlineStr">
        <is>
          <t>Siddharth Singh</t>
        </is>
      </c>
      <c r="C434" s="3" t="n">
        <v>9263233462</v>
      </c>
      <c r="D434" s="2" t="inlineStr">
        <is>
          <t>PROV260601653</t>
        </is>
      </c>
      <c r="E434" s="2" t="inlineStr">
        <is>
          <t>ADYPU</t>
        </is>
      </c>
      <c r="F434" s="2" t="inlineStr">
        <is>
          <t>Drop</t>
        </is>
      </c>
      <c r="G434" s="2" t="n"/>
      <c r="H434" s="2" t="n"/>
      <c r="I434" s="2" t="n"/>
      <c r="J434" s="2" t="n"/>
      <c r="K434" s="2" t="n"/>
      <c r="L434" s="2" t="n"/>
      <c r="M434" s="2" t="n"/>
      <c r="N434" s="2" t="n"/>
      <c r="O434" s="2" t="n"/>
      <c r="P434" s="2" t="n"/>
      <c r="Q434" s="2" t="n"/>
      <c r="R434" s="2" t="n"/>
      <c r="S434" s="2" t="n"/>
      <c r="T434" s="2" t="inlineStr">
        <is>
          <t>24/7: DNP</t>
        </is>
      </c>
      <c r="U434" s="2" t="inlineStr">
        <is>
          <t>Refund</t>
        </is>
      </c>
      <c r="V434" s="2" t="n"/>
      <c r="W434" s="2" t="n"/>
      <c r="X434" s="2" t="n"/>
      <c r="Y434" s="2" t="n"/>
      <c r="Z434" s="2" t="n"/>
      <c r="AA434" s="2" t="inlineStr">
        <is>
          <t>Refund case</t>
        </is>
      </c>
      <c r="AB434" s="2" t="inlineStr">
        <is>
          <t>Refund case</t>
        </is>
      </c>
      <c r="AC434" s="2" t="n"/>
      <c r="AD434" s="2" t="n"/>
      <c r="AE434" s="2" t="n"/>
      <c r="AF434" s="2" t="n"/>
      <c r="AG434" s="2" t="inlineStr">
        <is>
          <t>Not even started</t>
        </is>
      </c>
      <c r="AH434" s="2" t="n"/>
      <c r="AI434" s="2" t="n"/>
      <c r="AJ434" s="2" t="n"/>
      <c r="AK434" s="2" t="n"/>
      <c r="AL434" s="2" t="n"/>
      <c r="AM434" s="2" t="n"/>
      <c r="AN434" s="2" t="n"/>
      <c r="AO434" s="2" t="n"/>
      <c r="AP434" s="2" t="n"/>
      <c r="AQ434" s="2" t="n"/>
    </row>
    <row r="435">
      <c r="A435" t="n">
        <v>434</v>
      </c>
      <c r="B435" s="2" t="inlineStr">
        <is>
          <t>Abhishek bhatt</t>
        </is>
      </c>
      <c r="C435" s="3" t="n">
        <v>8077606233</v>
      </c>
      <c r="D435" s="2" t="inlineStr">
        <is>
          <t>PROV260701694</t>
        </is>
      </c>
      <c r="E435" s="2" t="inlineStr">
        <is>
          <t>ADYPU</t>
        </is>
      </c>
      <c r="F435" s="2" t="inlineStr">
        <is>
          <t>No</t>
        </is>
      </c>
      <c r="G435" s="2" t="inlineStr">
        <is>
          <t>Loan not required</t>
        </is>
      </c>
      <c r="H435" s="2" t="n"/>
      <c r="I435" s="2" t="n"/>
      <c r="J435" s="2" t="n"/>
      <c r="K435" s="2" t="n"/>
      <c r="L435" s="2" t="n"/>
      <c r="M435" s="2" t="n"/>
      <c r="N435" s="2" t="n"/>
      <c r="O435" s="2" t="n"/>
      <c r="P435" s="2" t="n"/>
      <c r="Q435" s="2" t="n"/>
      <c r="R435" s="2" t="n"/>
      <c r="S435" s="2" t="n"/>
      <c r="T435" s="2" t="inlineStr">
        <is>
          <t>24/7: Not wanting loan</t>
        </is>
      </c>
      <c r="U435" s="2" t="inlineStr">
        <is>
          <t>No</t>
        </is>
      </c>
      <c r="V435" s="2" t="n"/>
      <c r="W435" s="2" t="n"/>
      <c r="X435" s="2" t="n"/>
      <c r="Y435" s="2" t="n"/>
      <c r="Z435" s="2" t="n"/>
      <c r="AA435" s="2" t="inlineStr">
        <is>
          <t>Not required</t>
        </is>
      </c>
      <c r="AB435" s="2" t="inlineStr">
        <is>
          <t>Not required</t>
        </is>
      </c>
      <c r="AC435" s="2" t="n"/>
      <c r="AD435" s="2" t="n"/>
      <c r="AE435" s="2" t="n"/>
      <c r="AF435" s="2" t="n"/>
      <c r="AG435" s="2" t="inlineStr">
        <is>
          <t>Not required</t>
        </is>
      </c>
      <c r="AH435" s="2" t="n"/>
      <c r="AI435" s="2" t="n"/>
      <c r="AJ435" s="2" t="n"/>
      <c r="AK435" s="2" t="n"/>
      <c r="AL435" s="2" t="n"/>
      <c r="AM435" s="2" t="n"/>
      <c r="AN435" s="2" t="n"/>
      <c r="AO435" s="2" t="n"/>
      <c r="AP435" s="2" t="n"/>
      <c r="AQ435" s="2" t="n"/>
    </row>
    <row r="436">
      <c r="A436" t="n">
        <v>435</v>
      </c>
      <c r="B436" s="2" t="inlineStr">
        <is>
          <t>Prachi Mourya</t>
        </is>
      </c>
      <c r="C436" s="3" t="n">
        <v>8953169181</v>
      </c>
      <c r="D436" s="2" t="inlineStr">
        <is>
          <t>PROV260703984</t>
        </is>
      </c>
      <c r="E436" s="2" t="inlineStr">
        <is>
          <t>ADYPU</t>
        </is>
      </c>
      <c r="F436" s="2" t="inlineStr">
        <is>
          <t>No</t>
        </is>
      </c>
      <c r="G436" s="2" t="inlineStr">
        <is>
          <t>Loan not required</t>
        </is>
      </c>
      <c r="H436" s="2" t="n"/>
      <c r="I436" s="2" t="n"/>
      <c r="J436" s="2" t="n"/>
      <c r="K436" s="2" t="n"/>
      <c r="L436" s="2" t="n"/>
      <c r="M436" s="2" t="n"/>
      <c r="N436" s="2" t="n"/>
      <c r="O436" s="2" t="n"/>
      <c r="P436" s="2" t="n"/>
      <c r="Q436" s="2" t="n"/>
      <c r="R436" s="2" t="n"/>
      <c r="S436" s="2" t="n"/>
      <c r="T436" s="2" t="inlineStr">
        <is>
          <t>24/7: Not wanting loan</t>
        </is>
      </c>
      <c r="U436" s="2" t="inlineStr">
        <is>
          <t>No</t>
        </is>
      </c>
      <c r="V436" s="2" t="n"/>
      <c r="W436" s="2" t="n"/>
      <c r="X436" s="2" t="n"/>
      <c r="Y436" s="2" t="n"/>
      <c r="Z436" s="2" t="n"/>
      <c r="AA436" s="2" t="inlineStr">
        <is>
          <t>Not required</t>
        </is>
      </c>
      <c r="AB436" s="2" t="inlineStr">
        <is>
          <t>Not required</t>
        </is>
      </c>
      <c r="AC436" s="2" t="n"/>
      <c r="AD436" s="2" t="n"/>
      <c r="AE436" s="2" t="n"/>
      <c r="AF436" s="2" t="n"/>
      <c r="AG436" s="2" t="inlineStr">
        <is>
          <t>Not required</t>
        </is>
      </c>
      <c r="AH436" s="2" t="n"/>
      <c r="AI436" s="2" t="n"/>
      <c r="AJ436" s="2" t="n"/>
      <c r="AK436" s="2" t="n"/>
      <c r="AL436" s="2" t="n"/>
      <c r="AM436" s="2" t="n"/>
      <c r="AN436" s="2" t="n"/>
      <c r="AO436" s="2" t="n"/>
      <c r="AP436" s="2" t="n"/>
      <c r="AQ436" s="2" t="n"/>
    </row>
    <row r="437">
      <c r="A437" t="n">
        <v>436</v>
      </c>
      <c r="B437" s="2" t="inlineStr">
        <is>
          <t>Harsh veer singh</t>
        </is>
      </c>
      <c r="C437" s="3" t="n">
        <v>9682606971</v>
      </c>
      <c r="D437" s="2" t="inlineStr">
        <is>
          <t>PROV260703060</t>
        </is>
      </c>
      <c r="E437" s="2" t="inlineStr">
        <is>
          <t>ADYPU</t>
        </is>
      </c>
      <c r="F437" s="2" t="inlineStr">
        <is>
          <t>No</t>
        </is>
      </c>
      <c r="G437" s="2" t="inlineStr">
        <is>
          <t>Loan not required</t>
        </is>
      </c>
      <c r="H437" s="2" t="n"/>
      <c r="I437" s="2" t="n"/>
      <c r="J437" s="2" t="n"/>
      <c r="K437" s="2" t="n"/>
      <c r="L437" s="2" t="n"/>
      <c r="M437" s="2" t="n"/>
      <c r="N437" s="2" t="n"/>
      <c r="O437" s="2" t="n"/>
      <c r="P437" s="2" t="n"/>
      <c r="Q437" s="2" t="n"/>
      <c r="R437" s="2" t="n"/>
      <c r="S437" s="2" t="n"/>
      <c r="T437" s="2" t="inlineStr">
        <is>
          <t>24/7: Not wanting loan</t>
        </is>
      </c>
      <c r="U437" s="2" t="inlineStr">
        <is>
          <t>No</t>
        </is>
      </c>
      <c r="V437" s="2" t="n"/>
      <c r="W437" s="2" t="n"/>
      <c r="X437" s="2" t="n"/>
      <c r="Y437" s="2" t="n"/>
      <c r="Z437" s="2" t="n"/>
      <c r="AA437" s="2" t="inlineStr">
        <is>
          <t>Not required</t>
        </is>
      </c>
      <c r="AB437" s="2" t="inlineStr">
        <is>
          <t>Not required</t>
        </is>
      </c>
      <c r="AC437" s="2" t="n"/>
      <c r="AD437" s="2" t="n"/>
      <c r="AE437" s="2" t="n"/>
      <c r="AF437" s="2" t="n"/>
      <c r="AG437" s="2" t="inlineStr">
        <is>
          <t>Not required</t>
        </is>
      </c>
      <c r="AH437" s="2" t="n"/>
      <c r="AI437" s="2" t="n"/>
      <c r="AJ437" s="2" t="n"/>
      <c r="AK437" s="2" t="n"/>
      <c r="AL437" s="2" t="n"/>
      <c r="AM437" s="2" t="n"/>
      <c r="AN437" s="2" t="n"/>
      <c r="AO437" s="2" t="n"/>
      <c r="AP437" s="2" t="n"/>
      <c r="AQ437" s="2" t="n"/>
    </row>
    <row r="438">
      <c r="A438" t="n">
        <v>437</v>
      </c>
      <c r="B438" s="2" t="inlineStr">
        <is>
          <t>Sharvan Thakur</t>
        </is>
      </c>
      <c r="C438" s="3" t="n">
        <v>7488990753</v>
      </c>
      <c r="D438" s="2" t="inlineStr">
        <is>
          <t>PROV260701521</t>
        </is>
      </c>
      <c r="E438" s="2" t="inlineStr">
        <is>
          <t>ADYPU</t>
        </is>
      </c>
      <c r="F438" s="2" t="inlineStr">
        <is>
          <t>Yes</t>
        </is>
      </c>
      <c r="G438" s="2" t="inlineStr">
        <is>
          <t xml:space="preserve">Non Critical </t>
        </is>
      </c>
      <c r="H438" s="2" t="n">
        <v>25</v>
      </c>
      <c r="I438" s="2" t="n">
        <v>20</v>
      </c>
      <c r="J438" s="2" t="n">
        <v>73.59999999999999</v>
      </c>
      <c r="K438" s="2" t="inlineStr">
        <is>
          <t>Mother</t>
        </is>
      </c>
      <c r="L438" s="2" t="inlineStr">
        <is>
          <t>Business</t>
        </is>
      </c>
      <c r="M438" s="2" t="inlineStr">
        <is>
          <t>25Lwith proof (30-40L is actual income)</t>
        </is>
      </c>
      <c r="N438" s="2" t="inlineStr">
        <is>
          <t>yes</t>
        </is>
      </c>
      <c r="O438" s="2" t="inlineStr">
        <is>
          <t>Not sure</t>
        </is>
      </c>
      <c r="P438" s="2" t="inlineStr">
        <is>
          <t>700+ (don't knoe the exact no.)</t>
        </is>
      </c>
      <c r="Q438" s="2" t="inlineStr">
        <is>
          <t>Na</t>
        </is>
      </c>
      <c r="R438" s="2" t="inlineStr">
        <is>
          <t>na</t>
        </is>
      </c>
      <c r="S438" s="2" t="n"/>
      <c r="T438" s="2" t="inlineStr">
        <is>
          <t xml:space="preserve">25/7 : Loan req : 20, Father Occupation : Thakur &amp; Sonns lmt, Annual Income : 25L+, ITR filed : yes 
3/8 : Student had issues in names between aadhar and Pan card, resolved his query </t>
        </is>
      </c>
      <c r="U438" s="2" t="inlineStr">
        <is>
          <t>Yes</t>
        </is>
      </c>
      <c r="V438" s="2" t="n"/>
      <c r="W438" s="2" t="n"/>
      <c r="X438" s="2" t="n"/>
      <c r="Y438" s="2" t="n"/>
      <c r="Z438" s="2" t="n"/>
      <c r="AA438" s="2" t="inlineStr">
        <is>
          <t>Control</t>
        </is>
      </c>
      <c r="AB438" s="2" t="inlineStr">
        <is>
          <t>Control</t>
        </is>
      </c>
      <c r="AC438" s="2" t="n"/>
      <c r="AD438" s="2" t="n"/>
      <c r="AE438" s="2" t="n"/>
      <c r="AF438" s="2" t="n"/>
      <c r="AG438" s="2" t="inlineStr">
        <is>
          <t>Ongoing</t>
        </is>
      </c>
      <c r="AH438" s="2" t="inlineStr">
        <is>
          <t>Processing by GyanDhan</t>
        </is>
      </c>
      <c r="AI438" s="2" t="n"/>
      <c r="AJ438" s="2" t="n"/>
      <c r="AK438" s="2" t="n"/>
      <c r="AL438" s="2" t="n"/>
      <c r="AM438" s="2" t="n"/>
      <c r="AN438" s="2" t="n"/>
      <c r="AO438" s="2" t="n"/>
      <c r="AP438" s="2" t="n"/>
      <c r="AQ438" s="2" t="n"/>
    </row>
    <row r="439">
      <c r="A439" t="n">
        <v>438</v>
      </c>
      <c r="B439" s="2" t="inlineStr">
        <is>
          <t>Ankit Kumar</t>
        </is>
      </c>
      <c r="C439" s="3" t="n">
        <v>7256958871</v>
      </c>
      <c r="D439" s="2" t="inlineStr">
        <is>
          <t>PROV260702385</t>
        </is>
      </c>
      <c r="E439" s="2" t="inlineStr">
        <is>
          <t>ADYPU</t>
        </is>
      </c>
      <c r="F439" s="2" t="inlineStr">
        <is>
          <t>Yes</t>
        </is>
      </c>
      <c r="G439" s="2" t="n"/>
      <c r="H439" s="2" t="n"/>
      <c r="I439" s="2" t="n"/>
      <c r="J439" s="2" t="n"/>
      <c r="K439" s="2" t="n"/>
      <c r="L439" s="2" t="n"/>
      <c r="M439" s="2" t="n"/>
      <c r="N439" s="2" t="n"/>
      <c r="O439" s="2" t="n"/>
      <c r="P439" s="2" t="n"/>
      <c r="Q439" s="2" t="n"/>
      <c r="R439" s="2" t="n"/>
      <c r="S439" s="2" t="n"/>
      <c r="T439" s="2" t="inlineStr">
        <is>
          <t>25/7 : DNP</t>
        </is>
      </c>
      <c r="U439" s="2" t="inlineStr">
        <is>
          <t>Yes</t>
        </is>
      </c>
      <c r="V439" s="2" t="n"/>
      <c r="W439" s="2" t="n"/>
      <c r="X439" s="2" t="n"/>
      <c r="Y439" s="2" t="n"/>
      <c r="Z439" s="2" t="n"/>
      <c r="AA439" s="2" t="inlineStr">
        <is>
          <t>DNP</t>
        </is>
      </c>
      <c r="AB439" s="2" t="inlineStr">
        <is>
          <t>DNP</t>
        </is>
      </c>
      <c r="AC439" s="2" t="n"/>
      <c r="AD439" s="2" t="n"/>
      <c r="AE439" s="2" t="n"/>
      <c r="AF439" s="2" t="n"/>
      <c r="AG439" s="2" t="n"/>
      <c r="AH439" s="2" t="n"/>
      <c r="AI439" s="2" t="n"/>
      <c r="AJ439" s="2" t="n"/>
      <c r="AK439" s="2" t="n"/>
      <c r="AL439" s="2" t="n"/>
      <c r="AM439" s="2" t="n"/>
      <c r="AN439" s="2" t="n"/>
      <c r="AO439" s="2" t="n"/>
      <c r="AP439" s="2" t="n"/>
      <c r="AQ439" s="2" t="n"/>
    </row>
    <row r="440">
      <c r="A440" t="n">
        <v>439</v>
      </c>
      <c r="B440" s="2" t="inlineStr">
        <is>
          <t>Ryaan George Cherian</t>
        </is>
      </c>
      <c r="C440" s="3" t="n">
        <v>9815088904</v>
      </c>
      <c r="D440" s="2" t="inlineStr">
        <is>
          <t>PROV260703884</t>
        </is>
      </c>
      <c r="E440" s="2" t="inlineStr">
        <is>
          <t>ADYPU</t>
        </is>
      </c>
      <c r="F440" s="2" t="inlineStr">
        <is>
          <t>DNR</t>
        </is>
      </c>
      <c r="G440" s="2" t="n"/>
      <c r="H440" s="2" t="n"/>
      <c r="I440" s="2" t="n"/>
      <c r="J440" s="2" t="n"/>
      <c r="K440" s="2" t="n"/>
      <c r="L440" s="2" t="n"/>
      <c r="M440" s="2" t="n"/>
      <c r="N440" s="2" t="n"/>
      <c r="O440" s="2" t="n"/>
      <c r="P440" s="2" t="n"/>
      <c r="Q440" s="2" t="n"/>
      <c r="R440" s="2" t="n"/>
      <c r="S440" s="2" t="n"/>
      <c r="T440" s="2" t="inlineStr">
        <is>
          <t>24/7: DNP</t>
        </is>
      </c>
      <c r="U440" s="2" t="inlineStr">
        <is>
          <t>DNP</t>
        </is>
      </c>
      <c r="V440" s="2" t="n"/>
      <c r="W440" s="2" t="n"/>
      <c r="X440" s="2" t="n"/>
      <c r="Y440" s="2" t="n"/>
      <c r="Z440" s="2" t="n"/>
      <c r="AA440" s="2" t="inlineStr">
        <is>
          <t>DNP</t>
        </is>
      </c>
      <c r="AB440" s="2" t="inlineStr">
        <is>
          <t>DNP</t>
        </is>
      </c>
      <c r="AC440" s="2" t="n"/>
      <c r="AD440" s="2" t="n"/>
      <c r="AE440" s="2" t="n"/>
      <c r="AF440" s="2" t="n"/>
      <c r="AG440" s="2" t="inlineStr">
        <is>
          <t>Not even started</t>
        </is>
      </c>
      <c r="AH440" s="2" t="n"/>
      <c r="AI440" s="2" t="n"/>
      <c r="AJ440" s="2" t="n"/>
      <c r="AK440" s="2" t="n"/>
      <c r="AL440" s="2" t="n"/>
      <c r="AM440" s="2" t="n"/>
      <c r="AN440" s="2" t="n"/>
      <c r="AO440" s="2" t="n"/>
      <c r="AP440" s="2" t="n"/>
      <c r="AQ440" s="2" t="n"/>
    </row>
    <row r="441">
      <c r="A441" t="n">
        <v>440</v>
      </c>
      <c r="B441" s="2" t="inlineStr">
        <is>
          <t>Mohammed Hasham</t>
        </is>
      </c>
      <c r="C441" s="3" t="n">
        <v>6300977507</v>
      </c>
      <c r="D441" s="2" t="inlineStr">
        <is>
          <t>PROV1000000468</t>
        </is>
      </c>
      <c r="E441" s="2" t="inlineStr">
        <is>
          <t>ADYPU</t>
        </is>
      </c>
      <c r="F441" s="2" t="inlineStr">
        <is>
          <t>Yes</t>
        </is>
      </c>
      <c r="G441" s="2" t="n"/>
      <c r="H441" s="2" t="n">
        <v>0.075</v>
      </c>
      <c r="I441" s="2" t="n"/>
      <c r="J441" s="2" t="n"/>
      <c r="K441" s="2" t="n"/>
      <c r="L441" s="2" t="n"/>
      <c r="M441" s="2" t="n">
        <v>2.5</v>
      </c>
      <c r="N441" s="2" t="n"/>
      <c r="O441" s="2" t="n"/>
      <c r="P441" s="2" t="n"/>
      <c r="Q441" s="2" t="n"/>
      <c r="R441" s="2" t="n"/>
      <c r="S441" s="2" t="n"/>
      <c r="T441" s="2" t="inlineStr">
        <is>
          <t>24/7: Needs loan but will share  details later. 
1/8 : Loan details : 22.83L , coapplicant : Father, father profession : Carpenter, Annual income : 8L, ITR filed : YEs</t>
        </is>
      </c>
      <c r="U441" s="2" t="inlineStr">
        <is>
          <t>Yes</t>
        </is>
      </c>
      <c r="V441" s="2" t="n"/>
      <c r="W441" s="2" t="n"/>
      <c r="X441" s="2" t="n"/>
      <c r="Y441" s="2" t="n"/>
      <c r="Z441" s="2" t="n"/>
      <c r="AA441" s="2" t="inlineStr">
        <is>
          <t>Risk</t>
        </is>
      </c>
      <c r="AB441" s="2" t="inlineStr">
        <is>
          <t>Risk</t>
        </is>
      </c>
      <c r="AC441" s="2" t="n"/>
      <c r="AD441" s="2" t="n"/>
      <c r="AE441" s="2" t="n"/>
      <c r="AF441" s="2" t="n"/>
      <c r="AG441" s="2" t="inlineStr">
        <is>
          <t>Not even started</t>
        </is>
      </c>
      <c r="AH441" s="2" t="n"/>
      <c r="AI441" s="2" t="n"/>
      <c r="AJ441" s="2" t="n"/>
      <c r="AK441" s="2" t="n"/>
      <c r="AL441" s="2" t="inlineStr">
        <is>
          <t>Will share details later</t>
        </is>
      </c>
      <c r="AM441" s="2" t="n"/>
      <c r="AN441" s="2" t="n"/>
      <c r="AO441" s="2" t="n"/>
      <c r="AP441" s="2" t="n"/>
      <c r="AQ441" s="2" t="n"/>
    </row>
    <row r="442">
      <c r="A442" t="n">
        <v>441</v>
      </c>
      <c r="B442" s="2" t="inlineStr">
        <is>
          <t>Shaikh Abdul Wahid</t>
        </is>
      </c>
      <c r="C442" s="3" t="n">
        <v>9691125801</v>
      </c>
      <c r="D442" s="2" t="inlineStr">
        <is>
          <t>PROV260703598</t>
        </is>
      </c>
      <c r="E442" s="2" t="inlineStr">
        <is>
          <t>ADYPU</t>
        </is>
      </c>
      <c r="F442" s="2" t="inlineStr">
        <is>
          <t>Yes</t>
        </is>
      </c>
      <c r="G442" s="2" t="n"/>
      <c r="H442" s="2" t="n">
        <v>0.13</v>
      </c>
      <c r="I442" s="2" t="n">
        <v>20</v>
      </c>
      <c r="J442" s="2" t="n">
        <v>62</v>
      </c>
      <c r="K442" s="2" t="inlineStr">
        <is>
          <t>Father</t>
        </is>
      </c>
      <c r="L442" s="2" t="inlineStr">
        <is>
          <t>Cook</t>
        </is>
      </c>
      <c r="M442" s="2" t="inlineStr">
        <is>
          <t>6-6.5 L</t>
        </is>
      </c>
      <c r="N442" s="2" t="inlineStr">
        <is>
          <t>Income Certifcate</t>
        </is>
      </c>
      <c r="O442" s="2" t="n"/>
      <c r="P442" s="2" t="inlineStr">
        <is>
          <t>Good</t>
        </is>
      </c>
      <c r="Q442" s="2" t="inlineStr">
        <is>
          <t>No</t>
        </is>
      </c>
      <c r="R442" s="2" t="inlineStr">
        <is>
          <t>NA</t>
        </is>
      </c>
      <c r="S442" s="2" t="n"/>
      <c r="T442" s="2" t="inlineStr">
        <is>
          <t>24/7: He was told he would get loan, without collateral so he didnt apply anywhere as he thought that he will get it automatically when he comes to the campus. 
28/7 : ICICI bank has shared the documents list
31/7 : @⁨~Gyandhan⁩ Please connect
Name : Shaikh Abdul Wahid 
Email : shaikhabdulwahid782@gmail.com
Prov ID :(PROV260703598)
Mobile : 9691125801
Coapplicant Name : Shaik Taiju 
Coapplicant relation : father 
Annual salary : 6.5 lpa 
ITR filed ( yes/no ): yes
and update</t>
        </is>
      </c>
      <c r="U442" s="2" t="inlineStr">
        <is>
          <t>Yes</t>
        </is>
      </c>
      <c r="V442" s="2" t="n"/>
      <c r="W442" s="2" t="n"/>
      <c r="X442" s="2" t="n"/>
      <c r="Y442" s="2" t="n"/>
      <c r="Z442" s="2" t="n"/>
      <c r="AA442" s="2" t="inlineStr">
        <is>
          <t>Control</t>
        </is>
      </c>
      <c r="AB442" s="2" t="inlineStr">
        <is>
          <t>Control</t>
        </is>
      </c>
      <c r="AC442" s="2" t="n"/>
      <c r="AD442" s="2" t="n"/>
      <c r="AE442" s="2" t="n"/>
      <c r="AF442" s="2" t="n"/>
      <c r="AG442" s="2" t="inlineStr">
        <is>
          <t>Not even started</t>
        </is>
      </c>
      <c r="AH442" s="2" t="n"/>
      <c r="AI442" s="2" t="n"/>
      <c r="AJ442" s="2" t="n"/>
      <c r="AK442" s="2" t="n"/>
      <c r="AL442" s="2" t="inlineStr">
        <is>
          <t>He was told he would get loan, without collateral so he didnt apply anywhere as he thought that he will get it automatically when he comes to the campus</t>
        </is>
      </c>
      <c r="AM442" s="2" t="n"/>
      <c r="AN442" s="2" t="n"/>
      <c r="AO442" s="2" t="n"/>
      <c r="AP442" s="2" t="n"/>
      <c r="AQ442" s="2" t="n"/>
    </row>
    <row r="443">
      <c r="A443" t="n">
        <v>442</v>
      </c>
      <c r="B443" s="2" t="inlineStr">
        <is>
          <t>Sunny singh</t>
        </is>
      </c>
      <c r="C443" s="3" t="n">
        <v>8630269946</v>
      </c>
      <c r="D443" s="2" t="inlineStr">
        <is>
          <t>PROV1000002417</t>
        </is>
      </c>
      <c r="E443" s="2" t="inlineStr">
        <is>
          <t>ADYPU</t>
        </is>
      </c>
      <c r="F443" s="2" t="inlineStr">
        <is>
          <t>No</t>
        </is>
      </c>
      <c r="G443" s="2" t="inlineStr">
        <is>
          <t>Loan not required</t>
        </is>
      </c>
      <c r="H443" s="2" t="n"/>
      <c r="I443" s="2" t="n"/>
      <c r="J443" s="2" t="n"/>
      <c r="K443" s="2" t="n"/>
      <c r="L443" s="2" t="n"/>
      <c r="M443" s="2" t="n"/>
      <c r="N443" s="2" t="n"/>
      <c r="O443" s="2" t="n"/>
      <c r="P443" s="2" t="n"/>
      <c r="Q443" s="2" t="n"/>
      <c r="R443" s="2" t="n"/>
      <c r="S443" s="2" t="n"/>
      <c r="T443" s="2" t="inlineStr">
        <is>
          <t>24/7: Not wanting loan</t>
        </is>
      </c>
      <c r="U443" s="2" t="inlineStr">
        <is>
          <t>No</t>
        </is>
      </c>
      <c r="V443" s="2" t="n"/>
      <c r="W443" s="2" t="n"/>
      <c r="X443" s="2" t="n"/>
      <c r="Y443" s="2" t="n"/>
      <c r="Z443" s="2" t="n"/>
      <c r="AA443" s="2" t="inlineStr">
        <is>
          <t>Not required</t>
        </is>
      </c>
      <c r="AB443" s="2" t="inlineStr">
        <is>
          <t>Not required</t>
        </is>
      </c>
      <c r="AC443" s="2" t="n"/>
      <c r="AD443" s="2" t="n"/>
      <c r="AE443" s="2" t="n"/>
      <c r="AF443" s="2" t="n"/>
      <c r="AG443" s="2" t="inlineStr">
        <is>
          <t>Not required</t>
        </is>
      </c>
      <c r="AH443" s="2" t="n"/>
      <c r="AI443" s="2" t="n"/>
      <c r="AJ443" s="2" t="n"/>
      <c r="AK443" s="2" t="n"/>
      <c r="AL443" s="2" t="n"/>
      <c r="AM443" s="2" t="n"/>
      <c r="AN443" s="2" t="n"/>
      <c r="AO443" s="2" t="n"/>
      <c r="AP443" s="2" t="n"/>
      <c r="AQ443" s="2" t="n"/>
    </row>
    <row r="444">
      <c r="A444" t="n">
        <v>443</v>
      </c>
      <c r="B444" s="2" t="inlineStr">
        <is>
          <t>Supriya suresh larokar</t>
        </is>
      </c>
      <c r="C444" s="3" t="n">
        <v>9325921284</v>
      </c>
      <c r="D444" s="2" t="inlineStr">
        <is>
          <t>PROV260604391</t>
        </is>
      </c>
      <c r="E444" s="2" t="inlineStr">
        <is>
          <t>ADYPU</t>
        </is>
      </c>
      <c r="F444" s="2" t="inlineStr">
        <is>
          <t>Yes</t>
        </is>
      </c>
      <c r="G444" s="2" t="inlineStr">
        <is>
          <t xml:space="preserve">Non Critical </t>
        </is>
      </c>
      <c r="H444" s="2" t="n">
        <v>12.5</v>
      </c>
      <c r="I444" s="2" t="n"/>
      <c r="J444" s="2" t="n"/>
      <c r="K444" s="2" t="n"/>
      <c r="L444" s="2" t="n"/>
      <c r="M444" s="2" t="n"/>
      <c r="N444" s="2" t="n"/>
      <c r="O444" s="2" t="n"/>
      <c r="P444" s="2" t="n"/>
      <c r="Q444" s="2" t="n"/>
      <c r="R444" s="2" t="n"/>
      <c r="S444" s="2" t="n"/>
      <c r="T444" s="2" t="inlineStr">
        <is>
          <t xml:space="preserve">28/7 : Loan req : 20L, 12th % : 71.50, Coapplicant : Father, Profession : Farmer , property dealing. Annual Income : , ITR filed : Yes , student didn't know 
29/7 : Student has shared her details on whatsapp, moving it forward to gyan dhan 
</t>
        </is>
      </c>
      <c r="U444" s="2" t="inlineStr">
        <is>
          <t>Yes</t>
        </is>
      </c>
      <c r="V444" s="2" t="inlineStr">
        <is>
          <t>No</t>
        </is>
      </c>
      <c r="W444" s="2" t="inlineStr">
        <is>
          <t>No</t>
        </is>
      </c>
      <c r="X444" s="2" t="inlineStr">
        <is>
          <t>NO</t>
        </is>
      </c>
      <c r="Y444" s="2" t="inlineStr">
        <is>
          <t>No</t>
        </is>
      </c>
      <c r="Z444" s="2" t="inlineStr">
        <is>
          <t>Yes</t>
        </is>
      </c>
      <c r="AA444" s="2" t="inlineStr">
        <is>
          <t>Control</t>
        </is>
      </c>
      <c r="AB444" s="2" t="inlineStr">
        <is>
          <t>Control</t>
        </is>
      </c>
      <c r="AC444" s="2" t="n"/>
      <c r="AD444" s="2" t="n"/>
      <c r="AE444" s="2" t="n"/>
      <c r="AF444" s="2" t="n"/>
      <c r="AG444" s="2" t="inlineStr">
        <is>
          <t>Ongoing</t>
        </is>
      </c>
      <c r="AH444" s="2" t="inlineStr">
        <is>
          <t>Processing by GyanDhan</t>
        </is>
      </c>
      <c r="AI444" s="2" t="n"/>
      <c r="AJ444" s="2" t="n"/>
      <c r="AK444" s="2" t="n"/>
      <c r="AL444" s="2" t="n"/>
      <c r="AM444" s="2" t="n"/>
      <c r="AN444" s="2" t="n"/>
      <c r="AO444" s="2" t="n"/>
      <c r="AP444" s="2" t="n"/>
      <c r="AQ444" s="2" t="n"/>
    </row>
    <row r="445">
      <c r="A445" t="n">
        <v>444</v>
      </c>
      <c r="B445" s="2" t="inlineStr">
        <is>
          <t>Pragada Sri Venkata Satya Likith</t>
        </is>
      </c>
      <c r="C445" s="3" t="n">
        <v>8096433143</v>
      </c>
      <c r="D445" s="2" t="inlineStr">
        <is>
          <t>PROV260612877</t>
        </is>
      </c>
      <c r="E445" s="2" t="n"/>
      <c r="F445" s="2" t="inlineStr">
        <is>
          <t>Drop</t>
        </is>
      </c>
      <c r="G445" s="2" t="n"/>
      <c r="H445" s="2" t="n"/>
      <c r="I445" s="2" t="n"/>
      <c r="J445" s="2" t="n"/>
      <c r="K445" s="2" t="n"/>
      <c r="L445" s="2" t="n"/>
      <c r="M445" s="2" t="n"/>
      <c r="N445" s="2" t="n"/>
      <c r="O445" s="2" t="n"/>
      <c r="P445" s="2" t="n"/>
      <c r="Q445" s="2" t="n"/>
      <c r="R445" s="2" t="n"/>
      <c r="S445" s="2" t="n"/>
      <c r="T445" s="2" t="n"/>
      <c r="U445" s="2" t="inlineStr">
        <is>
          <t>Refund</t>
        </is>
      </c>
      <c r="V445" s="2" t="n"/>
      <c r="W445" s="2" t="n"/>
      <c r="X445" s="2" t="n"/>
      <c r="Y445" s="2" t="n"/>
      <c r="Z445" s="2" t="n"/>
      <c r="AA445" s="2" t="inlineStr">
        <is>
          <t>Refund case</t>
        </is>
      </c>
      <c r="AB445" s="2" t="inlineStr">
        <is>
          <t>Refund case</t>
        </is>
      </c>
      <c r="AC445" s="2" t="n"/>
      <c r="AD445" s="2" t="n"/>
      <c r="AE445" s="2" t="n"/>
      <c r="AF445" s="2" t="n"/>
      <c r="AG445" s="2" t="n"/>
      <c r="AH445" s="2" t="n"/>
      <c r="AI445" s="2" t="n"/>
      <c r="AJ445" s="2" t="n"/>
      <c r="AK445" s="2" t="n"/>
      <c r="AL445" s="2" t="n"/>
      <c r="AM445" s="2" t="n"/>
      <c r="AN445" s="2" t="n"/>
      <c r="AO445" s="2" t="n"/>
      <c r="AP445" s="2" t="n"/>
      <c r="AQ445" s="2" t="n"/>
    </row>
    <row r="446">
      <c r="A446" t="n">
        <v>445</v>
      </c>
      <c r="B446" s="2" t="inlineStr">
        <is>
          <t xml:space="preserve">Tathagata Mondal </t>
        </is>
      </c>
      <c r="C446" s="3" t="n">
        <v>8293454107</v>
      </c>
      <c r="D446" s="2" t="n"/>
      <c r="E446" s="2" t="n"/>
      <c r="F446" s="2" t="inlineStr">
        <is>
          <t>Yes</t>
        </is>
      </c>
      <c r="G446" s="2" t="n"/>
      <c r="H446" s="2" t="n"/>
      <c r="I446" s="2" t="n"/>
      <c r="J446" s="2" t="n"/>
      <c r="K446" s="2" t="n"/>
      <c r="L446" s="2" t="n"/>
      <c r="M446" s="2" t="n"/>
      <c r="N446" s="2" t="n"/>
      <c r="O446" s="2" t="n"/>
      <c r="P446" s="2" t="n"/>
      <c r="Q446" s="2" t="n"/>
      <c r="R446" s="2" t="n"/>
      <c r="S446" s="2" t="n"/>
      <c r="T446" s="2" t="inlineStr">
        <is>
          <t>30/7 : Student wanted block payment receipt.
31/7 : Provided the block payment receipt</t>
        </is>
      </c>
      <c r="U446" s="2" t="inlineStr">
        <is>
          <t>Yes</t>
        </is>
      </c>
      <c r="V446" s="2" t="n"/>
      <c r="W446" s="2" t="n"/>
      <c r="X446" s="2" t="n"/>
      <c r="Y446" s="2" t="n"/>
      <c r="Z446" s="2" t="n"/>
      <c r="AA446" s="2" t="n"/>
      <c r="AB446" s="2" t="n"/>
      <c r="AC446" s="2" t="n"/>
      <c r="AD446" s="2" t="n"/>
      <c r="AE446" s="2" t="n"/>
      <c r="AF446" s="2" t="n"/>
      <c r="AG446" s="2" t="inlineStr">
        <is>
          <t>Ongoing</t>
        </is>
      </c>
      <c r="AH446" s="2" t="n"/>
      <c r="AI446" s="2" t="n"/>
      <c r="AJ446" s="2" t="n"/>
      <c r="AK446" s="2" t="n"/>
      <c r="AL446" s="2" t="n"/>
      <c r="AM446" s="2" t="n"/>
      <c r="AN446" s="2" t="n"/>
      <c r="AO446" s="2" t="n"/>
      <c r="AP446" s="2" t="n"/>
      <c r="AQ446" s="2" t="n"/>
    </row>
    <row r="447">
      <c r="A447" t="n">
        <v>446</v>
      </c>
      <c r="B447" s="2" t="inlineStr">
        <is>
          <t>Adyansh Bhandari</t>
        </is>
      </c>
      <c r="C447" s="3" t="n">
        <v>7044745476</v>
      </c>
      <c r="D447" s="2" t="n"/>
      <c r="E447" s="2" t="n"/>
      <c r="F447" s="2" t="n"/>
      <c r="G447" s="2" t="n"/>
      <c r="H447" s="2" t="n"/>
      <c r="I447" s="2" t="n"/>
      <c r="J447" s="2" t="n"/>
      <c r="K447" s="2" t="n"/>
      <c r="L447" s="2" t="n"/>
      <c r="M447" s="2" t="n"/>
      <c r="N447" s="2" t="n"/>
      <c r="O447" s="2" t="n"/>
      <c r="P447" s="2" t="n"/>
      <c r="Q447" s="2" t="n"/>
      <c r="R447" s="2" t="n"/>
      <c r="S447" s="2" t="n"/>
      <c r="T447" s="2" t="inlineStr">
        <is>
          <t>31/7 : DNP</t>
        </is>
      </c>
      <c r="U447" s="2" t="inlineStr">
        <is>
          <t>DNP</t>
        </is>
      </c>
      <c r="V447" s="2" t="n"/>
      <c r="W447" s="2" t="n"/>
      <c r="X447" s="2" t="n"/>
      <c r="Y447" s="2" t="n"/>
      <c r="Z447" s="2" t="n"/>
      <c r="AA447" s="2" t="inlineStr">
        <is>
          <t>DNP</t>
        </is>
      </c>
      <c r="AB447" s="2" t="inlineStr">
        <is>
          <t>DNP</t>
        </is>
      </c>
      <c r="AC447" s="2" t="n"/>
      <c r="AD447" s="2" t="n"/>
      <c r="AE447" s="2" t="n"/>
      <c r="AF447" s="2" t="n"/>
      <c r="AG447" s="2" t="n"/>
      <c r="AH447" s="2" t="n"/>
      <c r="AI447" s="2" t="n"/>
      <c r="AJ447" s="2" t="n"/>
      <c r="AK447" s="2" t="n"/>
      <c r="AL447" s="2" t="n"/>
      <c r="AM447" s="2" t="n"/>
      <c r="AN447" s="2" t="n"/>
      <c r="AO447" s="2" t="n"/>
      <c r="AP447" s="2" t="n"/>
      <c r="AQ447" s="2" t="n"/>
    </row>
    <row r="448">
      <c r="A448" t="n">
        <v>447</v>
      </c>
      <c r="B448" s="2" t="inlineStr">
        <is>
          <t>Nand Kishore</t>
        </is>
      </c>
      <c r="C448" s="3" t="n">
        <v>9241160894</v>
      </c>
      <c r="D448" s="2" t="inlineStr">
        <is>
          <t>PROV260703455</t>
        </is>
      </c>
      <c r="E448" s="2" t="n"/>
      <c r="F448" s="2" t="inlineStr">
        <is>
          <t>Yes</t>
        </is>
      </c>
      <c r="G448" s="2" t="n"/>
      <c r="H448" s="2" t="n"/>
      <c r="I448" s="2" t="n"/>
      <c r="J448" s="2" t="n"/>
      <c r="K448" s="2" t="n"/>
      <c r="L448" s="2" t="n"/>
      <c r="M448" s="2" t="n"/>
      <c r="N448" s="2" t="n"/>
      <c r="O448" s="2" t="n"/>
      <c r="P448" s="2" t="n"/>
      <c r="Q448" s="2" t="n"/>
      <c r="R448" s="2" t="n"/>
      <c r="S448" s="2" t="n"/>
      <c r="T448" s="2" t="inlineStr">
        <is>
          <t xml:space="preserve">1/8 : Student is from Bihar but since have studied from Jharkhand , so trying to avail the loan from the state scheme. Wanted help from me in regards to this. He has requested the bonafide certificate. </t>
        </is>
      </c>
      <c r="U448" s="2" t="inlineStr">
        <is>
          <t>Yes</t>
        </is>
      </c>
      <c r="V448" s="2" t="n"/>
      <c r="W448" s="2" t="n"/>
      <c r="X448" s="2" t="n"/>
      <c r="Y448" s="2" t="n"/>
      <c r="Z448" s="2" t="n"/>
      <c r="AA448" s="2" t="inlineStr">
        <is>
          <t>Control</t>
        </is>
      </c>
      <c r="AB448" s="2" t="inlineStr">
        <is>
          <t>Control</t>
        </is>
      </c>
      <c r="AC448" s="2" t="n"/>
      <c r="AD448" s="2" t="n"/>
      <c r="AE448" s="2" t="n"/>
      <c r="AF448" s="2" t="n"/>
      <c r="AG448" s="2" t="inlineStr">
        <is>
          <t>Ongoing</t>
        </is>
      </c>
      <c r="AH448" s="2" t="n"/>
      <c r="AI448" s="2" t="n"/>
      <c r="AJ448" s="2" t="n"/>
      <c r="AK448" s="2" t="n"/>
      <c r="AL448" s="2" t="n"/>
      <c r="AM448" s="2" t="n"/>
      <c r="AN448" s="2" t="n"/>
      <c r="AO448" s="2" t="n"/>
      <c r="AP448" s="2" t="n"/>
      <c r="AQ448" s="2" t="n"/>
    </row>
    <row r="449">
      <c r="A449" t="n">
        <v>448</v>
      </c>
      <c r="B449" s="2" t="inlineStr">
        <is>
          <t>Kshitij Gaikwad</t>
        </is>
      </c>
      <c r="C449" s="3" t="n">
        <v>9890941922</v>
      </c>
      <c r="D449" s="2" t="inlineStr">
        <is>
          <t>PROV260611379</t>
        </is>
      </c>
      <c r="E449" s="2" t="inlineStr">
        <is>
          <t>ADYPU</t>
        </is>
      </c>
      <c r="F449" s="2" t="inlineStr">
        <is>
          <t>Yes</t>
        </is>
      </c>
      <c r="G449" s="2" t="n"/>
      <c r="H449" s="2" t="n">
        <v>25</v>
      </c>
      <c r="I449" s="2" t="n"/>
      <c r="J449" s="2" t="n"/>
      <c r="K449" s="2" t="n"/>
      <c r="L449" s="2" t="n"/>
      <c r="M449" s="2" t="n"/>
      <c r="N449" s="2" t="n"/>
      <c r="O449" s="2" t="n"/>
      <c r="P449" s="2" t="n"/>
      <c r="Q449" s="2" t="n"/>
      <c r="R449" s="2" t="n"/>
      <c r="S449" s="2" t="n"/>
      <c r="T449" s="2" t="inlineStr">
        <is>
          <t xml:space="preserve">1/8 : Loan required : 20L, Coapplicant : Father, Father profession : Job ( school peon ), Annual income : 6L , Income tax : No , EWS. </t>
        </is>
      </c>
      <c r="U449" s="2" t="inlineStr">
        <is>
          <t>Yes</t>
        </is>
      </c>
      <c r="V449" s="2" t="inlineStr">
        <is>
          <t>No</t>
        </is>
      </c>
      <c r="W449" s="2" t="inlineStr">
        <is>
          <t>No</t>
        </is>
      </c>
      <c r="X449" s="2" t="inlineStr">
        <is>
          <t>NO</t>
        </is>
      </c>
      <c r="Y449" s="2" t="inlineStr">
        <is>
          <t>No</t>
        </is>
      </c>
      <c r="Z449" s="2" t="inlineStr">
        <is>
          <t>Yes</t>
        </is>
      </c>
      <c r="AA449" s="2" t="inlineStr">
        <is>
          <t>Risk</t>
        </is>
      </c>
      <c r="AB449" s="2" t="inlineStr">
        <is>
          <t>Risk</t>
        </is>
      </c>
      <c r="AC449" s="2" t="n"/>
      <c r="AD449" s="2" t="n"/>
      <c r="AE449" s="2" t="n"/>
      <c r="AF449" s="2" t="n"/>
      <c r="AG449" s="2" t="inlineStr">
        <is>
          <t>Not even started</t>
        </is>
      </c>
      <c r="AH449" s="2" t="n"/>
      <c r="AI449" s="2" t="n"/>
      <c r="AJ449" s="2" t="n"/>
      <c r="AK449" s="2" t="n"/>
      <c r="AL449" s="2" t="n"/>
      <c r="AM449" s="2" t="n"/>
      <c r="AN449" s="2" t="n"/>
      <c r="AO449" s="2" t="n"/>
      <c r="AP449" s="2" t="n"/>
      <c r="AQ449" s="2" t="n"/>
    </row>
    <row r="450">
      <c r="A450" t="n">
        <v>449</v>
      </c>
      <c r="B450" s="2" t="inlineStr">
        <is>
          <t>Himanshu prakash</t>
        </is>
      </c>
      <c r="C450" s="3" t="n">
        <v>9905331707</v>
      </c>
      <c r="D450" s="2" t="inlineStr">
        <is>
          <t>PROV260705372</t>
        </is>
      </c>
      <c r="E450" s="2" t="inlineStr">
        <is>
          <t>SSAHE</t>
        </is>
      </c>
      <c r="F450" s="2" t="inlineStr">
        <is>
          <t>Yes</t>
        </is>
      </c>
      <c r="G450" s="2" t="n"/>
      <c r="H450" s="2" t="n"/>
      <c r="I450" s="2" t="n"/>
      <c r="J450" s="2" t="n"/>
      <c r="K450" s="2" t="n"/>
      <c r="L450" s="2" t="n"/>
      <c r="M450" s="2" t="n"/>
      <c r="N450" s="2" t="n"/>
      <c r="O450" s="2" t="n"/>
      <c r="P450" s="2" t="n"/>
      <c r="Q450" s="2" t="n"/>
      <c r="R450" s="2" t="n"/>
      <c r="S450" s="2" t="n"/>
      <c r="T450" s="2" t="inlineStr">
        <is>
          <t xml:space="preserve">1/8 : Student wants to pay the first sem fees by himself. Loan req : 12L, Coaaplicant : Mother , Coapplicant Income : 7L, ITR filed : Yes , Government teacher. Collateral : Yes. 
suggested student to go with sbi, we'll also help with the loan through Gyan Dhan . </t>
        </is>
      </c>
      <c r="U450" s="2" t="inlineStr">
        <is>
          <t>No</t>
        </is>
      </c>
      <c r="V450" s="2" t="inlineStr">
        <is>
          <t>No</t>
        </is>
      </c>
      <c r="W450" s="2" t="inlineStr">
        <is>
          <t>No</t>
        </is>
      </c>
      <c r="X450" s="2" t="inlineStr">
        <is>
          <t>NO</t>
        </is>
      </c>
      <c r="Y450" s="2" t="inlineStr">
        <is>
          <t>No</t>
        </is>
      </c>
      <c r="Z450" s="2" t="inlineStr">
        <is>
          <t>Yes</t>
        </is>
      </c>
      <c r="AA450" s="2" t="inlineStr">
        <is>
          <t>Control</t>
        </is>
      </c>
      <c r="AB450" s="2" t="inlineStr">
        <is>
          <t>Control</t>
        </is>
      </c>
      <c r="AC450" s="2" t="n"/>
      <c r="AD450" s="2" t="n"/>
      <c r="AE450" s="2" t="n"/>
      <c r="AF450" s="2" t="n"/>
      <c r="AG450" s="2" t="inlineStr">
        <is>
          <t>Not even started</t>
        </is>
      </c>
      <c r="AH450" s="2" t="n"/>
      <c r="AI450" s="2" t="n"/>
      <c r="AJ450" s="2" t="n"/>
      <c r="AK450" s="2" t="n"/>
      <c r="AL450" s="2" t="n"/>
      <c r="AM450" s="2" t="n"/>
      <c r="AN450" s="2" t="n"/>
      <c r="AO450" s="2" t="n"/>
      <c r="AP450" s="2" t="n"/>
      <c r="AQ450" s="2" t="n"/>
    </row>
    <row r="451">
      <c r="A451" t="n">
        <v>450</v>
      </c>
      <c r="B451" s="2" t="inlineStr">
        <is>
          <t>Siddharth Shrivastava</t>
        </is>
      </c>
      <c r="C451" s="3" t="n">
        <v>9860877997</v>
      </c>
      <c r="D451" s="2" t="inlineStr">
        <is>
          <t>PROV260705123</t>
        </is>
      </c>
      <c r="E451" s="2" t="inlineStr">
        <is>
          <t>ADYPU</t>
        </is>
      </c>
      <c r="F451" s="2" t="inlineStr">
        <is>
          <t>Yes</t>
        </is>
      </c>
      <c r="G451" s="2" t="n"/>
      <c r="H451" s="2" t="n"/>
      <c r="I451" s="2" t="n"/>
      <c r="J451" s="2" t="n"/>
      <c r="K451" s="2" t="n"/>
      <c r="L451" s="2" t="n"/>
      <c r="M451" s="2" t="n"/>
      <c r="N451" s="2" t="n"/>
      <c r="O451" s="2" t="n"/>
      <c r="P451" s="2" t="n"/>
      <c r="Q451" s="2" t="n"/>
      <c r="R451" s="2" t="n"/>
      <c r="S451" s="2" t="n"/>
      <c r="T451" s="2" t="inlineStr">
        <is>
          <t>1/8 : Loan req : 10L, Co applicant : FAther, Father's profession : Railway job ( mechanical engineer), Annual Income : 9L, ITR filed : Yes</t>
        </is>
      </c>
      <c r="U451" s="2" t="inlineStr">
        <is>
          <t>Yes</t>
        </is>
      </c>
      <c r="V451" s="2" t="inlineStr">
        <is>
          <t>No</t>
        </is>
      </c>
      <c r="W451" s="2" t="inlineStr">
        <is>
          <t>No</t>
        </is>
      </c>
      <c r="X451" s="2" t="inlineStr">
        <is>
          <t>NO</t>
        </is>
      </c>
      <c r="Y451" s="2" t="inlineStr">
        <is>
          <t>No</t>
        </is>
      </c>
      <c r="Z451" s="2" t="inlineStr">
        <is>
          <t>Yes</t>
        </is>
      </c>
      <c r="AA451" s="2" t="inlineStr">
        <is>
          <t>Control</t>
        </is>
      </c>
      <c r="AB451" s="2" t="inlineStr">
        <is>
          <t>Control</t>
        </is>
      </c>
      <c r="AC451" s="2" t="n"/>
      <c r="AD451" s="2" t="n"/>
      <c r="AE451" s="2" t="n"/>
      <c r="AF451" s="2" t="n"/>
      <c r="AG451" s="2" t="inlineStr">
        <is>
          <t>Not even started</t>
        </is>
      </c>
      <c r="AH451" s="2" t="n"/>
      <c r="AI451" s="2" t="n"/>
      <c r="AJ451" s="2" t="n"/>
      <c r="AK451" s="2" t="n"/>
      <c r="AL451" s="2" t="n"/>
      <c r="AM451" s="2" t="n"/>
      <c r="AN451" s="2" t="n"/>
      <c r="AO451" s="2" t="n"/>
      <c r="AP451" s="2" t="n"/>
      <c r="AQ451" s="2" t="n"/>
    </row>
    <row r="452">
      <c r="A452" t="n">
        <v>451</v>
      </c>
      <c r="B452" s="2" t="inlineStr">
        <is>
          <t>Sudipta Saha</t>
        </is>
      </c>
      <c r="C452" s="3" t="n">
        <v>8474886348</v>
      </c>
      <c r="D452" s="2" t="inlineStr">
        <is>
          <t>PROV260704604</t>
        </is>
      </c>
      <c r="E452" s="2" t="inlineStr">
        <is>
          <t>SSAHE</t>
        </is>
      </c>
      <c r="F452" s="2" t="inlineStr">
        <is>
          <t>Yes</t>
        </is>
      </c>
      <c r="G452" s="2" t="n"/>
      <c r="H452" s="2" t="n"/>
      <c r="I452" s="2" t="n"/>
      <c r="J452" s="2" t="n"/>
      <c r="K452" s="2" t="n"/>
      <c r="L452" s="2" t="n"/>
      <c r="M452" s="2" t="n"/>
      <c r="N452" s="2" t="n"/>
      <c r="O452" s="2" t="n"/>
      <c r="P452" s="2" t="n"/>
      <c r="Q452" s="2" t="n"/>
      <c r="R452" s="2" t="n"/>
      <c r="S452" s="2" t="n"/>
      <c r="T452" s="2" t="inlineStr">
        <is>
          <t>1/8 : Loan req : 10L, rest self funded. Coapplicant : Father ( retired ) ,Annual income : 462000, ITR filed : No, retired teacher. Suggested student to pay themselves the first sem fees and take the loan.
3/8 : Student would be taking loan from SBI. he would be processing 7.5L and rest he'll manage it from his side</t>
        </is>
      </c>
      <c r="U452" s="2" t="inlineStr">
        <is>
          <t>Yes</t>
        </is>
      </c>
      <c r="V452" s="2" t="inlineStr">
        <is>
          <t>No</t>
        </is>
      </c>
      <c r="W452" s="2" t="inlineStr">
        <is>
          <t>No</t>
        </is>
      </c>
      <c r="X452" s="2" t="inlineStr">
        <is>
          <t>NO</t>
        </is>
      </c>
      <c r="Y452" s="2" t="inlineStr">
        <is>
          <t>No</t>
        </is>
      </c>
      <c r="Z452" s="2" t="inlineStr">
        <is>
          <t>Yes</t>
        </is>
      </c>
      <c r="AA452" s="2" t="inlineStr">
        <is>
          <t>Risk</t>
        </is>
      </c>
      <c r="AB452" s="2" t="inlineStr">
        <is>
          <t>Control</t>
        </is>
      </c>
      <c r="AC452" s="2" t="n"/>
      <c r="AD452" s="2" t="n"/>
      <c r="AE452" s="2" t="n"/>
      <c r="AF452" s="2" t="n"/>
      <c r="AG452" s="2" t="inlineStr">
        <is>
          <t>Ongoing</t>
        </is>
      </c>
      <c r="AH452" s="2" t="n"/>
      <c r="AI452" s="2" t="n"/>
      <c r="AJ452" s="2" t="n"/>
      <c r="AK452" s="2" t="n"/>
      <c r="AL452" s="2" t="n"/>
      <c r="AM452" s="2" t="n"/>
      <c r="AN452" s="2" t="n"/>
      <c r="AO452" s="2" t="n"/>
      <c r="AP452" s="2" t="n"/>
      <c r="AQ452" s="2" t="n"/>
    </row>
    <row r="453">
      <c r="A453" t="n">
        <v>452</v>
      </c>
      <c r="B453" s="2" t="inlineStr">
        <is>
          <t>Aryan Kumar</t>
        </is>
      </c>
      <c r="C453" s="3" t="n">
        <v>9472029900</v>
      </c>
      <c r="D453" s="2" t="inlineStr">
        <is>
          <t>PROV260610654</t>
        </is>
      </c>
      <c r="E453" s="2" t="inlineStr">
        <is>
          <t>ADYPU</t>
        </is>
      </c>
      <c r="F453" s="2" t="inlineStr">
        <is>
          <t>No</t>
        </is>
      </c>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c r="AG453" s="2" t="n"/>
      <c r="AH453" s="2" t="n"/>
      <c r="AI453" s="2" t="n"/>
      <c r="AJ453" s="2" t="n"/>
      <c r="AK453" s="2" t="n"/>
      <c r="AL453" s="2" t="n"/>
      <c r="AM453" s="2" t="n"/>
      <c r="AN453" s="2" t="n"/>
      <c r="AO453" s="2" t="n"/>
      <c r="AP453" s="2" t="n"/>
      <c r="AQ453" s="2" t="n"/>
    </row>
    <row r="454">
      <c r="A454" t="n">
        <v>453</v>
      </c>
      <c r="B454" s="2" t="inlineStr">
        <is>
          <t>Anshu Katiyar</t>
        </is>
      </c>
      <c r="C454" s="3" t="n">
        <v>9305842795</v>
      </c>
      <c r="D454" s="2" t="inlineStr">
        <is>
          <t>PROV260705998</t>
        </is>
      </c>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c r="AG454" s="2" t="n"/>
      <c r="AH454" s="2" t="n"/>
      <c r="AI454" s="2" t="n"/>
      <c r="AJ454" s="2" t="n"/>
      <c r="AK454" s="2" t="n"/>
      <c r="AL454" s="2" t="n"/>
      <c r="AM454" s="2" t="n"/>
      <c r="AN454" s="2" t="n"/>
      <c r="AO454" s="2" t="n"/>
      <c r="AP454" s="2" t="n"/>
      <c r="AQ454" s="2" t="n"/>
    </row>
    <row r="455">
      <c r="A455" t="n">
        <v>454</v>
      </c>
      <c r="B455" s="2" t="inlineStr">
        <is>
          <t>Anushree Kumbar</t>
        </is>
      </c>
      <c r="C455" s="3" t="n">
        <v>9845581355</v>
      </c>
      <c r="D455" s="2" t="inlineStr">
        <is>
          <t>PROV260503557</t>
        </is>
      </c>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c r="AG455" s="2" t="n"/>
      <c r="AH455" s="2" t="n"/>
      <c r="AI455" s="2" t="n"/>
      <c r="AJ455" s="2" t="n"/>
      <c r="AK455" s="2" t="n"/>
      <c r="AL455" s="2" t="n"/>
      <c r="AM455" s="2" t="n"/>
      <c r="AN455" s="2" t="n"/>
      <c r="AO455" s="2" t="n"/>
      <c r="AP455" s="2" t="n"/>
      <c r="AQ455" s="2" t="n"/>
    </row>
    <row r="456">
      <c r="A456" t="n">
        <v>455</v>
      </c>
      <c r="B456" s="2" t="inlineStr">
        <is>
          <t>Deepanshu Patel</t>
        </is>
      </c>
      <c r="C456" s="3" t="n">
        <v>6398128416</v>
      </c>
      <c r="D456" s="2" t="inlineStr">
        <is>
          <t>PROV260608407</t>
        </is>
      </c>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c r="AG456" s="2" t="n"/>
      <c r="AH456" s="2" t="n"/>
      <c r="AI456" s="2" t="n"/>
      <c r="AJ456" s="2" t="n"/>
      <c r="AK456" s="2" t="n"/>
      <c r="AL456" s="2" t="n"/>
      <c r="AM456" s="2" t="n"/>
      <c r="AN456" s="2" t="n"/>
      <c r="AO456" s="2" t="n"/>
      <c r="AP456" s="2" t="n"/>
      <c r="AQ456" s="2" t="n"/>
    </row>
    <row r="457">
      <c r="A457" t="n">
        <v>456</v>
      </c>
      <c r="B457" s="2" t="inlineStr">
        <is>
          <t>Daksh Prajapati</t>
        </is>
      </c>
      <c r="C457" s="3" t="n">
        <v>6006783298</v>
      </c>
      <c r="D457" s="2" t="inlineStr">
        <is>
          <t>PROV260610674</t>
        </is>
      </c>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c r="AG457" s="2" t="n"/>
      <c r="AH457" s="2" t="n"/>
      <c r="AI457" s="2" t="n"/>
      <c r="AJ457" s="2" t="n"/>
      <c r="AK457" s="2" t="n"/>
      <c r="AL457" s="2" t="n"/>
      <c r="AM457" s="2" t="n"/>
      <c r="AN457" s="2" t="n"/>
      <c r="AO457" s="2" t="n"/>
      <c r="AP457" s="2" t="n"/>
      <c r="AQ457" s="2" t="n"/>
    </row>
    <row r="458">
      <c r="A458" t="n">
        <v>457</v>
      </c>
      <c r="B458" s="2" t="inlineStr">
        <is>
          <t>Mukul Pandey</t>
        </is>
      </c>
      <c r="C458" s="3" t="n">
        <v>9259517290</v>
      </c>
      <c r="D458" s="2" t="inlineStr">
        <is>
          <t>PROV260704928</t>
        </is>
      </c>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c r="AG458" s="2" t="n"/>
      <c r="AH458" s="2" t="n"/>
      <c r="AI458" s="2" t="n"/>
      <c r="AJ458" s="2" t="n"/>
      <c r="AK458" s="2" t="n"/>
      <c r="AL458" s="2" t="n"/>
      <c r="AM458" s="2" t="n"/>
      <c r="AN458" s="2" t="n"/>
      <c r="AO458" s="2" t="n"/>
      <c r="AP458" s="2" t="n"/>
      <c r="AQ458" s="2" t="n"/>
    </row>
    <row r="459">
      <c r="A459" t="n">
        <v>458</v>
      </c>
      <c r="B459" s="2" t="inlineStr">
        <is>
          <t>Nikhil Pawar</t>
        </is>
      </c>
      <c r="C459" s="3" t="n">
        <v>8767029708</v>
      </c>
      <c r="D459" s="2" t="inlineStr">
        <is>
          <t>PROV260704957</t>
        </is>
      </c>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c r="AG459" s="2" t="n"/>
      <c r="AH459" s="2" t="n"/>
      <c r="AI459" s="2" t="n"/>
      <c r="AJ459" s="2" t="n"/>
      <c r="AK459" s="2" t="n"/>
      <c r="AL459" s="2" t="n"/>
      <c r="AM459" s="2" t="n"/>
      <c r="AN459" s="2" t="n"/>
      <c r="AO459" s="2" t="n"/>
      <c r="AP459" s="2" t="n"/>
      <c r="AQ459" s="2" t="n"/>
    </row>
    <row r="460">
      <c r="A460" t="n">
        <v>459</v>
      </c>
      <c r="B460" s="2" t="inlineStr">
        <is>
          <t>Ayush Kumar Gupta</t>
        </is>
      </c>
      <c r="C460" s="3" t="n">
        <v>7044020031</v>
      </c>
      <c r="D460" s="2" t="inlineStr">
        <is>
          <t>PROV260704367</t>
        </is>
      </c>
      <c r="E460" s="2" t="n"/>
      <c r="F460" s="2" t="inlineStr">
        <is>
          <t>No</t>
        </is>
      </c>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c r="AG460" s="2" t="n"/>
      <c r="AH460" s="2" t="n"/>
      <c r="AI460" s="2" t="n"/>
      <c r="AJ460" s="2" t="n"/>
      <c r="AK460" s="2" t="n"/>
      <c r="AL460" s="2" t="n"/>
      <c r="AM460" s="2" t="n"/>
      <c r="AN460" s="2" t="n"/>
      <c r="AO460" s="2" t="n"/>
      <c r="AP460" s="2" t="n"/>
      <c r="AQ460" s="2" t="n"/>
    </row>
    <row r="461">
      <c r="A461" t="n">
        <v>460</v>
      </c>
      <c r="B461" s="2" t="inlineStr">
        <is>
          <t>Tathagata Mondal</t>
        </is>
      </c>
      <c r="C461" s="3" t="n">
        <v>8293454107</v>
      </c>
      <c r="D461" s="2" t="inlineStr">
        <is>
          <t>PROV260704726</t>
        </is>
      </c>
      <c r="E461" s="2" t="n"/>
      <c r="F461" s="2" t="inlineStr">
        <is>
          <t>No</t>
        </is>
      </c>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c r="AG461" s="2" t="n"/>
      <c r="AH461" s="2" t="n"/>
      <c r="AI461" s="2" t="n"/>
      <c r="AJ461" s="2" t="n"/>
      <c r="AK461" s="2" t="n"/>
      <c r="AL461" s="2" t="n"/>
      <c r="AM461" s="2" t="n"/>
      <c r="AN461" s="2" t="n"/>
      <c r="AO461" s="2" t="n"/>
      <c r="AP461" s="2" t="n"/>
      <c r="AQ461" s="2" t="n"/>
    </row>
    <row r="462">
      <c r="A462" t="n">
        <v>461</v>
      </c>
      <c r="B462" s="2" t="inlineStr">
        <is>
          <t>Nitin yadav</t>
        </is>
      </c>
      <c r="C462" s="3" t="n">
        <v>7052436560</v>
      </c>
      <c r="D462" s="2" t="inlineStr">
        <is>
          <t>PROV260704013</t>
        </is>
      </c>
      <c r="E462" s="2" t="n"/>
      <c r="F462" s="2" t="inlineStr">
        <is>
          <t>No</t>
        </is>
      </c>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c r="AG462" s="2" t="n"/>
      <c r="AH462" s="2" t="n"/>
      <c r="AI462" s="2" t="n"/>
      <c r="AJ462" s="2" t="n"/>
      <c r="AK462" s="2" t="n"/>
      <c r="AL462" s="2" t="n"/>
      <c r="AM462" s="2" t="n"/>
      <c r="AN462" s="2" t="n"/>
      <c r="AO462" s="2" t="n"/>
      <c r="AP462" s="2" t="n"/>
      <c r="AQ462" s="2" t="n"/>
    </row>
    <row r="463">
      <c r="A463" t="n">
        <v>462</v>
      </c>
      <c r="B463" s="2" t="inlineStr">
        <is>
          <t>Harsh</t>
        </is>
      </c>
      <c r="C463" s="3" t="n">
        <v>8868086418</v>
      </c>
      <c r="D463" s="2" t="inlineStr">
        <is>
          <t>PROV260503679</t>
        </is>
      </c>
      <c r="E463" s="2" t="n"/>
      <c r="F463" s="2" t="inlineStr">
        <is>
          <t>No</t>
        </is>
      </c>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c r="AG463" s="2" t="n"/>
      <c r="AH463" s="2" t="n"/>
      <c r="AI463" s="2" t="n"/>
      <c r="AJ463" s="2" t="n"/>
      <c r="AK463" s="2" t="n"/>
      <c r="AL463" s="2" t="n"/>
      <c r="AM463" s="2" t="n"/>
      <c r="AN463" s="2" t="n"/>
      <c r="AO463" s="2" t="n"/>
      <c r="AP463" s="2" t="n"/>
      <c r="AQ463" s="2" t="n"/>
    </row>
    <row r="464">
      <c r="A464" t="n">
        <v>463</v>
      </c>
      <c r="B464" s="2" t="inlineStr">
        <is>
          <t>Lokshit tuteja</t>
        </is>
      </c>
      <c r="C464" s="3" t="n">
        <v>7015627422</v>
      </c>
      <c r="D464" s="2" t="inlineStr">
        <is>
          <t>PROV260706217</t>
        </is>
      </c>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c r="AG464" s="2" t="n"/>
      <c r="AH464" s="2" t="n"/>
      <c r="AI464" s="2" t="n"/>
      <c r="AJ464" s="2" t="n"/>
      <c r="AK464" s="2" t="n"/>
      <c r="AL464" s="2" t="n"/>
      <c r="AM464" s="2" t="n"/>
      <c r="AN464" s="2" t="n"/>
      <c r="AO464" s="2" t="n"/>
      <c r="AP464" s="2" t="n"/>
      <c r="AQ464" s="2" t="n"/>
    </row>
    <row r="465">
      <c r="A465" t="n">
        <v>464</v>
      </c>
      <c r="B465" s="2" t="inlineStr">
        <is>
          <t>Md Faizan Raza</t>
        </is>
      </c>
      <c r="C465" s="3" t="n">
        <v>8084120211</v>
      </c>
      <c r="D465" s="2" t="inlineStr">
        <is>
          <t>PROV260705704</t>
        </is>
      </c>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c r="AG465" s="2" t="n"/>
      <c r="AH465" s="2" t="n"/>
      <c r="AI465" s="2" t="n"/>
      <c r="AJ465" s="2" t="n"/>
      <c r="AK465" s="2" t="n"/>
      <c r="AL465" s="2" t="n"/>
      <c r="AM465" s="2" t="n"/>
      <c r="AN465" s="2" t="n"/>
      <c r="AO465" s="2" t="n"/>
      <c r="AP465" s="2" t="n"/>
      <c r="AQ465" s="2" t="n"/>
    </row>
    <row r="466">
      <c r="A466" t="n">
        <v>465</v>
      </c>
      <c r="B466" s="2" t="inlineStr">
        <is>
          <t>Karri Rama Satyanarayana Reddy</t>
        </is>
      </c>
      <c r="C466" s="3" t="n">
        <v>9010104343</v>
      </c>
      <c r="D466" s="2" t="inlineStr">
        <is>
          <t>PROV260614955</t>
        </is>
      </c>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c r="AG466" s="2" t="n"/>
      <c r="AH466" s="2" t="n"/>
      <c r="AI466" s="2" t="n"/>
      <c r="AJ466" s="2" t="n"/>
      <c r="AK466" s="2" t="n"/>
      <c r="AL466" s="2" t="n"/>
      <c r="AM466" s="2" t="n"/>
      <c r="AN466" s="2" t="n"/>
      <c r="AO466" s="2" t="n"/>
      <c r="AP466" s="2" t="n"/>
      <c r="AQ466" s="2" t="n"/>
    </row>
    <row r="467">
      <c r="A467" t="n">
        <v>466</v>
      </c>
      <c r="B467" s="2" t="inlineStr">
        <is>
          <t>SEIMON NAMA</t>
        </is>
      </c>
      <c r="C467" s="3" t="n">
        <v>8005645557</v>
      </c>
      <c r="D467" s="2" t="inlineStr">
        <is>
          <t>PROV260611081</t>
        </is>
      </c>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c r="AG467" s="2" t="n"/>
      <c r="AH467" s="2" t="n"/>
      <c r="AI467" s="2" t="n"/>
      <c r="AJ467" s="2" t="n"/>
      <c r="AK467" s="2" t="n"/>
      <c r="AL467" s="2" t="n"/>
      <c r="AM467" s="2" t="n"/>
      <c r="AN467" s="2" t="n"/>
      <c r="AO467" s="2" t="n"/>
      <c r="AP467" s="2" t="n"/>
      <c r="AQ467" s="2" t="n"/>
    </row>
    <row r="468">
      <c r="A468" t="n">
        <v>467</v>
      </c>
      <c r="B468" s="2" t="inlineStr">
        <is>
          <t>RJ Pandit</t>
        </is>
      </c>
      <c r="C468" s="3" t="n">
        <v>9546609994</v>
      </c>
      <c r="D468" s="2" t="inlineStr">
        <is>
          <t>PROV260615096</t>
        </is>
      </c>
      <c r="E468" s="2" t="n"/>
      <c r="F468" s="2" t="inlineStr">
        <is>
          <t>Yes</t>
        </is>
      </c>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c r="AG468" s="2" t="n"/>
      <c r="AH468" s="2" t="n"/>
      <c r="AI468" s="2" t="n"/>
      <c r="AJ468" s="2" t="n"/>
      <c r="AK468" s="2" t="n"/>
      <c r="AL468" s="2" t="n"/>
      <c r="AM468" s="2" t="n"/>
      <c r="AN468" s="2" t="n"/>
      <c r="AO468" s="2" t="n"/>
      <c r="AP468" s="2" t="n"/>
      <c r="AQ468" s="2" t="n"/>
    </row>
    <row r="469">
      <c r="A469" t="n">
        <v>468</v>
      </c>
      <c r="B469" s="2" t="inlineStr">
        <is>
          <t>Lucky sharma</t>
        </is>
      </c>
      <c r="C469" s="3" t="n">
        <v>9410639976</v>
      </c>
      <c r="D469" s="2" t="inlineStr">
        <is>
          <t>PROV260706261</t>
        </is>
      </c>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c r="AG469" s="2" t="n"/>
      <c r="AH469" s="2" t="n"/>
      <c r="AI469" s="2" t="n"/>
      <c r="AJ469" s="2" t="n"/>
      <c r="AK469" s="2" t="n"/>
      <c r="AL469" s="2" t="n"/>
      <c r="AM469" s="2" t="n"/>
      <c r="AN469" s="2" t="n"/>
      <c r="AO469" s="2" t="n"/>
      <c r="AP469" s="2" t="n"/>
      <c r="AQ469" s="2" t="n"/>
    </row>
    <row r="470">
      <c r="A470" t="n">
        <v>469</v>
      </c>
      <c r="B470" s="2" t="inlineStr">
        <is>
          <t>Hardik jain</t>
        </is>
      </c>
      <c r="C470" s="3" t="n">
        <v>8370001837</v>
      </c>
      <c r="D470" s="2" t="inlineStr">
        <is>
          <t>PROV260702730</t>
        </is>
      </c>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c r="AG470" s="2" t="n"/>
      <c r="AH470" s="2" t="n"/>
      <c r="AI470" s="2" t="n"/>
      <c r="AJ470" s="2" t="n"/>
      <c r="AK470" s="2" t="n"/>
      <c r="AL470" s="2" t="n"/>
      <c r="AM470" s="2" t="n"/>
      <c r="AN470" s="2" t="n"/>
      <c r="AO470" s="2" t="n"/>
      <c r="AP470" s="2" t="n"/>
      <c r="AQ470" s="2" t="n"/>
    </row>
    <row r="471">
      <c r="A471" t="n">
        <v>470</v>
      </c>
      <c r="B471" s="2" t="inlineStr">
        <is>
          <t>Harmandeep sharma</t>
        </is>
      </c>
      <c r="C471" s="3" t="n">
        <v>9872782752</v>
      </c>
      <c r="D471" s="2" t="inlineStr">
        <is>
          <t>PROV260705131</t>
        </is>
      </c>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c r="AG471" s="2" t="n"/>
      <c r="AH471" s="2" t="n"/>
      <c r="AI471" s="2" t="n"/>
      <c r="AJ471" s="2" t="n"/>
      <c r="AK471" s="2" t="n"/>
      <c r="AL471" s="2" t="n"/>
      <c r="AM471" s="2" t="n"/>
      <c r="AN471" s="2" t="n"/>
      <c r="AO471" s="2" t="n"/>
      <c r="AP471" s="2" t="n"/>
      <c r="AQ471" s="2" t="n"/>
    </row>
    <row r="472">
      <c r="A472" t="n">
        <v>471</v>
      </c>
      <c r="B472" s="2" t="inlineStr">
        <is>
          <t>saurabh kumar</t>
        </is>
      </c>
      <c r="C472" s="3" t="n">
        <v>7678645312</v>
      </c>
      <c r="D472" s="2" t="inlineStr">
        <is>
          <t>PROV260708622</t>
        </is>
      </c>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c r="AG472" s="2" t="n"/>
      <c r="AH472" s="2" t="n"/>
      <c r="AI472" s="2" t="n"/>
      <c r="AJ472" s="2" t="n"/>
      <c r="AK472" s="2" t="n"/>
      <c r="AL472" s="2" t="n"/>
      <c r="AM472" s="2" t="n"/>
      <c r="AN472" s="2" t="n"/>
      <c r="AO472" s="2" t="n"/>
      <c r="AP472" s="2" t="n"/>
      <c r="AQ472" s="2" t="n"/>
    </row>
    <row r="473">
      <c r="A473" t="n">
        <v>472</v>
      </c>
      <c r="B473" s="2" t="inlineStr">
        <is>
          <t>Prajwal Hebbalkar</t>
        </is>
      </c>
      <c r="C473" s="3" t="n">
        <v>6360428084</v>
      </c>
      <c r="D473" s="2" t="inlineStr">
        <is>
          <t>PROV260706851</t>
        </is>
      </c>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c r="AG473" s="2" t="n"/>
      <c r="AH473" s="2" t="n"/>
      <c r="AI473" s="2" t="n"/>
      <c r="AJ473" s="2" t="n"/>
      <c r="AK473" s="2" t="n"/>
      <c r="AL473" s="2" t="n"/>
      <c r="AM473" s="2" t="n"/>
      <c r="AN473" s="2" t="n"/>
      <c r="AO473" s="2" t="n"/>
      <c r="AP473" s="2" t="n"/>
      <c r="AQ473" s="2" t="n"/>
    </row>
    <row r="474">
      <c r="A474" t="n">
        <v>473</v>
      </c>
      <c r="B474" s="2" t="inlineStr">
        <is>
          <t>ADITIYI SHAIL</t>
        </is>
      </c>
      <c r="C474" s="3" t="n">
        <v>8002609568</v>
      </c>
      <c r="D474" s="2" t="inlineStr">
        <is>
          <t>PROV260702445</t>
        </is>
      </c>
      <c r="E474" s="2" t="n"/>
      <c r="F474" s="2" t="inlineStr">
        <is>
          <t>Yes</t>
        </is>
      </c>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c r="AG474" s="2" t="n"/>
      <c r="AH474" s="2" t="n"/>
      <c r="AI474" s="2" t="n"/>
      <c r="AJ474" s="2" t="n"/>
      <c r="AK474" s="2" t="n"/>
      <c r="AL474" s="2" t="n"/>
      <c r="AM474" s="2" t="n"/>
      <c r="AN474" s="2" t="n"/>
      <c r="AO474" s="2" t="n"/>
      <c r="AP474" s="2" t="n"/>
      <c r="AQ474" s="2" t="n"/>
    </row>
    <row r="475">
      <c r="A475" t="n">
        <v>474</v>
      </c>
      <c r="B475" s="2" t="inlineStr">
        <is>
          <t>Rohit Choudhary</t>
        </is>
      </c>
      <c r="C475" s="3" t="n">
        <v>7387566758</v>
      </c>
      <c r="D475" s="2" t="inlineStr">
        <is>
          <t>PROV260603811</t>
        </is>
      </c>
      <c r="E475" s="2" t="n"/>
      <c r="F475" s="2" t="inlineStr">
        <is>
          <t>No</t>
        </is>
      </c>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c r="AG475" s="2" t="n"/>
      <c r="AH475" s="2" t="n"/>
      <c r="AI475" s="2" t="n"/>
      <c r="AJ475" s="2" t="n"/>
      <c r="AK475" s="2" t="n"/>
      <c r="AL475" s="2" t="n"/>
      <c r="AM475" s="2" t="n"/>
      <c r="AN475" s="2" t="n"/>
      <c r="AO475" s="2" t="n"/>
      <c r="AP475" s="2" t="n"/>
      <c r="AQ475" s="2" t="n"/>
    </row>
    <row r="476">
      <c r="A476" t="n">
        <v>475</v>
      </c>
      <c r="B476" s="2" t="inlineStr">
        <is>
          <t>Bhavish Kaul</t>
        </is>
      </c>
      <c r="C476" s="3" t="n">
        <v>8899414482</v>
      </c>
      <c r="D476" s="2" t="inlineStr">
        <is>
          <t>PROV260705301</t>
        </is>
      </c>
      <c r="E476" s="2" t="n"/>
      <c r="F476" s="2" t="inlineStr">
        <is>
          <t>No</t>
        </is>
      </c>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c r="AG476" s="2" t="n"/>
      <c r="AH476" s="2" t="n"/>
      <c r="AI476" s="2" t="n"/>
      <c r="AJ476" s="2" t="n"/>
      <c r="AK476" s="2" t="n"/>
      <c r="AL476" s="2" t="n"/>
      <c r="AM476" s="2" t="n"/>
      <c r="AN476" s="2" t="n"/>
      <c r="AO476" s="2" t="n"/>
      <c r="AP476" s="2" t="n"/>
      <c r="AQ476" s="2" t="n"/>
    </row>
    <row r="477">
      <c r="A477" t="n">
        <v>476</v>
      </c>
      <c r="B477" s="2" t="inlineStr">
        <is>
          <t>Shrey Sharma</t>
        </is>
      </c>
      <c r="C477" s="3" t="n">
        <v>6306596191</v>
      </c>
      <c r="D477" s="2" t="inlineStr">
        <is>
          <t>PROV260701617</t>
        </is>
      </c>
      <c r="E477" s="2" t="n"/>
      <c r="F477" s="2" t="inlineStr">
        <is>
          <t>Yes</t>
        </is>
      </c>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c r="AG477" s="2" t="n"/>
      <c r="AH477" s="2" t="n"/>
      <c r="AI477" s="2" t="n"/>
      <c r="AJ477" s="2" t="n"/>
      <c r="AK477" s="2" t="n"/>
      <c r="AL477" s="2" t="n"/>
      <c r="AM477" s="2" t="n"/>
      <c r="AN477" s="2" t="n"/>
      <c r="AO477" s="2" t="n"/>
      <c r="AP477" s="2" t="n"/>
      <c r="AQ477" s="2" t="n"/>
    </row>
    <row r="478">
      <c r="A478" t="n">
        <v>477</v>
      </c>
      <c r="B478" s="2" t="inlineStr">
        <is>
          <t>Anjali Gupta</t>
        </is>
      </c>
      <c r="C478" s="3" t="n">
        <v>9782864385</v>
      </c>
      <c r="D478" s="2" t="inlineStr">
        <is>
          <t>PROV260706036</t>
        </is>
      </c>
      <c r="E478" s="2" t="n"/>
      <c r="F478" s="2" t="inlineStr">
        <is>
          <t>Yes</t>
        </is>
      </c>
      <c r="G478" s="2" t="n"/>
      <c r="H478" s="2" t="n"/>
      <c r="I478" s="2" t="n"/>
      <c r="J478" s="2" t="n"/>
      <c r="K478" s="2" t="n"/>
      <c r="L478" s="2" t="n"/>
      <c r="M478" s="2" t="n"/>
      <c r="N478" s="2" t="n"/>
      <c r="O478" s="2" t="n"/>
      <c r="P478" s="2" t="n"/>
      <c r="Q478" s="2" t="n"/>
      <c r="R478" s="2" t="n"/>
      <c r="S478" s="2" t="n"/>
      <c r="T478" s="2" t="inlineStr">
        <is>
          <t>31/07/26, ~Anjali: Anjali Gupta                                                                                                                                                                                Email - anjaligupta0564@gmail.com                                                                                            mobile-9782864385                                                                                                                               Coapplicant name - Dinesh kumar gupta                                                                                                       Realtionship - Father
 Anual income -645000                                                                                                                            Bussienes</t>
        </is>
      </c>
      <c r="U478" s="2" t="n"/>
      <c r="V478" s="2" t="n"/>
      <c r="W478" s="2" t="n"/>
      <c r="X478" s="2" t="n"/>
      <c r="Y478" s="2" t="n"/>
      <c r="Z478" s="2" t="n"/>
      <c r="AA478" s="2" t="n"/>
      <c r="AB478" s="2" t="n"/>
      <c r="AC478" s="2" t="n"/>
      <c r="AD478" s="2" t="n"/>
      <c r="AE478" s="2" t="n"/>
      <c r="AF478" s="2" t="n"/>
      <c r="AG478" s="2" t="n"/>
      <c r="AH478" s="2" t="n"/>
      <c r="AI478" s="2" t="n"/>
      <c r="AJ478" s="2" t="n"/>
      <c r="AK478" s="2" t="n"/>
      <c r="AL478" s="2" t="n"/>
      <c r="AM478" s="2" t="n"/>
      <c r="AN478" s="2" t="n"/>
      <c r="AO478" s="2" t="n"/>
      <c r="AP478" s="2" t="n"/>
      <c r="AQ478" s="2" t="n"/>
    </row>
    <row r="479">
      <c r="A479" t="n">
        <v>478</v>
      </c>
      <c r="B479" s="2" t="inlineStr">
        <is>
          <t>PRIYANSHU KUMAR SINGH</t>
        </is>
      </c>
      <c r="C479" s="3" t="n">
        <v>6205168630</v>
      </c>
      <c r="D479" s="2" t="inlineStr">
        <is>
          <t>PROV260706294</t>
        </is>
      </c>
      <c r="E479" s="2" t="n"/>
      <c r="F479" s="2" t="inlineStr">
        <is>
          <t>Yes</t>
        </is>
      </c>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c r="AG479" s="2" t="n"/>
      <c r="AH479" s="2" t="n"/>
      <c r="AI479" s="2" t="n"/>
      <c r="AJ479" s="2" t="n"/>
      <c r="AK479" s="2" t="n"/>
      <c r="AL479" s="2" t="n"/>
      <c r="AM479" s="2" t="n"/>
      <c r="AN479" s="2" t="n"/>
      <c r="AO479" s="2" t="n"/>
      <c r="AP479" s="2" t="n"/>
      <c r="AQ479" s="2" t="n"/>
    </row>
    <row r="480">
      <c r="A480" t="n">
        <v>479</v>
      </c>
      <c r="B480" s="2" t="inlineStr">
        <is>
          <t>lakshya Kumar</t>
        </is>
      </c>
      <c r="C480" s="3" t="n">
        <v>9801193443</v>
      </c>
      <c r="D480" s="2" t="inlineStr">
        <is>
          <t>PROV260506397</t>
        </is>
      </c>
      <c r="E480" s="2" t="n"/>
      <c r="F480" s="2" t="inlineStr">
        <is>
          <t>Yes</t>
        </is>
      </c>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c r="AG480" s="2" t="n"/>
      <c r="AH480" s="2" t="n"/>
      <c r="AI480" s="2" t="n"/>
      <c r="AJ480" s="2" t="n"/>
      <c r="AK480" s="2" t="n"/>
      <c r="AL480" s="2" t="n"/>
      <c r="AM480" s="2" t="n"/>
      <c r="AN480" s="2" t="n"/>
      <c r="AO480" s="2" t="n"/>
      <c r="AP480" s="2" t="n"/>
      <c r="AQ480" s="2" t="n"/>
    </row>
    <row r="481">
      <c r="A481" t="n">
        <v>480</v>
      </c>
      <c r="B481" s="2" t="inlineStr">
        <is>
          <t>Raj Yadav</t>
        </is>
      </c>
      <c r="C481" s="3" t="n">
        <v>9981502364</v>
      </c>
      <c r="D481" s="2" t="inlineStr">
        <is>
          <t>PROV260705798</t>
        </is>
      </c>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c r="AG481" s="2" t="n"/>
      <c r="AH481" s="2" t="n"/>
      <c r="AI481" s="2" t="n"/>
      <c r="AJ481" s="2" t="n"/>
      <c r="AK481" s="2" t="n"/>
      <c r="AL481" s="2" t="n"/>
      <c r="AM481" s="2" t="n"/>
      <c r="AN481" s="2" t="n"/>
      <c r="AO481" s="2" t="n"/>
      <c r="AP481" s="2" t="n"/>
      <c r="AQ481" s="2" t="n"/>
    </row>
    <row r="482">
      <c r="A482" t="n">
        <v>481</v>
      </c>
      <c r="B482" s="2" t="inlineStr">
        <is>
          <t>Anshika Vashisth</t>
        </is>
      </c>
      <c r="C482" s="3" t="n">
        <v>7805800168</v>
      </c>
      <c r="D482" s="2" t="inlineStr">
        <is>
          <t>PROV260705597</t>
        </is>
      </c>
      <c r="E482" s="2" t="n"/>
      <c r="F482" s="2" t="n"/>
      <c r="G482" s="2" t="n"/>
      <c r="H482" s="2" t="n"/>
      <c r="I482" s="2" t="n"/>
      <c r="J482" s="2" t="n"/>
      <c r="K482" s="2" t="n"/>
      <c r="L482" s="2" t="n"/>
      <c r="M482" s="2" t="n"/>
      <c r="N482" s="2" t="n"/>
      <c r="O482" s="2" t="n"/>
      <c r="P482" s="2" t="n"/>
      <c r="Q482" s="2" t="n"/>
      <c r="R482" s="2" t="n"/>
      <c r="S482" s="2" t="n"/>
      <c r="T482" s="2" t="n"/>
      <c r="U482" s="2" t="inlineStr">
        <is>
          <t>Refund</t>
        </is>
      </c>
      <c r="V482" s="2" t="n"/>
      <c r="W482" s="2" t="n"/>
      <c r="X482" s="2" t="n"/>
      <c r="Y482" s="2" t="n"/>
      <c r="Z482" s="2" t="n"/>
      <c r="AA482" s="2" t="inlineStr">
        <is>
          <t>Refund case</t>
        </is>
      </c>
      <c r="AB482" s="2" t="inlineStr">
        <is>
          <t>Refund case</t>
        </is>
      </c>
      <c r="AC482" s="2" t="n"/>
      <c r="AD482" s="2" t="n"/>
      <c r="AE482" s="2" t="n"/>
      <c r="AF482" s="2" t="n"/>
      <c r="AG482" s="2" t="inlineStr">
        <is>
          <t>Not required</t>
        </is>
      </c>
      <c r="AH482" s="2" t="n"/>
      <c r="AI482" s="2" t="n"/>
      <c r="AJ482" s="2" t="n"/>
      <c r="AK482" s="2" t="n"/>
      <c r="AL482" s="2" t="n"/>
      <c r="AM482" s="2" t="n"/>
      <c r="AN482" s="2" t="n"/>
      <c r="AO482" s="2" t="n"/>
      <c r="AP482" s="2" t="n"/>
      <c r="AQ482" s="2" t="n"/>
    </row>
    <row r="483">
      <c r="A483" t="n">
        <v>482</v>
      </c>
      <c r="B483" s="2" t="inlineStr">
        <is>
          <t>Chetan Sudhir Jaiswal</t>
        </is>
      </c>
      <c r="C483" s="3" t="n">
        <v>7719914542</v>
      </c>
      <c r="D483" s="2" t="inlineStr">
        <is>
          <t>PROV260703896</t>
        </is>
      </c>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c r="AG483" s="2" t="n"/>
      <c r="AH483" s="2" t="n"/>
      <c r="AI483" s="2" t="n"/>
      <c r="AJ483" s="2" t="n"/>
      <c r="AK483" s="2" t="n"/>
      <c r="AL483" s="2" t="n"/>
      <c r="AM483" s="2" t="n"/>
      <c r="AN483" s="2" t="n"/>
      <c r="AO483" s="2" t="n"/>
      <c r="AP483" s="2" t="n"/>
      <c r="AQ483" s="2" t="n"/>
    </row>
    <row r="484">
      <c r="A484" t="n">
        <v>483</v>
      </c>
      <c r="B484" s="2" t="inlineStr">
        <is>
          <t>ADITYA TUKARAM GAWADE</t>
        </is>
      </c>
      <c r="C484" s="3" t="n">
        <v>8766829311</v>
      </c>
      <c r="D484" s="2" t="inlineStr">
        <is>
          <t>PROV260706455</t>
        </is>
      </c>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c r="AG484" s="2" t="n"/>
      <c r="AH484" s="2" t="n"/>
      <c r="AI484" s="2" t="n"/>
      <c r="AJ484" s="2" t="n"/>
      <c r="AK484" s="2" t="n"/>
      <c r="AL484" s="2" t="n"/>
      <c r="AM484" s="2" t="n"/>
      <c r="AN484" s="2" t="n"/>
      <c r="AO484" s="2" t="n"/>
      <c r="AP484" s="2" t="n"/>
      <c r="AQ484" s="2" t="n"/>
    </row>
    <row r="485">
      <c r="A485" t="n">
        <v>484</v>
      </c>
      <c r="B485" s="2" t="inlineStr">
        <is>
          <t>ishan ugale</t>
        </is>
      </c>
      <c r="C485" s="3" t="n">
        <v>8623009658</v>
      </c>
      <c r="D485" s="2" t="inlineStr">
        <is>
          <t>PROV1000000328</t>
        </is>
      </c>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c r="AG485" s="2" t="n"/>
      <c r="AH485" s="2" t="n"/>
      <c r="AI485" s="2" t="n"/>
      <c r="AJ485" s="2" t="n"/>
      <c r="AK485" s="2" t="n"/>
      <c r="AL485" s="2" t="n"/>
      <c r="AM485" s="2" t="n"/>
      <c r="AN485" s="2" t="n"/>
      <c r="AO485" s="2" t="n"/>
      <c r="AP485" s="2" t="n"/>
      <c r="AQ485" s="2" t="n"/>
    </row>
    <row r="486">
      <c r="A486" t="n">
        <v>485</v>
      </c>
      <c r="B486" s="2" t="inlineStr">
        <is>
          <t>shaikh musaddiq shaikh quayyum</t>
        </is>
      </c>
      <c r="C486" s="3" t="n">
        <v>7972701095</v>
      </c>
      <c r="D486" s="2" t="inlineStr">
        <is>
          <t>PROV260706821</t>
        </is>
      </c>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c r="AG486" s="2" t="n"/>
      <c r="AH486" s="2" t="n"/>
      <c r="AI486" s="2" t="n"/>
      <c r="AJ486" s="2" t="n"/>
      <c r="AK486" s="2" t="n"/>
      <c r="AL486" s="2" t="n"/>
      <c r="AM486" s="2" t="n"/>
      <c r="AN486" s="2" t="n"/>
      <c r="AO486" s="2" t="n"/>
      <c r="AP486" s="2" t="n"/>
      <c r="AQ486" s="2" t="n"/>
    </row>
    <row r="487">
      <c r="A487" t="n">
        <v>486</v>
      </c>
      <c r="B487" s="2" t="inlineStr">
        <is>
          <t>Sahil Balasaheb Shevkar</t>
        </is>
      </c>
      <c r="C487" s="3" t="n">
        <v>9623855939</v>
      </c>
      <c r="D487" s="2" t="inlineStr">
        <is>
          <t>PROV260703817</t>
        </is>
      </c>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c r="AG487" s="2" t="n"/>
      <c r="AH487" s="2" t="n"/>
      <c r="AI487" s="2" t="n"/>
      <c r="AJ487" s="2" t="n"/>
      <c r="AK487" s="2" t="n"/>
      <c r="AL487" s="2" t="n"/>
      <c r="AM487" s="2" t="n"/>
      <c r="AN487" s="2" t="n"/>
      <c r="AO487" s="2" t="n"/>
      <c r="AP487" s="2" t="n"/>
      <c r="AQ487" s="2" t="n"/>
    </row>
    <row r="488">
      <c r="A488" t="n">
        <v>487</v>
      </c>
      <c r="B488" s="2" t="inlineStr">
        <is>
          <t>Ujjwal Kumar Gupta</t>
        </is>
      </c>
      <c r="C488" s="3" t="n">
        <v>8340789537</v>
      </c>
      <c r="D488" s="2" t="inlineStr">
        <is>
          <t>PROV260702132</t>
        </is>
      </c>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c r="AG488" s="2" t="n"/>
      <c r="AH488" s="2" t="n"/>
      <c r="AI488" s="2" t="n"/>
      <c r="AJ488" s="2" t="n"/>
      <c r="AK488" s="2" t="n"/>
      <c r="AL488" s="2" t="n"/>
      <c r="AM488" s="2" t="n"/>
      <c r="AN488" s="2" t="n"/>
      <c r="AO488" s="2" t="n"/>
      <c r="AP488" s="2" t="n"/>
      <c r="AQ488" s="2" t="n"/>
    </row>
    <row r="489">
      <c r="A489" t="n">
        <v>488</v>
      </c>
      <c r="B489" s="2" t="inlineStr">
        <is>
          <t>Supriya suresh larokar</t>
        </is>
      </c>
      <c r="C489" s="3" t="n">
        <v>9325921284</v>
      </c>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c r="AG489" s="2" t="n"/>
      <c r="AH489" s="2" t="n"/>
      <c r="AI489" s="2" t="n"/>
      <c r="AJ489" s="2" t="n"/>
      <c r="AK489" s="2" t="n"/>
      <c r="AL489" s="2" t="n"/>
      <c r="AM489" s="2" t="n"/>
      <c r="AN489" s="2" t="n"/>
      <c r="AO489" s="2" t="n"/>
      <c r="AP489" s="2" t="n"/>
      <c r="AQ489" s="2" t="n"/>
    </row>
    <row r="490">
      <c r="A490" t="n">
        <v>489</v>
      </c>
      <c r="B490" s="2" t="inlineStr">
        <is>
          <t>Parth bhurrak</t>
        </is>
      </c>
      <c r="C490" s="3" t="n">
        <v>9109337948</v>
      </c>
      <c r="D490" s="2" t="inlineStr">
        <is>
          <t>PROV260706291</t>
        </is>
      </c>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c r="AG490" s="2" t="n"/>
      <c r="AH490" s="2" t="n"/>
      <c r="AI490" s="2" t="n"/>
      <c r="AJ490" s="2" t="n"/>
      <c r="AK490" s="2" t="n"/>
      <c r="AL490" s="2" t="n"/>
      <c r="AM490" s="2" t="n"/>
      <c r="AN490" s="2" t="n"/>
      <c r="AO490" s="2" t="n"/>
      <c r="AP490" s="2" t="n"/>
      <c r="AQ490" s="2" t="n"/>
    </row>
    <row r="491">
      <c r="A491" t="n">
        <v>490</v>
      </c>
      <c r="B491" s="2" t="inlineStr">
        <is>
          <t>RIKINSH KUMAR</t>
        </is>
      </c>
      <c r="C491" s="3" t="n">
        <v>7766919006</v>
      </c>
      <c r="D491" s="2" t="inlineStr">
        <is>
          <t>PROV260704029</t>
        </is>
      </c>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c r="AG491" s="2" t="n"/>
      <c r="AH491" s="2" t="n"/>
      <c r="AI491" s="2" t="n"/>
      <c r="AJ491" s="2" t="n"/>
      <c r="AK491" s="2" t="n"/>
      <c r="AL491" s="2" t="n"/>
      <c r="AM491" s="2" t="n"/>
      <c r="AN491" s="2" t="n"/>
      <c r="AO491" s="2" t="n"/>
      <c r="AP491" s="2" t="n"/>
      <c r="AQ491" s="2" t="n"/>
    </row>
    <row r="492">
      <c r="A492" t="n">
        <v>491</v>
      </c>
      <c r="B492" s="2" t="inlineStr">
        <is>
          <t>Vaibhav vishal</t>
        </is>
      </c>
      <c r="C492" s="3" t="n">
        <v>7292870636</v>
      </c>
      <c r="D492" s="2" t="inlineStr">
        <is>
          <t>PROV260708540</t>
        </is>
      </c>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c r="AG492" s="2" t="n"/>
      <c r="AH492" s="2" t="n"/>
      <c r="AI492" s="2" t="n"/>
      <c r="AJ492" s="2" t="n"/>
      <c r="AK492" s="2" t="n"/>
      <c r="AL492" s="2" t="n"/>
      <c r="AM492" s="2" t="n"/>
      <c r="AN492" s="2" t="n"/>
      <c r="AO492" s="2" t="n"/>
      <c r="AP492" s="2" t="n"/>
      <c r="AQ492" s="2" t="n"/>
    </row>
    <row r="493">
      <c r="A493" t="n">
        <v>492</v>
      </c>
      <c r="B493" s="2" t="inlineStr">
        <is>
          <t>vishal choudhary</t>
        </is>
      </c>
      <c r="C493" s="3" t="n">
        <v>6261847200</v>
      </c>
      <c r="D493" s="2" t="inlineStr">
        <is>
          <t>PROV260707758</t>
        </is>
      </c>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c r="AG493" s="2" t="n"/>
      <c r="AH493" s="2" t="n"/>
      <c r="AI493" s="2" t="n"/>
      <c r="AJ493" s="2" t="n"/>
      <c r="AK493" s="2" t="n"/>
      <c r="AL493" s="2" t="n"/>
      <c r="AM493" s="2" t="n"/>
      <c r="AN493" s="2" t="n"/>
      <c r="AO493" s="2" t="n"/>
      <c r="AP493" s="2" t="n"/>
      <c r="AQ493" s="2" t="n"/>
    </row>
  </sheetData>
  <autoFilter ref="A1:AQ493"/>
  <pageMargins left="0.75" right="0.75" top="1" bottom="1" header="0.5" footer="0.5"/>
</worksheet>
</file>

<file path=xl/worksheets/sheet3.xml><?xml version="1.0" encoding="utf-8"?>
<worksheet xmlns="http://schemas.openxmlformats.org/spreadsheetml/2006/main">
  <sheetPr>
    <tabColor rgb="00E31C24"/>
    <outlinePr summaryBelow="1" summaryRight="1"/>
    <pageSetUpPr/>
  </sheetPr>
  <dimension ref="A1:G83"/>
  <sheetViews>
    <sheetView workbookViewId="0">
      <selection activeCell="A1" sqref="A1"/>
    </sheetView>
  </sheetViews>
  <sheetFormatPr baseColWidth="8" defaultRowHeight="15"/>
  <cols>
    <col width="36" customWidth="1" min="1" max="1"/>
    <col width="23" customWidth="1" min="2" max="2"/>
    <col width="13" customWidth="1" min="3" max="3"/>
    <col width="35" customWidth="1" min="4" max="4"/>
    <col width="14" customWidth="1" min="5" max="5"/>
    <col width="11" customWidth="1" min="6" max="6"/>
    <col width="36" customWidth="1" min="7" max="7"/>
  </cols>
  <sheetData>
    <row r="1">
      <c r="A1" s="5" t="inlineStr">
        <is>
          <t>uGSOT LOAN OPERATIONS — CONFIGURATION</t>
        </is>
      </c>
    </row>
    <row r="2">
      <c r="A2" s="6" t="inlineStr">
        <is>
          <t>Edit this sheet only to add vendors, stages, mappings. Do not edit formulas on other sheets.</t>
        </is>
      </c>
    </row>
    <row r="4">
      <c r="A4" s="7" t="inlineStr">
        <is>
          <t>VENDORS</t>
        </is>
      </c>
    </row>
    <row r="5">
      <c r="A5" s="8" t="inlineStr">
        <is>
          <t>VendorID</t>
        </is>
      </c>
      <c r="B5" s="8" t="inlineStr">
        <is>
          <t>VendorName</t>
        </is>
      </c>
      <c r="C5" s="8" t="inlineStr">
        <is>
          <t>MasterCol</t>
        </is>
      </c>
      <c r="D5" s="8" t="inlineStr">
        <is>
          <t>MasterHeader</t>
        </is>
      </c>
      <c r="E5" s="8" t="inlineStr">
        <is>
          <t>Active</t>
        </is>
      </c>
      <c r="F5" s="8" t="inlineStr">
        <is>
          <t>SortOrder</t>
        </is>
      </c>
      <c r="G5" s="8" t="inlineStr">
        <is>
          <t>StatusToken</t>
        </is>
      </c>
    </row>
    <row r="6">
      <c r="A6" s="2" t="n">
        <v>1</v>
      </c>
      <c r="B6" s="2" t="inlineStr">
        <is>
          <t>ICICI</t>
        </is>
      </c>
      <c r="C6" s="2" t="inlineStr">
        <is>
          <t>V</t>
        </is>
      </c>
      <c r="D6" s="2" t="inlineStr">
        <is>
          <t>Shared to ICICI</t>
        </is>
      </c>
      <c r="E6" s="2" t="inlineStr">
        <is>
          <t>Yes</t>
        </is>
      </c>
      <c r="F6" s="2" t="n">
        <v>1</v>
      </c>
      <c r="G6" s="2" t="inlineStr">
        <is>
          <t>Processing by Icici|Loan sanctioned by Icici</t>
        </is>
      </c>
    </row>
    <row r="7">
      <c r="A7" s="2" t="n">
        <v>2</v>
      </c>
      <c r="B7" s="2" t="inlineStr">
        <is>
          <t>Propelld</t>
        </is>
      </c>
      <c r="C7" s="2" t="inlineStr">
        <is>
          <t>W</t>
        </is>
      </c>
      <c r="D7" s="2" t="inlineStr">
        <is>
          <t>Shared to Propelld</t>
        </is>
      </c>
      <c r="E7" s="2" t="inlineStr">
        <is>
          <t>Yes</t>
        </is>
      </c>
      <c r="F7" s="2" t="n">
        <v>2</v>
      </c>
      <c r="G7" s="2" t="inlineStr">
        <is>
          <t>Processing by Propelld|Loan sanctioned by Propelld|Loan Sanctioned by Proplld</t>
        </is>
      </c>
    </row>
    <row r="8">
      <c r="A8" s="2" t="n">
        <v>3</v>
      </c>
      <c r="B8" s="2" t="inlineStr">
        <is>
          <t>Study4Buddy</t>
        </is>
      </c>
      <c r="C8" s="2" t="inlineStr">
        <is>
          <t>X</t>
        </is>
      </c>
      <c r="D8" s="2" t="inlineStr">
        <is>
          <t>Shared to Study4Buddy</t>
        </is>
      </c>
      <c r="E8" s="2" t="inlineStr">
        <is>
          <t>Yes</t>
        </is>
      </c>
      <c r="F8" s="2" t="n">
        <v>3</v>
      </c>
      <c r="G8" s="2" t="inlineStr">
        <is>
          <t>Processing by Study4Buddy</t>
        </is>
      </c>
    </row>
    <row r="9">
      <c r="A9" s="2" t="n">
        <v>4</v>
      </c>
      <c r="B9" s="2" t="inlineStr">
        <is>
          <t>Poonawala Fincorp</t>
        </is>
      </c>
      <c r="C9" s="2" t="inlineStr">
        <is>
          <t>Y</t>
        </is>
      </c>
      <c r="D9" s="2" t="inlineStr">
        <is>
          <t>Shared to Poonawala Fincorp</t>
        </is>
      </c>
      <c r="E9" s="2" t="inlineStr">
        <is>
          <t>Yes</t>
        </is>
      </c>
      <c r="F9" s="2" t="n">
        <v>4</v>
      </c>
      <c r="G9" s="2" t="inlineStr">
        <is>
          <t>Processing by Poonawala Fincorp</t>
        </is>
      </c>
    </row>
    <row r="10">
      <c r="A10" s="2" t="n">
        <v>5</v>
      </c>
      <c r="B10" s="2" t="inlineStr">
        <is>
          <t>GyanDhan</t>
        </is>
      </c>
      <c r="C10" s="2" t="inlineStr">
        <is>
          <t>Z</t>
        </is>
      </c>
      <c r="D10" s="2" t="inlineStr">
        <is>
          <t>Shared to GyanDhan</t>
        </is>
      </c>
      <c r="E10" s="2" t="inlineStr">
        <is>
          <t>Yes</t>
        </is>
      </c>
      <c r="F10" s="2" t="n">
        <v>5</v>
      </c>
      <c r="G10" s="2" t="inlineStr">
        <is>
          <t>Processing by GyanDhan|Loan sanctioned by gyan dhan</t>
        </is>
      </c>
    </row>
    <row r="11">
      <c r="A11" s="2" t="n">
        <v>6</v>
      </c>
      <c r="B11" s="2" t="inlineStr">
        <is>
          <t>PM Vidyalakshmi</t>
        </is>
      </c>
      <c r="C11" s="2" t="inlineStr"/>
      <c r="D11" s="2" t="inlineStr">
        <is>
          <t>Special Vidyalaksmi / Loan Status</t>
        </is>
      </c>
      <c r="E11" s="2" t="inlineStr">
        <is>
          <t>Yes</t>
        </is>
      </c>
      <c r="F11" s="2" t="n">
        <v>6</v>
      </c>
      <c r="G11" s="2" t="inlineStr">
        <is>
          <t>Processing by PM vidyalakshmi</t>
        </is>
      </c>
    </row>
    <row r="12">
      <c r="A12" s="2" t="n">
        <v>7</v>
      </c>
      <c r="B12" s="2" t="inlineStr">
        <is>
          <t>Other Bank</t>
        </is>
      </c>
      <c r="C12" s="2" t="inlineStr"/>
      <c r="D12" s="2" t="inlineStr">
        <is>
          <t>Loan Status token</t>
        </is>
      </c>
      <c r="E12" s="2" t="inlineStr">
        <is>
          <t>Yes</t>
        </is>
      </c>
      <c r="F12" s="2" t="n">
        <v>7</v>
      </c>
      <c r="G12" s="2" t="inlineStr">
        <is>
          <t>Processing at other bank|Loan sanctioned by other bank</t>
        </is>
      </c>
    </row>
    <row r="13">
      <c r="A13" s="2" t="n">
        <v>8</v>
      </c>
      <c r="B13" s="2" t="inlineStr">
        <is>
          <t>State Scheme</t>
        </is>
      </c>
      <c r="C13" s="2" t="inlineStr"/>
      <c r="D13" s="2" t="inlineStr">
        <is>
          <t>Loan Status token</t>
        </is>
      </c>
      <c r="E13" s="2" t="inlineStr">
        <is>
          <t>Yes</t>
        </is>
      </c>
      <c r="F13" s="2" t="n">
        <v>8</v>
      </c>
      <c r="G13" s="2" t="inlineStr">
        <is>
          <t>State Scheme</t>
        </is>
      </c>
    </row>
    <row r="14">
      <c r="A14" s="2" t="n">
        <v>9</v>
      </c>
      <c r="B14" s="2" t="inlineStr">
        <is>
          <t>Auxilo</t>
        </is>
      </c>
      <c r="C14" s="2" t="inlineStr"/>
      <c r="D14" s="2" t="inlineStr"/>
      <c r="E14" s="2" t="inlineStr">
        <is>
          <t>No</t>
        </is>
      </c>
      <c r="F14" s="2" t="n">
        <v>9</v>
      </c>
      <c r="G14" s="2" t="inlineStr"/>
    </row>
    <row r="15">
      <c r="A15" s="2" t="n">
        <v>10</v>
      </c>
      <c r="B15" s="2" t="inlineStr">
        <is>
          <t>InCred</t>
        </is>
      </c>
      <c r="C15" s="2" t="inlineStr"/>
      <c r="D15" s="2" t="inlineStr"/>
      <c r="E15" s="2" t="inlineStr">
        <is>
          <t>No</t>
        </is>
      </c>
      <c r="F15" s="2" t="n">
        <v>10</v>
      </c>
      <c r="G15" s="2" t="inlineStr"/>
    </row>
    <row r="18">
      <c r="A18" s="7" t="inlineStr">
        <is>
          <t>CANONICAL STAGES (Funnel Order)</t>
        </is>
      </c>
    </row>
    <row r="19">
      <c r="A19" s="8" t="inlineStr">
        <is>
          <t>StageID</t>
        </is>
      </c>
      <c r="B19" s="8" t="inlineStr">
        <is>
          <t>StageName</t>
        </is>
      </c>
      <c r="C19" s="8" t="inlineStr">
        <is>
          <t>FunnelOrder</t>
        </is>
      </c>
      <c r="D19" s="8" t="inlineStr">
        <is>
          <t>FunnelCore</t>
        </is>
      </c>
      <c r="E19" s="8" t="inlineStr">
        <is>
          <t>DashboardKPI</t>
        </is>
      </c>
      <c r="F19" s="8" t="inlineStr">
        <is>
          <t>Color</t>
        </is>
      </c>
    </row>
    <row r="20">
      <c r="A20" s="2" t="n">
        <v>1</v>
      </c>
      <c r="B20" s="2" t="inlineStr">
        <is>
          <t>Need Loan</t>
        </is>
      </c>
      <c r="C20" s="2" t="n">
        <v>1</v>
      </c>
      <c r="D20" s="2" t="inlineStr">
        <is>
          <t>Yes</t>
        </is>
      </c>
      <c r="E20" s="2" t="inlineStr">
        <is>
          <t>Yes</t>
        </is>
      </c>
      <c r="F20" s="2" t="inlineStr">
        <is>
          <t>E31C24</t>
        </is>
      </c>
    </row>
    <row r="21">
      <c r="A21" s="2" t="n">
        <v>2</v>
      </c>
      <c r="B21" s="2" t="inlineStr">
        <is>
          <t>Interested</t>
        </is>
      </c>
      <c r="C21" s="2" t="n">
        <v>2</v>
      </c>
      <c r="D21" s="2" t="inlineStr">
        <is>
          <t>No</t>
        </is>
      </c>
      <c r="E21" s="2" t="inlineStr">
        <is>
          <t>No</t>
        </is>
      </c>
      <c r="F21" s="2" t="inlineStr">
        <is>
          <t>666666</t>
        </is>
      </c>
    </row>
    <row r="22">
      <c r="A22" s="2" t="n">
        <v>3</v>
      </c>
      <c r="B22" s="2" t="inlineStr">
        <is>
          <t>Loan Started</t>
        </is>
      </c>
      <c r="C22" s="2" t="n">
        <v>3</v>
      </c>
      <c r="D22" s="2" t="inlineStr">
        <is>
          <t>Yes</t>
        </is>
      </c>
      <c r="E22" s="2" t="inlineStr">
        <is>
          <t>Yes</t>
        </is>
      </c>
      <c r="F22" s="2" t="inlineStr">
        <is>
          <t>333333</t>
        </is>
      </c>
    </row>
    <row r="23">
      <c r="A23" s="2" t="n">
        <v>4</v>
      </c>
      <c r="B23" s="2" t="inlineStr">
        <is>
          <t>Documents Pending</t>
        </is>
      </c>
      <c r="C23" s="2" t="n">
        <v>4</v>
      </c>
      <c r="D23" s="2" t="inlineStr">
        <is>
          <t>Yes</t>
        </is>
      </c>
      <c r="E23" s="2" t="inlineStr">
        <is>
          <t>Yes</t>
        </is>
      </c>
      <c r="F23" s="2" t="inlineStr">
        <is>
          <t>B45309</t>
        </is>
      </c>
    </row>
    <row r="24">
      <c r="A24" s="2" t="n">
        <v>5</v>
      </c>
      <c r="B24" s="2" t="inlineStr">
        <is>
          <t>Vendor Assigned</t>
        </is>
      </c>
      <c r="C24" s="2" t="n">
        <v>5</v>
      </c>
      <c r="D24" s="2" t="inlineStr">
        <is>
          <t>No</t>
        </is>
      </c>
      <c r="E24" s="2" t="inlineStr">
        <is>
          <t>No</t>
        </is>
      </c>
      <c r="F24" s="2" t="inlineStr">
        <is>
          <t>666666</t>
        </is>
      </c>
    </row>
    <row r="25">
      <c r="A25" s="2" t="n">
        <v>6</v>
      </c>
      <c r="B25" s="2" t="inlineStr">
        <is>
          <t>Processing</t>
        </is>
      </c>
      <c r="C25" s="2" t="n">
        <v>6</v>
      </c>
      <c r="D25" s="2" t="inlineStr">
        <is>
          <t>Yes</t>
        </is>
      </c>
      <c r="E25" s="2" t="inlineStr">
        <is>
          <t>Yes</t>
        </is>
      </c>
      <c r="F25" s="2" t="inlineStr">
        <is>
          <t>1D4ED8</t>
        </is>
      </c>
    </row>
    <row r="26">
      <c r="A26" s="2" t="n">
        <v>7</v>
      </c>
      <c r="B26" s="2" t="inlineStr">
        <is>
          <t>Approved</t>
        </is>
      </c>
      <c r="C26" s="2" t="n">
        <v>7</v>
      </c>
      <c r="D26" s="2" t="inlineStr">
        <is>
          <t>Yes</t>
        </is>
      </c>
      <c r="E26" s="2" t="inlineStr">
        <is>
          <t>Yes</t>
        </is>
      </c>
      <c r="F26" s="2" t="inlineStr">
        <is>
          <t>1B7A4E</t>
        </is>
      </c>
    </row>
    <row r="27">
      <c r="A27" s="2" t="n">
        <v>8</v>
      </c>
      <c r="B27" s="2" t="inlineStr">
        <is>
          <t>Sanctioned</t>
        </is>
      </c>
      <c r="C27" s="2" t="n">
        <v>8</v>
      </c>
      <c r="D27" s="2" t="inlineStr">
        <is>
          <t>Yes</t>
        </is>
      </c>
      <c r="E27" s="2" t="inlineStr">
        <is>
          <t>No</t>
        </is>
      </c>
      <c r="F27" s="2" t="inlineStr">
        <is>
          <t>1B7A4E</t>
        </is>
      </c>
    </row>
    <row r="28">
      <c r="A28" s="2" t="n">
        <v>9</v>
      </c>
      <c r="B28" s="2" t="inlineStr">
        <is>
          <t>Disbursed</t>
        </is>
      </c>
      <c r="C28" s="2" t="n">
        <v>9</v>
      </c>
      <c r="D28" s="2" t="inlineStr">
        <is>
          <t>Yes</t>
        </is>
      </c>
      <c r="E28" s="2" t="inlineStr">
        <is>
          <t>Yes</t>
        </is>
      </c>
      <c r="F28" s="2" t="inlineStr">
        <is>
          <t>1B7A4E</t>
        </is>
      </c>
    </row>
    <row r="29">
      <c r="A29" s="2" t="n">
        <v>10</v>
      </c>
      <c r="B29" s="2" t="inlineStr">
        <is>
          <t>Completed</t>
        </is>
      </c>
      <c r="C29" s="2" t="n">
        <v>10</v>
      </c>
      <c r="D29" s="2" t="inlineStr">
        <is>
          <t>No</t>
        </is>
      </c>
      <c r="E29" s="2" t="inlineStr">
        <is>
          <t>No</t>
        </is>
      </c>
      <c r="F29" s="2" t="inlineStr">
        <is>
          <t>111111</t>
        </is>
      </c>
    </row>
    <row r="30">
      <c r="A30" s="2" t="n">
        <v>11</v>
      </c>
      <c r="B30" s="2" t="inlineStr">
        <is>
          <t>Rejected</t>
        </is>
      </c>
      <c r="C30" s="2" t="n">
        <v>90</v>
      </c>
      <c r="D30" s="2" t="inlineStr">
        <is>
          <t>No</t>
        </is>
      </c>
      <c r="E30" s="2" t="inlineStr">
        <is>
          <t>Yes</t>
        </is>
      </c>
      <c r="F30" s="2" t="inlineStr">
        <is>
          <t>E31C24</t>
        </is>
      </c>
    </row>
    <row r="31">
      <c r="A31" s="2" t="n">
        <v>12</v>
      </c>
      <c r="B31" s="2" t="inlineStr">
        <is>
          <t>Refund</t>
        </is>
      </c>
      <c r="C31" s="2" t="n">
        <v>91</v>
      </c>
      <c r="D31" s="2" t="inlineStr">
        <is>
          <t>No</t>
        </is>
      </c>
      <c r="E31" s="2" t="inlineStr">
        <is>
          <t>No</t>
        </is>
      </c>
      <c r="F31" s="2" t="inlineStr">
        <is>
          <t>6B6B6B</t>
        </is>
      </c>
    </row>
    <row r="32">
      <c r="A32" s="2" t="n">
        <v>13</v>
      </c>
      <c r="B32" s="2" t="inlineStr">
        <is>
          <t>DNP</t>
        </is>
      </c>
      <c r="C32" s="2" t="n">
        <v>92</v>
      </c>
      <c r="D32" s="2" t="inlineStr">
        <is>
          <t>No</t>
        </is>
      </c>
      <c r="E32" s="2" t="inlineStr">
        <is>
          <t>No</t>
        </is>
      </c>
      <c r="F32" s="2" t="inlineStr">
        <is>
          <t>6B6B6B</t>
        </is>
      </c>
    </row>
    <row r="33">
      <c r="A33" s="2" t="n">
        <v>14</v>
      </c>
      <c r="B33" s="2" t="inlineStr">
        <is>
          <t>Not Required</t>
        </is>
      </c>
      <c r="C33" s="2" t="n">
        <v>93</v>
      </c>
      <c r="D33" s="2" t="inlineStr">
        <is>
          <t>No</t>
        </is>
      </c>
      <c r="E33" s="2" t="inlineStr">
        <is>
          <t>No</t>
        </is>
      </c>
      <c r="F33" s="2" t="inlineStr">
        <is>
          <t>6B6B6B</t>
        </is>
      </c>
    </row>
    <row r="34">
      <c r="A34" s="2" t="n">
        <v>15</v>
      </c>
      <c r="B34" s="2" t="inlineStr">
        <is>
          <t>Unclassified</t>
        </is>
      </c>
      <c r="C34" s="2" t="n">
        <v>99</v>
      </c>
      <c r="D34" s="2" t="inlineStr">
        <is>
          <t>No</t>
        </is>
      </c>
      <c r="E34" s="2" t="inlineStr">
        <is>
          <t>No</t>
        </is>
      </c>
      <c r="F34" s="2" t="inlineStr">
        <is>
          <t>6B6B6B</t>
        </is>
      </c>
    </row>
    <row r="38">
      <c r="A38" s="7" t="inlineStr">
        <is>
          <t>CAMPUS NORMALIZATION</t>
        </is>
      </c>
      <c r="D38" s="7" t="inlineStr">
        <is>
          <t>AGEING BUCKETS</t>
        </is>
      </c>
    </row>
    <row r="39">
      <c r="A39" s="8" t="inlineStr">
        <is>
          <t>RawValue</t>
        </is>
      </c>
      <c r="B39" s="8" t="inlineStr">
        <is>
          <t>Normalized</t>
        </is>
      </c>
      <c r="C39" s="8" t="inlineStr">
        <is>
          <t>Active</t>
        </is>
      </c>
      <c r="D39" s="8" t="inlineStr">
        <is>
          <t>Bucket</t>
        </is>
      </c>
      <c r="E39" s="8" t="inlineStr">
        <is>
          <t>MinDays</t>
        </is>
      </c>
      <c r="F39" s="8" t="inlineStr">
        <is>
          <t>MaxDays</t>
        </is>
      </c>
    </row>
    <row r="40">
      <c r="A40" s="9" t="inlineStr">
        <is>
          <t>SSAHE</t>
        </is>
      </c>
      <c r="B40" s="9" t="inlineStr">
        <is>
          <t>SSAHE</t>
        </is>
      </c>
      <c r="C40" s="9" t="inlineStr">
        <is>
          <t>Yes</t>
        </is>
      </c>
      <c r="D40" s="9" t="inlineStr">
        <is>
          <t>0–3 Days</t>
        </is>
      </c>
      <c r="E40" s="9" t="n">
        <v>0</v>
      </c>
      <c r="F40" s="9" t="n">
        <v>3</v>
      </c>
    </row>
    <row r="41">
      <c r="A41" s="9" t="inlineStr">
        <is>
          <t>SSHAE</t>
        </is>
      </c>
      <c r="B41" s="9" t="inlineStr">
        <is>
          <t>SSAHE</t>
        </is>
      </c>
      <c r="C41" s="9" t="inlineStr">
        <is>
          <t>Yes</t>
        </is>
      </c>
      <c r="D41" s="9" t="inlineStr">
        <is>
          <t>4–7 Days</t>
        </is>
      </c>
      <c r="E41" s="9" t="n">
        <v>4</v>
      </c>
      <c r="F41" s="9" t="n">
        <v>7</v>
      </c>
    </row>
    <row r="42">
      <c r="A42" s="9" t="inlineStr">
        <is>
          <t>ssHAE</t>
        </is>
      </c>
      <c r="B42" s="9" t="inlineStr">
        <is>
          <t>SSAHE</t>
        </is>
      </c>
      <c r="C42" s="9" t="inlineStr">
        <is>
          <t>Yes</t>
        </is>
      </c>
      <c r="D42" s="9" t="inlineStr">
        <is>
          <t>8–15 Days</t>
        </is>
      </c>
      <c r="E42" s="9" t="n">
        <v>8</v>
      </c>
      <c r="F42" s="9" t="n">
        <v>15</v>
      </c>
    </row>
    <row r="43">
      <c r="A43" s="9" t="inlineStr">
        <is>
          <t>ssahe</t>
        </is>
      </c>
      <c r="B43" s="9" t="inlineStr">
        <is>
          <t>SSAHE</t>
        </is>
      </c>
      <c r="C43" s="9" t="inlineStr">
        <is>
          <t>Yes</t>
        </is>
      </c>
      <c r="D43" s="9" t="inlineStr">
        <is>
          <t>16–30 Days</t>
        </is>
      </c>
      <c r="E43" s="9" t="n">
        <v>16</v>
      </c>
      <c r="F43" s="9" t="n">
        <v>30</v>
      </c>
    </row>
    <row r="44">
      <c r="A44" s="9" t="inlineStr">
        <is>
          <t>ADYPU</t>
        </is>
      </c>
      <c r="B44" s="9" t="inlineStr">
        <is>
          <t>ADYPU</t>
        </is>
      </c>
      <c r="C44" s="9" t="inlineStr">
        <is>
          <t>Yes</t>
        </is>
      </c>
      <c r="D44" s="9" t="inlineStr">
        <is>
          <t>30+ Days</t>
        </is>
      </c>
      <c r="E44" s="9" t="n">
        <v>31</v>
      </c>
      <c r="F44" s="9" t="n">
        <v>9999</v>
      </c>
    </row>
    <row r="45">
      <c r="D45" s="9" t="inlineStr">
        <is>
          <t>Unknown</t>
        </is>
      </c>
      <c r="E45" s="9" t="n">
        <v>-1</v>
      </c>
      <c r="F45" s="9" t="n">
        <v>-1</v>
      </c>
    </row>
    <row r="48">
      <c r="A48" s="7" t="inlineStr">
        <is>
          <t>REASON BUCKETS (keyword → bucket)</t>
        </is>
      </c>
      <c r="D48" s="10" t="inlineStr">
        <is>
          <t>RISK FLAGS</t>
        </is>
      </c>
    </row>
    <row r="49">
      <c r="A49" s="8" t="inlineStr">
        <is>
          <t>Keyword</t>
        </is>
      </c>
      <c r="B49" s="8" t="inlineStr">
        <is>
          <t>Bucket</t>
        </is>
      </c>
      <c r="D49" s="8" t="inlineStr">
        <is>
          <t>FlagName</t>
        </is>
      </c>
      <c r="E49" s="8" t="inlineStr">
        <is>
          <t>MasterCol</t>
        </is>
      </c>
      <c r="F49" s="8" t="inlineStr">
        <is>
          <t>YesValue</t>
        </is>
      </c>
    </row>
    <row r="50">
      <c r="A50" s="9" t="inlineStr">
        <is>
          <t>DNP</t>
        </is>
      </c>
      <c r="B50" s="9" t="inlineStr">
        <is>
          <t>Unreachable / DNP</t>
        </is>
      </c>
      <c r="D50" s="9" t="inlineStr">
        <is>
          <t>Need FLDG</t>
        </is>
      </c>
      <c r="E50" s="9" t="inlineStr">
        <is>
          <t>AI</t>
        </is>
      </c>
      <c r="F50" s="9" t="inlineStr">
        <is>
          <t>Yes</t>
        </is>
      </c>
    </row>
    <row r="51">
      <c r="A51" s="9" t="inlineStr">
        <is>
          <t>unreachable</t>
        </is>
      </c>
      <c r="B51" s="9" t="inlineStr">
        <is>
          <t>Unreachable / DNP</t>
        </is>
      </c>
      <c r="D51" s="9" t="inlineStr">
        <is>
          <t>Need Vishwa Attention</t>
        </is>
      </c>
      <c r="E51" s="9" t="inlineStr">
        <is>
          <t>AJ</t>
        </is>
      </c>
      <c r="F51" s="9" t="inlineStr">
        <is>
          <t>Yes</t>
        </is>
      </c>
    </row>
    <row r="52">
      <c r="A52" s="9" t="inlineStr">
        <is>
          <t>interest</t>
        </is>
      </c>
      <c r="B52" s="9" t="inlineStr">
        <is>
          <t>High Interest / Terms</t>
        </is>
      </c>
      <c r="D52" s="9" t="inlineStr">
        <is>
          <t>Need Vidyalakshmi</t>
        </is>
      </c>
      <c r="E52" s="9" t="inlineStr">
        <is>
          <t>AK</t>
        </is>
      </c>
      <c r="F52" s="9" t="inlineStr">
        <is>
          <t>Yes</t>
        </is>
      </c>
    </row>
    <row r="53">
      <c r="A53" s="9" t="inlineStr">
        <is>
          <t>eligib</t>
        </is>
      </c>
      <c r="B53" s="9" t="inlineStr">
        <is>
          <t>Eligibility / Income</t>
        </is>
      </c>
      <c r="D53" s="9" t="inlineStr">
        <is>
          <t>Critical</t>
        </is>
      </c>
      <c r="E53" s="9" t="inlineStr">
        <is>
          <t>G</t>
        </is>
      </c>
      <c r="F53" s="9" t="inlineStr">
        <is>
          <t>Critical</t>
        </is>
      </c>
    </row>
    <row r="54">
      <c r="A54" s="9" t="inlineStr">
        <is>
          <t>income</t>
        </is>
      </c>
      <c r="B54" s="9" t="inlineStr">
        <is>
          <t>Eligibility / Income</t>
        </is>
      </c>
      <c r="D54" s="9" t="inlineStr">
        <is>
          <t>Refund</t>
        </is>
      </c>
      <c r="E54" s="9" t="inlineStr">
        <is>
          <t>U</t>
        </is>
      </c>
      <c r="F54" s="9" t="inlineStr">
        <is>
          <t>Refund</t>
        </is>
      </c>
    </row>
    <row r="55">
      <c r="A55" s="9" t="inlineStr">
        <is>
          <t>Low</t>
        </is>
      </c>
      <c r="B55" s="9" t="inlineStr">
        <is>
          <t>Eligibility / Income</t>
        </is>
      </c>
      <c r="D55" s="9" t="inlineStr">
        <is>
          <t>Risk Case</t>
        </is>
      </c>
      <c r="E55" s="9" t="inlineStr">
        <is>
          <t>AA</t>
        </is>
      </c>
      <c r="F55" s="9" t="inlineStr">
        <is>
          <t>Risk</t>
        </is>
      </c>
    </row>
    <row r="56">
      <c r="A56" s="9" t="inlineStr">
        <is>
          <t>start</t>
        </is>
      </c>
      <c r="B56" s="9" t="inlineStr">
        <is>
          <t>Process Yet to Start</t>
        </is>
      </c>
    </row>
    <row r="57">
      <c r="A57" s="9" t="inlineStr">
        <is>
          <t>Newer</t>
        </is>
      </c>
      <c r="B57" s="9" t="inlineStr">
        <is>
          <t>Process Yet to Start</t>
        </is>
      </c>
    </row>
    <row r="58">
      <c r="A58" s="9" t="inlineStr">
        <is>
          <t>Fresh</t>
        </is>
      </c>
      <c r="B58" s="9" t="inlineStr">
        <is>
          <t>Process Yet to Start</t>
        </is>
      </c>
    </row>
    <row r="59">
      <c r="A59" s="9" t="inlineStr">
        <is>
          <t>Not sure</t>
        </is>
      </c>
      <c r="B59" s="9" t="inlineStr">
        <is>
          <t>Undecided</t>
        </is>
      </c>
    </row>
    <row r="60">
      <c r="A60" s="9" t="inlineStr">
        <is>
          <t>reject</t>
        </is>
      </c>
      <c r="B60" s="9" t="inlineStr">
        <is>
          <t>Rejected Elsewhere</t>
        </is>
      </c>
    </row>
    <row r="61">
      <c r="A61" s="9" t="inlineStr">
        <is>
          <t>SBI</t>
        </is>
      </c>
      <c r="B61" s="9" t="inlineStr">
        <is>
          <t>Rejected Elsewhere</t>
        </is>
      </c>
    </row>
    <row r="62">
      <c r="A62" s="9" t="inlineStr">
        <is>
          <t>misunderstand</t>
        </is>
      </c>
      <c r="B62" s="9" t="inlineStr">
        <is>
          <t>Miscommunication</t>
        </is>
      </c>
    </row>
    <row r="63">
      <c r="A63" s="9" t="inlineStr">
        <is>
          <t>automatic</t>
        </is>
      </c>
      <c r="B63" s="9" t="inlineStr">
        <is>
          <t>Miscommunication</t>
        </is>
      </c>
    </row>
    <row r="64">
      <c r="A64" s="9" t="inlineStr">
        <is>
          <t>waiting</t>
        </is>
      </c>
      <c r="B64" s="9" t="inlineStr">
        <is>
          <t>Family / Dependency</t>
        </is>
      </c>
    </row>
    <row r="65">
      <c r="A65" s="9" t="inlineStr">
        <is>
          <t>sister</t>
        </is>
      </c>
      <c r="B65" s="9" t="inlineStr">
        <is>
          <t>Family / Dependency</t>
        </is>
      </c>
    </row>
    <row r="66">
      <c r="A66" s="9" t="inlineStr">
        <is>
          <t>father</t>
        </is>
      </c>
      <c r="B66" s="9" t="inlineStr">
        <is>
          <t>Family / Dependency</t>
        </is>
      </c>
    </row>
    <row r="67">
      <c r="A67" s="9" t="inlineStr">
        <is>
          <t>call</t>
        </is>
      </c>
      <c r="B67" s="9" t="inlineStr">
        <is>
          <t>Bank Communication</t>
        </is>
      </c>
    </row>
    <row r="68">
      <c r="A68" s="9" t="inlineStr">
        <is>
          <t>PAN</t>
        </is>
      </c>
      <c r="B68" s="9" t="inlineStr">
        <is>
          <t>Documentation</t>
        </is>
      </c>
    </row>
    <row r="69">
      <c r="A69" s="9" t="inlineStr">
        <is>
          <t>doc</t>
        </is>
      </c>
      <c r="B69" s="9" t="inlineStr">
        <is>
          <t>Documentation</t>
        </is>
      </c>
    </row>
    <row r="70">
      <c r="A70" s="9" t="inlineStr">
        <is>
          <t>info</t>
        </is>
      </c>
      <c r="B70" s="9" t="inlineStr">
        <is>
          <t>Insufficient Info</t>
        </is>
      </c>
    </row>
    <row r="74">
      <c r="A74" s="10" t="inlineStr">
        <is>
          <t>BRAND COLORS</t>
        </is>
      </c>
    </row>
    <row r="75">
      <c r="A75" t="inlineStr">
        <is>
          <t>Primary Red</t>
        </is>
      </c>
      <c r="B75" s="11" t="inlineStr">
        <is>
          <t>#E31C24</t>
        </is>
      </c>
    </row>
    <row r="76">
      <c r="A76" t="inlineStr">
        <is>
          <t>Black</t>
        </is>
      </c>
      <c r="B76" t="inlineStr">
        <is>
          <t>#111111</t>
        </is>
      </c>
    </row>
    <row r="77">
      <c r="A77" t="inlineStr">
        <is>
          <t>Background</t>
        </is>
      </c>
      <c r="B77" t="inlineStr">
        <is>
          <t>#F6F6F6</t>
        </is>
      </c>
    </row>
    <row r="78">
      <c r="A78" t="inlineStr">
        <is>
          <t>Border</t>
        </is>
      </c>
      <c r="B78" t="inlineStr">
        <is>
          <t>#E5E5E5</t>
        </is>
      </c>
    </row>
    <row r="80">
      <c r="A80" s="10" t="inlineStr">
        <is>
          <t>DASHBOARD FILTER DEFAULTS</t>
        </is>
      </c>
    </row>
    <row r="81">
      <c r="A81" t="inlineStr">
        <is>
          <t>FilterAllToken</t>
        </is>
      </c>
      <c r="B81" t="inlineStr">
        <is>
          <t>(All)</t>
        </is>
      </c>
    </row>
    <row r="82">
      <c r="A82" t="inlineStr">
        <is>
          <t>AsOfDate</t>
        </is>
      </c>
      <c r="B82" s="12" t="n">
        <v>46237</v>
      </c>
    </row>
    <row r="83">
      <c r="A83" t="inlineStr">
        <is>
          <t>AdmissionCycle</t>
        </is>
      </c>
      <c r="B83" t="inlineStr">
        <is>
          <t>2026 Cycle</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tabColor rgb="001D4ED8"/>
    <outlinePr summaryBelow="1" summaryRight="1"/>
    <pageSetUpPr/>
  </sheetPr>
  <dimension ref="A1:AW49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22"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28" customWidth="1" min="19" max="19"/>
    <col width="14" customWidth="1" min="20" max="20"/>
    <col width="14" customWidth="1" min="21" max="21"/>
    <col width="14" customWidth="1" min="22" max="22"/>
    <col width="14" customWidth="1" min="23" max="23"/>
    <col width="18"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2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s>
  <sheetData>
    <row r="1">
      <c r="A1" s="1" t="inlineStr">
        <is>
          <t>RowNum</t>
        </is>
      </c>
      <c r="B1" s="1" t="inlineStr">
        <is>
          <t>StudentKey</t>
        </is>
      </c>
      <c r="C1" s="1" t="inlineStr">
        <is>
          <t>StudentName</t>
        </is>
      </c>
      <c r="D1" s="1" t="inlineStr">
        <is>
          <t>Mobile</t>
        </is>
      </c>
      <c r="E1" s="1" t="inlineStr">
        <is>
          <t>ProvisionalID</t>
        </is>
      </c>
      <c r="F1" s="1" t="inlineStr">
        <is>
          <t>CampusRaw</t>
        </is>
      </c>
      <c r="G1" s="1" t="inlineStr">
        <is>
          <t>Campus</t>
        </is>
      </c>
      <c r="H1" s="1" t="inlineStr">
        <is>
          <t>LoanRequired</t>
        </is>
      </c>
      <c r="I1" s="1" t="inlineStr">
        <is>
          <t>NeedLoanSST</t>
        </is>
      </c>
      <c r="J1" s="1" t="inlineStr">
        <is>
          <t>Criticality</t>
        </is>
      </c>
      <c r="K1" s="1" t="inlineStr">
        <is>
          <t>Scholarship</t>
        </is>
      </c>
      <c r="L1" s="1" t="inlineStr">
        <is>
          <t>SharedICICI</t>
        </is>
      </c>
      <c r="M1" s="1" t="inlineStr">
        <is>
          <t>SharedPropelld</t>
        </is>
      </c>
      <c r="N1" s="1" t="inlineStr">
        <is>
          <t>SharedStudy4Buddy</t>
        </is>
      </c>
      <c r="O1" s="1" t="inlineStr">
        <is>
          <t>SharedPoonawala</t>
        </is>
      </c>
      <c r="P1" s="1" t="inlineStr">
        <is>
          <t>SharedGyanDhan</t>
        </is>
      </c>
      <c r="Q1" s="1" t="inlineStr">
        <is>
          <t>VendorCount</t>
        </is>
      </c>
      <c r="R1" s="1" t="inlineStr">
        <is>
          <t>DuplicateVendorFlag</t>
        </is>
      </c>
      <c r="S1" s="1" t="inlineStr">
        <is>
          <t>VendorsApplied</t>
        </is>
      </c>
      <c r="T1" s="1" t="inlineStr">
        <is>
          <t>PrimaryVendor</t>
        </is>
      </c>
      <c r="U1" s="1" t="inlineStr">
        <is>
          <t>CaseStatus</t>
        </is>
      </c>
      <c r="V1" s="1" t="inlineStr">
        <is>
          <t>LoanStageRaw</t>
        </is>
      </c>
      <c r="W1" s="1" t="inlineStr">
        <is>
          <t>LoanStatusRaw</t>
        </is>
      </c>
      <c r="X1" s="1" t="inlineStr">
        <is>
          <t>CanonicalStage</t>
        </is>
      </c>
      <c r="Y1" s="1" t="inlineStr">
        <is>
          <t>ApprovalStatus</t>
        </is>
      </c>
      <c r="Z1" s="1" t="inlineStr">
        <is>
          <t>DisbursementStatus</t>
        </is>
      </c>
      <c r="AA1" s="1" t="inlineStr">
        <is>
          <t>RiskCategory</t>
        </is>
      </c>
      <c r="AB1" s="1" t="inlineStr">
        <is>
          <t>CriticalFlag</t>
        </is>
      </c>
      <c r="AC1" s="1" t="inlineStr">
        <is>
          <t>NeedFLDG</t>
        </is>
      </c>
      <c r="AD1" s="1" t="inlineStr">
        <is>
          <t>NeedVidyalakshmi</t>
        </is>
      </c>
      <c r="AE1" s="1" t="inlineStr">
        <is>
          <t>NeedVishwa</t>
        </is>
      </c>
      <c r="AF1" s="1" t="inlineStr">
        <is>
          <t>ReasonRaw</t>
        </is>
      </c>
      <c r="AG1" s="1" t="inlineStr">
        <is>
          <t>ReasonBucket</t>
        </is>
      </c>
      <c r="AH1" s="1" t="inlineStr">
        <is>
          <t>TentativeDate</t>
        </is>
      </c>
      <c r="AI1" s="1" t="inlineStr">
        <is>
          <t>PendingDays</t>
        </is>
      </c>
      <c r="AJ1" s="1" t="inlineStr">
        <is>
          <t>AgeingBucket</t>
        </is>
      </c>
      <c r="AK1" s="1" t="inlineStr">
        <is>
          <t>IsLoanPipeline</t>
        </is>
      </c>
      <c r="AL1" s="1" t="inlineStr">
        <is>
          <t>PranjalComments</t>
        </is>
      </c>
      <c r="AM1" s="1" t="inlineStr">
        <is>
          <t>SSTRemarks</t>
        </is>
      </c>
      <c r="AN1" s="1" t="inlineStr">
        <is>
          <t>LoanAmt</t>
        </is>
      </c>
      <c r="AO1" s="1" t="inlineStr">
        <is>
          <t>Income</t>
        </is>
      </c>
      <c r="AP1" s="1" t="inlineStr">
        <is>
          <t>ProcessingByICICI</t>
        </is>
      </c>
      <c r="AQ1" s="1" t="inlineStr">
        <is>
          <t>ProcessingByPropelld</t>
        </is>
      </c>
      <c r="AR1" s="1" t="inlineStr">
        <is>
          <t>ProcessingByGyanDhan</t>
        </is>
      </c>
      <c r="AS1" s="1" t="inlineStr">
        <is>
          <t>ProcessingByVidya</t>
        </is>
      </c>
      <c r="AT1" s="1" t="inlineStr">
        <is>
          <t>ProcessingByOther</t>
        </is>
      </c>
      <c r="AU1" s="1" t="inlineStr">
        <is>
          <t>IsSanctioned</t>
        </is>
      </c>
      <c r="AV1" s="1" t="inlineStr">
        <is>
          <t>IsDocsPending</t>
        </is>
      </c>
      <c r="AW1" s="1" t="inlineStr">
        <is>
          <t>IsRejectedStatus</t>
        </is>
      </c>
    </row>
    <row r="2">
      <c r="A2">
        <f>IF('01_Master_Data'!B2="","",1)</f>
        <v/>
      </c>
      <c r="B2">
        <f>IF('01_Master_Data'!B2="","",IF('01_Master_Data'!C2&lt;&gt;"","MOB|"&amp;TEXT('01_Master_Data'!C2,"0"),IF('01_Master_Data'!D2&lt;&gt;"","PID|"&amp;TRIM('01_Master_Data'!D2&amp;""),"")))</f>
        <v/>
      </c>
      <c r="C2">
        <f>IF('01_Master_Data'!B2="","",'01_Master_Data'!B2)</f>
        <v/>
      </c>
      <c r="D2">
        <f>IF('01_Master_Data'!B2="","",'01_Master_Data'!C2)</f>
        <v/>
      </c>
      <c r="E2">
        <f>IF('01_Master_Data'!B2="","",'01_Master_Data'!D2)</f>
        <v/>
      </c>
      <c r="F2">
        <f>IF('01_Master_Data'!B2="","",'01_Master_Data'!E2)</f>
        <v/>
      </c>
      <c r="G2">
        <f>IF('01_Master_Data'!B2="","",IFERROR(VLOOKUP(TRIM('01_Master_Data'!E2&amp;""),'02_Configuration'!$A$40:$B$44,2,FALSE),UPPER(TRIM('01_Master_Data'!E2&amp;""))))</f>
        <v/>
      </c>
      <c r="H2">
        <f>IF('01_Master_Data'!B2="","",IF('01_Master_Data'!U2="","",TRIM('01_Master_Data'!U2&amp;"")))</f>
        <v/>
      </c>
      <c r="I2">
        <f>IF('01_Master_Data'!B2="","",TRIM('01_Master_Data'!F2&amp;""))</f>
        <v/>
      </c>
      <c r="J2">
        <f>IF('01_Master_Data'!B2="","",TRIM('01_Master_Data'!G2&amp;""))</f>
        <v/>
      </c>
      <c r="K2">
        <f>IF('01_Master_Data'!B2="","",'01_Master_Data'!H2)</f>
        <v/>
      </c>
      <c r="L2">
        <f>IF('01_Master_Data'!B2="","",IF(LOWER(TRIM('01_Master_Data'!V2&amp;""))="yes",1,0))</f>
        <v/>
      </c>
      <c r="M2">
        <f>IF('01_Master_Data'!B2="","",IF(LOWER(TRIM('01_Master_Data'!W2&amp;""))="yes",1,0))</f>
        <v/>
      </c>
      <c r="N2">
        <f>IF('01_Master_Data'!B2="","",IF(LOWER(TRIM('01_Master_Data'!X2&amp;""))="yes",1,0))</f>
        <v/>
      </c>
      <c r="O2">
        <f>IF('01_Master_Data'!B2="","",IF(LOWER(TRIM('01_Master_Data'!Y2&amp;""))="yes",1,0))</f>
        <v/>
      </c>
      <c r="P2">
        <f>IF('01_Master_Data'!B2="","",IF(LOWER(TRIM('01_Master_Data'!Z2&amp;""))="yes",1,0))</f>
        <v/>
      </c>
      <c r="Q2">
        <f>IF(A2="","",L2+M2+N2+O2+P2)</f>
        <v/>
      </c>
      <c r="R2">
        <f>IF(A2="","",IF(Q2&gt;1,"Yes","No"))</f>
        <v/>
      </c>
      <c r="S2">
        <f>IF(A2="","",TEXTJOIN(", ",TRUE,IF(L2=1,"ICICI",""),IF(M2=1,"Propelld",""),IF(N2=1,"Study4Buddy",""),IF(O2=1,"Poonawala Fincorp",""),IF(P2=1,"GyanDhan","")))</f>
        <v/>
      </c>
      <c r="T2">
        <f>IF(A2="","",IF(L2=1,"ICICI",IF(M2=1,"Propelld",IF(P2=1,"GyanDhan",IF(N2=1,"Study4Buddy",IF(O2=1,"Poonawala Fincorp",IF(ISNUMBER(SEARCH("GyanDhan",W2&amp;"")),"GyanDhan",IF(ISNUMBER(SEARCH("Icici",W2&amp;"")),"ICICI",IF(ISNUMBER(SEARCH("Propelld",W2&amp;"")),"Propelld",IF(ISNUMBER(SEARCH("vidyalakshmi",LOWER(W2&amp;"")),"PM Vidyalakshmi","—"))))))))))</f>
        <v/>
      </c>
      <c r="U2">
        <f>IF(A2="","",TRIM('01_Master_Data'!AA2&amp;""))</f>
        <v/>
      </c>
      <c r="V2">
        <f>IF(A2="","",TRIM('01_Master_Data'!AG2&amp;""))</f>
        <v/>
      </c>
      <c r="W2">
        <f>IF(A2="","",TRIM('01_Master_Data'!AH2&amp;""))</f>
        <v/>
      </c>
      <c r="X2">
        <f>IF(A2="","",IF(OR(LOWER(H2)="refund",LOWER(U2)="refund case"),"Refund",IF(OR(LOWER(H2)="dnp",LOWER(U2)="dnp"),"DNP",IF(OR(LOWER(V2)="disbursed",ISNUMBER(SEARCH("Disbursed",W2&amp;""))),"Disbursed",IF(OR(LOWER(V2)="loan proccessed/accepted",ISNUMBER(SEARCH("sanctioned",LOWER(W2&amp;"")))),"Sanctioned",IF(OR(LOWER(V2)="rejected",ISNUMBER(SEARCH("Not eligbile",W2&amp;"")),ISNUMBER(SEARCH("Not eligible",W2&amp;""))),"Rejected",IF(ISNUMBER(SEARCH("Docs Pending",W2&amp;"")),"Documents Pending",IF(AND(LOWER(H2)="yes",LOWER(V2)="ongoing"),"Processing",IF(AND(LOWER(H2)="yes",Q2&gt;0,OR(V2="",LOWER(V2)="not even started")),"Vendor Assigned",IF(AND(LOWER(H2)="yes",LOWER(V2)="not even started"),"Need Loan",IF(LOWER(H2)="yes","Loan Started",IF(LOWER(H2)="not sure","Interested",IF(OR(LOWER(H2)="no",LOWER(V2)="not required"),"Not Required","Unclassified")))))))))))))</f>
        <v/>
      </c>
      <c r="Y2">
        <f>IF(A2="","",IF(OR(X2="Sanctioned",X2="Disbursed",X2="Approved"),"Approved",IF(X2="Rejected","Rejected",IF(OR(X2="Processing",X2="Documents Pending",X2="Vendor Assigned"),"In Progress",IF(X2="Need Loan","Pending Start","—"))))</f>
        <v/>
      </c>
      <c r="Z2">
        <f>IF(A2="","",IF(X2="Disbursed","Disbursed",IF(X2="Sanctioned","Sanctioned - Awaiting Disbursement","Not Disbursed")))</f>
        <v/>
      </c>
      <c r="AA2">
        <f>IF(A2="","",IF(LOWER(TRIM('01_Master_Data'!AI2&amp;""))="yes","Need FLDG",IF(LOWER(TRIM('01_Master_Data'!AK2&amp;""))="yes","Need Vidyalakshmi",IF(LOWER(TRIM('01_Master_Data'!AJ2&amp;""))="yes","Need Review",IF(LOWER(J2)="critical","Critical",IF(LOWER(U2)="risk","Risk Case",IF(X2="Refund","Refund","Normal")))))))</f>
        <v/>
      </c>
      <c r="AB2">
        <f>IF(A2="","",IF(OR(LOWER(J2)="critical",LOWER(TRIM('01_Master_Data'!AI2&amp;""))="yes",LOWER(TRIM('01_Master_Data'!AK2&amp;""))="yes",LOWER(U2)="risk"),"Yes","No"))</f>
        <v/>
      </c>
      <c r="AC2">
        <f>IF(A2="","",IF(LOWER(TRIM('01_Master_Data'!AI2&amp;""))="yes","Yes","No"))</f>
        <v/>
      </c>
      <c r="AD2">
        <f>IF(A2="","",IF(LOWER(TRIM('01_Master_Data'!AK2&amp;""))="yes","Yes","No"))</f>
        <v/>
      </c>
      <c r="AE2">
        <f>IF(A2="","",IF(LOWER(TRIM('01_Master_Data'!AJ2&amp;""))="yes","Yes","No"))</f>
        <v/>
      </c>
      <c r="AF2">
        <f>IF(A2="","",TRIM('01_Master_Data'!AL2&amp;""))</f>
        <v/>
      </c>
      <c r="AG2">
        <f>IF(A2="","",IF(AF2="","—",IF(ISNUMBER(SEARCH("DNP",AF2)),"Unreachable / DNP",IF(ISNUMBER(SEARCH("interest",LOWER(AF2))),"High Interest / Terms",IF(OR(ISNUMBER(SEARCH("eligib",LOWER(AF2))),ISNUMBER(SEARCH("income",LOWER(AF2)))),"Eligibility / Income",IF(OR(ISNUMBER(SEARCH("start",LOWER(AF2))),ISNUMBER(SEARCH("Newer",AF2)),ISNUMBER(SEARCH("Will start",AF2))),"Process Yet to Start",IF(ISNUMBER(SEARCH("sure",LOWER(AF2))),"Undecided",IF(OR(ISNUMBER(SEARCH("reject",LOWER(AF2))),ISNUMBER(SEARCH("SBI",AF2))),"Rejected Elsewhere",IF(ISNUMBER(SEARCH("call",LOWER(AF2))),"Bank Communication",IF(OR(ISNUMBER(SEARCH("father",LOWER(AF2))),ISNUMBER(SEARCH("sister",LOWER(AF2)))),"Family / Dependency","Other"))))))))))</f>
        <v/>
      </c>
      <c r="AH2">
        <f>IF(A2="","",'01_Master_Data'!AC2)</f>
        <v/>
      </c>
      <c r="AI2">
        <f>IF(A2="","",IF(OR(AH2="",NOT(ISNUMBER(AH2))),"",MAX(0,'02_Configuration'!$B$82-AH2)))</f>
        <v/>
      </c>
      <c r="AJ2">
        <f>IF(A2="","",IF(AI2="","Unknown",IF(AI2&lt;=3,"0–3 Days",IF(AI2&lt;=7,"4–7 Days",IF(AI2&lt;=15,"8–15 Days",IF(AI2&lt;=30,"16–30 Days","30+ Days"))))))</f>
        <v/>
      </c>
      <c r="AK2">
        <f>IF(A2="","",IF(LOWER(H2)="yes","Yes","No"))</f>
        <v/>
      </c>
      <c r="AL2">
        <f>IF(A2="","",'01_Master_Data'!T2)</f>
        <v/>
      </c>
      <c r="AM2">
        <f>IF(A2="","",'01_Master_Data'!S2)</f>
        <v/>
      </c>
      <c r="AN2">
        <f>IF(A2="","",'01_Master_Data'!I2)</f>
        <v/>
      </c>
      <c r="AO2">
        <f>IF(A2="","",'01_Master_Data'!M2)</f>
        <v/>
      </c>
      <c r="AP2">
        <f>IF(A2="","",IF(ISNUMBER(SEARCH("Icici",W2&amp;"")),1,0))</f>
        <v/>
      </c>
      <c r="AQ2">
        <f>IF(A2="","",IF(ISNUMBER(SEARCH("Propelld",W2&amp;"")),1,0))</f>
        <v/>
      </c>
      <c r="AR2">
        <f>IF(A2="","",IF(ISNUMBER(SEARCH("GyanDhan",W2&amp;"")),1,0))</f>
        <v/>
      </c>
      <c r="AS2">
        <f>IF(A2="","",IF(ISNUMBER(SEARCH("vidyalakshmi",LOWER(W2&amp;""))),1,0))</f>
        <v/>
      </c>
      <c r="AT2">
        <f>IF(A2="","",IF(ISNUMBER(SEARCH("other bank",LOWER(W2&amp;""))),1,0))</f>
        <v/>
      </c>
      <c r="AU2">
        <f>IF(A2="","",IF(ISNUMBER(SEARCH("sanctioned",LOWER(W2&amp;""))),1,0))</f>
        <v/>
      </c>
      <c r="AV2">
        <f>IF(A2="","",IF(ISNUMBER(SEARCH("Docs Pending",W2&amp;"")),1,0))</f>
        <v/>
      </c>
      <c r="AW2">
        <f>IF(A2="","",IF(OR(X2="Rejected",ISNUMBER(SEARCH("Not eligbile",W2&amp;""))),1,0))</f>
        <v/>
      </c>
    </row>
    <row r="3">
      <c r="A3">
        <f>IF('01_Master_Data'!B3="","",2)</f>
        <v/>
      </c>
      <c r="B3">
        <f>IF('01_Master_Data'!B3="","",IF('01_Master_Data'!C3&lt;&gt;"","MOB|"&amp;TEXT('01_Master_Data'!C3,"0"),IF('01_Master_Data'!D3&lt;&gt;"","PID|"&amp;TRIM('01_Master_Data'!D3&amp;""),"")))</f>
        <v/>
      </c>
      <c r="C3">
        <f>IF('01_Master_Data'!B3="","",'01_Master_Data'!B3)</f>
        <v/>
      </c>
      <c r="D3">
        <f>IF('01_Master_Data'!B3="","",'01_Master_Data'!C3)</f>
        <v/>
      </c>
      <c r="E3">
        <f>IF('01_Master_Data'!B3="","",'01_Master_Data'!D3)</f>
        <v/>
      </c>
      <c r="F3">
        <f>IF('01_Master_Data'!B3="","",'01_Master_Data'!E3)</f>
        <v/>
      </c>
      <c r="G3">
        <f>IF('01_Master_Data'!B3="","",IFERROR(VLOOKUP(TRIM('01_Master_Data'!E3&amp;""),'02_Configuration'!$A$40:$B$44,2,FALSE),UPPER(TRIM('01_Master_Data'!E3&amp;""))))</f>
        <v/>
      </c>
      <c r="H3">
        <f>IF('01_Master_Data'!B3="","",IF('01_Master_Data'!U3="","",TRIM('01_Master_Data'!U3&amp;"")))</f>
        <v/>
      </c>
      <c r="I3">
        <f>IF('01_Master_Data'!B3="","",TRIM('01_Master_Data'!F3&amp;""))</f>
        <v/>
      </c>
      <c r="J3">
        <f>IF('01_Master_Data'!B3="","",TRIM('01_Master_Data'!G3&amp;""))</f>
        <v/>
      </c>
      <c r="K3">
        <f>IF('01_Master_Data'!B3="","",'01_Master_Data'!H3)</f>
        <v/>
      </c>
      <c r="L3">
        <f>IF('01_Master_Data'!B3="","",IF(LOWER(TRIM('01_Master_Data'!V3&amp;""))="yes",1,0))</f>
        <v/>
      </c>
      <c r="M3">
        <f>IF('01_Master_Data'!B3="","",IF(LOWER(TRIM('01_Master_Data'!W3&amp;""))="yes",1,0))</f>
        <v/>
      </c>
      <c r="N3">
        <f>IF('01_Master_Data'!B3="","",IF(LOWER(TRIM('01_Master_Data'!X3&amp;""))="yes",1,0))</f>
        <v/>
      </c>
      <c r="O3">
        <f>IF('01_Master_Data'!B3="","",IF(LOWER(TRIM('01_Master_Data'!Y3&amp;""))="yes",1,0))</f>
        <v/>
      </c>
      <c r="P3">
        <f>IF('01_Master_Data'!B3="","",IF(LOWER(TRIM('01_Master_Data'!Z3&amp;""))="yes",1,0))</f>
        <v/>
      </c>
      <c r="Q3">
        <f>IF(A3="","",L3+M3+N3+O3+P3)</f>
        <v/>
      </c>
      <c r="R3">
        <f>IF(A3="","",IF(Q3&gt;1,"Yes","No"))</f>
        <v/>
      </c>
      <c r="S3">
        <f>IF(A3="","",TEXTJOIN(", ",TRUE,IF(L3=1,"ICICI",""),IF(M3=1,"Propelld",""),IF(N3=1,"Study4Buddy",""),IF(O3=1,"Poonawala Fincorp",""),IF(P3=1,"GyanDhan","")))</f>
        <v/>
      </c>
      <c r="T3">
        <f>IF(A3="","",IF(L3=1,"ICICI",IF(M3=1,"Propelld",IF(P3=1,"GyanDhan",IF(N3=1,"Study4Buddy",IF(O3=1,"Poonawala Fincorp",IF(ISNUMBER(SEARCH("GyanDhan",W3&amp;"")),"GyanDhan",IF(ISNUMBER(SEARCH("Icici",W3&amp;"")),"ICICI",IF(ISNUMBER(SEARCH("Propelld",W3&amp;"")),"Propelld",IF(ISNUMBER(SEARCH("vidyalakshmi",LOWER(W3&amp;"")),"PM Vidyalakshmi","—"))))))))))</f>
        <v/>
      </c>
      <c r="U3">
        <f>IF(A3="","",TRIM('01_Master_Data'!AA3&amp;""))</f>
        <v/>
      </c>
      <c r="V3">
        <f>IF(A3="","",TRIM('01_Master_Data'!AG3&amp;""))</f>
        <v/>
      </c>
      <c r="W3">
        <f>IF(A3="","",TRIM('01_Master_Data'!AH3&amp;""))</f>
        <v/>
      </c>
      <c r="X3">
        <f>IF(A3="","",IF(OR(LOWER(H3)="refund",LOWER(U3)="refund case"),"Refund",IF(OR(LOWER(H3)="dnp",LOWER(U3)="dnp"),"DNP",IF(OR(LOWER(V3)="disbursed",ISNUMBER(SEARCH("Disbursed",W3&amp;""))),"Disbursed",IF(OR(LOWER(V3)="loan proccessed/accepted",ISNUMBER(SEARCH("sanctioned",LOWER(W3&amp;"")))),"Sanctioned",IF(OR(LOWER(V3)="rejected",ISNUMBER(SEARCH("Not eligbile",W3&amp;"")),ISNUMBER(SEARCH("Not eligible",W3&amp;""))),"Rejected",IF(ISNUMBER(SEARCH("Docs Pending",W3&amp;"")),"Documents Pending",IF(AND(LOWER(H3)="yes",LOWER(V3)="ongoing"),"Processing",IF(AND(LOWER(H3)="yes",Q3&gt;0,OR(V3="",LOWER(V3)="not even started")),"Vendor Assigned",IF(AND(LOWER(H3)="yes",LOWER(V3)="not even started"),"Need Loan",IF(LOWER(H3)="yes","Loan Started",IF(LOWER(H3)="not sure","Interested",IF(OR(LOWER(H3)="no",LOWER(V3)="not required"),"Not Required","Unclassified")))))))))))))</f>
        <v/>
      </c>
      <c r="Y3">
        <f>IF(A3="","",IF(OR(X3="Sanctioned",X3="Disbursed",X3="Approved"),"Approved",IF(X3="Rejected","Rejected",IF(OR(X3="Processing",X3="Documents Pending",X3="Vendor Assigned"),"In Progress",IF(X3="Need Loan","Pending Start","—"))))</f>
        <v/>
      </c>
      <c r="Z3">
        <f>IF(A3="","",IF(X3="Disbursed","Disbursed",IF(X3="Sanctioned","Sanctioned - Awaiting Disbursement","Not Disbursed")))</f>
        <v/>
      </c>
      <c r="AA3">
        <f>IF(A3="","",IF(LOWER(TRIM('01_Master_Data'!AI3&amp;""))="yes","Need FLDG",IF(LOWER(TRIM('01_Master_Data'!AK3&amp;""))="yes","Need Vidyalakshmi",IF(LOWER(TRIM('01_Master_Data'!AJ3&amp;""))="yes","Need Review",IF(LOWER(J3)="critical","Critical",IF(LOWER(U3)="risk","Risk Case",IF(X3="Refund","Refund","Normal")))))))</f>
        <v/>
      </c>
      <c r="AB3">
        <f>IF(A3="","",IF(OR(LOWER(J3)="critical",LOWER(TRIM('01_Master_Data'!AI3&amp;""))="yes",LOWER(TRIM('01_Master_Data'!AK3&amp;""))="yes",LOWER(U3)="risk"),"Yes","No"))</f>
        <v/>
      </c>
      <c r="AC3">
        <f>IF(A3="","",IF(LOWER(TRIM('01_Master_Data'!AI3&amp;""))="yes","Yes","No"))</f>
        <v/>
      </c>
      <c r="AD3">
        <f>IF(A3="","",IF(LOWER(TRIM('01_Master_Data'!AK3&amp;""))="yes","Yes","No"))</f>
        <v/>
      </c>
      <c r="AE3">
        <f>IF(A3="","",IF(LOWER(TRIM('01_Master_Data'!AJ3&amp;""))="yes","Yes","No"))</f>
        <v/>
      </c>
      <c r="AF3">
        <f>IF(A3="","",TRIM('01_Master_Data'!AL3&amp;""))</f>
        <v/>
      </c>
      <c r="AG3">
        <f>IF(A3="","",IF(AF3="","—",IF(ISNUMBER(SEARCH("DNP",AF3)),"Unreachable / DNP",IF(ISNUMBER(SEARCH("interest",LOWER(AF3))),"High Interest / Terms",IF(OR(ISNUMBER(SEARCH("eligib",LOWER(AF3))),ISNUMBER(SEARCH("income",LOWER(AF3)))),"Eligibility / Income",IF(OR(ISNUMBER(SEARCH("start",LOWER(AF3))),ISNUMBER(SEARCH("Newer",AF3)),ISNUMBER(SEARCH("Will start",AF3))),"Process Yet to Start",IF(ISNUMBER(SEARCH("sure",LOWER(AF3))),"Undecided",IF(OR(ISNUMBER(SEARCH("reject",LOWER(AF3))),ISNUMBER(SEARCH("SBI",AF3))),"Rejected Elsewhere",IF(ISNUMBER(SEARCH("call",LOWER(AF3))),"Bank Communication",IF(OR(ISNUMBER(SEARCH("father",LOWER(AF3))),ISNUMBER(SEARCH("sister",LOWER(AF3)))),"Family / Dependency","Other"))))))))))</f>
        <v/>
      </c>
      <c r="AH3">
        <f>IF(A3="","",'01_Master_Data'!AC3)</f>
        <v/>
      </c>
      <c r="AI3">
        <f>IF(A3="","",IF(OR(AH3="",NOT(ISNUMBER(AH3))),"",MAX(0,'02_Configuration'!$B$82-AH3)))</f>
        <v/>
      </c>
      <c r="AJ3">
        <f>IF(A3="","",IF(AI3="","Unknown",IF(AI3&lt;=3,"0–3 Days",IF(AI3&lt;=7,"4–7 Days",IF(AI3&lt;=15,"8–15 Days",IF(AI3&lt;=30,"16–30 Days","30+ Days"))))))</f>
        <v/>
      </c>
      <c r="AK3">
        <f>IF(A3="","",IF(LOWER(H3)="yes","Yes","No"))</f>
        <v/>
      </c>
      <c r="AL3">
        <f>IF(A3="","",'01_Master_Data'!T3)</f>
        <v/>
      </c>
      <c r="AM3">
        <f>IF(A3="","",'01_Master_Data'!S3)</f>
        <v/>
      </c>
      <c r="AN3">
        <f>IF(A3="","",'01_Master_Data'!I3)</f>
        <v/>
      </c>
      <c r="AO3">
        <f>IF(A3="","",'01_Master_Data'!M3)</f>
        <v/>
      </c>
      <c r="AP3">
        <f>IF(A3="","",IF(ISNUMBER(SEARCH("Icici",W3&amp;"")),1,0))</f>
        <v/>
      </c>
      <c r="AQ3">
        <f>IF(A3="","",IF(ISNUMBER(SEARCH("Propelld",W3&amp;"")),1,0))</f>
        <v/>
      </c>
      <c r="AR3">
        <f>IF(A3="","",IF(ISNUMBER(SEARCH("GyanDhan",W3&amp;"")),1,0))</f>
        <v/>
      </c>
      <c r="AS3">
        <f>IF(A3="","",IF(ISNUMBER(SEARCH("vidyalakshmi",LOWER(W3&amp;""))),1,0))</f>
        <v/>
      </c>
      <c r="AT3">
        <f>IF(A3="","",IF(ISNUMBER(SEARCH("other bank",LOWER(W3&amp;""))),1,0))</f>
        <v/>
      </c>
      <c r="AU3">
        <f>IF(A3="","",IF(ISNUMBER(SEARCH("sanctioned",LOWER(W3&amp;""))),1,0))</f>
        <v/>
      </c>
      <c r="AV3">
        <f>IF(A3="","",IF(ISNUMBER(SEARCH("Docs Pending",W3&amp;"")),1,0))</f>
        <v/>
      </c>
      <c r="AW3">
        <f>IF(A3="","",IF(OR(X3="Rejected",ISNUMBER(SEARCH("Not eligbile",W3&amp;""))),1,0))</f>
        <v/>
      </c>
    </row>
    <row r="4">
      <c r="A4">
        <f>IF('01_Master_Data'!B4="","",3)</f>
        <v/>
      </c>
      <c r="B4">
        <f>IF('01_Master_Data'!B4="","",IF('01_Master_Data'!C4&lt;&gt;"","MOB|"&amp;TEXT('01_Master_Data'!C4,"0"),IF('01_Master_Data'!D4&lt;&gt;"","PID|"&amp;TRIM('01_Master_Data'!D4&amp;""),"")))</f>
        <v/>
      </c>
      <c r="C4">
        <f>IF('01_Master_Data'!B4="","",'01_Master_Data'!B4)</f>
        <v/>
      </c>
      <c r="D4">
        <f>IF('01_Master_Data'!B4="","",'01_Master_Data'!C4)</f>
        <v/>
      </c>
      <c r="E4">
        <f>IF('01_Master_Data'!B4="","",'01_Master_Data'!D4)</f>
        <v/>
      </c>
      <c r="F4">
        <f>IF('01_Master_Data'!B4="","",'01_Master_Data'!E4)</f>
        <v/>
      </c>
      <c r="G4">
        <f>IF('01_Master_Data'!B4="","",IFERROR(VLOOKUP(TRIM('01_Master_Data'!E4&amp;""),'02_Configuration'!$A$40:$B$44,2,FALSE),UPPER(TRIM('01_Master_Data'!E4&amp;""))))</f>
        <v/>
      </c>
      <c r="H4">
        <f>IF('01_Master_Data'!B4="","",IF('01_Master_Data'!U4="","",TRIM('01_Master_Data'!U4&amp;"")))</f>
        <v/>
      </c>
      <c r="I4">
        <f>IF('01_Master_Data'!B4="","",TRIM('01_Master_Data'!F4&amp;""))</f>
        <v/>
      </c>
      <c r="J4">
        <f>IF('01_Master_Data'!B4="","",TRIM('01_Master_Data'!G4&amp;""))</f>
        <v/>
      </c>
      <c r="K4">
        <f>IF('01_Master_Data'!B4="","",'01_Master_Data'!H4)</f>
        <v/>
      </c>
      <c r="L4">
        <f>IF('01_Master_Data'!B4="","",IF(LOWER(TRIM('01_Master_Data'!V4&amp;""))="yes",1,0))</f>
        <v/>
      </c>
      <c r="M4">
        <f>IF('01_Master_Data'!B4="","",IF(LOWER(TRIM('01_Master_Data'!W4&amp;""))="yes",1,0))</f>
        <v/>
      </c>
      <c r="N4">
        <f>IF('01_Master_Data'!B4="","",IF(LOWER(TRIM('01_Master_Data'!X4&amp;""))="yes",1,0))</f>
        <v/>
      </c>
      <c r="O4">
        <f>IF('01_Master_Data'!B4="","",IF(LOWER(TRIM('01_Master_Data'!Y4&amp;""))="yes",1,0))</f>
        <v/>
      </c>
      <c r="P4">
        <f>IF('01_Master_Data'!B4="","",IF(LOWER(TRIM('01_Master_Data'!Z4&amp;""))="yes",1,0))</f>
        <v/>
      </c>
      <c r="Q4">
        <f>IF(A4="","",L4+M4+N4+O4+P4)</f>
        <v/>
      </c>
      <c r="R4">
        <f>IF(A4="","",IF(Q4&gt;1,"Yes","No"))</f>
        <v/>
      </c>
      <c r="S4">
        <f>IF(A4="","",TEXTJOIN(", ",TRUE,IF(L4=1,"ICICI",""),IF(M4=1,"Propelld",""),IF(N4=1,"Study4Buddy",""),IF(O4=1,"Poonawala Fincorp",""),IF(P4=1,"GyanDhan","")))</f>
        <v/>
      </c>
      <c r="T4">
        <f>IF(A4="","",IF(L4=1,"ICICI",IF(M4=1,"Propelld",IF(P4=1,"GyanDhan",IF(N4=1,"Study4Buddy",IF(O4=1,"Poonawala Fincorp",IF(ISNUMBER(SEARCH("GyanDhan",W4&amp;"")),"GyanDhan",IF(ISNUMBER(SEARCH("Icici",W4&amp;"")),"ICICI",IF(ISNUMBER(SEARCH("Propelld",W4&amp;"")),"Propelld",IF(ISNUMBER(SEARCH("vidyalakshmi",LOWER(W4&amp;"")),"PM Vidyalakshmi","—"))))))))))</f>
        <v/>
      </c>
      <c r="U4">
        <f>IF(A4="","",TRIM('01_Master_Data'!AA4&amp;""))</f>
        <v/>
      </c>
      <c r="V4">
        <f>IF(A4="","",TRIM('01_Master_Data'!AG4&amp;""))</f>
        <v/>
      </c>
      <c r="W4">
        <f>IF(A4="","",TRIM('01_Master_Data'!AH4&amp;""))</f>
        <v/>
      </c>
      <c r="X4">
        <f>IF(A4="","",IF(OR(LOWER(H4)="refund",LOWER(U4)="refund case"),"Refund",IF(OR(LOWER(H4)="dnp",LOWER(U4)="dnp"),"DNP",IF(OR(LOWER(V4)="disbursed",ISNUMBER(SEARCH("Disbursed",W4&amp;""))),"Disbursed",IF(OR(LOWER(V4)="loan proccessed/accepted",ISNUMBER(SEARCH("sanctioned",LOWER(W4&amp;"")))),"Sanctioned",IF(OR(LOWER(V4)="rejected",ISNUMBER(SEARCH("Not eligbile",W4&amp;"")),ISNUMBER(SEARCH("Not eligible",W4&amp;""))),"Rejected",IF(ISNUMBER(SEARCH("Docs Pending",W4&amp;"")),"Documents Pending",IF(AND(LOWER(H4)="yes",LOWER(V4)="ongoing"),"Processing",IF(AND(LOWER(H4)="yes",Q4&gt;0,OR(V4="",LOWER(V4)="not even started")),"Vendor Assigned",IF(AND(LOWER(H4)="yes",LOWER(V4)="not even started"),"Need Loan",IF(LOWER(H4)="yes","Loan Started",IF(LOWER(H4)="not sure","Interested",IF(OR(LOWER(H4)="no",LOWER(V4)="not required"),"Not Required","Unclassified")))))))))))))</f>
        <v/>
      </c>
      <c r="Y4">
        <f>IF(A4="","",IF(OR(X4="Sanctioned",X4="Disbursed",X4="Approved"),"Approved",IF(X4="Rejected","Rejected",IF(OR(X4="Processing",X4="Documents Pending",X4="Vendor Assigned"),"In Progress",IF(X4="Need Loan","Pending Start","—"))))</f>
        <v/>
      </c>
      <c r="Z4">
        <f>IF(A4="","",IF(X4="Disbursed","Disbursed",IF(X4="Sanctioned","Sanctioned - Awaiting Disbursement","Not Disbursed")))</f>
        <v/>
      </c>
      <c r="AA4">
        <f>IF(A4="","",IF(LOWER(TRIM('01_Master_Data'!AI4&amp;""))="yes","Need FLDG",IF(LOWER(TRIM('01_Master_Data'!AK4&amp;""))="yes","Need Vidyalakshmi",IF(LOWER(TRIM('01_Master_Data'!AJ4&amp;""))="yes","Need Review",IF(LOWER(J4)="critical","Critical",IF(LOWER(U4)="risk","Risk Case",IF(X4="Refund","Refund","Normal")))))))</f>
        <v/>
      </c>
      <c r="AB4">
        <f>IF(A4="","",IF(OR(LOWER(J4)="critical",LOWER(TRIM('01_Master_Data'!AI4&amp;""))="yes",LOWER(TRIM('01_Master_Data'!AK4&amp;""))="yes",LOWER(U4)="risk"),"Yes","No"))</f>
        <v/>
      </c>
      <c r="AC4">
        <f>IF(A4="","",IF(LOWER(TRIM('01_Master_Data'!AI4&amp;""))="yes","Yes","No"))</f>
        <v/>
      </c>
      <c r="AD4">
        <f>IF(A4="","",IF(LOWER(TRIM('01_Master_Data'!AK4&amp;""))="yes","Yes","No"))</f>
        <v/>
      </c>
      <c r="AE4">
        <f>IF(A4="","",IF(LOWER(TRIM('01_Master_Data'!AJ4&amp;""))="yes","Yes","No"))</f>
        <v/>
      </c>
      <c r="AF4">
        <f>IF(A4="","",TRIM('01_Master_Data'!AL4&amp;""))</f>
        <v/>
      </c>
      <c r="AG4">
        <f>IF(A4="","",IF(AF4="","—",IF(ISNUMBER(SEARCH("DNP",AF4)),"Unreachable / DNP",IF(ISNUMBER(SEARCH("interest",LOWER(AF4))),"High Interest / Terms",IF(OR(ISNUMBER(SEARCH("eligib",LOWER(AF4))),ISNUMBER(SEARCH("income",LOWER(AF4)))),"Eligibility / Income",IF(OR(ISNUMBER(SEARCH("start",LOWER(AF4))),ISNUMBER(SEARCH("Newer",AF4)),ISNUMBER(SEARCH("Will start",AF4))),"Process Yet to Start",IF(ISNUMBER(SEARCH("sure",LOWER(AF4))),"Undecided",IF(OR(ISNUMBER(SEARCH("reject",LOWER(AF4))),ISNUMBER(SEARCH("SBI",AF4))),"Rejected Elsewhere",IF(ISNUMBER(SEARCH("call",LOWER(AF4))),"Bank Communication",IF(OR(ISNUMBER(SEARCH("father",LOWER(AF4))),ISNUMBER(SEARCH("sister",LOWER(AF4)))),"Family / Dependency","Other"))))))))))</f>
        <v/>
      </c>
      <c r="AH4">
        <f>IF(A4="","",'01_Master_Data'!AC4)</f>
        <v/>
      </c>
      <c r="AI4">
        <f>IF(A4="","",IF(OR(AH4="",NOT(ISNUMBER(AH4))),"",MAX(0,'02_Configuration'!$B$82-AH4)))</f>
        <v/>
      </c>
      <c r="AJ4">
        <f>IF(A4="","",IF(AI4="","Unknown",IF(AI4&lt;=3,"0–3 Days",IF(AI4&lt;=7,"4–7 Days",IF(AI4&lt;=15,"8–15 Days",IF(AI4&lt;=30,"16–30 Days","30+ Days"))))))</f>
        <v/>
      </c>
      <c r="AK4">
        <f>IF(A4="","",IF(LOWER(H4)="yes","Yes","No"))</f>
        <v/>
      </c>
      <c r="AL4">
        <f>IF(A4="","",'01_Master_Data'!T4)</f>
        <v/>
      </c>
      <c r="AM4">
        <f>IF(A4="","",'01_Master_Data'!S4)</f>
        <v/>
      </c>
      <c r="AN4">
        <f>IF(A4="","",'01_Master_Data'!I4)</f>
        <v/>
      </c>
      <c r="AO4">
        <f>IF(A4="","",'01_Master_Data'!M4)</f>
        <v/>
      </c>
      <c r="AP4">
        <f>IF(A4="","",IF(ISNUMBER(SEARCH("Icici",W4&amp;"")),1,0))</f>
        <v/>
      </c>
      <c r="AQ4">
        <f>IF(A4="","",IF(ISNUMBER(SEARCH("Propelld",W4&amp;"")),1,0))</f>
        <v/>
      </c>
      <c r="AR4">
        <f>IF(A4="","",IF(ISNUMBER(SEARCH("GyanDhan",W4&amp;"")),1,0))</f>
        <v/>
      </c>
      <c r="AS4">
        <f>IF(A4="","",IF(ISNUMBER(SEARCH("vidyalakshmi",LOWER(W4&amp;""))),1,0))</f>
        <v/>
      </c>
      <c r="AT4">
        <f>IF(A4="","",IF(ISNUMBER(SEARCH("other bank",LOWER(W4&amp;""))),1,0))</f>
        <v/>
      </c>
      <c r="AU4">
        <f>IF(A4="","",IF(ISNUMBER(SEARCH("sanctioned",LOWER(W4&amp;""))),1,0))</f>
        <v/>
      </c>
      <c r="AV4">
        <f>IF(A4="","",IF(ISNUMBER(SEARCH("Docs Pending",W4&amp;"")),1,0))</f>
        <v/>
      </c>
      <c r="AW4">
        <f>IF(A4="","",IF(OR(X4="Rejected",ISNUMBER(SEARCH("Not eligbile",W4&amp;""))),1,0))</f>
        <v/>
      </c>
    </row>
    <row r="5">
      <c r="A5">
        <f>IF('01_Master_Data'!B5="","",4)</f>
        <v/>
      </c>
      <c r="B5">
        <f>IF('01_Master_Data'!B5="","",IF('01_Master_Data'!C5&lt;&gt;"","MOB|"&amp;TEXT('01_Master_Data'!C5,"0"),IF('01_Master_Data'!D5&lt;&gt;"","PID|"&amp;TRIM('01_Master_Data'!D5&amp;""),"")))</f>
        <v/>
      </c>
      <c r="C5">
        <f>IF('01_Master_Data'!B5="","",'01_Master_Data'!B5)</f>
        <v/>
      </c>
      <c r="D5">
        <f>IF('01_Master_Data'!B5="","",'01_Master_Data'!C5)</f>
        <v/>
      </c>
      <c r="E5">
        <f>IF('01_Master_Data'!B5="","",'01_Master_Data'!D5)</f>
        <v/>
      </c>
      <c r="F5">
        <f>IF('01_Master_Data'!B5="","",'01_Master_Data'!E5)</f>
        <v/>
      </c>
      <c r="G5">
        <f>IF('01_Master_Data'!B5="","",IFERROR(VLOOKUP(TRIM('01_Master_Data'!E5&amp;""),'02_Configuration'!$A$40:$B$44,2,FALSE),UPPER(TRIM('01_Master_Data'!E5&amp;""))))</f>
        <v/>
      </c>
      <c r="H5">
        <f>IF('01_Master_Data'!B5="","",IF('01_Master_Data'!U5="","",TRIM('01_Master_Data'!U5&amp;"")))</f>
        <v/>
      </c>
      <c r="I5">
        <f>IF('01_Master_Data'!B5="","",TRIM('01_Master_Data'!F5&amp;""))</f>
        <v/>
      </c>
      <c r="J5">
        <f>IF('01_Master_Data'!B5="","",TRIM('01_Master_Data'!G5&amp;""))</f>
        <v/>
      </c>
      <c r="K5">
        <f>IF('01_Master_Data'!B5="","",'01_Master_Data'!H5)</f>
        <v/>
      </c>
      <c r="L5">
        <f>IF('01_Master_Data'!B5="","",IF(LOWER(TRIM('01_Master_Data'!V5&amp;""))="yes",1,0))</f>
        <v/>
      </c>
      <c r="M5">
        <f>IF('01_Master_Data'!B5="","",IF(LOWER(TRIM('01_Master_Data'!W5&amp;""))="yes",1,0))</f>
        <v/>
      </c>
      <c r="N5">
        <f>IF('01_Master_Data'!B5="","",IF(LOWER(TRIM('01_Master_Data'!X5&amp;""))="yes",1,0))</f>
        <v/>
      </c>
      <c r="O5">
        <f>IF('01_Master_Data'!B5="","",IF(LOWER(TRIM('01_Master_Data'!Y5&amp;""))="yes",1,0))</f>
        <v/>
      </c>
      <c r="P5">
        <f>IF('01_Master_Data'!B5="","",IF(LOWER(TRIM('01_Master_Data'!Z5&amp;""))="yes",1,0))</f>
        <v/>
      </c>
      <c r="Q5">
        <f>IF(A5="","",L5+M5+N5+O5+P5)</f>
        <v/>
      </c>
      <c r="R5">
        <f>IF(A5="","",IF(Q5&gt;1,"Yes","No"))</f>
        <v/>
      </c>
      <c r="S5">
        <f>IF(A5="","",TEXTJOIN(", ",TRUE,IF(L5=1,"ICICI",""),IF(M5=1,"Propelld",""),IF(N5=1,"Study4Buddy",""),IF(O5=1,"Poonawala Fincorp",""),IF(P5=1,"GyanDhan","")))</f>
        <v/>
      </c>
      <c r="T5">
        <f>IF(A5="","",IF(L5=1,"ICICI",IF(M5=1,"Propelld",IF(P5=1,"GyanDhan",IF(N5=1,"Study4Buddy",IF(O5=1,"Poonawala Fincorp",IF(ISNUMBER(SEARCH("GyanDhan",W5&amp;"")),"GyanDhan",IF(ISNUMBER(SEARCH("Icici",W5&amp;"")),"ICICI",IF(ISNUMBER(SEARCH("Propelld",W5&amp;"")),"Propelld",IF(ISNUMBER(SEARCH("vidyalakshmi",LOWER(W5&amp;"")),"PM Vidyalakshmi","—"))))))))))</f>
        <v/>
      </c>
      <c r="U5">
        <f>IF(A5="","",TRIM('01_Master_Data'!AA5&amp;""))</f>
        <v/>
      </c>
      <c r="V5">
        <f>IF(A5="","",TRIM('01_Master_Data'!AG5&amp;""))</f>
        <v/>
      </c>
      <c r="W5">
        <f>IF(A5="","",TRIM('01_Master_Data'!AH5&amp;""))</f>
        <v/>
      </c>
      <c r="X5">
        <f>IF(A5="","",IF(OR(LOWER(H5)="refund",LOWER(U5)="refund case"),"Refund",IF(OR(LOWER(H5)="dnp",LOWER(U5)="dnp"),"DNP",IF(OR(LOWER(V5)="disbursed",ISNUMBER(SEARCH("Disbursed",W5&amp;""))),"Disbursed",IF(OR(LOWER(V5)="loan proccessed/accepted",ISNUMBER(SEARCH("sanctioned",LOWER(W5&amp;"")))),"Sanctioned",IF(OR(LOWER(V5)="rejected",ISNUMBER(SEARCH("Not eligbile",W5&amp;"")),ISNUMBER(SEARCH("Not eligible",W5&amp;""))),"Rejected",IF(ISNUMBER(SEARCH("Docs Pending",W5&amp;"")),"Documents Pending",IF(AND(LOWER(H5)="yes",LOWER(V5)="ongoing"),"Processing",IF(AND(LOWER(H5)="yes",Q5&gt;0,OR(V5="",LOWER(V5)="not even started")),"Vendor Assigned",IF(AND(LOWER(H5)="yes",LOWER(V5)="not even started"),"Need Loan",IF(LOWER(H5)="yes","Loan Started",IF(LOWER(H5)="not sure","Interested",IF(OR(LOWER(H5)="no",LOWER(V5)="not required"),"Not Required","Unclassified")))))))))))))</f>
        <v/>
      </c>
      <c r="Y5">
        <f>IF(A5="","",IF(OR(X5="Sanctioned",X5="Disbursed",X5="Approved"),"Approved",IF(X5="Rejected","Rejected",IF(OR(X5="Processing",X5="Documents Pending",X5="Vendor Assigned"),"In Progress",IF(X5="Need Loan","Pending Start","—"))))</f>
        <v/>
      </c>
      <c r="Z5">
        <f>IF(A5="","",IF(X5="Disbursed","Disbursed",IF(X5="Sanctioned","Sanctioned - Awaiting Disbursement","Not Disbursed")))</f>
        <v/>
      </c>
      <c r="AA5">
        <f>IF(A5="","",IF(LOWER(TRIM('01_Master_Data'!AI5&amp;""))="yes","Need FLDG",IF(LOWER(TRIM('01_Master_Data'!AK5&amp;""))="yes","Need Vidyalakshmi",IF(LOWER(TRIM('01_Master_Data'!AJ5&amp;""))="yes","Need Review",IF(LOWER(J5)="critical","Critical",IF(LOWER(U5)="risk","Risk Case",IF(X5="Refund","Refund","Normal")))))))</f>
        <v/>
      </c>
      <c r="AB5">
        <f>IF(A5="","",IF(OR(LOWER(J5)="critical",LOWER(TRIM('01_Master_Data'!AI5&amp;""))="yes",LOWER(TRIM('01_Master_Data'!AK5&amp;""))="yes",LOWER(U5)="risk"),"Yes","No"))</f>
        <v/>
      </c>
      <c r="AC5">
        <f>IF(A5="","",IF(LOWER(TRIM('01_Master_Data'!AI5&amp;""))="yes","Yes","No"))</f>
        <v/>
      </c>
      <c r="AD5">
        <f>IF(A5="","",IF(LOWER(TRIM('01_Master_Data'!AK5&amp;""))="yes","Yes","No"))</f>
        <v/>
      </c>
      <c r="AE5">
        <f>IF(A5="","",IF(LOWER(TRIM('01_Master_Data'!AJ5&amp;""))="yes","Yes","No"))</f>
        <v/>
      </c>
      <c r="AF5">
        <f>IF(A5="","",TRIM('01_Master_Data'!AL5&amp;""))</f>
        <v/>
      </c>
      <c r="AG5">
        <f>IF(A5="","",IF(AF5="","—",IF(ISNUMBER(SEARCH("DNP",AF5)),"Unreachable / DNP",IF(ISNUMBER(SEARCH("interest",LOWER(AF5))),"High Interest / Terms",IF(OR(ISNUMBER(SEARCH("eligib",LOWER(AF5))),ISNUMBER(SEARCH("income",LOWER(AF5)))),"Eligibility / Income",IF(OR(ISNUMBER(SEARCH("start",LOWER(AF5))),ISNUMBER(SEARCH("Newer",AF5)),ISNUMBER(SEARCH("Will start",AF5))),"Process Yet to Start",IF(ISNUMBER(SEARCH("sure",LOWER(AF5))),"Undecided",IF(OR(ISNUMBER(SEARCH("reject",LOWER(AF5))),ISNUMBER(SEARCH("SBI",AF5))),"Rejected Elsewhere",IF(ISNUMBER(SEARCH("call",LOWER(AF5))),"Bank Communication",IF(OR(ISNUMBER(SEARCH("father",LOWER(AF5))),ISNUMBER(SEARCH("sister",LOWER(AF5)))),"Family / Dependency","Other"))))))))))</f>
        <v/>
      </c>
      <c r="AH5">
        <f>IF(A5="","",'01_Master_Data'!AC5)</f>
        <v/>
      </c>
      <c r="AI5">
        <f>IF(A5="","",IF(OR(AH5="",NOT(ISNUMBER(AH5))),"",MAX(0,'02_Configuration'!$B$82-AH5)))</f>
        <v/>
      </c>
      <c r="AJ5">
        <f>IF(A5="","",IF(AI5="","Unknown",IF(AI5&lt;=3,"0–3 Days",IF(AI5&lt;=7,"4–7 Days",IF(AI5&lt;=15,"8–15 Days",IF(AI5&lt;=30,"16–30 Days","30+ Days"))))))</f>
        <v/>
      </c>
      <c r="AK5">
        <f>IF(A5="","",IF(LOWER(H5)="yes","Yes","No"))</f>
        <v/>
      </c>
      <c r="AL5">
        <f>IF(A5="","",'01_Master_Data'!T5)</f>
        <v/>
      </c>
      <c r="AM5">
        <f>IF(A5="","",'01_Master_Data'!S5)</f>
        <v/>
      </c>
      <c r="AN5">
        <f>IF(A5="","",'01_Master_Data'!I5)</f>
        <v/>
      </c>
      <c r="AO5">
        <f>IF(A5="","",'01_Master_Data'!M5)</f>
        <v/>
      </c>
      <c r="AP5">
        <f>IF(A5="","",IF(ISNUMBER(SEARCH("Icici",W5&amp;"")),1,0))</f>
        <v/>
      </c>
      <c r="AQ5">
        <f>IF(A5="","",IF(ISNUMBER(SEARCH("Propelld",W5&amp;"")),1,0))</f>
        <v/>
      </c>
      <c r="AR5">
        <f>IF(A5="","",IF(ISNUMBER(SEARCH("GyanDhan",W5&amp;"")),1,0))</f>
        <v/>
      </c>
      <c r="AS5">
        <f>IF(A5="","",IF(ISNUMBER(SEARCH("vidyalakshmi",LOWER(W5&amp;""))),1,0))</f>
        <v/>
      </c>
      <c r="AT5">
        <f>IF(A5="","",IF(ISNUMBER(SEARCH("other bank",LOWER(W5&amp;""))),1,0))</f>
        <v/>
      </c>
      <c r="AU5">
        <f>IF(A5="","",IF(ISNUMBER(SEARCH("sanctioned",LOWER(W5&amp;""))),1,0))</f>
        <v/>
      </c>
      <c r="AV5">
        <f>IF(A5="","",IF(ISNUMBER(SEARCH("Docs Pending",W5&amp;"")),1,0))</f>
        <v/>
      </c>
      <c r="AW5">
        <f>IF(A5="","",IF(OR(X5="Rejected",ISNUMBER(SEARCH("Not eligbile",W5&amp;""))),1,0))</f>
        <v/>
      </c>
    </row>
    <row r="6">
      <c r="A6">
        <f>IF('01_Master_Data'!B6="","",5)</f>
        <v/>
      </c>
      <c r="B6">
        <f>IF('01_Master_Data'!B6="","",IF('01_Master_Data'!C6&lt;&gt;"","MOB|"&amp;TEXT('01_Master_Data'!C6,"0"),IF('01_Master_Data'!D6&lt;&gt;"","PID|"&amp;TRIM('01_Master_Data'!D6&amp;""),"")))</f>
        <v/>
      </c>
      <c r="C6">
        <f>IF('01_Master_Data'!B6="","",'01_Master_Data'!B6)</f>
        <v/>
      </c>
      <c r="D6">
        <f>IF('01_Master_Data'!B6="","",'01_Master_Data'!C6)</f>
        <v/>
      </c>
      <c r="E6">
        <f>IF('01_Master_Data'!B6="","",'01_Master_Data'!D6)</f>
        <v/>
      </c>
      <c r="F6">
        <f>IF('01_Master_Data'!B6="","",'01_Master_Data'!E6)</f>
        <v/>
      </c>
      <c r="G6">
        <f>IF('01_Master_Data'!B6="","",IFERROR(VLOOKUP(TRIM('01_Master_Data'!E6&amp;""),'02_Configuration'!$A$40:$B$44,2,FALSE),UPPER(TRIM('01_Master_Data'!E6&amp;""))))</f>
        <v/>
      </c>
      <c r="H6">
        <f>IF('01_Master_Data'!B6="","",IF('01_Master_Data'!U6="","",TRIM('01_Master_Data'!U6&amp;"")))</f>
        <v/>
      </c>
      <c r="I6">
        <f>IF('01_Master_Data'!B6="","",TRIM('01_Master_Data'!F6&amp;""))</f>
        <v/>
      </c>
      <c r="J6">
        <f>IF('01_Master_Data'!B6="","",TRIM('01_Master_Data'!G6&amp;""))</f>
        <v/>
      </c>
      <c r="K6">
        <f>IF('01_Master_Data'!B6="","",'01_Master_Data'!H6)</f>
        <v/>
      </c>
      <c r="L6">
        <f>IF('01_Master_Data'!B6="","",IF(LOWER(TRIM('01_Master_Data'!V6&amp;""))="yes",1,0))</f>
        <v/>
      </c>
      <c r="M6">
        <f>IF('01_Master_Data'!B6="","",IF(LOWER(TRIM('01_Master_Data'!W6&amp;""))="yes",1,0))</f>
        <v/>
      </c>
      <c r="N6">
        <f>IF('01_Master_Data'!B6="","",IF(LOWER(TRIM('01_Master_Data'!X6&amp;""))="yes",1,0))</f>
        <v/>
      </c>
      <c r="O6">
        <f>IF('01_Master_Data'!B6="","",IF(LOWER(TRIM('01_Master_Data'!Y6&amp;""))="yes",1,0))</f>
        <v/>
      </c>
      <c r="P6">
        <f>IF('01_Master_Data'!B6="","",IF(LOWER(TRIM('01_Master_Data'!Z6&amp;""))="yes",1,0))</f>
        <v/>
      </c>
      <c r="Q6">
        <f>IF(A6="","",L6+M6+N6+O6+P6)</f>
        <v/>
      </c>
      <c r="R6">
        <f>IF(A6="","",IF(Q6&gt;1,"Yes","No"))</f>
        <v/>
      </c>
      <c r="S6">
        <f>IF(A6="","",TEXTJOIN(", ",TRUE,IF(L6=1,"ICICI",""),IF(M6=1,"Propelld",""),IF(N6=1,"Study4Buddy",""),IF(O6=1,"Poonawala Fincorp",""),IF(P6=1,"GyanDhan","")))</f>
        <v/>
      </c>
      <c r="T6">
        <f>IF(A6="","",IF(L6=1,"ICICI",IF(M6=1,"Propelld",IF(P6=1,"GyanDhan",IF(N6=1,"Study4Buddy",IF(O6=1,"Poonawala Fincorp",IF(ISNUMBER(SEARCH("GyanDhan",W6&amp;"")),"GyanDhan",IF(ISNUMBER(SEARCH("Icici",W6&amp;"")),"ICICI",IF(ISNUMBER(SEARCH("Propelld",W6&amp;"")),"Propelld",IF(ISNUMBER(SEARCH("vidyalakshmi",LOWER(W6&amp;"")),"PM Vidyalakshmi","—"))))))))))</f>
        <v/>
      </c>
      <c r="U6">
        <f>IF(A6="","",TRIM('01_Master_Data'!AA6&amp;""))</f>
        <v/>
      </c>
      <c r="V6">
        <f>IF(A6="","",TRIM('01_Master_Data'!AG6&amp;""))</f>
        <v/>
      </c>
      <c r="W6">
        <f>IF(A6="","",TRIM('01_Master_Data'!AH6&amp;""))</f>
        <v/>
      </c>
      <c r="X6">
        <f>IF(A6="","",IF(OR(LOWER(H6)="refund",LOWER(U6)="refund case"),"Refund",IF(OR(LOWER(H6)="dnp",LOWER(U6)="dnp"),"DNP",IF(OR(LOWER(V6)="disbursed",ISNUMBER(SEARCH("Disbursed",W6&amp;""))),"Disbursed",IF(OR(LOWER(V6)="loan proccessed/accepted",ISNUMBER(SEARCH("sanctioned",LOWER(W6&amp;"")))),"Sanctioned",IF(OR(LOWER(V6)="rejected",ISNUMBER(SEARCH("Not eligbile",W6&amp;"")),ISNUMBER(SEARCH("Not eligible",W6&amp;""))),"Rejected",IF(ISNUMBER(SEARCH("Docs Pending",W6&amp;"")),"Documents Pending",IF(AND(LOWER(H6)="yes",LOWER(V6)="ongoing"),"Processing",IF(AND(LOWER(H6)="yes",Q6&gt;0,OR(V6="",LOWER(V6)="not even started")),"Vendor Assigned",IF(AND(LOWER(H6)="yes",LOWER(V6)="not even started"),"Need Loan",IF(LOWER(H6)="yes","Loan Started",IF(LOWER(H6)="not sure","Interested",IF(OR(LOWER(H6)="no",LOWER(V6)="not required"),"Not Required","Unclassified")))))))))))))</f>
        <v/>
      </c>
      <c r="Y6">
        <f>IF(A6="","",IF(OR(X6="Sanctioned",X6="Disbursed",X6="Approved"),"Approved",IF(X6="Rejected","Rejected",IF(OR(X6="Processing",X6="Documents Pending",X6="Vendor Assigned"),"In Progress",IF(X6="Need Loan","Pending Start","—"))))</f>
        <v/>
      </c>
      <c r="Z6">
        <f>IF(A6="","",IF(X6="Disbursed","Disbursed",IF(X6="Sanctioned","Sanctioned - Awaiting Disbursement","Not Disbursed")))</f>
        <v/>
      </c>
      <c r="AA6">
        <f>IF(A6="","",IF(LOWER(TRIM('01_Master_Data'!AI6&amp;""))="yes","Need FLDG",IF(LOWER(TRIM('01_Master_Data'!AK6&amp;""))="yes","Need Vidyalakshmi",IF(LOWER(TRIM('01_Master_Data'!AJ6&amp;""))="yes","Need Review",IF(LOWER(J6)="critical","Critical",IF(LOWER(U6)="risk","Risk Case",IF(X6="Refund","Refund","Normal")))))))</f>
        <v/>
      </c>
      <c r="AB6">
        <f>IF(A6="","",IF(OR(LOWER(J6)="critical",LOWER(TRIM('01_Master_Data'!AI6&amp;""))="yes",LOWER(TRIM('01_Master_Data'!AK6&amp;""))="yes",LOWER(U6)="risk"),"Yes","No"))</f>
        <v/>
      </c>
      <c r="AC6">
        <f>IF(A6="","",IF(LOWER(TRIM('01_Master_Data'!AI6&amp;""))="yes","Yes","No"))</f>
        <v/>
      </c>
      <c r="AD6">
        <f>IF(A6="","",IF(LOWER(TRIM('01_Master_Data'!AK6&amp;""))="yes","Yes","No"))</f>
        <v/>
      </c>
      <c r="AE6">
        <f>IF(A6="","",IF(LOWER(TRIM('01_Master_Data'!AJ6&amp;""))="yes","Yes","No"))</f>
        <v/>
      </c>
      <c r="AF6">
        <f>IF(A6="","",TRIM('01_Master_Data'!AL6&amp;""))</f>
        <v/>
      </c>
      <c r="AG6">
        <f>IF(A6="","",IF(AF6="","—",IF(ISNUMBER(SEARCH("DNP",AF6)),"Unreachable / DNP",IF(ISNUMBER(SEARCH("interest",LOWER(AF6))),"High Interest / Terms",IF(OR(ISNUMBER(SEARCH("eligib",LOWER(AF6))),ISNUMBER(SEARCH("income",LOWER(AF6)))),"Eligibility / Income",IF(OR(ISNUMBER(SEARCH("start",LOWER(AF6))),ISNUMBER(SEARCH("Newer",AF6)),ISNUMBER(SEARCH("Will start",AF6))),"Process Yet to Start",IF(ISNUMBER(SEARCH("sure",LOWER(AF6))),"Undecided",IF(OR(ISNUMBER(SEARCH("reject",LOWER(AF6))),ISNUMBER(SEARCH("SBI",AF6))),"Rejected Elsewhere",IF(ISNUMBER(SEARCH("call",LOWER(AF6))),"Bank Communication",IF(OR(ISNUMBER(SEARCH("father",LOWER(AF6))),ISNUMBER(SEARCH("sister",LOWER(AF6)))),"Family / Dependency","Other"))))))))))</f>
        <v/>
      </c>
      <c r="AH6">
        <f>IF(A6="","",'01_Master_Data'!AC6)</f>
        <v/>
      </c>
      <c r="AI6">
        <f>IF(A6="","",IF(OR(AH6="",NOT(ISNUMBER(AH6))),"",MAX(0,'02_Configuration'!$B$82-AH6)))</f>
        <v/>
      </c>
      <c r="AJ6">
        <f>IF(A6="","",IF(AI6="","Unknown",IF(AI6&lt;=3,"0–3 Days",IF(AI6&lt;=7,"4–7 Days",IF(AI6&lt;=15,"8–15 Days",IF(AI6&lt;=30,"16–30 Days","30+ Days"))))))</f>
        <v/>
      </c>
      <c r="AK6">
        <f>IF(A6="","",IF(LOWER(H6)="yes","Yes","No"))</f>
        <v/>
      </c>
      <c r="AL6">
        <f>IF(A6="","",'01_Master_Data'!T6)</f>
        <v/>
      </c>
      <c r="AM6">
        <f>IF(A6="","",'01_Master_Data'!S6)</f>
        <v/>
      </c>
      <c r="AN6">
        <f>IF(A6="","",'01_Master_Data'!I6)</f>
        <v/>
      </c>
      <c r="AO6">
        <f>IF(A6="","",'01_Master_Data'!M6)</f>
        <v/>
      </c>
      <c r="AP6">
        <f>IF(A6="","",IF(ISNUMBER(SEARCH("Icici",W6&amp;"")),1,0))</f>
        <v/>
      </c>
      <c r="AQ6">
        <f>IF(A6="","",IF(ISNUMBER(SEARCH("Propelld",W6&amp;"")),1,0))</f>
        <v/>
      </c>
      <c r="AR6">
        <f>IF(A6="","",IF(ISNUMBER(SEARCH("GyanDhan",W6&amp;"")),1,0))</f>
        <v/>
      </c>
      <c r="AS6">
        <f>IF(A6="","",IF(ISNUMBER(SEARCH("vidyalakshmi",LOWER(W6&amp;""))),1,0))</f>
        <v/>
      </c>
      <c r="AT6">
        <f>IF(A6="","",IF(ISNUMBER(SEARCH("other bank",LOWER(W6&amp;""))),1,0))</f>
        <v/>
      </c>
      <c r="AU6">
        <f>IF(A6="","",IF(ISNUMBER(SEARCH("sanctioned",LOWER(W6&amp;""))),1,0))</f>
        <v/>
      </c>
      <c r="AV6">
        <f>IF(A6="","",IF(ISNUMBER(SEARCH("Docs Pending",W6&amp;"")),1,0))</f>
        <v/>
      </c>
      <c r="AW6">
        <f>IF(A6="","",IF(OR(X6="Rejected",ISNUMBER(SEARCH("Not eligbile",W6&amp;""))),1,0))</f>
        <v/>
      </c>
    </row>
    <row r="7">
      <c r="A7">
        <f>IF('01_Master_Data'!B7="","",6)</f>
        <v/>
      </c>
      <c r="B7">
        <f>IF('01_Master_Data'!B7="","",IF('01_Master_Data'!C7&lt;&gt;"","MOB|"&amp;TEXT('01_Master_Data'!C7,"0"),IF('01_Master_Data'!D7&lt;&gt;"","PID|"&amp;TRIM('01_Master_Data'!D7&amp;""),"")))</f>
        <v/>
      </c>
      <c r="C7">
        <f>IF('01_Master_Data'!B7="","",'01_Master_Data'!B7)</f>
        <v/>
      </c>
      <c r="D7">
        <f>IF('01_Master_Data'!B7="","",'01_Master_Data'!C7)</f>
        <v/>
      </c>
      <c r="E7">
        <f>IF('01_Master_Data'!B7="","",'01_Master_Data'!D7)</f>
        <v/>
      </c>
      <c r="F7">
        <f>IF('01_Master_Data'!B7="","",'01_Master_Data'!E7)</f>
        <v/>
      </c>
      <c r="G7">
        <f>IF('01_Master_Data'!B7="","",IFERROR(VLOOKUP(TRIM('01_Master_Data'!E7&amp;""),'02_Configuration'!$A$40:$B$44,2,FALSE),UPPER(TRIM('01_Master_Data'!E7&amp;""))))</f>
        <v/>
      </c>
      <c r="H7">
        <f>IF('01_Master_Data'!B7="","",IF('01_Master_Data'!U7="","",TRIM('01_Master_Data'!U7&amp;"")))</f>
        <v/>
      </c>
      <c r="I7">
        <f>IF('01_Master_Data'!B7="","",TRIM('01_Master_Data'!F7&amp;""))</f>
        <v/>
      </c>
      <c r="J7">
        <f>IF('01_Master_Data'!B7="","",TRIM('01_Master_Data'!G7&amp;""))</f>
        <v/>
      </c>
      <c r="K7">
        <f>IF('01_Master_Data'!B7="","",'01_Master_Data'!H7)</f>
        <v/>
      </c>
      <c r="L7">
        <f>IF('01_Master_Data'!B7="","",IF(LOWER(TRIM('01_Master_Data'!V7&amp;""))="yes",1,0))</f>
        <v/>
      </c>
      <c r="M7">
        <f>IF('01_Master_Data'!B7="","",IF(LOWER(TRIM('01_Master_Data'!W7&amp;""))="yes",1,0))</f>
        <v/>
      </c>
      <c r="N7">
        <f>IF('01_Master_Data'!B7="","",IF(LOWER(TRIM('01_Master_Data'!X7&amp;""))="yes",1,0))</f>
        <v/>
      </c>
      <c r="O7">
        <f>IF('01_Master_Data'!B7="","",IF(LOWER(TRIM('01_Master_Data'!Y7&amp;""))="yes",1,0))</f>
        <v/>
      </c>
      <c r="P7">
        <f>IF('01_Master_Data'!B7="","",IF(LOWER(TRIM('01_Master_Data'!Z7&amp;""))="yes",1,0))</f>
        <v/>
      </c>
      <c r="Q7">
        <f>IF(A7="","",L7+M7+N7+O7+P7)</f>
        <v/>
      </c>
      <c r="R7">
        <f>IF(A7="","",IF(Q7&gt;1,"Yes","No"))</f>
        <v/>
      </c>
      <c r="S7">
        <f>IF(A7="","",TEXTJOIN(", ",TRUE,IF(L7=1,"ICICI",""),IF(M7=1,"Propelld",""),IF(N7=1,"Study4Buddy",""),IF(O7=1,"Poonawala Fincorp",""),IF(P7=1,"GyanDhan","")))</f>
        <v/>
      </c>
      <c r="T7">
        <f>IF(A7="","",IF(L7=1,"ICICI",IF(M7=1,"Propelld",IF(P7=1,"GyanDhan",IF(N7=1,"Study4Buddy",IF(O7=1,"Poonawala Fincorp",IF(ISNUMBER(SEARCH("GyanDhan",W7&amp;"")),"GyanDhan",IF(ISNUMBER(SEARCH("Icici",W7&amp;"")),"ICICI",IF(ISNUMBER(SEARCH("Propelld",W7&amp;"")),"Propelld",IF(ISNUMBER(SEARCH("vidyalakshmi",LOWER(W7&amp;"")),"PM Vidyalakshmi","—"))))))))))</f>
        <v/>
      </c>
      <c r="U7">
        <f>IF(A7="","",TRIM('01_Master_Data'!AA7&amp;""))</f>
        <v/>
      </c>
      <c r="V7">
        <f>IF(A7="","",TRIM('01_Master_Data'!AG7&amp;""))</f>
        <v/>
      </c>
      <c r="W7">
        <f>IF(A7="","",TRIM('01_Master_Data'!AH7&amp;""))</f>
        <v/>
      </c>
      <c r="X7">
        <f>IF(A7="","",IF(OR(LOWER(H7)="refund",LOWER(U7)="refund case"),"Refund",IF(OR(LOWER(H7)="dnp",LOWER(U7)="dnp"),"DNP",IF(OR(LOWER(V7)="disbursed",ISNUMBER(SEARCH("Disbursed",W7&amp;""))),"Disbursed",IF(OR(LOWER(V7)="loan proccessed/accepted",ISNUMBER(SEARCH("sanctioned",LOWER(W7&amp;"")))),"Sanctioned",IF(OR(LOWER(V7)="rejected",ISNUMBER(SEARCH("Not eligbile",W7&amp;"")),ISNUMBER(SEARCH("Not eligible",W7&amp;""))),"Rejected",IF(ISNUMBER(SEARCH("Docs Pending",W7&amp;"")),"Documents Pending",IF(AND(LOWER(H7)="yes",LOWER(V7)="ongoing"),"Processing",IF(AND(LOWER(H7)="yes",Q7&gt;0,OR(V7="",LOWER(V7)="not even started")),"Vendor Assigned",IF(AND(LOWER(H7)="yes",LOWER(V7)="not even started"),"Need Loan",IF(LOWER(H7)="yes","Loan Started",IF(LOWER(H7)="not sure","Interested",IF(OR(LOWER(H7)="no",LOWER(V7)="not required"),"Not Required","Unclassified")))))))))))))</f>
        <v/>
      </c>
      <c r="Y7">
        <f>IF(A7="","",IF(OR(X7="Sanctioned",X7="Disbursed",X7="Approved"),"Approved",IF(X7="Rejected","Rejected",IF(OR(X7="Processing",X7="Documents Pending",X7="Vendor Assigned"),"In Progress",IF(X7="Need Loan","Pending Start","—"))))</f>
        <v/>
      </c>
      <c r="Z7">
        <f>IF(A7="","",IF(X7="Disbursed","Disbursed",IF(X7="Sanctioned","Sanctioned - Awaiting Disbursement","Not Disbursed")))</f>
        <v/>
      </c>
      <c r="AA7">
        <f>IF(A7="","",IF(LOWER(TRIM('01_Master_Data'!AI7&amp;""))="yes","Need FLDG",IF(LOWER(TRIM('01_Master_Data'!AK7&amp;""))="yes","Need Vidyalakshmi",IF(LOWER(TRIM('01_Master_Data'!AJ7&amp;""))="yes","Need Review",IF(LOWER(J7)="critical","Critical",IF(LOWER(U7)="risk","Risk Case",IF(X7="Refund","Refund","Normal")))))))</f>
        <v/>
      </c>
      <c r="AB7">
        <f>IF(A7="","",IF(OR(LOWER(J7)="critical",LOWER(TRIM('01_Master_Data'!AI7&amp;""))="yes",LOWER(TRIM('01_Master_Data'!AK7&amp;""))="yes",LOWER(U7)="risk"),"Yes","No"))</f>
        <v/>
      </c>
      <c r="AC7">
        <f>IF(A7="","",IF(LOWER(TRIM('01_Master_Data'!AI7&amp;""))="yes","Yes","No"))</f>
        <v/>
      </c>
      <c r="AD7">
        <f>IF(A7="","",IF(LOWER(TRIM('01_Master_Data'!AK7&amp;""))="yes","Yes","No"))</f>
        <v/>
      </c>
      <c r="AE7">
        <f>IF(A7="","",IF(LOWER(TRIM('01_Master_Data'!AJ7&amp;""))="yes","Yes","No"))</f>
        <v/>
      </c>
      <c r="AF7">
        <f>IF(A7="","",TRIM('01_Master_Data'!AL7&amp;""))</f>
        <v/>
      </c>
      <c r="AG7">
        <f>IF(A7="","",IF(AF7="","—",IF(ISNUMBER(SEARCH("DNP",AF7)),"Unreachable / DNP",IF(ISNUMBER(SEARCH("interest",LOWER(AF7))),"High Interest / Terms",IF(OR(ISNUMBER(SEARCH("eligib",LOWER(AF7))),ISNUMBER(SEARCH("income",LOWER(AF7)))),"Eligibility / Income",IF(OR(ISNUMBER(SEARCH("start",LOWER(AF7))),ISNUMBER(SEARCH("Newer",AF7)),ISNUMBER(SEARCH("Will start",AF7))),"Process Yet to Start",IF(ISNUMBER(SEARCH("sure",LOWER(AF7))),"Undecided",IF(OR(ISNUMBER(SEARCH("reject",LOWER(AF7))),ISNUMBER(SEARCH("SBI",AF7))),"Rejected Elsewhere",IF(ISNUMBER(SEARCH("call",LOWER(AF7))),"Bank Communication",IF(OR(ISNUMBER(SEARCH("father",LOWER(AF7))),ISNUMBER(SEARCH("sister",LOWER(AF7)))),"Family / Dependency","Other"))))))))))</f>
        <v/>
      </c>
      <c r="AH7">
        <f>IF(A7="","",'01_Master_Data'!AC7)</f>
        <v/>
      </c>
      <c r="AI7">
        <f>IF(A7="","",IF(OR(AH7="",NOT(ISNUMBER(AH7))),"",MAX(0,'02_Configuration'!$B$82-AH7)))</f>
        <v/>
      </c>
      <c r="AJ7">
        <f>IF(A7="","",IF(AI7="","Unknown",IF(AI7&lt;=3,"0–3 Days",IF(AI7&lt;=7,"4–7 Days",IF(AI7&lt;=15,"8–15 Days",IF(AI7&lt;=30,"16–30 Days","30+ Days"))))))</f>
        <v/>
      </c>
      <c r="AK7">
        <f>IF(A7="","",IF(LOWER(H7)="yes","Yes","No"))</f>
        <v/>
      </c>
      <c r="AL7">
        <f>IF(A7="","",'01_Master_Data'!T7)</f>
        <v/>
      </c>
      <c r="AM7">
        <f>IF(A7="","",'01_Master_Data'!S7)</f>
        <v/>
      </c>
      <c r="AN7">
        <f>IF(A7="","",'01_Master_Data'!I7)</f>
        <v/>
      </c>
      <c r="AO7">
        <f>IF(A7="","",'01_Master_Data'!M7)</f>
        <v/>
      </c>
      <c r="AP7">
        <f>IF(A7="","",IF(ISNUMBER(SEARCH("Icici",W7&amp;"")),1,0))</f>
        <v/>
      </c>
      <c r="AQ7">
        <f>IF(A7="","",IF(ISNUMBER(SEARCH("Propelld",W7&amp;"")),1,0))</f>
        <v/>
      </c>
      <c r="AR7">
        <f>IF(A7="","",IF(ISNUMBER(SEARCH("GyanDhan",W7&amp;"")),1,0))</f>
        <v/>
      </c>
      <c r="AS7">
        <f>IF(A7="","",IF(ISNUMBER(SEARCH("vidyalakshmi",LOWER(W7&amp;""))),1,0))</f>
        <v/>
      </c>
      <c r="AT7">
        <f>IF(A7="","",IF(ISNUMBER(SEARCH("other bank",LOWER(W7&amp;""))),1,0))</f>
        <v/>
      </c>
      <c r="AU7">
        <f>IF(A7="","",IF(ISNUMBER(SEARCH("sanctioned",LOWER(W7&amp;""))),1,0))</f>
        <v/>
      </c>
      <c r="AV7">
        <f>IF(A7="","",IF(ISNUMBER(SEARCH("Docs Pending",W7&amp;"")),1,0))</f>
        <v/>
      </c>
      <c r="AW7">
        <f>IF(A7="","",IF(OR(X7="Rejected",ISNUMBER(SEARCH("Not eligbile",W7&amp;""))),1,0))</f>
        <v/>
      </c>
    </row>
    <row r="8">
      <c r="A8">
        <f>IF('01_Master_Data'!B8="","",7)</f>
        <v/>
      </c>
      <c r="B8">
        <f>IF('01_Master_Data'!B8="","",IF('01_Master_Data'!C8&lt;&gt;"","MOB|"&amp;TEXT('01_Master_Data'!C8,"0"),IF('01_Master_Data'!D8&lt;&gt;"","PID|"&amp;TRIM('01_Master_Data'!D8&amp;""),"")))</f>
        <v/>
      </c>
      <c r="C8">
        <f>IF('01_Master_Data'!B8="","",'01_Master_Data'!B8)</f>
        <v/>
      </c>
      <c r="D8">
        <f>IF('01_Master_Data'!B8="","",'01_Master_Data'!C8)</f>
        <v/>
      </c>
      <c r="E8">
        <f>IF('01_Master_Data'!B8="","",'01_Master_Data'!D8)</f>
        <v/>
      </c>
      <c r="F8">
        <f>IF('01_Master_Data'!B8="","",'01_Master_Data'!E8)</f>
        <v/>
      </c>
      <c r="G8">
        <f>IF('01_Master_Data'!B8="","",IFERROR(VLOOKUP(TRIM('01_Master_Data'!E8&amp;""),'02_Configuration'!$A$40:$B$44,2,FALSE),UPPER(TRIM('01_Master_Data'!E8&amp;""))))</f>
        <v/>
      </c>
      <c r="H8">
        <f>IF('01_Master_Data'!B8="","",IF('01_Master_Data'!U8="","",TRIM('01_Master_Data'!U8&amp;"")))</f>
        <v/>
      </c>
      <c r="I8">
        <f>IF('01_Master_Data'!B8="","",TRIM('01_Master_Data'!F8&amp;""))</f>
        <v/>
      </c>
      <c r="J8">
        <f>IF('01_Master_Data'!B8="","",TRIM('01_Master_Data'!G8&amp;""))</f>
        <v/>
      </c>
      <c r="K8">
        <f>IF('01_Master_Data'!B8="","",'01_Master_Data'!H8)</f>
        <v/>
      </c>
      <c r="L8">
        <f>IF('01_Master_Data'!B8="","",IF(LOWER(TRIM('01_Master_Data'!V8&amp;""))="yes",1,0))</f>
        <v/>
      </c>
      <c r="M8">
        <f>IF('01_Master_Data'!B8="","",IF(LOWER(TRIM('01_Master_Data'!W8&amp;""))="yes",1,0))</f>
        <v/>
      </c>
      <c r="N8">
        <f>IF('01_Master_Data'!B8="","",IF(LOWER(TRIM('01_Master_Data'!X8&amp;""))="yes",1,0))</f>
        <v/>
      </c>
      <c r="O8">
        <f>IF('01_Master_Data'!B8="","",IF(LOWER(TRIM('01_Master_Data'!Y8&amp;""))="yes",1,0))</f>
        <v/>
      </c>
      <c r="P8">
        <f>IF('01_Master_Data'!B8="","",IF(LOWER(TRIM('01_Master_Data'!Z8&amp;""))="yes",1,0))</f>
        <v/>
      </c>
      <c r="Q8">
        <f>IF(A8="","",L8+M8+N8+O8+P8)</f>
        <v/>
      </c>
      <c r="R8">
        <f>IF(A8="","",IF(Q8&gt;1,"Yes","No"))</f>
        <v/>
      </c>
      <c r="S8">
        <f>IF(A8="","",TEXTJOIN(", ",TRUE,IF(L8=1,"ICICI",""),IF(M8=1,"Propelld",""),IF(N8=1,"Study4Buddy",""),IF(O8=1,"Poonawala Fincorp",""),IF(P8=1,"GyanDhan","")))</f>
        <v/>
      </c>
      <c r="T8">
        <f>IF(A8="","",IF(L8=1,"ICICI",IF(M8=1,"Propelld",IF(P8=1,"GyanDhan",IF(N8=1,"Study4Buddy",IF(O8=1,"Poonawala Fincorp",IF(ISNUMBER(SEARCH("GyanDhan",W8&amp;"")),"GyanDhan",IF(ISNUMBER(SEARCH("Icici",W8&amp;"")),"ICICI",IF(ISNUMBER(SEARCH("Propelld",W8&amp;"")),"Propelld",IF(ISNUMBER(SEARCH("vidyalakshmi",LOWER(W8&amp;"")),"PM Vidyalakshmi","—"))))))))))</f>
        <v/>
      </c>
      <c r="U8">
        <f>IF(A8="","",TRIM('01_Master_Data'!AA8&amp;""))</f>
        <v/>
      </c>
      <c r="V8">
        <f>IF(A8="","",TRIM('01_Master_Data'!AG8&amp;""))</f>
        <v/>
      </c>
      <c r="W8">
        <f>IF(A8="","",TRIM('01_Master_Data'!AH8&amp;""))</f>
        <v/>
      </c>
      <c r="X8">
        <f>IF(A8="","",IF(OR(LOWER(H8)="refund",LOWER(U8)="refund case"),"Refund",IF(OR(LOWER(H8)="dnp",LOWER(U8)="dnp"),"DNP",IF(OR(LOWER(V8)="disbursed",ISNUMBER(SEARCH("Disbursed",W8&amp;""))),"Disbursed",IF(OR(LOWER(V8)="loan proccessed/accepted",ISNUMBER(SEARCH("sanctioned",LOWER(W8&amp;"")))),"Sanctioned",IF(OR(LOWER(V8)="rejected",ISNUMBER(SEARCH("Not eligbile",W8&amp;"")),ISNUMBER(SEARCH("Not eligible",W8&amp;""))),"Rejected",IF(ISNUMBER(SEARCH("Docs Pending",W8&amp;"")),"Documents Pending",IF(AND(LOWER(H8)="yes",LOWER(V8)="ongoing"),"Processing",IF(AND(LOWER(H8)="yes",Q8&gt;0,OR(V8="",LOWER(V8)="not even started")),"Vendor Assigned",IF(AND(LOWER(H8)="yes",LOWER(V8)="not even started"),"Need Loan",IF(LOWER(H8)="yes","Loan Started",IF(LOWER(H8)="not sure","Interested",IF(OR(LOWER(H8)="no",LOWER(V8)="not required"),"Not Required","Unclassified")))))))))))))</f>
        <v/>
      </c>
      <c r="Y8">
        <f>IF(A8="","",IF(OR(X8="Sanctioned",X8="Disbursed",X8="Approved"),"Approved",IF(X8="Rejected","Rejected",IF(OR(X8="Processing",X8="Documents Pending",X8="Vendor Assigned"),"In Progress",IF(X8="Need Loan","Pending Start","—"))))</f>
        <v/>
      </c>
      <c r="Z8">
        <f>IF(A8="","",IF(X8="Disbursed","Disbursed",IF(X8="Sanctioned","Sanctioned - Awaiting Disbursement","Not Disbursed")))</f>
        <v/>
      </c>
      <c r="AA8">
        <f>IF(A8="","",IF(LOWER(TRIM('01_Master_Data'!AI8&amp;""))="yes","Need FLDG",IF(LOWER(TRIM('01_Master_Data'!AK8&amp;""))="yes","Need Vidyalakshmi",IF(LOWER(TRIM('01_Master_Data'!AJ8&amp;""))="yes","Need Review",IF(LOWER(J8)="critical","Critical",IF(LOWER(U8)="risk","Risk Case",IF(X8="Refund","Refund","Normal")))))))</f>
        <v/>
      </c>
      <c r="AB8">
        <f>IF(A8="","",IF(OR(LOWER(J8)="critical",LOWER(TRIM('01_Master_Data'!AI8&amp;""))="yes",LOWER(TRIM('01_Master_Data'!AK8&amp;""))="yes",LOWER(U8)="risk"),"Yes","No"))</f>
        <v/>
      </c>
      <c r="AC8">
        <f>IF(A8="","",IF(LOWER(TRIM('01_Master_Data'!AI8&amp;""))="yes","Yes","No"))</f>
        <v/>
      </c>
      <c r="AD8">
        <f>IF(A8="","",IF(LOWER(TRIM('01_Master_Data'!AK8&amp;""))="yes","Yes","No"))</f>
        <v/>
      </c>
      <c r="AE8">
        <f>IF(A8="","",IF(LOWER(TRIM('01_Master_Data'!AJ8&amp;""))="yes","Yes","No"))</f>
        <v/>
      </c>
      <c r="AF8">
        <f>IF(A8="","",TRIM('01_Master_Data'!AL8&amp;""))</f>
        <v/>
      </c>
      <c r="AG8">
        <f>IF(A8="","",IF(AF8="","—",IF(ISNUMBER(SEARCH("DNP",AF8)),"Unreachable / DNP",IF(ISNUMBER(SEARCH("interest",LOWER(AF8))),"High Interest / Terms",IF(OR(ISNUMBER(SEARCH("eligib",LOWER(AF8))),ISNUMBER(SEARCH("income",LOWER(AF8)))),"Eligibility / Income",IF(OR(ISNUMBER(SEARCH("start",LOWER(AF8))),ISNUMBER(SEARCH("Newer",AF8)),ISNUMBER(SEARCH("Will start",AF8))),"Process Yet to Start",IF(ISNUMBER(SEARCH("sure",LOWER(AF8))),"Undecided",IF(OR(ISNUMBER(SEARCH("reject",LOWER(AF8))),ISNUMBER(SEARCH("SBI",AF8))),"Rejected Elsewhere",IF(ISNUMBER(SEARCH("call",LOWER(AF8))),"Bank Communication",IF(OR(ISNUMBER(SEARCH("father",LOWER(AF8))),ISNUMBER(SEARCH("sister",LOWER(AF8)))),"Family / Dependency","Other"))))))))))</f>
        <v/>
      </c>
      <c r="AH8">
        <f>IF(A8="","",'01_Master_Data'!AC8)</f>
        <v/>
      </c>
      <c r="AI8">
        <f>IF(A8="","",IF(OR(AH8="",NOT(ISNUMBER(AH8))),"",MAX(0,'02_Configuration'!$B$82-AH8)))</f>
        <v/>
      </c>
      <c r="AJ8">
        <f>IF(A8="","",IF(AI8="","Unknown",IF(AI8&lt;=3,"0–3 Days",IF(AI8&lt;=7,"4–7 Days",IF(AI8&lt;=15,"8–15 Days",IF(AI8&lt;=30,"16–30 Days","30+ Days"))))))</f>
        <v/>
      </c>
      <c r="AK8">
        <f>IF(A8="","",IF(LOWER(H8)="yes","Yes","No"))</f>
        <v/>
      </c>
      <c r="AL8">
        <f>IF(A8="","",'01_Master_Data'!T8)</f>
        <v/>
      </c>
      <c r="AM8">
        <f>IF(A8="","",'01_Master_Data'!S8)</f>
        <v/>
      </c>
      <c r="AN8">
        <f>IF(A8="","",'01_Master_Data'!I8)</f>
        <v/>
      </c>
      <c r="AO8">
        <f>IF(A8="","",'01_Master_Data'!M8)</f>
        <v/>
      </c>
      <c r="AP8">
        <f>IF(A8="","",IF(ISNUMBER(SEARCH("Icici",W8&amp;"")),1,0))</f>
        <v/>
      </c>
      <c r="AQ8">
        <f>IF(A8="","",IF(ISNUMBER(SEARCH("Propelld",W8&amp;"")),1,0))</f>
        <v/>
      </c>
      <c r="AR8">
        <f>IF(A8="","",IF(ISNUMBER(SEARCH("GyanDhan",W8&amp;"")),1,0))</f>
        <v/>
      </c>
      <c r="AS8">
        <f>IF(A8="","",IF(ISNUMBER(SEARCH("vidyalakshmi",LOWER(W8&amp;""))),1,0))</f>
        <v/>
      </c>
      <c r="AT8">
        <f>IF(A8="","",IF(ISNUMBER(SEARCH("other bank",LOWER(W8&amp;""))),1,0))</f>
        <v/>
      </c>
      <c r="AU8">
        <f>IF(A8="","",IF(ISNUMBER(SEARCH("sanctioned",LOWER(W8&amp;""))),1,0))</f>
        <v/>
      </c>
      <c r="AV8">
        <f>IF(A8="","",IF(ISNUMBER(SEARCH("Docs Pending",W8&amp;"")),1,0))</f>
        <v/>
      </c>
      <c r="AW8">
        <f>IF(A8="","",IF(OR(X8="Rejected",ISNUMBER(SEARCH("Not eligbile",W8&amp;""))),1,0))</f>
        <v/>
      </c>
    </row>
    <row r="9">
      <c r="A9">
        <f>IF('01_Master_Data'!B9="","",8)</f>
        <v/>
      </c>
      <c r="B9">
        <f>IF('01_Master_Data'!B9="","",IF('01_Master_Data'!C9&lt;&gt;"","MOB|"&amp;TEXT('01_Master_Data'!C9,"0"),IF('01_Master_Data'!D9&lt;&gt;"","PID|"&amp;TRIM('01_Master_Data'!D9&amp;""),"")))</f>
        <v/>
      </c>
      <c r="C9">
        <f>IF('01_Master_Data'!B9="","",'01_Master_Data'!B9)</f>
        <v/>
      </c>
      <c r="D9">
        <f>IF('01_Master_Data'!B9="","",'01_Master_Data'!C9)</f>
        <v/>
      </c>
      <c r="E9">
        <f>IF('01_Master_Data'!B9="","",'01_Master_Data'!D9)</f>
        <v/>
      </c>
      <c r="F9">
        <f>IF('01_Master_Data'!B9="","",'01_Master_Data'!E9)</f>
        <v/>
      </c>
      <c r="G9">
        <f>IF('01_Master_Data'!B9="","",IFERROR(VLOOKUP(TRIM('01_Master_Data'!E9&amp;""),'02_Configuration'!$A$40:$B$44,2,FALSE),UPPER(TRIM('01_Master_Data'!E9&amp;""))))</f>
        <v/>
      </c>
      <c r="H9">
        <f>IF('01_Master_Data'!B9="","",IF('01_Master_Data'!U9="","",TRIM('01_Master_Data'!U9&amp;"")))</f>
        <v/>
      </c>
      <c r="I9">
        <f>IF('01_Master_Data'!B9="","",TRIM('01_Master_Data'!F9&amp;""))</f>
        <v/>
      </c>
      <c r="J9">
        <f>IF('01_Master_Data'!B9="","",TRIM('01_Master_Data'!G9&amp;""))</f>
        <v/>
      </c>
      <c r="K9">
        <f>IF('01_Master_Data'!B9="","",'01_Master_Data'!H9)</f>
        <v/>
      </c>
      <c r="L9">
        <f>IF('01_Master_Data'!B9="","",IF(LOWER(TRIM('01_Master_Data'!V9&amp;""))="yes",1,0))</f>
        <v/>
      </c>
      <c r="M9">
        <f>IF('01_Master_Data'!B9="","",IF(LOWER(TRIM('01_Master_Data'!W9&amp;""))="yes",1,0))</f>
        <v/>
      </c>
      <c r="N9">
        <f>IF('01_Master_Data'!B9="","",IF(LOWER(TRIM('01_Master_Data'!X9&amp;""))="yes",1,0))</f>
        <v/>
      </c>
      <c r="O9">
        <f>IF('01_Master_Data'!B9="","",IF(LOWER(TRIM('01_Master_Data'!Y9&amp;""))="yes",1,0))</f>
        <v/>
      </c>
      <c r="P9">
        <f>IF('01_Master_Data'!B9="","",IF(LOWER(TRIM('01_Master_Data'!Z9&amp;""))="yes",1,0))</f>
        <v/>
      </c>
      <c r="Q9">
        <f>IF(A9="","",L9+M9+N9+O9+P9)</f>
        <v/>
      </c>
      <c r="R9">
        <f>IF(A9="","",IF(Q9&gt;1,"Yes","No"))</f>
        <v/>
      </c>
      <c r="S9">
        <f>IF(A9="","",TEXTJOIN(", ",TRUE,IF(L9=1,"ICICI",""),IF(M9=1,"Propelld",""),IF(N9=1,"Study4Buddy",""),IF(O9=1,"Poonawala Fincorp",""),IF(P9=1,"GyanDhan","")))</f>
        <v/>
      </c>
      <c r="T9">
        <f>IF(A9="","",IF(L9=1,"ICICI",IF(M9=1,"Propelld",IF(P9=1,"GyanDhan",IF(N9=1,"Study4Buddy",IF(O9=1,"Poonawala Fincorp",IF(ISNUMBER(SEARCH("GyanDhan",W9&amp;"")),"GyanDhan",IF(ISNUMBER(SEARCH("Icici",W9&amp;"")),"ICICI",IF(ISNUMBER(SEARCH("Propelld",W9&amp;"")),"Propelld",IF(ISNUMBER(SEARCH("vidyalakshmi",LOWER(W9&amp;"")),"PM Vidyalakshmi","—"))))))))))</f>
        <v/>
      </c>
      <c r="U9">
        <f>IF(A9="","",TRIM('01_Master_Data'!AA9&amp;""))</f>
        <v/>
      </c>
      <c r="V9">
        <f>IF(A9="","",TRIM('01_Master_Data'!AG9&amp;""))</f>
        <v/>
      </c>
      <c r="W9">
        <f>IF(A9="","",TRIM('01_Master_Data'!AH9&amp;""))</f>
        <v/>
      </c>
      <c r="X9">
        <f>IF(A9="","",IF(OR(LOWER(H9)="refund",LOWER(U9)="refund case"),"Refund",IF(OR(LOWER(H9)="dnp",LOWER(U9)="dnp"),"DNP",IF(OR(LOWER(V9)="disbursed",ISNUMBER(SEARCH("Disbursed",W9&amp;""))),"Disbursed",IF(OR(LOWER(V9)="loan proccessed/accepted",ISNUMBER(SEARCH("sanctioned",LOWER(W9&amp;"")))),"Sanctioned",IF(OR(LOWER(V9)="rejected",ISNUMBER(SEARCH("Not eligbile",W9&amp;"")),ISNUMBER(SEARCH("Not eligible",W9&amp;""))),"Rejected",IF(ISNUMBER(SEARCH("Docs Pending",W9&amp;"")),"Documents Pending",IF(AND(LOWER(H9)="yes",LOWER(V9)="ongoing"),"Processing",IF(AND(LOWER(H9)="yes",Q9&gt;0,OR(V9="",LOWER(V9)="not even started")),"Vendor Assigned",IF(AND(LOWER(H9)="yes",LOWER(V9)="not even started"),"Need Loan",IF(LOWER(H9)="yes","Loan Started",IF(LOWER(H9)="not sure","Interested",IF(OR(LOWER(H9)="no",LOWER(V9)="not required"),"Not Required","Unclassified")))))))))))))</f>
        <v/>
      </c>
      <c r="Y9">
        <f>IF(A9="","",IF(OR(X9="Sanctioned",X9="Disbursed",X9="Approved"),"Approved",IF(X9="Rejected","Rejected",IF(OR(X9="Processing",X9="Documents Pending",X9="Vendor Assigned"),"In Progress",IF(X9="Need Loan","Pending Start","—"))))</f>
        <v/>
      </c>
      <c r="Z9">
        <f>IF(A9="","",IF(X9="Disbursed","Disbursed",IF(X9="Sanctioned","Sanctioned - Awaiting Disbursement","Not Disbursed")))</f>
        <v/>
      </c>
      <c r="AA9">
        <f>IF(A9="","",IF(LOWER(TRIM('01_Master_Data'!AI9&amp;""))="yes","Need FLDG",IF(LOWER(TRIM('01_Master_Data'!AK9&amp;""))="yes","Need Vidyalakshmi",IF(LOWER(TRIM('01_Master_Data'!AJ9&amp;""))="yes","Need Review",IF(LOWER(J9)="critical","Critical",IF(LOWER(U9)="risk","Risk Case",IF(X9="Refund","Refund","Normal")))))))</f>
        <v/>
      </c>
      <c r="AB9">
        <f>IF(A9="","",IF(OR(LOWER(J9)="critical",LOWER(TRIM('01_Master_Data'!AI9&amp;""))="yes",LOWER(TRIM('01_Master_Data'!AK9&amp;""))="yes",LOWER(U9)="risk"),"Yes","No"))</f>
        <v/>
      </c>
      <c r="AC9">
        <f>IF(A9="","",IF(LOWER(TRIM('01_Master_Data'!AI9&amp;""))="yes","Yes","No"))</f>
        <v/>
      </c>
      <c r="AD9">
        <f>IF(A9="","",IF(LOWER(TRIM('01_Master_Data'!AK9&amp;""))="yes","Yes","No"))</f>
        <v/>
      </c>
      <c r="AE9">
        <f>IF(A9="","",IF(LOWER(TRIM('01_Master_Data'!AJ9&amp;""))="yes","Yes","No"))</f>
        <v/>
      </c>
      <c r="AF9">
        <f>IF(A9="","",TRIM('01_Master_Data'!AL9&amp;""))</f>
        <v/>
      </c>
      <c r="AG9">
        <f>IF(A9="","",IF(AF9="","—",IF(ISNUMBER(SEARCH("DNP",AF9)),"Unreachable / DNP",IF(ISNUMBER(SEARCH("interest",LOWER(AF9))),"High Interest / Terms",IF(OR(ISNUMBER(SEARCH("eligib",LOWER(AF9))),ISNUMBER(SEARCH("income",LOWER(AF9)))),"Eligibility / Income",IF(OR(ISNUMBER(SEARCH("start",LOWER(AF9))),ISNUMBER(SEARCH("Newer",AF9)),ISNUMBER(SEARCH("Will start",AF9))),"Process Yet to Start",IF(ISNUMBER(SEARCH("sure",LOWER(AF9))),"Undecided",IF(OR(ISNUMBER(SEARCH("reject",LOWER(AF9))),ISNUMBER(SEARCH("SBI",AF9))),"Rejected Elsewhere",IF(ISNUMBER(SEARCH("call",LOWER(AF9))),"Bank Communication",IF(OR(ISNUMBER(SEARCH("father",LOWER(AF9))),ISNUMBER(SEARCH("sister",LOWER(AF9)))),"Family / Dependency","Other"))))))))))</f>
        <v/>
      </c>
      <c r="AH9">
        <f>IF(A9="","",'01_Master_Data'!AC9)</f>
        <v/>
      </c>
      <c r="AI9">
        <f>IF(A9="","",IF(OR(AH9="",NOT(ISNUMBER(AH9))),"",MAX(0,'02_Configuration'!$B$82-AH9)))</f>
        <v/>
      </c>
      <c r="AJ9">
        <f>IF(A9="","",IF(AI9="","Unknown",IF(AI9&lt;=3,"0–3 Days",IF(AI9&lt;=7,"4–7 Days",IF(AI9&lt;=15,"8–15 Days",IF(AI9&lt;=30,"16–30 Days","30+ Days"))))))</f>
        <v/>
      </c>
      <c r="AK9">
        <f>IF(A9="","",IF(LOWER(H9)="yes","Yes","No"))</f>
        <v/>
      </c>
      <c r="AL9">
        <f>IF(A9="","",'01_Master_Data'!T9)</f>
        <v/>
      </c>
      <c r="AM9">
        <f>IF(A9="","",'01_Master_Data'!S9)</f>
        <v/>
      </c>
      <c r="AN9">
        <f>IF(A9="","",'01_Master_Data'!I9)</f>
        <v/>
      </c>
      <c r="AO9">
        <f>IF(A9="","",'01_Master_Data'!M9)</f>
        <v/>
      </c>
      <c r="AP9">
        <f>IF(A9="","",IF(ISNUMBER(SEARCH("Icici",W9&amp;"")),1,0))</f>
        <v/>
      </c>
      <c r="AQ9">
        <f>IF(A9="","",IF(ISNUMBER(SEARCH("Propelld",W9&amp;"")),1,0))</f>
        <v/>
      </c>
      <c r="AR9">
        <f>IF(A9="","",IF(ISNUMBER(SEARCH("GyanDhan",W9&amp;"")),1,0))</f>
        <v/>
      </c>
      <c r="AS9">
        <f>IF(A9="","",IF(ISNUMBER(SEARCH("vidyalakshmi",LOWER(W9&amp;""))),1,0))</f>
        <v/>
      </c>
      <c r="AT9">
        <f>IF(A9="","",IF(ISNUMBER(SEARCH("other bank",LOWER(W9&amp;""))),1,0))</f>
        <v/>
      </c>
      <c r="AU9">
        <f>IF(A9="","",IF(ISNUMBER(SEARCH("sanctioned",LOWER(W9&amp;""))),1,0))</f>
        <v/>
      </c>
      <c r="AV9">
        <f>IF(A9="","",IF(ISNUMBER(SEARCH("Docs Pending",W9&amp;"")),1,0))</f>
        <v/>
      </c>
      <c r="AW9">
        <f>IF(A9="","",IF(OR(X9="Rejected",ISNUMBER(SEARCH("Not eligbile",W9&amp;""))),1,0))</f>
        <v/>
      </c>
    </row>
    <row r="10">
      <c r="A10">
        <f>IF('01_Master_Data'!B10="","",9)</f>
        <v/>
      </c>
      <c r="B10">
        <f>IF('01_Master_Data'!B10="","",IF('01_Master_Data'!C10&lt;&gt;"","MOB|"&amp;TEXT('01_Master_Data'!C10,"0"),IF('01_Master_Data'!D10&lt;&gt;"","PID|"&amp;TRIM('01_Master_Data'!D10&amp;""),"")))</f>
        <v/>
      </c>
      <c r="C10">
        <f>IF('01_Master_Data'!B10="","",'01_Master_Data'!B10)</f>
        <v/>
      </c>
      <c r="D10">
        <f>IF('01_Master_Data'!B10="","",'01_Master_Data'!C10)</f>
        <v/>
      </c>
      <c r="E10">
        <f>IF('01_Master_Data'!B10="","",'01_Master_Data'!D10)</f>
        <v/>
      </c>
      <c r="F10">
        <f>IF('01_Master_Data'!B10="","",'01_Master_Data'!E10)</f>
        <v/>
      </c>
      <c r="G10">
        <f>IF('01_Master_Data'!B10="","",IFERROR(VLOOKUP(TRIM('01_Master_Data'!E10&amp;""),'02_Configuration'!$A$40:$B$44,2,FALSE),UPPER(TRIM('01_Master_Data'!E10&amp;""))))</f>
        <v/>
      </c>
      <c r="H10">
        <f>IF('01_Master_Data'!B10="","",IF('01_Master_Data'!U10="","",TRIM('01_Master_Data'!U10&amp;"")))</f>
        <v/>
      </c>
      <c r="I10">
        <f>IF('01_Master_Data'!B10="","",TRIM('01_Master_Data'!F10&amp;""))</f>
        <v/>
      </c>
      <c r="J10">
        <f>IF('01_Master_Data'!B10="","",TRIM('01_Master_Data'!G10&amp;""))</f>
        <v/>
      </c>
      <c r="K10">
        <f>IF('01_Master_Data'!B10="","",'01_Master_Data'!H10)</f>
        <v/>
      </c>
      <c r="L10">
        <f>IF('01_Master_Data'!B10="","",IF(LOWER(TRIM('01_Master_Data'!V10&amp;""))="yes",1,0))</f>
        <v/>
      </c>
      <c r="M10">
        <f>IF('01_Master_Data'!B10="","",IF(LOWER(TRIM('01_Master_Data'!W10&amp;""))="yes",1,0))</f>
        <v/>
      </c>
      <c r="N10">
        <f>IF('01_Master_Data'!B10="","",IF(LOWER(TRIM('01_Master_Data'!X10&amp;""))="yes",1,0))</f>
        <v/>
      </c>
      <c r="O10">
        <f>IF('01_Master_Data'!B10="","",IF(LOWER(TRIM('01_Master_Data'!Y10&amp;""))="yes",1,0))</f>
        <v/>
      </c>
      <c r="P10">
        <f>IF('01_Master_Data'!B10="","",IF(LOWER(TRIM('01_Master_Data'!Z10&amp;""))="yes",1,0))</f>
        <v/>
      </c>
      <c r="Q10">
        <f>IF(A10="","",L10+M10+N10+O10+P10)</f>
        <v/>
      </c>
      <c r="R10">
        <f>IF(A10="","",IF(Q10&gt;1,"Yes","No"))</f>
        <v/>
      </c>
      <c r="S10">
        <f>IF(A10="","",TEXTJOIN(", ",TRUE,IF(L10=1,"ICICI",""),IF(M10=1,"Propelld",""),IF(N10=1,"Study4Buddy",""),IF(O10=1,"Poonawala Fincorp",""),IF(P10=1,"GyanDhan","")))</f>
        <v/>
      </c>
      <c r="T10">
        <f>IF(A10="","",IF(L10=1,"ICICI",IF(M10=1,"Propelld",IF(P10=1,"GyanDhan",IF(N10=1,"Study4Buddy",IF(O10=1,"Poonawala Fincorp",IF(ISNUMBER(SEARCH("GyanDhan",W10&amp;"")),"GyanDhan",IF(ISNUMBER(SEARCH("Icici",W10&amp;"")),"ICICI",IF(ISNUMBER(SEARCH("Propelld",W10&amp;"")),"Propelld",IF(ISNUMBER(SEARCH("vidyalakshmi",LOWER(W10&amp;"")),"PM Vidyalakshmi","—"))))))))))</f>
        <v/>
      </c>
      <c r="U10">
        <f>IF(A10="","",TRIM('01_Master_Data'!AA10&amp;""))</f>
        <v/>
      </c>
      <c r="V10">
        <f>IF(A10="","",TRIM('01_Master_Data'!AG10&amp;""))</f>
        <v/>
      </c>
      <c r="W10">
        <f>IF(A10="","",TRIM('01_Master_Data'!AH10&amp;""))</f>
        <v/>
      </c>
      <c r="X10">
        <f>IF(A10="","",IF(OR(LOWER(H10)="refund",LOWER(U10)="refund case"),"Refund",IF(OR(LOWER(H10)="dnp",LOWER(U10)="dnp"),"DNP",IF(OR(LOWER(V10)="disbursed",ISNUMBER(SEARCH("Disbursed",W10&amp;""))),"Disbursed",IF(OR(LOWER(V10)="loan proccessed/accepted",ISNUMBER(SEARCH("sanctioned",LOWER(W10&amp;"")))),"Sanctioned",IF(OR(LOWER(V10)="rejected",ISNUMBER(SEARCH("Not eligbile",W10&amp;"")),ISNUMBER(SEARCH("Not eligible",W10&amp;""))),"Rejected",IF(ISNUMBER(SEARCH("Docs Pending",W10&amp;"")),"Documents Pending",IF(AND(LOWER(H10)="yes",LOWER(V10)="ongoing"),"Processing",IF(AND(LOWER(H10)="yes",Q10&gt;0,OR(V10="",LOWER(V10)="not even started")),"Vendor Assigned",IF(AND(LOWER(H10)="yes",LOWER(V10)="not even started"),"Need Loan",IF(LOWER(H10)="yes","Loan Started",IF(LOWER(H10)="not sure","Interested",IF(OR(LOWER(H10)="no",LOWER(V10)="not required"),"Not Required","Unclassified")))))))))))))</f>
        <v/>
      </c>
      <c r="Y10">
        <f>IF(A10="","",IF(OR(X10="Sanctioned",X10="Disbursed",X10="Approved"),"Approved",IF(X10="Rejected","Rejected",IF(OR(X10="Processing",X10="Documents Pending",X10="Vendor Assigned"),"In Progress",IF(X10="Need Loan","Pending Start","—"))))</f>
        <v/>
      </c>
      <c r="Z10">
        <f>IF(A10="","",IF(X10="Disbursed","Disbursed",IF(X10="Sanctioned","Sanctioned - Awaiting Disbursement","Not Disbursed")))</f>
        <v/>
      </c>
      <c r="AA10">
        <f>IF(A10="","",IF(LOWER(TRIM('01_Master_Data'!AI10&amp;""))="yes","Need FLDG",IF(LOWER(TRIM('01_Master_Data'!AK10&amp;""))="yes","Need Vidyalakshmi",IF(LOWER(TRIM('01_Master_Data'!AJ10&amp;""))="yes","Need Review",IF(LOWER(J10)="critical","Critical",IF(LOWER(U10)="risk","Risk Case",IF(X10="Refund","Refund","Normal")))))))</f>
        <v/>
      </c>
      <c r="AB10">
        <f>IF(A10="","",IF(OR(LOWER(J10)="critical",LOWER(TRIM('01_Master_Data'!AI10&amp;""))="yes",LOWER(TRIM('01_Master_Data'!AK10&amp;""))="yes",LOWER(U10)="risk"),"Yes","No"))</f>
        <v/>
      </c>
      <c r="AC10">
        <f>IF(A10="","",IF(LOWER(TRIM('01_Master_Data'!AI10&amp;""))="yes","Yes","No"))</f>
        <v/>
      </c>
      <c r="AD10">
        <f>IF(A10="","",IF(LOWER(TRIM('01_Master_Data'!AK10&amp;""))="yes","Yes","No"))</f>
        <v/>
      </c>
      <c r="AE10">
        <f>IF(A10="","",IF(LOWER(TRIM('01_Master_Data'!AJ10&amp;""))="yes","Yes","No"))</f>
        <v/>
      </c>
      <c r="AF10">
        <f>IF(A10="","",TRIM('01_Master_Data'!AL10&amp;""))</f>
        <v/>
      </c>
      <c r="AG10">
        <f>IF(A10="","",IF(AF10="","—",IF(ISNUMBER(SEARCH("DNP",AF10)),"Unreachable / DNP",IF(ISNUMBER(SEARCH("interest",LOWER(AF10))),"High Interest / Terms",IF(OR(ISNUMBER(SEARCH("eligib",LOWER(AF10))),ISNUMBER(SEARCH("income",LOWER(AF10)))),"Eligibility / Income",IF(OR(ISNUMBER(SEARCH("start",LOWER(AF10))),ISNUMBER(SEARCH("Newer",AF10)),ISNUMBER(SEARCH("Will start",AF10))),"Process Yet to Start",IF(ISNUMBER(SEARCH("sure",LOWER(AF10))),"Undecided",IF(OR(ISNUMBER(SEARCH("reject",LOWER(AF10))),ISNUMBER(SEARCH("SBI",AF10))),"Rejected Elsewhere",IF(ISNUMBER(SEARCH("call",LOWER(AF10))),"Bank Communication",IF(OR(ISNUMBER(SEARCH("father",LOWER(AF10))),ISNUMBER(SEARCH("sister",LOWER(AF10)))),"Family / Dependency","Other"))))))))))</f>
        <v/>
      </c>
      <c r="AH10">
        <f>IF(A10="","",'01_Master_Data'!AC10)</f>
        <v/>
      </c>
      <c r="AI10">
        <f>IF(A10="","",IF(OR(AH10="",NOT(ISNUMBER(AH10))),"",MAX(0,'02_Configuration'!$B$82-AH10)))</f>
        <v/>
      </c>
      <c r="AJ10">
        <f>IF(A10="","",IF(AI10="","Unknown",IF(AI10&lt;=3,"0–3 Days",IF(AI10&lt;=7,"4–7 Days",IF(AI10&lt;=15,"8–15 Days",IF(AI10&lt;=30,"16–30 Days","30+ Days"))))))</f>
        <v/>
      </c>
      <c r="AK10">
        <f>IF(A10="","",IF(LOWER(H10)="yes","Yes","No"))</f>
        <v/>
      </c>
      <c r="AL10">
        <f>IF(A10="","",'01_Master_Data'!T10)</f>
        <v/>
      </c>
      <c r="AM10">
        <f>IF(A10="","",'01_Master_Data'!S10)</f>
        <v/>
      </c>
      <c r="AN10">
        <f>IF(A10="","",'01_Master_Data'!I10)</f>
        <v/>
      </c>
      <c r="AO10">
        <f>IF(A10="","",'01_Master_Data'!M10)</f>
        <v/>
      </c>
      <c r="AP10">
        <f>IF(A10="","",IF(ISNUMBER(SEARCH("Icici",W10&amp;"")),1,0))</f>
        <v/>
      </c>
      <c r="AQ10">
        <f>IF(A10="","",IF(ISNUMBER(SEARCH("Propelld",W10&amp;"")),1,0))</f>
        <v/>
      </c>
      <c r="AR10">
        <f>IF(A10="","",IF(ISNUMBER(SEARCH("GyanDhan",W10&amp;"")),1,0))</f>
        <v/>
      </c>
      <c r="AS10">
        <f>IF(A10="","",IF(ISNUMBER(SEARCH("vidyalakshmi",LOWER(W10&amp;""))),1,0))</f>
        <v/>
      </c>
      <c r="AT10">
        <f>IF(A10="","",IF(ISNUMBER(SEARCH("other bank",LOWER(W10&amp;""))),1,0))</f>
        <v/>
      </c>
      <c r="AU10">
        <f>IF(A10="","",IF(ISNUMBER(SEARCH("sanctioned",LOWER(W10&amp;""))),1,0))</f>
        <v/>
      </c>
      <c r="AV10">
        <f>IF(A10="","",IF(ISNUMBER(SEARCH("Docs Pending",W10&amp;"")),1,0))</f>
        <v/>
      </c>
      <c r="AW10">
        <f>IF(A10="","",IF(OR(X10="Rejected",ISNUMBER(SEARCH("Not eligbile",W10&amp;""))),1,0))</f>
        <v/>
      </c>
    </row>
    <row r="11">
      <c r="A11">
        <f>IF('01_Master_Data'!B11="","",10)</f>
        <v/>
      </c>
      <c r="B11">
        <f>IF('01_Master_Data'!B11="","",IF('01_Master_Data'!C11&lt;&gt;"","MOB|"&amp;TEXT('01_Master_Data'!C11,"0"),IF('01_Master_Data'!D11&lt;&gt;"","PID|"&amp;TRIM('01_Master_Data'!D11&amp;""),"")))</f>
        <v/>
      </c>
      <c r="C11">
        <f>IF('01_Master_Data'!B11="","",'01_Master_Data'!B11)</f>
        <v/>
      </c>
      <c r="D11">
        <f>IF('01_Master_Data'!B11="","",'01_Master_Data'!C11)</f>
        <v/>
      </c>
      <c r="E11">
        <f>IF('01_Master_Data'!B11="","",'01_Master_Data'!D11)</f>
        <v/>
      </c>
      <c r="F11">
        <f>IF('01_Master_Data'!B11="","",'01_Master_Data'!E11)</f>
        <v/>
      </c>
      <c r="G11">
        <f>IF('01_Master_Data'!B11="","",IFERROR(VLOOKUP(TRIM('01_Master_Data'!E11&amp;""),'02_Configuration'!$A$40:$B$44,2,FALSE),UPPER(TRIM('01_Master_Data'!E11&amp;""))))</f>
        <v/>
      </c>
      <c r="H11">
        <f>IF('01_Master_Data'!B11="","",IF('01_Master_Data'!U11="","",TRIM('01_Master_Data'!U11&amp;"")))</f>
        <v/>
      </c>
      <c r="I11">
        <f>IF('01_Master_Data'!B11="","",TRIM('01_Master_Data'!F11&amp;""))</f>
        <v/>
      </c>
      <c r="J11">
        <f>IF('01_Master_Data'!B11="","",TRIM('01_Master_Data'!G11&amp;""))</f>
        <v/>
      </c>
      <c r="K11">
        <f>IF('01_Master_Data'!B11="","",'01_Master_Data'!H11)</f>
        <v/>
      </c>
      <c r="L11">
        <f>IF('01_Master_Data'!B11="","",IF(LOWER(TRIM('01_Master_Data'!V11&amp;""))="yes",1,0))</f>
        <v/>
      </c>
      <c r="M11">
        <f>IF('01_Master_Data'!B11="","",IF(LOWER(TRIM('01_Master_Data'!W11&amp;""))="yes",1,0))</f>
        <v/>
      </c>
      <c r="N11">
        <f>IF('01_Master_Data'!B11="","",IF(LOWER(TRIM('01_Master_Data'!X11&amp;""))="yes",1,0))</f>
        <v/>
      </c>
      <c r="O11">
        <f>IF('01_Master_Data'!B11="","",IF(LOWER(TRIM('01_Master_Data'!Y11&amp;""))="yes",1,0))</f>
        <v/>
      </c>
      <c r="P11">
        <f>IF('01_Master_Data'!B11="","",IF(LOWER(TRIM('01_Master_Data'!Z11&amp;""))="yes",1,0))</f>
        <v/>
      </c>
      <c r="Q11">
        <f>IF(A11="","",L11+M11+N11+O11+P11)</f>
        <v/>
      </c>
      <c r="R11">
        <f>IF(A11="","",IF(Q11&gt;1,"Yes","No"))</f>
        <v/>
      </c>
      <c r="S11">
        <f>IF(A11="","",TEXTJOIN(", ",TRUE,IF(L11=1,"ICICI",""),IF(M11=1,"Propelld",""),IF(N11=1,"Study4Buddy",""),IF(O11=1,"Poonawala Fincorp",""),IF(P11=1,"GyanDhan","")))</f>
        <v/>
      </c>
      <c r="T11">
        <f>IF(A11="","",IF(L11=1,"ICICI",IF(M11=1,"Propelld",IF(P11=1,"GyanDhan",IF(N11=1,"Study4Buddy",IF(O11=1,"Poonawala Fincorp",IF(ISNUMBER(SEARCH("GyanDhan",W11&amp;"")),"GyanDhan",IF(ISNUMBER(SEARCH("Icici",W11&amp;"")),"ICICI",IF(ISNUMBER(SEARCH("Propelld",W11&amp;"")),"Propelld",IF(ISNUMBER(SEARCH("vidyalakshmi",LOWER(W11&amp;"")),"PM Vidyalakshmi","—"))))))))))</f>
        <v/>
      </c>
      <c r="U11">
        <f>IF(A11="","",TRIM('01_Master_Data'!AA11&amp;""))</f>
        <v/>
      </c>
      <c r="V11">
        <f>IF(A11="","",TRIM('01_Master_Data'!AG11&amp;""))</f>
        <v/>
      </c>
      <c r="W11">
        <f>IF(A11="","",TRIM('01_Master_Data'!AH11&amp;""))</f>
        <v/>
      </c>
      <c r="X11">
        <f>IF(A11="","",IF(OR(LOWER(H11)="refund",LOWER(U11)="refund case"),"Refund",IF(OR(LOWER(H11)="dnp",LOWER(U11)="dnp"),"DNP",IF(OR(LOWER(V11)="disbursed",ISNUMBER(SEARCH("Disbursed",W11&amp;""))),"Disbursed",IF(OR(LOWER(V11)="loan proccessed/accepted",ISNUMBER(SEARCH("sanctioned",LOWER(W11&amp;"")))),"Sanctioned",IF(OR(LOWER(V11)="rejected",ISNUMBER(SEARCH("Not eligbile",W11&amp;"")),ISNUMBER(SEARCH("Not eligible",W11&amp;""))),"Rejected",IF(ISNUMBER(SEARCH("Docs Pending",W11&amp;"")),"Documents Pending",IF(AND(LOWER(H11)="yes",LOWER(V11)="ongoing"),"Processing",IF(AND(LOWER(H11)="yes",Q11&gt;0,OR(V11="",LOWER(V11)="not even started")),"Vendor Assigned",IF(AND(LOWER(H11)="yes",LOWER(V11)="not even started"),"Need Loan",IF(LOWER(H11)="yes","Loan Started",IF(LOWER(H11)="not sure","Interested",IF(OR(LOWER(H11)="no",LOWER(V11)="not required"),"Not Required","Unclassified")))))))))))))</f>
        <v/>
      </c>
      <c r="Y11">
        <f>IF(A11="","",IF(OR(X11="Sanctioned",X11="Disbursed",X11="Approved"),"Approved",IF(X11="Rejected","Rejected",IF(OR(X11="Processing",X11="Documents Pending",X11="Vendor Assigned"),"In Progress",IF(X11="Need Loan","Pending Start","—"))))</f>
        <v/>
      </c>
      <c r="Z11">
        <f>IF(A11="","",IF(X11="Disbursed","Disbursed",IF(X11="Sanctioned","Sanctioned - Awaiting Disbursement","Not Disbursed")))</f>
        <v/>
      </c>
      <c r="AA11">
        <f>IF(A11="","",IF(LOWER(TRIM('01_Master_Data'!AI11&amp;""))="yes","Need FLDG",IF(LOWER(TRIM('01_Master_Data'!AK11&amp;""))="yes","Need Vidyalakshmi",IF(LOWER(TRIM('01_Master_Data'!AJ11&amp;""))="yes","Need Review",IF(LOWER(J11)="critical","Critical",IF(LOWER(U11)="risk","Risk Case",IF(X11="Refund","Refund","Normal")))))))</f>
        <v/>
      </c>
      <c r="AB11">
        <f>IF(A11="","",IF(OR(LOWER(J11)="critical",LOWER(TRIM('01_Master_Data'!AI11&amp;""))="yes",LOWER(TRIM('01_Master_Data'!AK11&amp;""))="yes",LOWER(U11)="risk"),"Yes","No"))</f>
        <v/>
      </c>
      <c r="AC11">
        <f>IF(A11="","",IF(LOWER(TRIM('01_Master_Data'!AI11&amp;""))="yes","Yes","No"))</f>
        <v/>
      </c>
      <c r="AD11">
        <f>IF(A11="","",IF(LOWER(TRIM('01_Master_Data'!AK11&amp;""))="yes","Yes","No"))</f>
        <v/>
      </c>
      <c r="AE11">
        <f>IF(A11="","",IF(LOWER(TRIM('01_Master_Data'!AJ11&amp;""))="yes","Yes","No"))</f>
        <v/>
      </c>
      <c r="AF11">
        <f>IF(A11="","",TRIM('01_Master_Data'!AL11&amp;""))</f>
        <v/>
      </c>
      <c r="AG11">
        <f>IF(A11="","",IF(AF11="","—",IF(ISNUMBER(SEARCH("DNP",AF11)),"Unreachable / DNP",IF(ISNUMBER(SEARCH("interest",LOWER(AF11))),"High Interest / Terms",IF(OR(ISNUMBER(SEARCH("eligib",LOWER(AF11))),ISNUMBER(SEARCH("income",LOWER(AF11)))),"Eligibility / Income",IF(OR(ISNUMBER(SEARCH("start",LOWER(AF11))),ISNUMBER(SEARCH("Newer",AF11)),ISNUMBER(SEARCH("Will start",AF11))),"Process Yet to Start",IF(ISNUMBER(SEARCH("sure",LOWER(AF11))),"Undecided",IF(OR(ISNUMBER(SEARCH("reject",LOWER(AF11))),ISNUMBER(SEARCH("SBI",AF11))),"Rejected Elsewhere",IF(ISNUMBER(SEARCH("call",LOWER(AF11))),"Bank Communication",IF(OR(ISNUMBER(SEARCH("father",LOWER(AF11))),ISNUMBER(SEARCH("sister",LOWER(AF11)))),"Family / Dependency","Other"))))))))))</f>
        <v/>
      </c>
      <c r="AH11">
        <f>IF(A11="","",'01_Master_Data'!AC11)</f>
        <v/>
      </c>
      <c r="AI11">
        <f>IF(A11="","",IF(OR(AH11="",NOT(ISNUMBER(AH11))),"",MAX(0,'02_Configuration'!$B$82-AH11)))</f>
        <v/>
      </c>
      <c r="AJ11">
        <f>IF(A11="","",IF(AI11="","Unknown",IF(AI11&lt;=3,"0–3 Days",IF(AI11&lt;=7,"4–7 Days",IF(AI11&lt;=15,"8–15 Days",IF(AI11&lt;=30,"16–30 Days","30+ Days"))))))</f>
        <v/>
      </c>
      <c r="AK11">
        <f>IF(A11="","",IF(LOWER(H11)="yes","Yes","No"))</f>
        <v/>
      </c>
      <c r="AL11">
        <f>IF(A11="","",'01_Master_Data'!T11)</f>
        <v/>
      </c>
      <c r="AM11">
        <f>IF(A11="","",'01_Master_Data'!S11)</f>
        <v/>
      </c>
      <c r="AN11">
        <f>IF(A11="","",'01_Master_Data'!I11)</f>
        <v/>
      </c>
      <c r="AO11">
        <f>IF(A11="","",'01_Master_Data'!M11)</f>
        <v/>
      </c>
      <c r="AP11">
        <f>IF(A11="","",IF(ISNUMBER(SEARCH("Icici",W11&amp;"")),1,0))</f>
        <v/>
      </c>
      <c r="AQ11">
        <f>IF(A11="","",IF(ISNUMBER(SEARCH("Propelld",W11&amp;"")),1,0))</f>
        <v/>
      </c>
      <c r="AR11">
        <f>IF(A11="","",IF(ISNUMBER(SEARCH("GyanDhan",W11&amp;"")),1,0))</f>
        <v/>
      </c>
      <c r="AS11">
        <f>IF(A11="","",IF(ISNUMBER(SEARCH("vidyalakshmi",LOWER(W11&amp;""))),1,0))</f>
        <v/>
      </c>
      <c r="AT11">
        <f>IF(A11="","",IF(ISNUMBER(SEARCH("other bank",LOWER(W11&amp;""))),1,0))</f>
        <v/>
      </c>
      <c r="AU11">
        <f>IF(A11="","",IF(ISNUMBER(SEARCH("sanctioned",LOWER(W11&amp;""))),1,0))</f>
        <v/>
      </c>
      <c r="AV11">
        <f>IF(A11="","",IF(ISNUMBER(SEARCH("Docs Pending",W11&amp;"")),1,0))</f>
        <v/>
      </c>
      <c r="AW11">
        <f>IF(A11="","",IF(OR(X11="Rejected",ISNUMBER(SEARCH("Not eligbile",W11&amp;""))),1,0))</f>
        <v/>
      </c>
    </row>
    <row r="12">
      <c r="A12">
        <f>IF('01_Master_Data'!B12="","",11)</f>
        <v/>
      </c>
      <c r="B12">
        <f>IF('01_Master_Data'!B12="","",IF('01_Master_Data'!C12&lt;&gt;"","MOB|"&amp;TEXT('01_Master_Data'!C12,"0"),IF('01_Master_Data'!D12&lt;&gt;"","PID|"&amp;TRIM('01_Master_Data'!D12&amp;""),"")))</f>
        <v/>
      </c>
      <c r="C12">
        <f>IF('01_Master_Data'!B12="","",'01_Master_Data'!B12)</f>
        <v/>
      </c>
      <c r="D12">
        <f>IF('01_Master_Data'!B12="","",'01_Master_Data'!C12)</f>
        <v/>
      </c>
      <c r="E12">
        <f>IF('01_Master_Data'!B12="","",'01_Master_Data'!D12)</f>
        <v/>
      </c>
      <c r="F12">
        <f>IF('01_Master_Data'!B12="","",'01_Master_Data'!E12)</f>
        <v/>
      </c>
      <c r="G12">
        <f>IF('01_Master_Data'!B12="","",IFERROR(VLOOKUP(TRIM('01_Master_Data'!E12&amp;""),'02_Configuration'!$A$40:$B$44,2,FALSE),UPPER(TRIM('01_Master_Data'!E12&amp;""))))</f>
        <v/>
      </c>
      <c r="H12">
        <f>IF('01_Master_Data'!B12="","",IF('01_Master_Data'!U12="","",TRIM('01_Master_Data'!U12&amp;"")))</f>
        <v/>
      </c>
      <c r="I12">
        <f>IF('01_Master_Data'!B12="","",TRIM('01_Master_Data'!F12&amp;""))</f>
        <v/>
      </c>
      <c r="J12">
        <f>IF('01_Master_Data'!B12="","",TRIM('01_Master_Data'!G12&amp;""))</f>
        <v/>
      </c>
      <c r="K12">
        <f>IF('01_Master_Data'!B12="","",'01_Master_Data'!H12)</f>
        <v/>
      </c>
      <c r="L12">
        <f>IF('01_Master_Data'!B12="","",IF(LOWER(TRIM('01_Master_Data'!V12&amp;""))="yes",1,0))</f>
        <v/>
      </c>
      <c r="M12">
        <f>IF('01_Master_Data'!B12="","",IF(LOWER(TRIM('01_Master_Data'!W12&amp;""))="yes",1,0))</f>
        <v/>
      </c>
      <c r="N12">
        <f>IF('01_Master_Data'!B12="","",IF(LOWER(TRIM('01_Master_Data'!X12&amp;""))="yes",1,0))</f>
        <v/>
      </c>
      <c r="O12">
        <f>IF('01_Master_Data'!B12="","",IF(LOWER(TRIM('01_Master_Data'!Y12&amp;""))="yes",1,0))</f>
        <v/>
      </c>
      <c r="P12">
        <f>IF('01_Master_Data'!B12="","",IF(LOWER(TRIM('01_Master_Data'!Z12&amp;""))="yes",1,0))</f>
        <v/>
      </c>
      <c r="Q12">
        <f>IF(A12="","",L12+M12+N12+O12+P12)</f>
        <v/>
      </c>
      <c r="R12">
        <f>IF(A12="","",IF(Q12&gt;1,"Yes","No"))</f>
        <v/>
      </c>
      <c r="S12">
        <f>IF(A12="","",TEXTJOIN(", ",TRUE,IF(L12=1,"ICICI",""),IF(M12=1,"Propelld",""),IF(N12=1,"Study4Buddy",""),IF(O12=1,"Poonawala Fincorp",""),IF(P12=1,"GyanDhan","")))</f>
        <v/>
      </c>
      <c r="T12">
        <f>IF(A12="","",IF(L12=1,"ICICI",IF(M12=1,"Propelld",IF(P12=1,"GyanDhan",IF(N12=1,"Study4Buddy",IF(O12=1,"Poonawala Fincorp",IF(ISNUMBER(SEARCH("GyanDhan",W12&amp;"")),"GyanDhan",IF(ISNUMBER(SEARCH("Icici",W12&amp;"")),"ICICI",IF(ISNUMBER(SEARCH("Propelld",W12&amp;"")),"Propelld",IF(ISNUMBER(SEARCH("vidyalakshmi",LOWER(W12&amp;"")),"PM Vidyalakshmi","—"))))))))))</f>
        <v/>
      </c>
      <c r="U12">
        <f>IF(A12="","",TRIM('01_Master_Data'!AA12&amp;""))</f>
        <v/>
      </c>
      <c r="V12">
        <f>IF(A12="","",TRIM('01_Master_Data'!AG12&amp;""))</f>
        <v/>
      </c>
      <c r="W12">
        <f>IF(A12="","",TRIM('01_Master_Data'!AH12&amp;""))</f>
        <v/>
      </c>
      <c r="X12">
        <f>IF(A12="","",IF(OR(LOWER(H12)="refund",LOWER(U12)="refund case"),"Refund",IF(OR(LOWER(H12)="dnp",LOWER(U12)="dnp"),"DNP",IF(OR(LOWER(V12)="disbursed",ISNUMBER(SEARCH("Disbursed",W12&amp;""))),"Disbursed",IF(OR(LOWER(V12)="loan proccessed/accepted",ISNUMBER(SEARCH("sanctioned",LOWER(W12&amp;"")))),"Sanctioned",IF(OR(LOWER(V12)="rejected",ISNUMBER(SEARCH("Not eligbile",W12&amp;"")),ISNUMBER(SEARCH("Not eligible",W12&amp;""))),"Rejected",IF(ISNUMBER(SEARCH("Docs Pending",W12&amp;"")),"Documents Pending",IF(AND(LOWER(H12)="yes",LOWER(V12)="ongoing"),"Processing",IF(AND(LOWER(H12)="yes",Q12&gt;0,OR(V12="",LOWER(V12)="not even started")),"Vendor Assigned",IF(AND(LOWER(H12)="yes",LOWER(V12)="not even started"),"Need Loan",IF(LOWER(H12)="yes","Loan Started",IF(LOWER(H12)="not sure","Interested",IF(OR(LOWER(H12)="no",LOWER(V12)="not required"),"Not Required","Unclassified")))))))))))))</f>
        <v/>
      </c>
      <c r="Y12">
        <f>IF(A12="","",IF(OR(X12="Sanctioned",X12="Disbursed",X12="Approved"),"Approved",IF(X12="Rejected","Rejected",IF(OR(X12="Processing",X12="Documents Pending",X12="Vendor Assigned"),"In Progress",IF(X12="Need Loan","Pending Start","—"))))</f>
        <v/>
      </c>
      <c r="Z12">
        <f>IF(A12="","",IF(X12="Disbursed","Disbursed",IF(X12="Sanctioned","Sanctioned - Awaiting Disbursement","Not Disbursed")))</f>
        <v/>
      </c>
      <c r="AA12">
        <f>IF(A12="","",IF(LOWER(TRIM('01_Master_Data'!AI12&amp;""))="yes","Need FLDG",IF(LOWER(TRIM('01_Master_Data'!AK12&amp;""))="yes","Need Vidyalakshmi",IF(LOWER(TRIM('01_Master_Data'!AJ12&amp;""))="yes","Need Review",IF(LOWER(J12)="critical","Critical",IF(LOWER(U12)="risk","Risk Case",IF(X12="Refund","Refund","Normal")))))))</f>
        <v/>
      </c>
      <c r="AB12">
        <f>IF(A12="","",IF(OR(LOWER(J12)="critical",LOWER(TRIM('01_Master_Data'!AI12&amp;""))="yes",LOWER(TRIM('01_Master_Data'!AK12&amp;""))="yes",LOWER(U12)="risk"),"Yes","No"))</f>
        <v/>
      </c>
      <c r="AC12">
        <f>IF(A12="","",IF(LOWER(TRIM('01_Master_Data'!AI12&amp;""))="yes","Yes","No"))</f>
        <v/>
      </c>
      <c r="AD12">
        <f>IF(A12="","",IF(LOWER(TRIM('01_Master_Data'!AK12&amp;""))="yes","Yes","No"))</f>
        <v/>
      </c>
      <c r="AE12">
        <f>IF(A12="","",IF(LOWER(TRIM('01_Master_Data'!AJ12&amp;""))="yes","Yes","No"))</f>
        <v/>
      </c>
      <c r="AF12">
        <f>IF(A12="","",TRIM('01_Master_Data'!AL12&amp;""))</f>
        <v/>
      </c>
      <c r="AG12">
        <f>IF(A12="","",IF(AF12="","—",IF(ISNUMBER(SEARCH("DNP",AF12)),"Unreachable / DNP",IF(ISNUMBER(SEARCH("interest",LOWER(AF12))),"High Interest / Terms",IF(OR(ISNUMBER(SEARCH("eligib",LOWER(AF12))),ISNUMBER(SEARCH("income",LOWER(AF12)))),"Eligibility / Income",IF(OR(ISNUMBER(SEARCH("start",LOWER(AF12))),ISNUMBER(SEARCH("Newer",AF12)),ISNUMBER(SEARCH("Will start",AF12))),"Process Yet to Start",IF(ISNUMBER(SEARCH("sure",LOWER(AF12))),"Undecided",IF(OR(ISNUMBER(SEARCH("reject",LOWER(AF12))),ISNUMBER(SEARCH("SBI",AF12))),"Rejected Elsewhere",IF(ISNUMBER(SEARCH("call",LOWER(AF12))),"Bank Communication",IF(OR(ISNUMBER(SEARCH("father",LOWER(AF12))),ISNUMBER(SEARCH("sister",LOWER(AF12)))),"Family / Dependency","Other"))))))))))</f>
        <v/>
      </c>
      <c r="AH12">
        <f>IF(A12="","",'01_Master_Data'!AC12)</f>
        <v/>
      </c>
      <c r="AI12">
        <f>IF(A12="","",IF(OR(AH12="",NOT(ISNUMBER(AH12))),"",MAX(0,'02_Configuration'!$B$82-AH12)))</f>
        <v/>
      </c>
      <c r="AJ12">
        <f>IF(A12="","",IF(AI12="","Unknown",IF(AI12&lt;=3,"0–3 Days",IF(AI12&lt;=7,"4–7 Days",IF(AI12&lt;=15,"8–15 Days",IF(AI12&lt;=30,"16–30 Days","30+ Days"))))))</f>
        <v/>
      </c>
      <c r="AK12">
        <f>IF(A12="","",IF(LOWER(H12)="yes","Yes","No"))</f>
        <v/>
      </c>
      <c r="AL12">
        <f>IF(A12="","",'01_Master_Data'!T12)</f>
        <v/>
      </c>
      <c r="AM12">
        <f>IF(A12="","",'01_Master_Data'!S12)</f>
        <v/>
      </c>
      <c r="AN12">
        <f>IF(A12="","",'01_Master_Data'!I12)</f>
        <v/>
      </c>
      <c r="AO12">
        <f>IF(A12="","",'01_Master_Data'!M12)</f>
        <v/>
      </c>
      <c r="AP12">
        <f>IF(A12="","",IF(ISNUMBER(SEARCH("Icici",W12&amp;"")),1,0))</f>
        <v/>
      </c>
      <c r="AQ12">
        <f>IF(A12="","",IF(ISNUMBER(SEARCH("Propelld",W12&amp;"")),1,0))</f>
        <v/>
      </c>
      <c r="AR12">
        <f>IF(A12="","",IF(ISNUMBER(SEARCH("GyanDhan",W12&amp;"")),1,0))</f>
        <v/>
      </c>
      <c r="AS12">
        <f>IF(A12="","",IF(ISNUMBER(SEARCH("vidyalakshmi",LOWER(W12&amp;""))),1,0))</f>
        <v/>
      </c>
      <c r="AT12">
        <f>IF(A12="","",IF(ISNUMBER(SEARCH("other bank",LOWER(W12&amp;""))),1,0))</f>
        <v/>
      </c>
      <c r="AU12">
        <f>IF(A12="","",IF(ISNUMBER(SEARCH("sanctioned",LOWER(W12&amp;""))),1,0))</f>
        <v/>
      </c>
      <c r="AV12">
        <f>IF(A12="","",IF(ISNUMBER(SEARCH("Docs Pending",W12&amp;"")),1,0))</f>
        <v/>
      </c>
      <c r="AW12">
        <f>IF(A12="","",IF(OR(X12="Rejected",ISNUMBER(SEARCH("Not eligbile",W12&amp;""))),1,0))</f>
        <v/>
      </c>
    </row>
    <row r="13">
      <c r="A13">
        <f>IF('01_Master_Data'!B13="","",12)</f>
        <v/>
      </c>
      <c r="B13">
        <f>IF('01_Master_Data'!B13="","",IF('01_Master_Data'!C13&lt;&gt;"","MOB|"&amp;TEXT('01_Master_Data'!C13,"0"),IF('01_Master_Data'!D13&lt;&gt;"","PID|"&amp;TRIM('01_Master_Data'!D13&amp;""),"")))</f>
        <v/>
      </c>
      <c r="C13">
        <f>IF('01_Master_Data'!B13="","",'01_Master_Data'!B13)</f>
        <v/>
      </c>
      <c r="D13">
        <f>IF('01_Master_Data'!B13="","",'01_Master_Data'!C13)</f>
        <v/>
      </c>
      <c r="E13">
        <f>IF('01_Master_Data'!B13="","",'01_Master_Data'!D13)</f>
        <v/>
      </c>
      <c r="F13">
        <f>IF('01_Master_Data'!B13="","",'01_Master_Data'!E13)</f>
        <v/>
      </c>
      <c r="G13">
        <f>IF('01_Master_Data'!B13="","",IFERROR(VLOOKUP(TRIM('01_Master_Data'!E13&amp;""),'02_Configuration'!$A$40:$B$44,2,FALSE),UPPER(TRIM('01_Master_Data'!E13&amp;""))))</f>
        <v/>
      </c>
      <c r="H13">
        <f>IF('01_Master_Data'!B13="","",IF('01_Master_Data'!U13="","",TRIM('01_Master_Data'!U13&amp;"")))</f>
        <v/>
      </c>
      <c r="I13">
        <f>IF('01_Master_Data'!B13="","",TRIM('01_Master_Data'!F13&amp;""))</f>
        <v/>
      </c>
      <c r="J13">
        <f>IF('01_Master_Data'!B13="","",TRIM('01_Master_Data'!G13&amp;""))</f>
        <v/>
      </c>
      <c r="K13">
        <f>IF('01_Master_Data'!B13="","",'01_Master_Data'!H13)</f>
        <v/>
      </c>
      <c r="L13">
        <f>IF('01_Master_Data'!B13="","",IF(LOWER(TRIM('01_Master_Data'!V13&amp;""))="yes",1,0))</f>
        <v/>
      </c>
      <c r="M13">
        <f>IF('01_Master_Data'!B13="","",IF(LOWER(TRIM('01_Master_Data'!W13&amp;""))="yes",1,0))</f>
        <v/>
      </c>
      <c r="N13">
        <f>IF('01_Master_Data'!B13="","",IF(LOWER(TRIM('01_Master_Data'!X13&amp;""))="yes",1,0))</f>
        <v/>
      </c>
      <c r="O13">
        <f>IF('01_Master_Data'!B13="","",IF(LOWER(TRIM('01_Master_Data'!Y13&amp;""))="yes",1,0))</f>
        <v/>
      </c>
      <c r="P13">
        <f>IF('01_Master_Data'!B13="","",IF(LOWER(TRIM('01_Master_Data'!Z13&amp;""))="yes",1,0))</f>
        <v/>
      </c>
      <c r="Q13">
        <f>IF(A13="","",L13+M13+N13+O13+P13)</f>
        <v/>
      </c>
      <c r="R13">
        <f>IF(A13="","",IF(Q13&gt;1,"Yes","No"))</f>
        <v/>
      </c>
      <c r="S13">
        <f>IF(A13="","",TEXTJOIN(", ",TRUE,IF(L13=1,"ICICI",""),IF(M13=1,"Propelld",""),IF(N13=1,"Study4Buddy",""),IF(O13=1,"Poonawala Fincorp",""),IF(P13=1,"GyanDhan","")))</f>
        <v/>
      </c>
      <c r="T13">
        <f>IF(A13="","",IF(L13=1,"ICICI",IF(M13=1,"Propelld",IF(P13=1,"GyanDhan",IF(N13=1,"Study4Buddy",IF(O13=1,"Poonawala Fincorp",IF(ISNUMBER(SEARCH("GyanDhan",W13&amp;"")),"GyanDhan",IF(ISNUMBER(SEARCH("Icici",W13&amp;"")),"ICICI",IF(ISNUMBER(SEARCH("Propelld",W13&amp;"")),"Propelld",IF(ISNUMBER(SEARCH("vidyalakshmi",LOWER(W13&amp;"")),"PM Vidyalakshmi","—"))))))))))</f>
        <v/>
      </c>
      <c r="U13">
        <f>IF(A13="","",TRIM('01_Master_Data'!AA13&amp;""))</f>
        <v/>
      </c>
      <c r="V13">
        <f>IF(A13="","",TRIM('01_Master_Data'!AG13&amp;""))</f>
        <v/>
      </c>
      <c r="W13">
        <f>IF(A13="","",TRIM('01_Master_Data'!AH13&amp;""))</f>
        <v/>
      </c>
      <c r="X13">
        <f>IF(A13="","",IF(OR(LOWER(H13)="refund",LOWER(U13)="refund case"),"Refund",IF(OR(LOWER(H13)="dnp",LOWER(U13)="dnp"),"DNP",IF(OR(LOWER(V13)="disbursed",ISNUMBER(SEARCH("Disbursed",W13&amp;""))),"Disbursed",IF(OR(LOWER(V13)="loan proccessed/accepted",ISNUMBER(SEARCH("sanctioned",LOWER(W13&amp;"")))),"Sanctioned",IF(OR(LOWER(V13)="rejected",ISNUMBER(SEARCH("Not eligbile",W13&amp;"")),ISNUMBER(SEARCH("Not eligible",W13&amp;""))),"Rejected",IF(ISNUMBER(SEARCH("Docs Pending",W13&amp;"")),"Documents Pending",IF(AND(LOWER(H13)="yes",LOWER(V13)="ongoing"),"Processing",IF(AND(LOWER(H13)="yes",Q13&gt;0,OR(V13="",LOWER(V13)="not even started")),"Vendor Assigned",IF(AND(LOWER(H13)="yes",LOWER(V13)="not even started"),"Need Loan",IF(LOWER(H13)="yes","Loan Started",IF(LOWER(H13)="not sure","Interested",IF(OR(LOWER(H13)="no",LOWER(V13)="not required"),"Not Required","Unclassified")))))))))))))</f>
        <v/>
      </c>
      <c r="Y13">
        <f>IF(A13="","",IF(OR(X13="Sanctioned",X13="Disbursed",X13="Approved"),"Approved",IF(X13="Rejected","Rejected",IF(OR(X13="Processing",X13="Documents Pending",X13="Vendor Assigned"),"In Progress",IF(X13="Need Loan","Pending Start","—"))))</f>
        <v/>
      </c>
      <c r="Z13">
        <f>IF(A13="","",IF(X13="Disbursed","Disbursed",IF(X13="Sanctioned","Sanctioned - Awaiting Disbursement","Not Disbursed")))</f>
        <v/>
      </c>
      <c r="AA13">
        <f>IF(A13="","",IF(LOWER(TRIM('01_Master_Data'!AI13&amp;""))="yes","Need FLDG",IF(LOWER(TRIM('01_Master_Data'!AK13&amp;""))="yes","Need Vidyalakshmi",IF(LOWER(TRIM('01_Master_Data'!AJ13&amp;""))="yes","Need Review",IF(LOWER(J13)="critical","Critical",IF(LOWER(U13)="risk","Risk Case",IF(X13="Refund","Refund","Normal")))))))</f>
        <v/>
      </c>
      <c r="AB13">
        <f>IF(A13="","",IF(OR(LOWER(J13)="critical",LOWER(TRIM('01_Master_Data'!AI13&amp;""))="yes",LOWER(TRIM('01_Master_Data'!AK13&amp;""))="yes",LOWER(U13)="risk"),"Yes","No"))</f>
        <v/>
      </c>
      <c r="AC13">
        <f>IF(A13="","",IF(LOWER(TRIM('01_Master_Data'!AI13&amp;""))="yes","Yes","No"))</f>
        <v/>
      </c>
      <c r="AD13">
        <f>IF(A13="","",IF(LOWER(TRIM('01_Master_Data'!AK13&amp;""))="yes","Yes","No"))</f>
        <v/>
      </c>
      <c r="AE13">
        <f>IF(A13="","",IF(LOWER(TRIM('01_Master_Data'!AJ13&amp;""))="yes","Yes","No"))</f>
        <v/>
      </c>
      <c r="AF13">
        <f>IF(A13="","",TRIM('01_Master_Data'!AL13&amp;""))</f>
        <v/>
      </c>
      <c r="AG13">
        <f>IF(A13="","",IF(AF13="","—",IF(ISNUMBER(SEARCH("DNP",AF13)),"Unreachable / DNP",IF(ISNUMBER(SEARCH("interest",LOWER(AF13))),"High Interest / Terms",IF(OR(ISNUMBER(SEARCH("eligib",LOWER(AF13))),ISNUMBER(SEARCH("income",LOWER(AF13)))),"Eligibility / Income",IF(OR(ISNUMBER(SEARCH("start",LOWER(AF13))),ISNUMBER(SEARCH("Newer",AF13)),ISNUMBER(SEARCH("Will start",AF13))),"Process Yet to Start",IF(ISNUMBER(SEARCH("sure",LOWER(AF13))),"Undecided",IF(OR(ISNUMBER(SEARCH("reject",LOWER(AF13))),ISNUMBER(SEARCH("SBI",AF13))),"Rejected Elsewhere",IF(ISNUMBER(SEARCH("call",LOWER(AF13))),"Bank Communication",IF(OR(ISNUMBER(SEARCH("father",LOWER(AF13))),ISNUMBER(SEARCH("sister",LOWER(AF13)))),"Family / Dependency","Other"))))))))))</f>
        <v/>
      </c>
      <c r="AH13">
        <f>IF(A13="","",'01_Master_Data'!AC13)</f>
        <v/>
      </c>
      <c r="AI13">
        <f>IF(A13="","",IF(OR(AH13="",NOT(ISNUMBER(AH13))),"",MAX(0,'02_Configuration'!$B$82-AH13)))</f>
        <v/>
      </c>
      <c r="AJ13">
        <f>IF(A13="","",IF(AI13="","Unknown",IF(AI13&lt;=3,"0–3 Days",IF(AI13&lt;=7,"4–7 Days",IF(AI13&lt;=15,"8–15 Days",IF(AI13&lt;=30,"16–30 Days","30+ Days"))))))</f>
        <v/>
      </c>
      <c r="AK13">
        <f>IF(A13="","",IF(LOWER(H13)="yes","Yes","No"))</f>
        <v/>
      </c>
      <c r="AL13">
        <f>IF(A13="","",'01_Master_Data'!T13)</f>
        <v/>
      </c>
      <c r="AM13">
        <f>IF(A13="","",'01_Master_Data'!S13)</f>
        <v/>
      </c>
      <c r="AN13">
        <f>IF(A13="","",'01_Master_Data'!I13)</f>
        <v/>
      </c>
      <c r="AO13">
        <f>IF(A13="","",'01_Master_Data'!M13)</f>
        <v/>
      </c>
      <c r="AP13">
        <f>IF(A13="","",IF(ISNUMBER(SEARCH("Icici",W13&amp;"")),1,0))</f>
        <v/>
      </c>
      <c r="AQ13">
        <f>IF(A13="","",IF(ISNUMBER(SEARCH("Propelld",W13&amp;"")),1,0))</f>
        <v/>
      </c>
      <c r="AR13">
        <f>IF(A13="","",IF(ISNUMBER(SEARCH("GyanDhan",W13&amp;"")),1,0))</f>
        <v/>
      </c>
      <c r="AS13">
        <f>IF(A13="","",IF(ISNUMBER(SEARCH("vidyalakshmi",LOWER(W13&amp;""))),1,0))</f>
        <v/>
      </c>
      <c r="AT13">
        <f>IF(A13="","",IF(ISNUMBER(SEARCH("other bank",LOWER(W13&amp;""))),1,0))</f>
        <v/>
      </c>
      <c r="AU13">
        <f>IF(A13="","",IF(ISNUMBER(SEARCH("sanctioned",LOWER(W13&amp;""))),1,0))</f>
        <v/>
      </c>
      <c r="AV13">
        <f>IF(A13="","",IF(ISNUMBER(SEARCH("Docs Pending",W13&amp;"")),1,0))</f>
        <v/>
      </c>
      <c r="AW13">
        <f>IF(A13="","",IF(OR(X13="Rejected",ISNUMBER(SEARCH("Not eligbile",W13&amp;""))),1,0))</f>
        <v/>
      </c>
    </row>
    <row r="14">
      <c r="A14">
        <f>IF('01_Master_Data'!B14="","",13)</f>
        <v/>
      </c>
      <c r="B14">
        <f>IF('01_Master_Data'!B14="","",IF('01_Master_Data'!C14&lt;&gt;"","MOB|"&amp;TEXT('01_Master_Data'!C14,"0"),IF('01_Master_Data'!D14&lt;&gt;"","PID|"&amp;TRIM('01_Master_Data'!D14&amp;""),"")))</f>
        <v/>
      </c>
      <c r="C14">
        <f>IF('01_Master_Data'!B14="","",'01_Master_Data'!B14)</f>
        <v/>
      </c>
      <c r="D14">
        <f>IF('01_Master_Data'!B14="","",'01_Master_Data'!C14)</f>
        <v/>
      </c>
      <c r="E14">
        <f>IF('01_Master_Data'!B14="","",'01_Master_Data'!D14)</f>
        <v/>
      </c>
      <c r="F14">
        <f>IF('01_Master_Data'!B14="","",'01_Master_Data'!E14)</f>
        <v/>
      </c>
      <c r="G14">
        <f>IF('01_Master_Data'!B14="","",IFERROR(VLOOKUP(TRIM('01_Master_Data'!E14&amp;""),'02_Configuration'!$A$40:$B$44,2,FALSE),UPPER(TRIM('01_Master_Data'!E14&amp;""))))</f>
        <v/>
      </c>
      <c r="H14">
        <f>IF('01_Master_Data'!B14="","",IF('01_Master_Data'!U14="","",TRIM('01_Master_Data'!U14&amp;"")))</f>
        <v/>
      </c>
      <c r="I14">
        <f>IF('01_Master_Data'!B14="","",TRIM('01_Master_Data'!F14&amp;""))</f>
        <v/>
      </c>
      <c r="J14">
        <f>IF('01_Master_Data'!B14="","",TRIM('01_Master_Data'!G14&amp;""))</f>
        <v/>
      </c>
      <c r="K14">
        <f>IF('01_Master_Data'!B14="","",'01_Master_Data'!H14)</f>
        <v/>
      </c>
      <c r="L14">
        <f>IF('01_Master_Data'!B14="","",IF(LOWER(TRIM('01_Master_Data'!V14&amp;""))="yes",1,0))</f>
        <v/>
      </c>
      <c r="M14">
        <f>IF('01_Master_Data'!B14="","",IF(LOWER(TRIM('01_Master_Data'!W14&amp;""))="yes",1,0))</f>
        <v/>
      </c>
      <c r="N14">
        <f>IF('01_Master_Data'!B14="","",IF(LOWER(TRIM('01_Master_Data'!X14&amp;""))="yes",1,0))</f>
        <v/>
      </c>
      <c r="O14">
        <f>IF('01_Master_Data'!B14="","",IF(LOWER(TRIM('01_Master_Data'!Y14&amp;""))="yes",1,0))</f>
        <v/>
      </c>
      <c r="P14">
        <f>IF('01_Master_Data'!B14="","",IF(LOWER(TRIM('01_Master_Data'!Z14&amp;""))="yes",1,0))</f>
        <v/>
      </c>
      <c r="Q14">
        <f>IF(A14="","",L14+M14+N14+O14+P14)</f>
        <v/>
      </c>
      <c r="R14">
        <f>IF(A14="","",IF(Q14&gt;1,"Yes","No"))</f>
        <v/>
      </c>
      <c r="S14">
        <f>IF(A14="","",TEXTJOIN(", ",TRUE,IF(L14=1,"ICICI",""),IF(M14=1,"Propelld",""),IF(N14=1,"Study4Buddy",""),IF(O14=1,"Poonawala Fincorp",""),IF(P14=1,"GyanDhan","")))</f>
        <v/>
      </c>
      <c r="T14">
        <f>IF(A14="","",IF(L14=1,"ICICI",IF(M14=1,"Propelld",IF(P14=1,"GyanDhan",IF(N14=1,"Study4Buddy",IF(O14=1,"Poonawala Fincorp",IF(ISNUMBER(SEARCH("GyanDhan",W14&amp;"")),"GyanDhan",IF(ISNUMBER(SEARCH("Icici",W14&amp;"")),"ICICI",IF(ISNUMBER(SEARCH("Propelld",W14&amp;"")),"Propelld",IF(ISNUMBER(SEARCH("vidyalakshmi",LOWER(W14&amp;"")),"PM Vidyalakshmi","—"))))))))))</f>
        <v/>
      </c>
      <c r="U14">
        <f>IF(A14="","",TRIM('01_Master_Data'!AA14&amp;""))</f>
        <v/>
      </c>
      <c r="V14">
        <f>IF(A14="","",TRIM('01_Master_Data'!AG14&amp;""))</f>
        <v/>
      </c>
      <c r="W14">
        <f>IF(A14="","",TRIM('01_Master_Data'!AH14&amp;""))</f>
        <v/>
      </c>
      <c r="X14">
        <f>IF(A14="","",IF(OR(LOWER(H14)="refund",LOWER(U14)="refund case"),"Refund",IF(OR(LOWER(H14)="dnp",LOWER(U14)="dnp"),"DNP",IF(OR(LOWER(V14)="disbursed",ISNUMBER(SEARCH("Disbursed",W14&amp;""))),"Disbursed",IF(OR(LOWER(V14)="loan proccessed/accepted",ISNUMBER(SEARCH("sanctioned",LOWER(W14&amp;"")))),"Sanctioned",IF(OR(LOWER(V14)="rejected",ISNUMBER(SEARCH("Not eligbile",W14&amp;"")),ISNUMBER(SEARCH("Not eligible",W14&amp;""))),"Rejected",IF(ISNUMBER(SEARCH("Docs Pending",W14&amp;"")),"Documents Pending",IF(AND(LOWER(H14)="yes",LOWER(V14)="ongoing"),"Processing",IF(AND(LOWER(H14)="yes",Q14&gt;0,OR(V14="",LOWER(V14)="not even started")),"Vendor Assigned",IF(AND(LOWER(H14)="yes",LOWER(V14)="not even started"),"Need Loan",IF(LOWER(H14)="yes","Loan Started",IF(LOWER(H14)="not sure","Interested",IF(OR(LOWER(H14)="no",LOWER(V14)="not required"),"Not Required","Unclassified")))))))))))))</f>
        <v/>
      </c>
      <c r="Y14">
        <f>IF(A14="","",IF(OR(X14="Sanctioned",X14="Disbursed",X14="Approved"),"Approved",IF(X14="Rejected","Rejected",IF(OR(X14="Processing",X14="Documents Pending",X14="Vendor Assigned"),"In Progress",IF(X14="Need Loan","Pending Start","—"))))</f>
        <v/>
      </c>
      <c r="Z14">
        <f>IF(A14="","",IF(X14="Disbursed","Disbursed",IF(X14="Sanctioned","Sanctioned - Awaiting Disbursement","Not Disbursed")))</f>
        <v/>
      </c>
      <c r="AA14">
        <f>IF(A14="","",IF(LOWER(TRIM('01_Master_Data'!AI14&amp;""))="yes","Need FLDG",IF(LOWER(TRIM('01_Master_Data'!AK14&amp;""))="yes","Need Vidyalakshmi",IF(LOWER(TRIM('01_Master_Data'!AJ14&amp;""))="yes","Need Review",IF(LOWER(J14)="critical","Critical",IF(LOWER(U14)="risk","Risk Case",IF(X14="Refund","Refund","Normal")))))))</f>
        <v/>
      </c>
      <c r="AB14">
        <f>IF(A14="","",IF(OR(LOWER(J14)="critical",LOWER(TRIM('01_Master_Data'!AI14&amp;""))="yes",LOWER(TRIM('01_Master_Data'!AK14&amp;""))="yes",LOWER(U14)="risk"),"Yes","No"))</f>
        <v/>
      </c>
      <c r="AC14">
        <f>IF(A14="","",IF(LOWER(TRIM('01_Master_Data'!AI14&amp;""))="yes","Yes","No"))</f>
        <v/>
      </c>
      <c r="AD14">
        <f>IF(A14="","",IF(LOWER(TRIM('01_Master_Data'!AK14&amp;""))="yes","Yes","No"))</f>
        <v/>
      </c>
      <c r="AE14">
        <f>IF(A14="","",IF(LOWER(TRIM('01_Master_Data'!AJ14&amp;""))="yes","Yes","No"))</f>
        <v/>
      </c>
      <c r="AF14">
        <f>IF(A14="","",TRIM('01_Master_Data'!AL14&amp;""))</f>
        <v/>
      </c>
      <c r="AG14">
        <f>IF(A14="","",IF(AF14="","—",IF(ISNUMBER(SEARCH("DNP",AF14)),"Unreachable / DNP",IF(ISNUMBER(SEARCH("interest",LOWER(AF14))),"High Interest / Terms",IF(OR(ISNUMBER(SEARCH("eligib",LOWER(AF14))),ISNUMBER(SEARCH("income",LOWER(AF14)))),"Eligibility / Income",IF(OR(ISNUMBER(SEARCH("start",LOWER(AF14))),ISNUMBER(SEARCH("Newer",AF14)),ISNUMBER(SEARCH("Will start",AF14))),"Process Yet to Start",IF(ISNUMBER(SEARCH("sure",LOWER(AF14))),"Undecided",IF(OR(ISNUMBER(SEARCH("reject",LOWER(AF14))),ISNUMBER(SEARCH("SBI",AF14))),"Rejected Elsewhere",IF(ISNUMBER(SEARCH("call",LOWER(AF14))),"Bank Communication",IF(OR(ISNUMBER(SEARCH("father",LOWER(AF14))),ISNUMBER(SEARCH("sister",LOWER(AF14)))),"Family / Dependency","Other"))))))))))</f>
        <v/>
      </c>
      <c r="AH14">
        <f>IF(A14="","",'01_Master_Data'!AC14)</f>
        <v/>
      </c>
      <c r="AI14">
        <f>IF(A14="","",IF(OR(AH14="",NOT(ISNUMBER(AH14))),"",MAX(0,'02_Configuration'!$B$82-AH14)))</f>
        <v/>
      </c>
      <c r="AJ14">
        <f>IF(A14="","",IF(AI14="","Unknown",IF(AI14&lt;=3,"0–3 Days",IF(AI14&lt;=7,"4–7 Days",IF(AI14&lt;=15,"8–15 Days",IF(AI14&lt;=30,"16–30 Days","30+ Days"))))))</f>
        <v/>
      </c>
      <c r="AK14">
        <f>IF(A14="","",IF(LOWER(H14)="yes","Yes","No"))</f>
        <v/>
      </c>
      <c r="AL14">
        <f>IF(A14="","",'01_Master_Data'!T14)</f>
        <v/>
      </c>
      <c r="AM14">
        <f>IF(A14="","",'01_Master_Data'!S14)</f>
        <v/>
      </c>
      <c r="AN14">
        <f>IF(A14="","",'01_Master_Data'!I14)</f>
        <v/>
      </c>
      <c r="AO14">
        <f>IF(A14="","",'01_Master_Data'!M14)</f>
        <v/>
      </c>
      <c r="AP14">
        <f>IF(A14="","",IF(ISNUMBER(SEARCH("Icici",W14&amp;"")),1,0))</f>
        <v/>
      </c>
      <c r="AQ14">
        <f>IF(A14="","",IF(ISNUMBER(SEARCH("Propelld",W14&amp;"")),1,0))</f>
        <v/>
      </c>
      <c r="AR14">
        <f>IF(A14="","",IF(ISNUMBER(SEARCH("GyanDhan",W14&amp;"")),1,0))</f>
        <v/>
      </c>
      <c r="AS14">
        <f>IF(A14="","",IF(ISNUMBER(SEARCH("vidyalakshmi",LOWER(W14&amp;""))),1,0))</f>
        <v/>
      </c>
      <c r="AT14">
        <f>IF(A14="","",IF(ISNUMBER(SEARCH("other bank",LOWER(W14&amp;""))),1,0))</f>
        <v/>
      </c>
      <c r="AU14">
        <f>IF(A14="","",IF(ISNUMBER(SEARCH("sanctioned",LOWER(W14&amp;""))),1,0))</f>
        <v/>
      </c>
      <c r="AV14">
        <f>IF(A14="","",IF(ISNUMBER(SEARCH("Docs Pending",W14&amp;"")),1,0))</f>
        <v/>
      </c>
      <c r="AW14">
        <f>IF(A14="","",IF(OR(X14="Rejected",ISNUMBER(SEARCH("Not eligbile",W14&amp;""))),1,0))</f>
        <v/>
      </c>
    </row>
    <row r="15">
      <c r="A15">
        <f>IF('01_Master_Data'!B15="","",14)</f>
        <v/>
      </c>
      <c r="B15">
        <f>IF('01_Master_Data'!B15="","",IF('01_Master_Data'!C15&lt;&gt;"","MOB|"&amp;TEXT('01_Master_Data'!C15,"0"),IF('01_Master_Data'!D15&lt;&gt;"","PID|"&amp;TRIM('01_Master_Data'!D15&amp;""),"")))</f>
        <v/>
      </c>
      <c r="C15">
        <f>IF('01_Master_Data'!B15="","",'01_Master_Data'!B15)</f>
        <v/>
      </c>
      <c r="D15">
        <f>IF('01_Master_Data'!B15="","",'01_Master_Data'!C15)</f>
        <v/>
      </c>
      <c r="E15">
        <f>IF('01_Master_Data'!B15="","",'01_Master_Data'!D15)</f>
        <v/>
      </c>
      <c r="F15">
        <f>IF('01_Master_Data'!B15="","",'01_Master_Data'!E15)</f>
        <v/>
      </c>
      <c r="G15">
        <f>IF('01_Master_Data'!B15="","",IFERROR(VLOOKUP(TRIM('01_Master_Data'!E15&amp;""),'02_Configuration'!$A$40:$B$44,2,FALSE),UPPER(TRIM('01_Master_Data'!E15&amp;""))))</f>
        <v/>
      </c>
      <c r="H15">
        <f>IF('01_Master_Data'!B15="","",IF('01_Master_Data'!U15="","",TRIM('01_Master_Data'!U15&amp;"")))</f>
        <v/>
      </c>
      <c r="I15">
        <f>IF('01_Master_Data'!B15="","",TRIM('01_Master_Data'!F15&amp;""))</f>
        <v/>
      </c>
      <c r="J15">
        <f>IF('01_Master_Data'!B15="","",TRIM('01_Master_Data'!G15&amp;""))</f>
        <v/>
      </c>
      <c r="K15">
        <f>IF('01_Master_Data'!B15="","",'01_Master_Data'!H15)</f>
        <v/>
      </c>
      <c r="L15">
        <f>IF('01_Master_Data'!B15="","",IF(LOWER(TRIM('01_Master_Data'!V15&amp;""))="yes",1,0))</f>
        <v/>
      </c>
      <c r="M15">
        <f>IF('01_Master_Data'!B15="","",IF(LOWER(TRIM('01_Master_Data'!W15&amp;""))="yes",1,0))</f>
        <v/>
      </c>
      <c r="N15">
        <f>IF('01_Master_Data'!B15="","",IF(LOWER(TRIM('01_Master_Data'!X15&amp;""))="yes",1,0))</f>
        <v/>
      </c>
      <c r="O15">
        <f>IF('01_Master_Data'!B15="","",IF(LOWER(TRIM('01_Master_Data'!Y15&amp;""))="yes",1,0))</f>
        <v/>
      </c>
      <c r="P15">
        <f>IF('01_Master_Data'!B15="","",IF(LOWER(TRIM('01_Master_Data'!Z15&amp;""))="yes",1,0))</f>
        <v/>
      </c>
      <c r="Q15">
        <f>IF(A15="","",L15+M15+N15+O15+P15)</f>
        <v/>
      </c>
      <c r="R15">
        <f>IF(A15="","",IF(Q15&gt;1,"Yes","No"))</f>
        <v/>
      </c>
      <c r="S15">
        <f>IF(A15="","",TEXTJOIN(", ",TRUE,IF(L15=1,"ICICI",""),IF(M15=1,"Propelld",""),IF(N15=1,"Study4Buddy",""),IF(O15=1,"Poonawala Fincorp",""),IF(P15=1,"GyanDhan","")))</f>
        <v/>
      </c>
      <c r="T15">
        <f>IF(A15="","",IF(L15=1,"ICICI",IF(M15=1,"Propelld",IF(P15=1,"GyanDhan",IF(N15=1,"Study4Buddy",IF(O15=1,"Poonawala Fincorp",IF(ISNUMBER(SEARCH("GyanDhan",W15&amp;"")),"GyanDhan",IF(ISNUMBER(SEARCH("Icici",W15&amp;"")),"ICICI",IF(ISNUMBER(SEARCH("Propelld",W15&amp;"")),"Propelld",IF(ISNUMBER(SEARCH("vidyalakshmi",LOWER(W15&amp;"")),"PM Vidyalakshmi","—"))))))))))</f>
        <v/>
      </c>
      <c r="U15">
        <f>IF(A15="","",TRIM('01_Master_Data'!AA15&amp;""))</f>
        <v/>
      </c>
      <c r="V15">
        <f>IF(A15="","",TRIM('01_Master_Data'!AG15&amp;""))</f>
        <v/>
      </c>
      <c r="W15">
        <f>IF(A15="","",TRIM('01_Master_Data'!AH15&amp;""))</f>
        <v/>
      </c>
      <c r="X15">
        <f>IF(A15="","",IF(OR(LOWER(H15)="refund",LOWER(U15)="refund case"),"Refund",IF(OR(LOWER(H15)="dnp",LOWER(U15)="dnp"),"DNP",IF(OR(LOWER(V15)="disbursed",ISNUMBER(SEARCH("Disbursed",W15&amp;""))),"Disbursed",IF(OR(LOWER(V15)="loan proccessed/accepted",ISNUMBER(SEARCH("sanctioned",LOWER(W15&amp;"")))),"Sanctioned",IF(OR(LOWER(V15)="rejected",ISNUMBER(SEARCH("Not eligbile",W15&amp;"")),ISNUMBER(SEARCH("Not eligible",W15&amp;""))),"Rejected",IF(ISNUMBER(SEARCH("Docs Pending",W15&amp;"")),"Documents Pending",IF(AND(LOWER(H15)="yes",LOWER(V15)="ongoing"),"Processing",IF(AND(LOWER(H15)="yes",Q15&gt;0,OR(V15="",LOWER(V15)="not even started")),"Vendor Assigned",IF(AND(LOWER(H15)="yes",LOWER(V15)="not even started"),"Need Loan",IF(LOWER(H15)="yes","Loan Started",IF(LOWER(H15)="not sure","Interested",IF(OR(LOWER(H15)="no",LOWER(V15)="not required"),"Not Required","Unclassified")))))))))))))</f>
        <v/>
      </c>
      <c r="Y15">
        <f>IF(A15="","",IF(OR(X15="Sanctioned",X15="Disbursed",X15="Approved"),"Approved",IF(X15="Rejected","Rejected",IF(OR(X15="Processing",X15="Documents Pending",X15="Vendor Assigned"),"In Progress",IF(X15="Need Loan","Pending Start","—"))))</f>
        <v/>
      </c>
      <c r="Z15">
        <f>IF(A15="","",IF(X15="Disbursed","Disbursed",IF(X15="Sanctioned","Sanctioned - Awaiting Disbursement","Not Disbursed")))</f>
        <v/>
      </c>
      <c r="AA15">
        <f>IF(A15="","",IF(LOWER(TRIM('01_Master_Data'!AI15&amp;""))="yes","Need FLDG",IF(LOWER(TRIM('01_Master_Data'!AK15&amp;""))="yes","Need Vidyalakshmi",IF(LOWER(TRIM('01_Master_Data'!AJ15&amp;""))="yes","Need Review",IF(LOWER(J15)="critical","Critical",IF(LOWER(U15)="risk","Risk Case",IF(X15="Refund","Refund","Normal")))))))</f>
        <v/>
      </c>
      <c r="AB15">
        <f>IF(A15="","",IF(OR(LOWER(J15)="critical",LOWER(TRIM('01_Master_Data'!AI15&amp;""))="yes",LOWER(TRIM('01_Master_Data'!AK15&amp;""))="yes",LOWER(U15)="risk"),"Yes","No"))</f>
        <v/>
      </c>
      <c r="AC15">
        <f>IF(A15="","",IF(LOWER(TRIM('01_Master_Data'!AI15&amp;""))="yes","Yes","No"))</f>
        <v/>
      </c>
      <c r="AD15">
        <f>IF(A15="","",IF(LOWER(TRIM('01_Master_Data'!AK15&amp;""))="yes","Yes","No"))</f>
        <v/>
      </c>
      <c r="AE15">
        <f>IF(A15="","",IF(LOWER(TRIM('01_Master_Data'!AJ15&amp;""))="yes","Yes","No"))</f>
        <v/>
      </c>
      <c r="AF15">
        <f>IF(A15="","",TRIM('01_Master_Data'!AL15&amp;""))</f>
        <v/>
      </c>
      <c r="AG15">
        <f>IF(A15="","",IF(AF15="","—",IF(ISNUMBER(SEARCH("DNP",AF15)),"Unreachable / DNP",IF(ISNUMBER(SEARCH("interest",LOWER(AF15))),"High Interest / Terms",IF(OR(ISNUMBER(SEARCH("eligib",LOWER(AF15))),ISNUMBER(SEARCH("income",LOWER(AF15)))),"Eligibility / Income",IF(OR(ISNUMBER(SEARCH("start",LOWER(AF15))),ISNUMBER(SEARCH("Newer",AF15)),ISNUMBER(SEARCH("Will start",AF15))),"Process Yet to Start",IF(ISNUMBER(SEARCH("sure",LOWER(AF15))),"Undecided",IF(OR(ISNUMBER(SEARCH("reject",LOWER(AF15))),ISNUMBER(SEARCH("SBI",AF15))),"Rejected Elsewhere",IF(ISNUMBER(SEARCH("call",LOWER(AF15))),"Bank Communication",IF(OR(ISNUMBER(SEARCH("father",LOWER(AF15))),ISNUMBER(SEARCH("sister",LOWER(AF15)))),"Family / Dependency","Other"))))))))))</f>
        <v/>
      </c>
      <c r="AH15">
        <f>IF(A15="","",'01_Master_Data'!AC15)</f>
        <v/>
      </c>
      <c r="AI15">
        <f>IF(A15="","",IF(OR(AH15="",NOT(ISNUMBER(AH15))),"",MAX(0,'02_Configuration'!$B$82-AH15)))</f>
        <v/>
      </c>
      <c r="AJ15">
        <f>IF(A15="","",IF(AI15="","Unknown",IF(AI15&lt;=3,"0–3 Days",IF(AI15&lt;=7,"4–7 Days",IF(AI15&lt;=15,"8–15 Days",IF(AI15&lt;=30,"16–30 Days","30+ Days"))))))</f>
        <v/>
      </c>
      <c r="AK15">
        <f>IF(A15="","",IF(LOWER(H15)="yes","Yes","No"))</f>
        <v/>
      </c>
      <c r="AL15">
        <f>IF(A15="","",'01_Master_Data'!T15)</f>
        <v/>
      </c>
      <c r="AM15">
        <f>IF(A15="","",'01_Master_Data'!S15)</f>
        <v/>
      </c>
      <c r="AN15">
        <f>IF(A15="","",'01_Master_Data'!I15)</f>
        <v/>
      </c>
      <c r="AO15">
        <f>IF(A15="","",'01_Master_Data'!M15)</f>
        <v/>
      </c>
      <c r="AP15">
        <f>IF(A15="","",IF(ISNUMBER(SEARCH("Icici",W15&amp;"")),1,0))</f>
        <v/>
      </c>
      <c r="AQ15">
        <f>IF(A15="","",IF(ISNUMBER(SEARCH("Propelld",W15&amp;"")),1,0))</f>
        <v/>
      </c>
      <c r="AR15">
        <f>IF(A15="","",IF(ISNUMBER(SEARCH("GyanDhan",W15&amp;"")),1,0))</f>
        <v/>
      </c>
      <c r="AS15">
        <f>IF(A15="","",IF(ISNUMBER(SEARCH("vidyalakshmi",LOWER(W15&amp;""))),1,0))</f>
        <v/>
      </c>
      <c r="AT15">
        <f>IF(A15="","",IF(ISNUMBER(SEARCH("other bank",LOWER(W15&amp;""))),1,0))</f>
        <v/>
      </c>
      <c r="AU15">
        <f>IF(A15="","",IF(ISNUMBER(SEARCH("sanctioned",LOWER(W15&amp;""))),1,0))</f>
        <v/>
      </c>
      <c r="AV15">
        <f>IF(A15="","",IF(ISNUMBER(SEARCH("Docs Pending",W15&amp;"")),1,0))</f>
        <v/>
      </c>
      <c r="AW15">
        <f>IF(A15="","",IF(OR(X15="Rejected",ISNUMBER(SEARCH("Not eligbile",W15&amp;""))),1,0))</f>
        <v/>
      </c>
    </row>
    <row r="16">
      <c r="A16">
        <f>IF('01_Master_Data'!B16="","",15)</f>
        <v/>
      </c>
      <c r="B16">
        <f>IF('01_Master_Data'!B16="","",IF('01_Master_Data'!C16&lt;&gt;"","MOB|"&amp;TEXT('01_Master_Data'!C16,"0"),IF('01_Master_Data'!D16&lt;&gt;"","PID|"&amp;TRIM('01_Master_Data'!D16&amp;""),"")))</f>
        <v/>
      </c>
      <c r="C16">
        <f>IF('01_Master_Data'!B16="","",'01_Master_Data'!B16)</f>
        <v/>
      </c>
      <c r="D16">
        <f>IF('01_Master_Data'!B16="","",'01_Master_Data'!C16)</f>
        <v/>
      </c>
      <c r="E16">
        <f>IF('01_Master_Data'!B16="","",'01_Master_Data'!D16)</f>
        <v/>
      </c>
      <c r="F16">
        <f>IF('01_Master_Data'!B16="","",'01_Master_Data'!E16)</f>
        <v/>
      </c>
      <c r="G16">
        <f>IF('01_Master_Data'!B16="","",IFERROR(VLOOKUP(TRIM('01_Master_Data'!E16&amp;""),'02_Configuration'!$A$40:$B$44,2,FALSE),UPPER(TRIM('01_Master_Data'!E16&amp;""))))</f>
        <v/>
      </c>
      <c r="H16">
        <f>IF('01_Master_Data'!B16="","",IF('01_Master_Data'!U16="","",TRIM('01_Master_Data'!U16&amp;"")))</f>
        <v/>
      </c>
      <c r="I16">
        <f>IF('01_Master_Data'!B16="","",TRIM('01_Master_Data'!F16&amp;""))</f>
        <v/>
      </c>
      <c r="J16">
        <f>IF('01_Master_Data'!B16="","",TRIM('01_Master_Data'!G16&amp;""))</f>
        <v/>
      </c>
      <c r="K16">
        <f>IF('01_Master_Data'!B16="","",'01_Master_Data'!H16)</f>
        <v/>
      </c>
      <c r="L16">
        <f>IF('01_Master_Data'!B16="","",IF(LOWER(TRIM('01_Master_Data'!V16&amp;""))="yes",1,0))</f>
        <v/>
      </c>
      <c r="M16">
        <f>IF('01_Master_Data'!B16="","",IF(LOWER(TRIM('01_Master_Data'!W16&amp;""))="yes",1,0))</f>
        <v/>
      </c>
      <c r="N16">
        <f>IF('01_Master_Data'!B16="","",IF(LOWER(TRIM('01_Master_Data'!X16&amp;""))="yes",1,0))</f>
        <v/>
      </c>
      <c r="O16">
        <f>IF('01_Master_Data'!B16="","",IF(LOWER(TRIM('01_Master_Data'!Y16&amp;""))="yes",1,0))</f>
        <v/>
      </c>
      <c r="P16">
        <f>IF('01_Master_Data'!B16="","",IF(LOWER(TRIM('01_Master_Data'!Z16&amp;""))="yes",1,0))</f>
        <v/>
      </c>
      <c r="Q16">
        <f>IF(A16="","",L16+M16+N16+O16+P16)</f>
        <v/>
      </c>
      <c r="R16">
        <f>IF(A16="","",IF(Q16&gt;1,"Yes","No"))</f>
        <v/>
      </c>
      <c r="S16">
        <f>IF(A16="","",TEXTJOIN(", ",TRUE,IF(L16=1,"ICICI",""),IF(M16=1,"Propelld",""),IF(N16=1,"Study4Buddy",""),IF(O16=1,"Poonawala Fincorp",""),IF(P16=1,"GyanDhan","")))</f>
        <v/>
      </c>
      <c r="T16">
        <f>IF(A16="","",IF(L16=1,"ICICI",IF(M16=1,"Propelld",IF(P16=1,"GyanDhan",IF(N16=1,"Study4Buddy",IF(O16=1,"Poonawala Fincorp",IF(ISNUMBER(SEARCH("GyanDhan",W16&amp;"")),"GyanDhan",IF(ISNUMBER(SEARCH("Icici",W16&amp;"")),"ICICI",IF(ISNUMBER(SEARCH("Propelld",W16&amp;"")),"Propelld",IF(ISNUMBER(SEARCH("vidyalakshmi",LOWER(W16&amp;"")),"PM Vidyalakshmi","—"))))))))))</f>
        <v/>
      </c>
      <c r="U16">
        <f>IF(A16="","",TRIM('01_Master_Data'!AA16&amp;""))</f>
        <v/>
      </c>
      <c r="V16">
        <f>IF(A16="","",TRIM('01_Master_Data'!AG16&amp;""))</f>
        <v/>
      </c>
      <c r="W16">
        <f>IF(A16="","",TRIM('01_Master_Data'!AH16&amp;""))</f>
        <v/>
      </c>
      <c r="X16">
        <f>IF(A16="","",IF(OR(LOWER(H16)="refund",LOWER(U16)="refund case"),"Refund",IF(OR(LOWER(H16)="dnp",LOWER(U16)="dnp"),"DNP",IF(OR(LOWER(V16)="disbursed",ISNUMBER(SEARCH("Disbursed",W16&amp;""))),"Disbursed",IF(OR(LOWER(V16)="loan proccessed/accepted",ISNUMBER(SEARCH("sanctioned",LOWER(W16&amp;"")))),"Sanctioned",IF(OR(LOWER(V16)="rejected",ISNUMBER(SEARCH("Not eligbile",W16&amp;"")),ISNUMBER(SEARCH("Not eligible",W16&amp;""))),"Rejected",IF(ISNUMBER(SEARCH("Docs Pending",W16&amp;"")),"Documents Pending",IF(AND(LOWER(H16)="yes",LOWER(V16)="ongoing"),"Processing",IF(AND(LOWER(H16)="yes",Q16&gt;0,OR(V16="",LOWER(V16)="not even started")),"Vendor Assigned",IF(AND(LOWER(H16)="yes",LOWER(V16)="not even started"),"Need Loan",IF(LOWER(H16)="yes","Loan Started",IF(LOWER(H16)="not sure","Interested",IF(OR(LOWER(H16)="no",LOWER(V16)="not required"),"Not Required","Unclassified")))))))))))))</f>
        <v/>
      </c>
      <c r="Y16">
        <f>IF(A16="","",IF(OR(X16="Sanctioned",X16="Disbursed",X16="Approved"),"Approved",IF(X16="Rejected","Rejected",IF(OR(X16="Processing",X16="Documents Pending",X16="Vendor Assigned"),"In Progress",IF(X16="Need Loan","Pending Start","—"))))</f>
        <v/>
      </c>
      <c r="Z16">
        <f>IF(A16="","",IF(X16="Disbursed","Disbursed",IF(X16="Sanctioned","Sanctioned - Awaiting Disbursement","Not Disbursed")))</f>
        <v/>
      </c>
      <c r="AA16">
        <f>IF(A16="","",IF(LOWER(TRIM('01_Master_Data'!AI16&amp;""))="yes","Need FLDG",IF(LOWER(TRIM('01_Master_Data'!AK16&amp;""))="yes","Need Vidyalakshmi",IF(LOWER(TRIM('01_Master_Data'!AJ16&amp;""))="yes","Need Review",IF(LOWER(J16)="critical","Critical",IF(LOWER(U16)="risk","Risk Case",IF(X16="Refund","Refund","Normal")))))))</f>
        <v/>
      </c>
      <c r="AB16">
        <f>IF(A16="","",IF(OR(LOWER(J16)="critical",LOWER(TRIM('01_Master_Data'!AI16&amp;""))="yes",LOWER(TRIM('01_Master_Data'!AK16&amp;""))="yes",LOWER(U16)="risk"),"Yes","No"))</f>
        <v/>
      </c>
      <c r="AC16">
        <f>IF(A16="","",IF(LOWER(TRIM('01_Master_Data'!AI16&amp;""))="yes","Yes","No"))</f>
        <v/>
      </c>
      <c r="AD16">
        <f>IF(A16="","",IF(LOWER(TRIM('01_Master_Data'!AK16&amp;""))="yes","Yes","No"))</f>
        <v/>
      </c>
      <c r="AE16">
        <f>IF(A16="","",IF(LOWER(TRIM('01_Master_Data'!AJ16&amp;""))="yes","Yes","No"))</f>
        <v/>
      </c>
      <c r="AF16">
        <f>IF(A16="","",TRIM('01_Master_Data'!AL16&amp;""))</f>
        <v/>
      </c>
      <c r="AG16">
        <f>IF(A16="","",IF(AF16="","—",IF(ISNUMBER(SEARCH("DNP",AF16)),"Unreachable / DNP",IF(ISNUMBER(SEARCH("interest",LOWER(AF16))),"High Interest / Terms",IF(OR(ISNUMBER(SEARCH("eligib",LOWER(AF16))),ISNUMBER(SEARCH("income",LOWER(AF16)))),"Eligibility / Income",IF(OR(ISNUMBER(SEARCH("start",LOWER(AF16))),ISNUMBER(SEARCH("Newer",AF16)),ISNUMBER(SEARCH("Will start",AF16))),"Process Yet to Start",IF(ISNUMBER(SEARCH("sure",LOWER(AF16))),"Undecided",IF(OR(ISNUMBER(SEARCH("reject",LOWER(AF16))),ISNUMBER(SEARCH("SBI",AF16))),"Rejected Elsewhere",IF(ISNUMBER(SEARCH("call",LOWER(AF16))),"Bank Communication",IF(OR(ISNUMBER(SEARCH("father",LOWER(AF16))),ISNUMBER(SEARCH("sister",LOWER(AF16)))),"Family / Dependency","Other"))))))))))</f>
        <v/>
      </c>
      <c r="AH16">
        <f>IF(A16="","",'01_Master_Data'!AC16)</f>
        <v/>
      </c>
      <c r="AI16">
        <f>IF(A16="","",IF(OR(AH16="",NOT(ISNUMBER(AH16))),"",MAX(0,'02_Configuration'!$B$82-AH16)))</f>
        <v/>
      </c>
      <c r="AJ16">
        <f>IF(A16="","",IF(AI16="","Unknown",IF(AI16&lt;=3,"0–3 Days",IF(AI16&lt;=7,"4–7 Days",IF(AI16&lt;=15,"8–15 Days",IF(AI16&lt;=30,"16–30 Days","30+ Days"))))))</f>
        <v/>
      </c>
      <c r="AK16">
        <f>IF(A16="","",IF(LOWER(H16)="yes","Yes","No"))</f>
        <v/>
      </c>
      <c r="AL16">
        <f>IF(A16="","",'01_Master_Data'!T16)</f>
        <v/>
      </c>
      <c r="AM16">
        <f>IF(A16="","",'01_Master_Data'!S16)</f>
        <v/>
      </c>
      <c r="AN16">
        <f>IF(A16="","",'01_Master_Data'!I16)</f>
        <v/>
      </c>
      <c r="AO16">
        <f>IF(A16="","",'01_Master_Data'!M16)</f>
        <v/>
      </c>
      <c r="AP16">
        <f>IF(A16="","",IF(ISNUMBER(SEARCH("Icici",W16&amp;"")),1,0))</f>
        <v/>
      </c>
      <c r="AQ16">
        <f>IF(A16="","",IF(ISNUMBER(SEARCH("Propelld",W16&amp;"")),1,0))</f>
        <v/>
      </c>
      <c r="AR16">
        <f>IF(A16="","",IF(ISNUMBER(SEARCH("GyanDhan",W16&amp;"")),1,0))</f>
        <v/>
      </c>
      <c r="AS16">
        <f>IF(A16="","",IF(ISNUMBER(SEARCH("vidyalakshmi",LOWER(W16&amp;""))),1,0))</f>
        <v/>
      </c>
      <c r="AT16">
        <f>IF(A16="","",IF(ISNUMBER(SEARCH("other bank",LOWER(W16&amp;""))),1,0))</f>
        <v/>
      </c>
      <c r="AU16">
        <f>IF(A16="","",IF(ISNUMBER(SEARCH("sanctioned",LOWER(W16&amp;""))),1,0))</f>
        <v/>
      </c>
      <c r="AV16">
        <f>IF(A16="","",IF(ISNUMBER(SEARCH("Docs Pending",W16&amp;"")),1,0))</f>
        <v/>
      </c>
      <c r="AW16">
        <f>IF(A16="","",IF(OR(X16="Rejected",ISNUMBER(SEARCH("Not eligbile",W16&amp;""))),1,0))</f>
        <v/>
      </c>
    </row>
    <row r="17">
      <c r="A17">
        <f>IF('01_Master_Data'!B17="","",16)</f>
        <v/>
      </c>
      <c r="B17">
        <f>IF('01_Master_Data'!B17="","",IF('01_Master_Data'!C17&lt;&gt;"","MOB|"&amp;TEXT('01_Master_Data'!C17,"0"),IF('01_Master_Data'!D17&lt;&gt;"","PID|"&amp;TRIM('01_Master_Data'!D17&amp;""),"")))</f>
        <v/>
      </c>
      <c r="C17">
        <f>IF('01_Master_Data'!B17="","",'01_Master_Data'!B17)</f>
        <v/>
      </c>
      <c r="D17">
        <f>IF('01_Master_Data'!B17="","",'01_Master_Data'!C17)</f>
        <v/>
      </c>
      <c r="E17">
        <f>IF('01_Master_Data'!B17="","",'01_Master_Data'!D17)</f>
        <v/>
      </c>
      <c r="F17">
        <f>IF('01_Master_Data'!B17="","",'01_Master_Data'!E17)</f>
        <v/>
      </c>
      <c r="G17">
        <f>IF('01_Master_Data'!B17="","",IFERROR(VLOOKUP(TRIM('01_Master_Data'!E17&amp;""),'02_Configuration'!$A$40:$B$44,2,FALSE),UPPER(TRIM('01_Master_Data'!E17&amp;""))))</f>
        <v/>
      </c>
      <c r="H17">
        <f>IF('01_Master_Data'!B17="","",IF('01_Master_Data'!U17="","",TRIM('01_Master_Data'!U17&amp;"")))</f>
        <v/>
      </c>
      <c r="I17">
        <f>IF('01_Master_Data'!B17="","",TRIM('01_Master_Data'!F17&amp;""))</f>
        <v/>
      </c>
      <c r="J17">
        <f>IF('01_Master_Data'!B17="","",TRIM('01_Master_Data'!G17&amp;""))</f>
        <v/>
      </c>
      <c r="K17">
        <f>IF('01_Master_Data'!B17="","",'01_Master_Data'!H17)</f>
        <v/>
      </c>
      <c r="L17">
        <f>IF('01_Master_Data'!B17="","",IF(LOWER(TRIM('01_Master_Data'!V17&amp;""))="yes",1,0))</f>
        <v/>
      </c>
      <c r="M17">
        <f>IF('01_Master_Data'!B17="","",IF(LOWER(TRIM('01_Master_Data'!W17&amp;""))="yes",1,0))</f>
        <v/>
      </c>
      <c r="N17">
        <f>IF('01_Master_Data'!B17="","",IF(LOWER(TRIM('01_Master_Data'!X17&amp;""))="yes",1,0))</f>
        <v/>
      </c>
      <c r="O17">
        <f>IF('01_Master_Data'!B17="","",IF(LOWER(TRIM('01_Master_Data'!Y17&amp;""))="yes",1,0))</f>
        <v/>
      </c>
      <c r="P17">
        <f>IF('01_Master_Data'!B17="","",IF(LOWER(TRIM('01_Master_Data'!Z17&amp;""))="yes",1,0))</f>
        <v/>
      </c>
      <c r="Q17">
        <f>IF(A17="","",L17+M17+N17+O17+P17)</f>
        <v/>
      </c>
      <c r="R17">
        <f>IF(A17="","",IF(Q17&gt;1,"Yes","No"))</f>
        <v/>
      </c>
      <c r="S17">
        <f>IF(A17="","",TEXTJOIN(", ",TRUE,IF(L17=1,"ICICI",""),IF(M17=1,"Propelld",""),IF(N17=1,"Study4Buddy",""),IF(O17=1,"Poonawala Fincorp",""),IF(P17=1,"GyanDhan","")))</f>
        <v/>
      </c>
      <c r="T17">
        <f>IF(A17="","",IF(L17=1,"ICICI",IF(M17=1,"Propelld",IF(P17=1,"GyanDhan",IF(N17=1,"Study4Buddy",IF(O17=1,"Poonawala Fincorp",IF(ISNUMBER(SEARCH("GyanDhan",W17&amp;"")),"GyanDhan",IF(ISNUMBER(SEARCH("Icici",W17&amp;"")),"ICICI",IF(ISNUMBER(SEARCH("Propelld",W17&amp;"")),"Propelld",IF(ISNUMBER(SEARCH("vidyalakshmi",LOWER(W17&amp;"")),"PM Vidyalakshmi","—"))))))))))</f>
        <v/>
      </c>
      <c r="U17">
        <f>IF(A17="","",TRIM('01_Master_Data'!AA17&amp;""))</f>
        <v/>
      </c>
      <c r="V17">
        <f>IF(A17="","",TRIM('01_Master_Data'!AG17&amp;""))</f>
        <v/>
      </c>
      <c r="W17">
        <f>IF(A17="","",TRIM('01_Master_Data'!AH17&amp;""))</f>
        <v/>
      </c>
      <c r="X17">
        <f>IF(A17="","",IF(OR(LOWER(H17)="refund",LOWER(U17)="refund case"),"Refund",IF(OR(LOWER(H17)="dnp",LOWER(U17)="dnp"),"DNP",IF(OR(LOWER(V17)="disbursed",ISNUMBER(SEARCH("Disbursed",W17&amp;""))),"Disbursed",IF(OR(LOWER(V17)="loan proccessed/accepted",ISNUMBER(SEARCH("sanctioned",LOWER(W17&amp;"")))),"Sanctioned",IF(OR(LOWER(V17)="rejected",ISNUMBER(SEARCH("Not eligbile",W17&amp;"")),ISNUMBER(SEARCH("Not eligible",W17&amp;""))),"Rejected",IF(ISNUMBER(SEARCH("Docs Pending",W17&amp;"")),"Documents Pending",IF(AND(LOWER(H17)="yes",LOWER(V17)="ongoing"),"Processing",IF(AND(LOWER(H17)="yes",Q17&gt;0,OR(V17="",LOWER(V17)="not even started")),"Vendor Assigned",IF(AND(LOWER(H17)="yes",LOWER(V17)="not even started"),"Need Loan",IF(LOWER(H17)="yes","Loan Started",IF(LOWER(H17)="not sure","Interested",IF(OR(LOWER(H17)="no",LOWER(V17)="not required"),"Not Required","Unclassified")))))))))))))</f>
        <v/>
      </c>
      <c r="Y17">
        <f>IF(A17="","",IF(OR(X17="Sanctioned",X17="Disbursed",X17="Approved"),"Approved",IF(X17="Rejected","Rejected",IF(OR(X17="Processing",X17="Documents Pending",X17="Vendor Assigned"),"In Progress",IF(X17="Need Loan","Pending Start","—"))))</f>
        <v/>
      </c>
      <c r="Z17">
        <f>IF(A17="","",IF(X17="Disbursed","Disbursed",IF(X17="Sanctioned","Sanctioned - Awaiting Disbursement","Not Disbursed")))</f>
        <v/>
      </c>
      <c r="AA17">
        <f>IF(A17="","",IF(LOWER(TRIM('01_Master_Data'!AI17&amp;""))="yes","Need FLDG",IF(LOWER(TRIM('01_Master_Data'!AK17&amp;""))="yes","Need Vidyalakshmi",IF(LOWER(TRIM('01_Master_Data'!AJ17&amp;""))="yes","Need Review",IF(LOWER(J17)="critical","Critical",IF(LOWER(U17)="risk","Risk Case",IF(X17="Refund","Refund","Normal")))))))</f>
        <v/>
      </c>
      <c r="AB17">
        <f>IF(A17="","",IF(OR(LOWER(J17)="critical",LOWER(TRIM('01_Master_Data'!AI17&amp;""))="yes",LOWER(TRIM('01_Master_Data'!AK17&amp;""))="yes",LOWER(U17)="risk"),"Yes","No"))</f>
        <v/>
      </c>
      <c r="AC17">
        <f>IF(A17="","",IF(LOWER(TRIM('01_Master_Data'!AI17&amp;""))="yes","Yes","No"))</f>
        <v/>
      </c>
      <c r="AD17">
        <f>IF(A17="","",IF(LOWER(TRIM('01_Master_Data'!AK17&amp;""))="yes","Yes","No"))</f>
        <v/>
      </c>
      <c r="AE17">
        <f>IF(A17="","",IF(LOWER(TRIM('01_Master_Data'!AJ17&amp;""))="yes","Yes","No"))</f>
        <v/>
      </c>
      <c r="AF17">
        <f>IF(A17="","",TRIM('01_Master_Data'!AL17&amp;""))</f>
        <v/>
      </c>
      <c r="AG17">
        <f>IF(A17="","",IF(AF17="","—",IF(ISNUMBER(SEARCH("DNP",AF17)),"Unreachable / DNP",IF(ISNUMBER(SEARCH("interest",LOWER(AF17))),"High Interest / Terms",IF(OR(ISNUMBER(SEARCH("eligib",LOWER(AF17))),ISNUMBER(SEARCH("income",LOWER(AF17)))),"Eligibility / Income",IF(OR(ISNUMBER(SEARCH("start",LOWER(AF17))),ISNUMBER(SEARCH("Newer",AF17)),ISNUMBER(SEARCH("Will start",AF17))),"Process Yet to Start",IF(ISNUMBER(SEARCH("sure",LOWER(AF17))),"Undecided",IF(OR(ISNUMBER(SEARCH("reject",LOWER(AF17))),ISNUMBER(SEARCH("SBI",AF17))),"Rejected Elsewhere",IF(ISNUMBER(SEARCH("call",LOWER(AF17))),"Bank Communication",IF(OR(ISNUMBER(SEARCH("father",LOWER(AF17))),ISNUMBER(SEARCH("sister",LOWER(AF17)))),"Family / Dependency","Other"))))))))))</f>
        <v/>
      </c>
      <c r="AH17">
        <f>IF(A17="","",'01_Master_Data'!AC17)</f>
        <v/>
      </c>
      <c r="AI17">
        <f>IF(A17="","",IF(OR(AH17="",NOT(ISNUMBER(AH17))),"",MAX(0,'02_Configuration'!$B$82-AH17)))</f>
        <v/>
      </c>
      <c r="AJ17">
        <f>IF(A17="","",IF(AI17="","Unknown",IF(AI17&lt;=3,"0–3 Days",IF(AI17&lt;=7,"4–7 Days",IF(AI17&lt;=15,"8–15 Days",IF(AI17&lt;=30,"16–30 Days","30+ Days"))))))</f>
        <v/>
      </c>
      <c r="AK17">
        <f>IF(A17="","",IF(LOWER(H17)="yes","Yes","No"))</f>
        <v/>
      </c>
      <c r="AL17">
        <f>IF(A17="","",'01_Master_Data'!T17)</f>
        <v/>
      </c>
      <c r="AM17">
        <f>IF(A17="","",'01_Master_Data'!S17)</f>
        <v/>
      </c>
      <c r="AN17">
        <f>IF(A17="","",'01_Master_Data'!I17)</f>
        <v/>
      </c>
      <c r="AO17">
        <f>IF(A17="","",'01_Master_Data'!M17)</f>
        <v/>
      </c>
      <c r="AP17">
        <f>IF(A17="","",IF(ISNUMBER(SEARCH("Icici",W17&amp;"")),1,0))</f>
        <v/>
      </c>
      <c r="AQ17">
        <f>IF(A17="","",IF(ISNUMBER(SEARCH("Propelld",W17&amp;"")),1,0))</f>
        <v/>
      </c>
      <c r="AR17">
        <f>IF(A17="","",IF(ISNUMBER(SEARCH("GyanDhan",W17&amp;"")),1,0))</f>
        <v/>
      </c>
      <c r="AS17">
        <f>IF(A17="","",IF(ISNUMBER(SEARCH("vidyalakshmi",LOWER(W17&amp;""))),1,0))</f>
        <v/>
      </c>
      <c r="AT17">
        <f>IF(A17="","",IF(ISNUMBER(SEARCH("other bank",LOWER(W17&amp;""))),1,0))</f>
        <v/>
      </c>
      <c r="AU17">
        <f>IF(A17="","",IF(ISNUMBER(SEARCH("sanctioned",LOWER(W17&amp;""))),1,0))</f>
        <v/>
      </c>
      <c r="AV17">
        <f>IF(A17="","",IF(ISNUMBER(SEARCH("Docs Pending",W17&amp;"")),1,0))</f>
        <v/>
      </c>
      <c r="AW17">
        <f>IF(A17="","",IF(OR(X17="Rejected",ISNUMBER(SEARCH("Not eligbile",W17&amp;""))),1,0))</f>
        <v/>
      </c>
    </row>
    <row r="18">
      <c r="A18">
        <f>IF('01_Master_Data'!B18="","",17)</f>
        <v/>
      </c>
      <c r="B18">
        <f>IF('01_Master_Data'!B18="","",IF('01_Master_Data'!C18&lt;&gt;"","MOB|"&amp;TEXT('01_Master_Data'!C18,"0"),IF('01_Master_Data'!D18&lt;&gt;"","PID|"&amp;TRIM('01_Master_Data'!D18&amp;""),"")))</f>
        <v/>
      </c>
      <c r="C18">
        <f>IF('01_Master_Data'!B18="","",'01_Master_Data'!B18)</f>
        <v/>
      </c>
      <c r="D18">
        <f>IF('01_Master_Data'!B18="","",'01_Master_Data'!C18)</f>
        <v/>
      </c>
      <c r="E18">
        <f>IF('01_Master_Data'!B18="","",'01_Master_Data'!D18)</f>
        <v/>
      </c>
      <c r="F18">
        <f>IF('01_Master_Data'!B18="","",'01_Master_Data'!E18)</f>
        <v/>
      </c>
      <c r="G18">
        <f>IF('01_Master_Data'!B18="","",IFERROR(VLOOKUP(TRIM('01_Master_Data'!E18&amp;""),'02_Configuration'!$A$40:$B$44,2,FALSE),UPPER(TRIM('01_Master_Data'!E18&amp;""))))</f>
        <v/>
      </c>
      <c r="H18">
        <f>IF('01_Master_Data'!B18="","",IF('01_Master_Data'!U18="","",TRIM('01_Master_Data'!U18&amp;"")))</f>
        <v/>
      </c>
      <c r="I18">
        <f>IF('01_Master_Data'!B18="","",TRIM('01_Master_Data'!F18&amp;""))</f>
        <v/>
      </c>
      <c r="J18">
        <f>IF('01_Master_Data'!B18="","",TRIM('01_Master_Data'!G18&amp;""))</f>
        <v/>
      </c>
      <c r="K18">
        <f>IF('01_Master_Data'!B18="","",'01_Master_Data'!H18)</f>
        <v/>
      </c>
      <c r="L18">
        <f>IF('01_Master_Data'!B18="","",IF(LOWER(TRIM('01_Master_Data'!V18&amp;""))="yes",1,0))</f>
        <v/>
      </c>
      <c r="M18">
        <f>IF('01_Master_Data'!B18="","",IF(LOWER(TRIM('01_Master_Data'!W18&amp;""))="yes",1,0))</f>
        <v/>
      </c>
      <c r="N18">
        <f>IF('01_Master_Data'!B18="","",IF(LOWER(TRIM('01_Master_Data'!X18&amp;""))="yes",1,0))</f>
        <v/>
      </c>
      <c r="O18">
        <f>IF('01_Master_Data'!B18="","",IF(LOWER(TRIM('01_Master_Data'!Y18&amp;""))="yes",1,0))</f>
        <v/>
      </c>
      <c r="P18">
        <f>IF('01_Master_Data'!B18="","",IF(LOWER(TRIM('01_Master_Data'!Z18&amp;""))="yes",1,0))</f>
        <v/>
      </c>
      <c r="Q18">
        <f>IF(A18="","",L18+M18+N18+O18+P18)</f>
        <v/>
      </c>
      <c r="R18">
        <f>IF(A18="","",IF(Q18&gt;1,"Yes","No"))</f>
        <v/>
      </c>
      <c r="S18">
        <f>IF(A18="","",TEXTJOIN(", ",TRUE,IF(L18=1,"ICICI",""),IF(M18=1,"Propelld",""),IF(N18=1,"Study4Buddy",""),IF(O18=1,"Poonawala Fincorp",""),IF(P18=1,"GyanDhan","")))</f>
        <v/>
      </c>
      <c r="T18">
        <f>IF(A18="","",IF(L18=1,"ICICI",IF(M18=1,"Propelld",IF(P18=1,"GyanDhan",IF(N18=1,"Study4Buddy",IF(O18=1,"Poonawala Fincorp",IF(ISNUMBER(SEARCH("GyanDhan",W18&amp;"")),"GyanDhan",IF(ISNUMBER(SEARCH("Icici",W18&amp;"")),"ICICI",IF(ISNUMBER(SEARCH("Propelld",W18&amp;"")),"Propelld",IF(ISNUMBER(SEARCH("vidyalakshmi",LOWER(W18&amp;"")),"PM Vidyalakshmi","—"))))))))))</f>
        <v/>
      </c>
      <c r="U18">
        <f>IF(A18="","",TRIM('01_Master_Data'!AA18&amp;""))</f>
        <v/>
      </c>
      <c r="V18">
        <f>IF(A18="","",TRIM('01_Master_Data'!AG18&amp;""))</f>
        <v/>
      </c>
      <c r="W18">
        <f>IF(A18="","",TRIM('01_Master_Data'!AH18&amp;""))</f>
        <v/>
      </c>
      <c r="X18">
        <f>IF(A18="","",IF(OR(LOWER(H18)="refund",LOWER(U18)="refund case"),"Refund",IF(OR(LOWER(H18)="dnp",LOWER(U18)="dnp"),"DNP",IF(OR(LOWER(V18)="disbursed",ISNUMBER(SEARCH("Disbursed",W18&amp;""))),"Disbursed",IF(OR(LOWER(V18)="loan proccessed/accepted",ISNUMBER(SEARCH("sanctioned",LOWER(W18&amp;"")))),"Sanctioned",IF(OR(LOWER(V18)="rejected",ISNUMBER(SEARCH("Not eligbile",W18&amp;"")),ISNUMBER(SEARCH("Not eligible",W18&amp;""))),"Rejected",IF(ISNUMBER(SEARCH("Docs Pending",W18&amp;"")),"Documents Pending",IF(AND(LOWER(H18)="yes",LOWER(V18)="ongoing"),"Processing",IF(AND(LOWER(H18)="yes",Q18&gt;0,OR(V18="",LOWER(V18)="not even started")),"Vendor Assigned",IF(AND(LOWER(H18)="yes",LOWER(V18)="not even started"),"Need Loan",IF(LOWER(H18)="yes","Loan Started",IF(LOWER(H18)="not sure","Interested",IF(OR(LOWER(H18)="no",LOWER(V18)="not required"),"Not Required","Unclassified")))))))))))))</f>
        <v/>
      </c>
      <c r="Y18">
        <f>IF(A18="","",IF(OR(X18="Sanctioned",X18="Disbursed",X18="Approved"),"Approved",IF(X18="Rejected","Rejected",IF(OR(X18="Processing",X18="Documents Pending",X18="Vendor Assigned"),"In Progress",IF(X18="Need Loan","Pending Start","—"))))</f>
        <v/>
      </c>
      <c r="Z18">
        <f>IF(A18="","",IF(X18="Disbursed","Disbursed",IF(X18="Sanctioned","Sanctioned - Awaiting Disbursement","Not Disbursed")))</f>
        <v/>
      </c>
      <c r="AA18">
        <f>IF(A18="","",IF(LOWER(TRIM('01_Master_Data'!AI18&amp;""))="yes","Need FLDG",IF(LOWER(TRIM('01_Master_Data'!AK18&amp;""))="yes","Need Vidyalakshmi",IF(LOWER(TRIM('01_Master_Data'!AJ18&amp;""))="yes","Need Review",IF(LOWER(J18)="critical","Critical",IF(LOWER(U18)="risk","Risk Case",IF(X18="Refund","Refund","Normal")))))))</f>
        <v/>
      </c>
      <c r="AB18">
        <f>IF(A18="","",IF(OR(LOWER(J18)="critical",LOWER(TRIM('01_Master_Data'!AI18&amp;""))="yes",LOWER(TRIM('01_Master_Data'!AK18&amp;""))="yes",LOWER(U18)="risk"),"Yes","No"))</f>
        <v/>
      </c>
      <c r="AC18">
        <f>IF(A18="","",IF(LOWER(TRIM('01_Master_Data'!AI18&amp;""))="yes","Yes","No"))</f>
        <v/>
      </c>
      <c r="AD18">
        <f>IF(A18="","",IF(LOWER(TRIM('01_Master_Data'!AK18&amp;""))="yes","Yes","No"))</f>
        <v/>
      </c>
      <c r="AE18">
        <f>IF(A18="","",IF(LOWER(TRIM('01_Master_Data'!AJ18&amp;""))="yes","Yes","No"))</f>
        <v/>
      </c>
      <c r="AF18">
        <f>IF(A18="","",TRIM('01_Master_Data'!AL18&amp;""))</f>
        <v/>
      </c>
      <c r="AG18">
        <f>IF(A18="","",IF(AF18="","—",IF(ISNUMBER(SEARCH("DNP",AF18)),"Unreachable / DNP",IF(ISNUMBER(SEARCH("interest",LOWER(AF18))),"High Interest / Terms",IF(OR(ISNUMBER(SEARCH("eligib",LOWER(AF18))),ISNUMBER(SEARCH("income",LOWER(AF18)))),"Eligibility / Income",IF(OR(ISNUMBER(SEARCH("start",LOWER(AF18))),ISNUMBER(SEARCH("Newer",AF18)),ISNUMBER(SEARCH("Will start",AF18))),"Process Yet to Start",IF(ISNUMBER(SEARCH("sure",LOWER(AF18))),"Undecided",IF(OR(ISNUMBER(SEARCH("reject",LOWER(AF18))),ISNUMBER(SEARCH("SBI",AF18))),"Rejected Elsewhere",IF(ISNUMBER(SEARCH("call",LOWER(AF18))),"Bank Communication",IF(OR(ISNUMBER(SEARCH("father",LOWER(AF18))),ISNUMBER(SEARCH("sister",LOWER(AF18)))),"Family / Dependency","Other"))))))))))</f>
        <v/>
      </c>
      <c r="AH18">
        <f>IF(A18="","",'01_Master_Data'!AC18)</f>
        <v/>
      </c>
      <c r="AI18">
        <f>IF(A18="","",IF(OR(AH18="",NOT(ISNUMBER(AH18))),"",MAX(0,'02_Configuration'!$B$82-AH18)))</f>
        <v/>
      </c>
      <c r="AJ18">
        <f>IF(A18="","",IF(AI18="","Unknown",IF(AI18&lt;=3,"0–3 Days",IF(AI18&lt;=7,"4–7 Days",IF(AI18&lt;=15,"8–15 Days",IF(AI18&lt;=30,"16–30 Days","30+ Days"))))))</f>
        <v/>
      </c>
      <c r="AK18">
        <f>IF(A18="","",IF(LOWER(H18)="yes","Yes","No"))</f>
        <v/>
      </c>
      <c r="AL18">
        <f>IF(A18="","",'01_Master_Data'!T18)</f>
        <v/>
      </c>
      <c r="AM18">
        <f>IF(A18="","",'01_Master_Data'!S18)</f>
        <v/>
      </c>
      <c r="AN18">
        <f>IF(A18="","",'01_Master_Data'!I18)</f>
        <v/>
      </c>
      <c r="AO18">
        <f>IF(A18="","",'01_Master_Data'!M18)</f>
        <v/>
      </c>
      <c r="AP18">
        <f>IF(A18="","",IF(ISNUMBER(SEARCH("Icici",W18&amp;"")),1,0))</f>
        <v/>
      </c>
      <c r="AQ18">
        <f>IF(A18="","",IF(ISNUMBER(SEARCH("Propelld",W18&amp;"")),1,0))</f>
        <v/>
      </c>
      <c r="AR18">
        <f>IF(A18="","",IF(ISNUMBER(SEARCH("GyanDhan",W18&amp;"")),1,0))</f>
        <v/>
      </c>
      <c r="AS18">
        <f>IF(A18="","",IF(ISNUMBER(SEARCH("vidyalakshmi",LOWER(W18&amp;""))),1,0))</f>
        <v/>
      </c>
      <c r="AT18">
        <f>IF(A18="","",IF(ISNUMBER(SEARCH("other bank",LOWER(W18&amp;""))),1,0))</f>
        <v/>
      </c>
      <c r="AU18">
        <f>IF(A18="","",IF(ISNUMBER(SEARCH("sanctioned",LOWER(W18&amp;""))),1,0))</f>
        <v/>
      </c>
      <c r="AV18">
        <f>IF(A18="","",IF(ISNUMBER(SEARCH("Docs Pending",W18&amp;"")),1,0))</f>
        <v/>
      </c>
      <c r="AW18">
        <f>IF(A18="","",IF(OR(X18="Rejected",ISNUMBER(SEARCH("Not eligbile",W18&amp;""))),1,0))</f>
        <v/>
      </c>
    </row>
    <row r="19">
      <c r="A19">
        <f>IF('01_Master_Data'!B19="","",18)</f>
        <v/>
      </c>
      <c r="B19">
        <f>IF('01_Master_Data'!B19="","",IF('01_Master_Data'!C19&lt;&gt;"","MOB|"&amp;TEXT('01_Master_Data'!C19,"0"),IF('01_Master_Data'!D19&lt;&gt;"","PID|"&amp;TRIM('01_Master_Data'!D19&amp;""),"")))</f>
        <v/>
      </c>
      <c r="C19">
        <f>IF('01_Master_Data'!B19="","",'01_Master_Data'!B19)</f>
        <v/>
      </c>
      <c r="D19">
        <f>IF('01_Master_Data'!B19="","",'01_Master_Data'!C19)</f>
        <v/>
      </c>
      <c r="E19">
        <f>IF('01_Master_Data'!B19="","",'01_Master_Data'!D19)</f>
        <v/>
      </c>
      <c r="F19">
        <f>IF('01_Master_Data'!B19="","",'01_Master_Data'!E19)</f>
        <v/>
      </c>
      <c r="G19">
        <f>IF('01_Master_Data'!B19="","",IFERROR(VLOOKUP(TRIM('01_Master_Data'!E19&amp;""),'02_Configuration'!$A$40:$B$44,2,FALSE),UPPER(TRIM('01_Master_Data'!E19&amp;""))))</f>
        <v/>
      </c>
      <c r="H19">
        <f>IF('01_Master_Data'!B19="","",IF('01_Master_Data'!U19="","",TRIM('01_Master_Data'!U19&amp;"")))</f>
        <v/>
      </c>
      <c r="I19">
        <f>IF('01_Master_Data'!B19="","",TRIM('01_Master_Data'!F19&amp;""))</f>
        <v/>
      </c>
      <c r="J19">
        <f>IF('01_Master_Data'!B19="","",TRIM('01_Master_Data'!G19&amp;""))</f>
        <v/>
      </c>
      <c r="K19">
        <f>IF('01_Master_Data'!B19="","",'01_Master_Data'!H19)</f>
        <v/>
      </c>
      <c r="L19">
        <f>IF('01_Master_Data'!B19="","",IF(LOWER(TRIM('01_Master_Data'!V19&amp;""))="yes",1,0))</f>
        <v/>
      </c>
      <c r="M19">
        <f>IF('01_Master_Data'!B19="","",IF(LOWER(TRIM('01_Master_Data'!W19&amp;""))="yes",1,0))</f>
        <v/>
      </c>
      <c r="N19">
        <f>IF('01_Master_Data'!B19="","",IF(LOWER(TRIM('01_Master_Data'!X19&amp;""))="yes",1,0))</f>
        <v/>
      </c>
      <c r="O19">
        <f>IF('01_Master_Data'!B19="","",IF(LOWER(TRIM('01_Master_Data'!Y19&amp;""))="yes",1,0))</f>
        <v/>
      </c>
      <c r="P19">
        <f>IF('01_Master_Data'!B19="","",IF(LOWER(TRIM('01_Master_Data'!Z19&amp;""))="yes",1,0))</f>
        <v/>
      </c>
      <c r="Q19">
        <f>IF(A19="","",L19+M19+N19+O19+P19)</f>
        <v/>
      </c>
      <c r="R19">
        <f>IF(A19="","",IF(Q19&gt;1,"Yes","No"))</f>
        <v/>
      </c>
      <c r="S19">
        <f>IF(A19="","",TEXTJOIN(", ",TRUE,IF(L19=1,"ICICI",""),IF(M19=1,"Propelld",""),IF(N19=1,"Study4Buddy",""),IF(O19=1,"Poonawala Fincorp",""),IF(P19=1,"GyanDhan","")))</f>
        <v/>
      </c>
      <c r="T19">
        <f>IF(A19="","",IF(L19=1,"ICICI",IF(M19=1,"Propelld",IF(P19=1,"GyanDhan",IF(N19=1,"Study4Buddy",IF(O19=1,"Poonawala Fincorp",IF(ISNUMBER(SEARCH("GyanDhan",W19&amp;"")),"GyanDhan",IF(ISNUMBER(SEARCH("Icici",W19&amp;"")),"ICICI",IF(ISNUMBER(SEARCH("Propelld",W19&amp;"")),"Propelld",IF(ISNUMBER(SEARCH("vidyalakshmi",LOWER(W19&amp;"")),"PM Vidyalakshmi","—"))))))))))</f>
        <v/>
      </c>
      <c r="U19">
        <f>IF(A19="","",TRIM('01_Master_Data'!AA19&amp;""))</f>
        <v/>
      </c>
      <c r="V19">
        <f>IF(A19="","",TRIM('01_Master_Data'!AG19&amp;""))</f>
        <v/>
      </c>
      <c r="W19">
        <f>IF(A19="","",TRIM('01_Master_Data'!AH19&amp;""))</f>
        <v/>
      </c>
      <c r="X19">
        <f>IF(A19="","",IF(OR(LOWER(H19)="refund",LOWER(U19)="refund case"),"Refund",IF(OR(LOWER(H19)="dnp",LOWER(U19)="dnp"),"DNP",IF(OR(LOWER(V19)="disbursed",ISNUMBER(SEARCH("Disbursed",W19&amp;""))),"Disbursed",IF(OR(LOWER(V19)="loan proccessed/accepted",ISNUMBER(SEARCH("sanctioned",LOWER(W19&amp;"")))),"Sanctioned",IF(OR(LOWER(V19)="rejected",ISNUMBER(SEARCH("Not eligbile",W19&amp;"")),ISNUMBER(SEARCH("Not eligible",W19&amp;""))),"Rejected",IF(ISNUMBER(SEARCH("Docs Pending",W19&amp;"")),"Documents Pending",IF(AND(LOWER(H19)="yes",LOWER(V19)="ongoing"),"Processing",IF(AND(LOWER(H19)="yes",Q19&gt;0,OR(V19="",LOWER(V19)="not even started")),"Vendor Assigned",IF(AND(LOWER(H19)="yes",LOWER(V19)="not even started"),"Need Loan",IF(LOWER(H19)="yes","Loan Started",IF(LOWER(H19)="not sure","Interested",IF(OR(LOWER(H19)="no",LOWER(V19)="not required"),"Not Required","Unclassified")))))))))))))</f>
        <v/>
      </c>
      <c r="Y19">
        <f>IF(A19="","",IF(OR(X19="Sanctioned",X19="Disbursed",X19="Approved"),"Approved",IF(X19="Rejected","Rejected",IF(OR(X19="Processing",X19="Documents Pending",X19="Vendor Assigned"),"In Progress",IF(X19="Need Loan","Pending Start","—"))))</f>
        <v/>
      </c>
      <c r="Z19">
        <f>IF(A19="","",IF(X19="Disbursed","Disbursed",IF(X19="Sanctioned","Sanctioned - Awaiting Disbursement","Not Disbursed")))</f>
        <v/>
      </c>
      <c r="AA19">
        <f>IF(A19="","",IF(LOWER(TRIM('01_Master_Data'!AI19&amp;""))="yes","Need FLDG",IF(LOWER(TRIM('01_Master_Data'!AK19&amp;""))="yes","Need Vidyalakshmi",IF(LOWER(TRIM('01_Master_Data'!AJ19&amp;""))="yes","Need Review",IF(LOWER(J19)="critical","Critical",IF(LOWER(U19)="risk","Risk Case",IF(X19="Refund","Refund","Normal")))))))</f>
        <v/>
      </c>
      <c r="AB19">
        <f>IF(A19="","",IF(OR(LOWER(J19)="critical",LOWER(TRIM('01_Master_Data'!AI19&amp;""))="yes",LOWER(TRIM('01_Master_Data'!AK19&amp;""))="yes",LOWER(U19)="risk"),"Yes","No"))</f>
        <v/>
      </c>
      <c r="AC19">
        <f>IF(A19="","",IF(LOWER(TRIM('01_Master_Data'!AI19&amp;""))="yes","Yes","No"))</f>
        <v/>
      </c>
      <c r="AD19">
        <f>IF(A19="","",IF(LOWER(TRIM('01_Master_Data'!AK19&amp;""))="yes","Yes","No"))</f>
        <v/>
      </c>
      <c r="AE19">
        <f>IF(A19="","",IF(LOWER(TRIM('01_Master_Data'!AJ19&amp;""))="yes","Yes","No"))</f>
        <v/>
      </c>
      <c r="AF19">
        <f>IF(A19="","",TRIM('01_Master_Data'!AL19&amp;""))</f>
        <v/>
      </c>
      <c r="AG19">
        <f>IF(A19="","",IF(AF19="","—",IF(ISNUMBER(SEARCH("DNP",AF19)),"Unreachable / DNP",IF(ISNUMBER(SEARCH("interest",LOWER(AF19))),"High Interest / Terms",IF(OR(ISNUMBER(SEARCH("eligib",LOWER(AF19))),ISNUMBER(SEARCH("income",LOWER(AF19)))),"Eligibility / Income",IF(OR(ISNUMBER(SEARCH("start",LOWER(AF19))),ISNUMBER(SEARCH("Newer",AF19)),ISNUMBER(SEARCH("Will start",AF19))),"Process Yet to Start",IF(ISNUMBER(SEARCH("sure",LOWER(AF19))),"Undecided",IF(OR(ISNUMBER(SEARCH("reject",LOWER(AF19))),ISNUMBER(SEARCH("SBI",AF19))),"Rejected Elsewhere",IF(ISNUMBER(SEARCH("call",LOWER(AF19))),"Bank Communication",IF(OR(ISNUMBER(SEARCH("father",LOWER(AF19))),ISNUMBER(SEARCH("sister",LOWER(AF19)))),"Family / Dependency","Other"))))))))))</f>
        <v/>
      </c>
      <c r="AH19">
        <f>IF(A19="","",'01_Master_Data'!AC19)</f>
        <v/>
      </c>
      <c r="AI19">
        <f>IF(A19="","",IF(OR(AH19="",NOT(ISNUMBER(AH19))),"",MAX(0,'02_Configuration'!$B$82-AH19)))</f>
        <v/>
      </c>
      <c r="AJ19">
        <f>IF(A19="","",IF(AI19="","Unknown",IF(AI19&lt;=3,"0–3 Days",IF(AI19&lt;=7,"4–7 Days",IF(AI19&lt;=15,"8–15 Days",IF(AI19&lt;=30,"16–30 Days","30+ Days"))))))</f>
        <v/>
      </c>
      <c r="AK19">
        <f>IF(A19="","",IF(LOWER(H19)="yes","Yes","No"))</f>
        <v/>
      </c>
      <c r="AL19">
        <f>IF(A19="","",'01_Master_Data'!T19)</f>
        <v/>
      </c>
      <c r="AM19">
        <f>IF(A19="","",'01_Master_Data'!S19)</f>
        <v/>
      </c>
      <c r="AN19">
        <f>IF(A19="","",'01_Master_Data'!I19)</f>
        <v/>
      </c>
      <c r="AO19">
        <f>IF(A19="","",'01_Master_Data'!M19)</f>
        <v/>
      </c>
      <c r="AP19">
        <f>IF(A19="","",IF(ISNUMBER(SEARCH("Icici",W19&amp;"")),1,0))</f>
        <v/>
      </c>
      <c r="AQ19">
        <f>IF(A19="","",IF(ISNUMBER(SEARCH("Propelld",W19&amp;"")),1,0))</f>
        <v/>
      </c>
      <c r="AR19">
        <f>IF(A19="","",IF(ISNUMBER(SEARCH("GyanDhan",W19&amp;"")),1,0))</f>
        <v/>
      </c>
      <c r="AS19">
        <f>IF(A19="","",IF(ISNUMBER(SEARCH("vidyalakshmi",LOWER(W19&amp;""))),1,0))</f>
        <v/>
      </c>
      <c r="AT19">
        <f>IF(A19="","",IF(ISNUMBER(SEARCH("other bank",LOWER(W19&amp;""))),1,0))</f>
        <v/>
      </c>
      <c r="AU19">
        <f>IF(A19="","",IF(ISNUMBER(SEARCH("sanctioned",LOWER(W19&amp;""))),1,0))</f>
        <v/>
      </c>
      <c r="AV19">
        <f>IF(A19="","",IF(ISNUMBER(SEARCH("Docs Pending",W19&amp;"")),1,0))</f>
        <v/>
      </c>
      <c r="AW19">
        <f>IF(A19="","",IF(OR(X19="Rejected",ISNUMBER(SEARCH("Not eligbile",W19&amp;""))),1,0))</f>
        <v/>
      </c>
    </row>
    <row r="20">
      <c r="A20">
        <f>IF('01_Master_Data'!B20="","",19)</f>
        <v/>
      </c>
      <c r="B20">
        <f>IF('01_Master_Data'!B20="","",IF('01_Master_Data'!C20&lt;&gt;"","MOB|"&amp;TEXT('01_Master_Data'!C20,"0"),IF('01_Master_Data'!D20&lt;&gt;"","PID|"&amp;TRIM('01_Master_Data'!D20&amp;""),"")))</f>
        <v/>
      </c>
      <c r="C20">
        <f>IF('01_Master_Data'!B20="","",'01_Master_Data'!B20)</f>
        <v/>
      </c>
      <c r="D20">
        <f>IF('01_Master_Data'!B20="","",'01_Master_Data'!C20)</f>
        <v/>
      </c>
      <c r="E20">
        <f>IF('01_Master_Data'!B20="","",'01_Master_Data'!D20)</f>
        <v/>
      </c>
      <c r="F20">
        <f>IF('01_Master_Data'!B20="","",'01_Master_Data'!E20)</f>
        <v/>
      </c>
      <c r="G20">
        <f>IF('01_Master_Data'!B20="","",IFERROR(VLOOKUP(TRIM('01_Master_Data'!E20&amp;""),'02_Configuration'!$A$40:$B$44,2,FALSE),UPPER(TRIM('01_Master_Data'!E20&amp;""))))</f>
        <v/>
      </c>
      <c r="H20">
        <f>IF('01_Master_Data'!B20="","",IF('01_Master_Data'!U20="","",TRIM('01_Master_Data'!U20&amp;"")))</f>
        <v/>
      </c>
      <c r="I20">
        <f>IF('01_Master_Data'!B20="","",TRIM('01_Master_Data'!F20&amp;""))</f>
        <v/>
      </c>
      <c r="J20">
        <f>IF('01_Master_Data'!B20="","",TRIM('01_Master_Data'!G20&amp;""))</f>
        <v/>
      </c>
      <c r="K20">
        <f>IF('01_Master_Data'!B20="","",'01_Master_Data'!H20)</f>
        <v/>
      </c>
      <c r="L20">
        <f>IF('01_Master_Data'!B20="","",IF(LOWER(TRIM('01_Master_Data'!V20&amp;""))="yes",1,0))</f>
        <v/>
      </c>
      <c r="M20">
        <f>IF('01_Master_Data'!B20="","",IF(LOWER(TRIM('01_Master_Data'!W20&amp;""))="yes",1,0))</f>
        <v/>
      </c>
      <c r="N20">
        <f>IF('01_Master_Data'!B20="","",IF(LOWER(TRIM('01_Master_Data'!X20&amp;""))="yes",1,0))</f>
        <v/>
      </c>
      <c r="O20">
        <f>IF('01_Master_Data'!B20="","",IF(LOWER(TRIM('01_Master_Data'!Y20&amp;""))="yes",1,0))</f>
        <v/>
      </c>
      <c r="P20">
        <f>IF('01_Master_Data'!B20="","",IF(LOWER(TRIM('01_Master_Data'!Z20&amp;""))="yes",1,0))</f>
        <v/>
      </c>
      <c r="Q20">
        <f>IF(A20="","",L20+M20+N20+O20+P20)</f>
        <v/>
      </c>
      <c r="R20">
        <f>IF(A20="","",IF(Q20&gt;1,"Yes","No"))</f>
        <v/>
      </c>
      <c r="S20">
        <f>IF(A20="","",TEXTJOIN(", ",TRUE,IF(L20=1,"ICICI",""),IF(M20=1,"Propelld",""),IF(N20=1,"Study4Buddy",""),IF(O20=1,"Poonawala Fincorp",""),IF(P20=1,"GyanDhan","")))</f>
        <v/>
      </c>
      <c r="T20">
        <f>IF(A20="","",IF(L20=1,"ICICI",IF(M20=1,"Propelld",IF(P20=1,"GyanDhan",IF(N20=1,"Study4Buddy",IF(O20=1,"Poonawala Fincorp",IF(ISNUMBER(SEARCH("GyanDhan",W20&amp;"")),"GyanDhan",IF(ISNUMBER(SEARCH("Icici",W20&amp;"")),"ICICI",IF(ISNUMBER(SEARCH("Propelld",W20&amp;"")),"Propelld",IF(ISNUMBER(SEARCH("vidyalakshmi",LOWER(W20&amp;"")),"PM Vidyalakshmi","—"))))))))))</f>
        <v/>
      </c>
      <c r="U20">
        <f>IF(A20="","",TRIM('01_Master_Data'!AA20&amp;""))</f>
        <v/>
      </c>
      <c r="V20">
        <f>IF(A20="","",TRIM('01_Master_Data'!AG20&amp;""))</f>
        <v/>
      </c>
      <c r="W20">
        <f>IF(A20="","",TRIM('01_Master_Data'!AH20&amp;""))</f>
        <v/>
      </c>
      <c r="X20">
        <f>IF(A20="","",IF(OR(LOWER(H20)="refund",LOWER(U20)="refund case"),"Refund",IF(OR(LOWER(H20)="dnp",LOWER(U20)="dnp"),"DNP",IF(OR(LOWER(V20)="disbursed",ISNUMBER(SEARCH("Disbursed",W20&amp;""))),"Disbursed",IF(OR(LOWER(V20)="loan proccessed/accepted",ISNUMBER(SEARCH("sanctioned",LOWER(W20&amp;"")))),"Sanctioned",IF(OR(LOWER(V20)="rejected",ISNUMBER(SEARCH("Not eligbile",W20&amp;"")),ISNUMBER(SEARCH("Not eligible",W20&amp;""))),"Rejected",IF(ISNUMBER(SEARCH("Docs Pending",W20&amp;"")),"Documents Pending",IF(AND(LOWER(H20)="yes",LOWER(V20)="ongoing"),"Processing",IF(AND(LOWER(H20)="yes",Q20&gt;0,OR(V20="",LOWER(V20)="not even started")),"Vendor Assigned",IF(AND(LOWER(H20)="yes",LOWER(V20)="not even started"),"Need Loan",IF(LOWER(H20)="yes","Loan Started",IF(LOWER(H20)="not sure","Interested",IF(OR(LOWER(H20)="no",LOWER(V20)="not required"),"Not Required","Unclassified")))))))))))))</f>
        <v/>
      </c>
      <c r="Y20">
        <f>IF(A20="","",IF(OR(X20="Sanctioned",X20="Disbursed",X20="Approved"),"Approved",IF(X20="Rejected","Rejected",IF(OR(X20="Processing",X20="Documents Pending",X20="Vendor Assigned"),"In Progress",IF(X20="Need Loan","Pending Start","—"))))</f>
        <v/>
      </c>
      <c r="Z20">
        <f>IF(A20="","",IF(X20="Disbursed","Disbursed",IF(X20="Sanctioned","Sanctioned - Awaiting Disbursement","Not Disbursed")))</f>
        <v/>
      </c>
      <c r="AA20">
        <f>IF(A20="","",IF(LOWER(TRIM('01_Master_Data'!AI20&amp;""))="yes","Need FLDG",IF(LOWER(TRIM('01_Master_Data'!AK20&amp;""))="yes","Need Vidyalakshmi",IF(LOWER(TRIM('01_Master_Data'!AJ20&amp;""))="yes","Need Review",IF(LOWER(J20)="critical","Critical",IF(LOWER(U20)="risk","Risk Case",IF(X20="Refund","Refund","Normal")))))))</f>
        <v/>
      </c>
      <c r="AB20">
        <f>IF(A20="","",IF(OR(LOWER(J20)="critical",LOWER(TRIM('01_Master_Data'!AI20&amp;""))="yes",LOWER(TRIM('01_Master_Data'!AK20&amp;""))="yes",LOWER(U20)="risk"),"Yes","No"))</f>
        <v/>
      </c>
      <c r="AC20">
        <f>IF(A20="","",IF(LOWER(TRIM('01_Master_Data'!AI20&amp;""))="yes","Yes","No"))</f>
        <v/>
      </c>
      <c r="AD20">
        <f>IF(A20="","",IF(LOWER(TRIM('01_Master_Data'!AK20&amp;""))="yes","Yes","No"))</f>
        <v/>
      </c>
      <c r="AE20">
        <f>IF(A20="","",IF(LOWER(TRIM('01_Master_Data'!AJ20&amp;""))="yes","Yes","No"))</f>
        <v/>
      </c>
      <c r="AF20">
        <f>IF(A20="","",TRIM('01_Master_Data'!AL20&amp;""))</f>
        <v/>
      </c>
      <c r="AG20">
        <f>IF(A20="","",IF(AF20="","—",IF(ISNUMBER(SEARCH("DNP",AF20)),"Unreachable / DNP",IF(ISNUMBER(SEARCH("interest",LOWER(AF20))),"High Interest / Terms",IF(OR(ISNUMBER(SEARCH("eligib",LOWER(AF20))),ISNUMBER(SEARCH("income",LOWER(AF20)))),"Eligibility / Income",IF(OR(ISNUMBER(SEARCH("start",LOWER(AF20))),ISNUMBER(SEARCH("Newer",AF20)),ISNUMBER(SEARCH("Will start",AF20))),"Process Yet to Start",IF(ISNUMBER(SEARCH("sure",LOWER(AF20))),"Undecided",IF(OR(ISNUMBER(SEARCH("reject",LOWER(AF20))),ISNUMBER(SEARCH("SBI",AF20))),"Rejected Elsewhere",IF(ISNUMBER(SEARCH("call",LOWER(AF20))),"Bank Communication",IF(OR(ISNUMBER(SEARCH("father",LOWER(AF20))),ISNUMBER(SEARCH("sister",LOWER(AF20)))),"Family / Dependency","Other"))))))))))</f>
        <v/>
      </c>
      <c r="AH20">
        <f>IF(A20="","",'01_Master_Data'!AC20)</f>
        <v/>
      </c>
      <c r="AI20">
        <f>IF(A20="","",IF(OR(AH20="",NOT(ISNUMBER(AH20))),"",MAX(0,'02_Configuration'!$B$82-AH20)))</f>
        <v/>
      </c>
      <c r="AJ20">
        <f>IF(A20="","",IF(AI20="","Unknown",IF(AI20&lt;=3,"0–3 Days",IF(AI20&lt;=7,"4–7 Days",IF(AI20&lt;=15,"8–15 Days",IF(AI20&lt;=30,"16–30 Days","30+ Days"))))))</f>
        <v/>
      </c>
      <c r="AK20">
        <f>IF(A20="","",IF(LOWER(H20)="yes","Yes","No"))</f>
        <v/>
      </c>
      <c r="AL20">
        <f>IF(A20="","",'01_Master_Data'!T20)</f>
        <v/>
      </c>
      <c r="AM20">
        <f>IF(A20="","",'01_Master_Data'!S20)</f>
        <v/>
      </c>
      <c r="AN20">
        <f>IF(A20="","",'01_Master_Data'!I20)</f>
        <v/>
      </c>
      <c r="AO20">
        <f>IF(A20="","",'01_Master_Data'!M20)</f>
        <v/>
      </c>
      <c r="AP20">
        <f>IF(A20="","",IF(ISNUMBER(SEARCH("Icici",W20&amp;"")),1,0))</f>
        <v/>
      </c>
      <c r="AQ20">
        <f>IF(A20="","",IF(ISNUMBER(SEARCH("Propelld",W20&amp;"")),1,0))</f>
        <v/>
      </c>
      <c r="AR20">
        <f>IF(A20="","",IF(ISNUMBER(SEARCH("GyanDhan",W20&amp;"")),1,0))</f>
        <v/>
      </c>
      <c r="AS20">
        <f>IF(A20="","",IF(ISNUMBER(SEARCH("vidyalakshmi",LOWER(W20&amp;""))),1,0))</f>
        <v/>
      </c>
      <c r="AT20">
        <f>IF(A20="","",IF(ISNUMBER(SEARCH("other bank",LOWER(W20&amp;""))),1,0))</f>
        <v/>
      </c>
      <c r="AU20">
        <f>IF(A20="","",IF(ISNUMBER(SEARCH("sanctioned",LOWER(W20&amp;""))),1,0))</f>
        <v/>
      </c>
      <c r="AV20">
        <f>IF(A20="","",IF(ISNUMBER(SEARCH("Docs Pending",W20&amp;"")),1,0))</f>
        <v/>
      </c>
      <c r="AW20">
        <f>IF(A20="","",IF(OR(X20="Rejected",ISNUMBER(SEARCH("Not eligbile",W20&amp;""))),1,0))</f>
        <v/>
      </c>
    </row>
    <row r="21">
      <c r="A21">
        <f>IF('01_Master_Data'!B21="","",20)</f>
        <v/>
      </c>
      <c r="B21">
        <f>IF('01_Master_Data'!B21="","",IF('01_Master_Data'!C21&lt;&gt;"","MOB|"&amp;TEXT('01_Master_Data'!C21,"0"),IF('01_Master_Data'!D21&lt;&gt;"","PID|"&amp;TRIM('01_Master_Data'!D21&amp;""),"")))</f>
        <v/>
      </c>
      <c r="C21">
        <f>IF('01_Master_Data'!B21="","",'01_Master_Data'!B21)</f>
        <v/>
      </c>
      <c r="D21">
        <f>IF('01_Master_Data'!B21="","",'01_Master_Data'!C21)</f>
        <v/>
      </c>
      <c r="E21">
        <f>IF('01_Master_Data'!B21="","",'01_Master_Data'!D21)</f>
        <v/>
      </c>
      <c r="F21">
        <f>IF('01_Master_Data'!B21="","",'01_Master_Data'!E21)</f>
        <v/>
      </c>
      <c r="G21">
        <f>IF('01_Master_Data'!B21="","",IFERROR(VLOOKUP(TRIM('01_Master_Data'!E21&amp;""),'02_Configuration'!$A$40:$B$44,2,FALSE),UPPER(TRIM('01_Master_Data'!E21&amp;""))))</f>
        <v/>
      </c>
      <c r="H21">
        <f>IF('01_Master_Data'!B21="","",IF('01_Master_Data'!U21="","",TRIM('01_Master_Data'!U21&amp;"")))</f>
        <v/>
      </c>
      <c r="I21">
        <f>IF('01_Master_Data'!B21="","",TRIM('01_Master_Data'!F21&amp;""))</f>
        <v/>
      </c>
      <c r="J21">
        <f>IF('01_Master_Data'!B21="","",TRIM('01_Master_Data'!G21&amp;""))</f>
        <v/>
      </c>
      <c r="K21">
        <f>IF('01_Master_Data'!B21="","",'01_Master_Data'!H21)</f>
        <v/>
      </c>
      <c r="L21">
        <f>IF('01_Master_Data'!B21="","",IF(LOWER(TRIM('01_Master_Data'!V21&amp;""))="yes",1,0))</f>
        <v/>
      </c>
      <c r="M21">
        <f>IF('01_Master_Data'!B21="","",IF(LOWER(TRIM('01_Master_Data'!W21&amp;""))="yes",1,0))</f>
        <v/>
      </c>
      <c r="N21">
        <f>IF('01_Master_Data'!B21="","",IF(LOWER(TRIM('01_Master_Data'!X21&amp;""))="yes",1,0))</f>
        <v/>
      </c>
      <c r="O21">
        <f>IF('01_Master_Data'!B21="","",IF(LOWER(TRIM('01_Master_Data'!Y21&amp;""))="yes",1,0))</f>
        <v/>
      </c>
      <c r="P21">
        <f>IF('01_Master_Data'!B21="","",IF(LOWER(TRIM('01_Master_Data'!Z21&amp;""))="yes",1,0))</f>
        <v/>
      </c>
      <c r="Q21">
        <f>IF(A21="","",L21+M21+N21+O21+P21)</f>
        <v/>
      </c>
      <c r="R21">
        <f>IF(A21="","",IF(Q21&gt;1,"Yes","No"))</f>
        <v/>
      </c>
      <c r="S21">
        <f>IF(A21="","",TEXTJOIN(", ",TRUE,IF(L21=1,"ICICI",""),IF(M21=1,"Propelld",""),IF(N21=1,"Study4Buddy",""),IF(O21=1,"Poonawala Fincorp",""),IF(P21=1,"GyanDhan","")))</f>
        <v/>
      </c>
      <c r="T21">
        <f>IF(A21="","",IF(L21=1,"ICICI",IF(M21=1,"Propelld",IF(P21=1,"GyanDhan",IF(N21=1,"Study4Buddy",IF(O21=1,"Poonawala Fincorp",IF(ISNUMBER(SEARCH("GyanDhan",W21&amp;"")),"GyanDhan",IF(ISNUMBER(SEARCH("Icici",W21&amp;"")),"ICICI",IF(ISNUMBER(SEARCH("Propelld",W21&amp;"")),"Propelld",IF(ISNUMBER(SEARCH("vidyalakshmi",LOWER(W21&amp;"")),"PM Vidyalakshmi","—"))))))))))</f>
        <v/>
      </c>
      <c r="U21">
        <f>IF(A21="","",TRIM('01_Master_Data'!AA21&amp;""))</f>
        <v/>
      </c>
      <c r="V21">
        <f>IF(A21="","",TRIM('01_Master_Data'!AG21&amp;""))</f>
        <v/>
      </c>
      <c r="W21">
        <f>IF(A21="","",TRIM('01_Master_Data'!AH21&amp;""))</f>
        <v/>
      </c>
      <c r="X21">
        <f>IF(A21="","",IF(OR(LOWER(H21)="refund",LOWER(U21)="refund case"),"Refund",IF(OR(LOWER(H21)="dnp",LOWER(U21)="dnp"),"DNP",IF(OR(LOWER(V21)="disbursed",ISNUMBER(SEARCH("Disbursed",W21&amp;""))),"Disbursed",IF(OR(LOWER(V21)="loan proccessed/accepted",ISNUMBER(SEARCH("sanctioned",LOWER(W21&amp;"")))),"Sanctioned",IF(OR(LOWER(V21)="rejected",ISNUMBER(SEARCH("Not eligbile",W21&amp;"")),ISNUMBER(SEARCH("Not eligible",W21&amp;""))),"Rejected",IF(ISNUMBER(SEARCH("Docs Pending",W21&amp;"")),"Documents Pending",IF(AND(LOWER(H21)="yes",LOWER(V21)="ongoing"),"Processing",IF(AND(LOWER(H21)="yes",Q21&gt;0,OR(V21="",LOWER(V21)="not even started")),"Vendor Assigned",IF(AND(LOWER(H21)="yes",LOWER(V21)="not even started"),"Need Loan",IF(LOWER(H21)="yes","Loan Started",IF(LOWER(H21)="not sure","Interested",IF(OR(LOWER(H21)="no",LOWER(V21)="not required"),"Not Required","Unclassified")))))))))))))</f>
        <v/>
      </c>
      <c r="Y21">
        <f>IF(A21="","",IF(OR(X21="Sanctioned",X21="Disbursed",X21="Approved"),"Approved",IF(X21="Rejected","Rejected",IF(OR(X21="Processing",X21="Documents Pending",X21="Vendor Assigned"),"In Progress",IF(X21="Need Loan","Pending Start","—"))))</f>
        <v/>
      </c>
      <c r="Z21">
        <f>IF(A21="","",IF(X21="Disbursed","Disbursed",IF(X21="Sanctioned","Sanctioned - Awaiting Disbursement","Not Disbursed")))</f>
        <v/>
      </c>
      <c r="AA21">
        <f>IF(A21="","",IF(LOWER(TRIM('01_Master_Data'!AI21&amp;""))="yes","Need FLDG",IF(LOWER(TRIM('01_Master_Data'!AK21&amp;""))="yes","Need Vidyalakshmi",IF(LOWER(TRIM('01_Master_Data'!AJ21&amp;""))="yes","Need Review",IF(LOWER(J21)="critical","Critical",IF(LOWER(U21)="risk","Risk Case",IF(X21="Refund","Refund","Normal")))))))</f>
        <v/>
      </c>
      <c r="AB21">
        <f>IF(A21="","",IF(OR(LOWER(J21)="critical",LOWER(TRIM('01_Master_Data'!AI21&amp;""))="yes",LOWER(TRIM('01_Master_Data'!AK21&amp;""))="yes",LOWER(U21)="risk"),"Yes","No"))</f>
        <v/>
      </c>
      <c r="AC21">
        <f>IF(A21="","",IF(LOWER(TRIM('01_Master_Data'!AI21&amp;""))="yes","Yes","No"))</f>
        <v/>
      </c>
      <c r="AD21">
        <f>IF(A21="","",IF(LOWER(TRIM('01_Master_Data'!AK21&amp;""))="yes","Yes","No"))</f>
        <v/>
      </c>
      <c r="AE21">
        <f>IF(A21="","",IF(LOWER(TRIM('01_Master_Data'!AJ21&amp;""))="yes","Yes","No"))</f>
        <v/>
      </c>
      <c r="AF21">
        <f>IF(A21="","",TRIM('01_Master_Data'!AL21&amp;""))</f>
        <v/>
      </c>
      <c r="AG21">
        <f>IF(A21="","",IF(AF21="","—",IF(ISNUMBER(SEARCH("DNP",AF21)),"Unreachable / DNP",IF(ISNUMBER(SEARCH("interest",LOWER(AF21))),"High Interest / Terms",IF(OR(ISNUMBER(SEARCH("eligib",LOWER(AF21))),ISNUMBER(SEARCH("income",LOWER(AF21)))),"Eligibility / Income",IF(OR(ISNUMBER(SEARCH("start",LOWER(AF21))),ISNUMBER(SEARCH("Newer",AF21)),ISNUMBER(SEARCH("Will start",AF21))),"Process Yet to Start",IF(ISNUMBER(SEARCH("sure",LOWER(AF21))),"Undecided",IF(OR(ISNUMBER(SEARCH("reject",LOWER(AF21))),ISNUMBER(SEARCH("SBI",AF21))),"Rejected Elsewhere",IF(ISNUMBER(SEARCH("call",LOWER(AF21))),"Bank Communication",IF(OR(ISNUMBER(SEARCH("father",LOWER(AF21))),ISNUMBER(SEARCH("sister",LOWER(AF21)))),"Family / Dependency","Other"))))))))))</f>
        <v/>
      </c>
      <c r="AH21">
        <f>IF(A21="","",'01_Master_Data'!AC21)</f>
        <v/>
      </c>
      <c r="AI21">
        <f>IF(A21="","",IF(OR(AH21="",NOT(ISNUMBER(AH21))),"",MAX(0,'02_Configuration'!$B$82-AH21)))</f>
        <v/>
      </c>
      <c r="AJ21">
        <f>IF(A21="","",IF(AI21="","Unknown",IF(AI21&lt;=3,"0–3 Days",IF(AI21&lt;=7,"4–7 Days",IF(AI21&lt;=15,"8–15 Days",IF(AI21&lt;=30,"16–30 Days","30+ Days"))))))</f>
        <v/>
      </c>
      <c r="AK21">
        <f>IF(A21="","",IF(LOWER(H21)="yes","Yes","No"))</f>
        <v/>
      </c>
      <c r="AL21">
        <f>IF(A21="","",'01_Master_Data'!T21)</f>
        <v/>
      </c>
      <c r="AM21">
        <f>IF(A21="","",'01_Master_Data'!S21)</f>
        <v/>
      </c>
      <c r="AN21">
        <f>IF(A21="","",'01_Master_Data'!I21)</f>
        <v/>
      </c>
      <c r="AO21">
        <f>IF(A21="","",'01_Master_Data'!M21)</f>
        <v/>
      </c>
      <c r="AP21">
        <f>IF(A21="","",IF(ISNUMBER(SEARCH("Icici",W21&amp;"")),1,0))</f>
        <v/>
      </c>
      <c r="AQ21">
        <f>IF(A21="","",IF(ISNUMBER(SEARCH("Propelld",W21&amp;"")),1,0))</f>
        <v/>
      </c>
      <c r="AR21">
        <f>IF(A21="","",IF(ISNUMBER(SEARCH("GyanDhan",W21&amp;"")),1,0))</f>
        <v/>
      </c>
      <c r="AS21">
        <f>IF(A21="","",IF(ISNUMBER(SEARCH("vidyalakshmi",LOWER(W21&amp;""))),1,0))</f>
        <v/>
      </c>
      <c r="AT21">
        <f>IF(A21="","",IF(ISNUMBER(SEARCH("other bank",LOWER(W21&amp;""))),1,0))</f>
        <v/>
      </c>
      <c r="AU21">
        <f>IF(A21="","",IF(ISNUMBER(SEARCH("sanctioned",LOWER(W21&amp;""))),1,0))</f>
        <v/>
      </c>
      <c r="AV21">
        <f>IF(A21="","",IF(ISNUMBER(SEARCH("Docs Pending",W21&amp;"")),1,0))</f>
        <v/>
      </c>
      <c r="AW21">
        <f>IF(A21="","",IF(OR(X21="Rejected",ISNUMBER(SEARCH("Not eligbile",W21&amp;""))),1,0))</f>
        <v/>
      </c>
    </row>
    <row r="22">
      <c r="A22">
        <f>IF('01_Master_Data'!B22="","",21)</f>
        <v/>
      </c>
      <c r="B22">
        <f>IF('01_Master_Data'!B22="","",IF('01_Master_Data'!C22&lt;&gt;"","MOB|"&amp;TEXT('01_Master_Data'!C22,"0"),IF('01_Master_Data'!D22&lt;&gt;"","PID|"&amp;TRIM('01_Master_Data'!D22&amp;""),"")))</f>
        <v/>
      </c>
      <c r="C22">
        <f>IF('01_Master_Data'!B22="","",'01_Master_Data'!B22)</f>
        <v/>
      </c>
      <c r="D22">
        <f>IF('01_Master_Data'!B22="","",'01_Master_Data'!C22)</f>
        <v/>
      </c>
      <c r="E22">
        <f>IF('01_Master_Data'!B22="","",'01_Master_Data'!D22)</f>
        <v/>
      </c>
      <c r="F22">
        <f>IF('01_Master_Data'!B22="","",'01_Master_Data'!E22)</f>
        <v/>
      </c>
      <c r="G22">
        <f>IF('01_Master_Data'!B22="","",IFERROR(VLOOKUP(TRIM('01_Master_Data'!E22&amp;""),'02_Configuration'!$A$40:$B$44,2,FALSE),UPPER(TRIM('01_Master_Data'!E22&amp;""))))</f>
        <v/>
      </c>
      <c r="H22">
        <f>IF('01_Master_Data'!B22="","",IF('01_Master_Data'!U22="","",TRIM('01_Master_Data'!U22&amp;"")))</f>
        <v/>
      </c>
      <c r="I22">
        <f>IF('01_Master_Data'!B22="","",TRIM('01_Master_Data'!F22&amp;""))</f>
        <v/>
      </c>
      <c r="J22">
        <f>IF('01_Master_Data'!B22="","",TRIM('01_Master_Data'!G22&amp;""))</f>
        <v/>
      </c>
      <c r="K22">
        <f>IF('01_Master_Data'!B22="","",'01_Master_Data'!H22)</f>
        <v/>
      </c>
      <c r="L22">
        <f>IF('01_Master_Data'!B22="","",IF(LOWER(TRIM('01_Master_Data'!V22&amp;""))="yes",1,0))</f>
        <v/>
      </c>
      <c r="M22">
        <f>IF('01_Master_Data'!B22="","",IF(LOWER(TRIM('01_Master_Data'!W22&amp;""))="yes",1,0))</f>
        <v/>
      </c>
      <c r="N22">
        <f>IF('01_Master_Data'!B22="","",IF(LOWER(TRIM('01_Master_Data'!X22&amp;""))="yes",1,0))</f>
        <v/>
      </c>
      <c r="O22">
        <f>IF('01_Master_Data'!B22="","",IF(LOWER(TRIM('01_Master_Data'!Y22&amp;""))="yes",1,0))</f>
        <v/>
      </c>
      <c r="P22">
        <f>IF('01_Master_Data'!B22="","",IF(LOWER(TRIM('01_Master_Data'!Z22&amp;""))="yes",1,0))</f>
        <v/>
      </c>
      <c r="Q22">
        <f>IF(A22="","",L22+M22+N22+O22+P22)</f>
        <v/>
      </c>
      <c r="R22">
        <f>IF(A22="","",IF(Q22&gt;1,"Yes","No"))</f>
        <v/>
      </c>
      <c r="S22">
        <f>IF(A22="","",TEXTJOIN(", ",TRUE,IF(L22=1,"ICICI",""),IF(M22=1,"Propelld",""),IF(N22=1,"Study4Buddy",""),IF(O22=1,"Poonawala Fincorp",""),IF(P22=1,"GyanDhan","")))</f>
        <v/>
      </c>
      <c r="T22">
        <f>IF(A22="","",IF(L22=1,"ICICI",IF(M22=1,"Propelld",IF(P22=1,"GyanDhan",IF(N22=1,"Study4Buddy",IF(O22=1,"Poonawala Fincorp",IF(ISNUMBER(SEARCH("GyanDhan",W22&amp;"")),"GyanDhan",IF(ISNUMBER(SEARCH("Icici",W22&amp;"")),"ICICI",IF(ISNUMBER(SEARCH("Propelld",W22&amp;"")),"Propelld",IF(ISNUMBER(SEARCH("vidyalakshmi",LOWER(W22&amp;"")),"PM Vidyalakshmi","—"))))))))))</f>
        <v/>
      </c>
      <c r="U22">
        <f>IF(A22="","",TRIM('01_Master_Data'!AA22&amp;""))</f>
        <v/>
      </c>
      <c r="V22">
        <f>IF(A22="","",TRIM('01_Master_Data'!AG22&amp;""))</f>
        <v/>
      </c>
      <c r="W22">
        <f>IF(A22="","",TRIM('01_Master_Data'!AH22&amp;""))</f>
        <v/>
      </c>
      <c r="X22">
        <f>IF(A22="","",IF(OR(LOWER(H22)="refund",LOWER(U22)="refund case"),"Refund",IF(OR(LOWER(H22)="dnp",LOWER(U22)="dnp"),"DNP",IF(OR(LOWER(V22)="disbursed",ISNUMBER(SEARCH("Disbursed",W22&amp;""))),"Disbursed",IF(OR(LOWER(V22)="loan proccessed/accepted",ISNUMBER(SEARCH("sanctioned",LOWER(W22&amp;"")))),"Sanctioned",IF(OR(LOWER(V22)="rejected",ISNUMBER(SEARCH("Not eligbile",W22&amp;"")),ISNUMBER(SEARCH("Not eligible",W22&amp;""))),"Rejected",IF(ISNUMBER(SEARCH("Docs Pending",W22&amp;"")),"Documents Pending",IF(AND(LOWER(H22)="yes",LOWER(V22)="ongoing"),"Processing",IF(AND(LOWER(H22)="yes",Q22&gt;0,OR(V22="",LOWER(V22)="not even started")),"Vendor Assigned",IF(AND(LOWER(H22)="yes",LOWER(V22)="not even started"),"Need Loan",IF(LOWER(H22)="yes","Loan Started",IF(LOWER(H22)="not sure","Interested",IF(OR(LOWER(H22)="no",LOWER(V22)="not required"),"Not Required","Unclassified")))))))))))))</f>
        <v/>
      </c>
      <c r="Y22">
        <f>IF(A22="","",IF(OR(X22="Sanctioned",X22="Disbursed",X22="Approved"),"Approved",IF(X22="Rejected","Rejected",IF(OR(X22="Processing",X22="Documents Pending",X22="Vendor Assigned"),"In Progress",IF(X22="Need Loan","Pending Start","—"))))</f>
        <v/>
      </c>
      <c r="Z22">
        <f>IF(A22="","",IF(X22="Disbursed","Disbursed",IF(X22="Sanctioned","Sanctioned - Awaiting Disbursement","Not Disbursed")))</f>
        <v/>
      </c>
      <c r="AA22">
        <f>IF(A22="","",IF(LOWER(TRIM('01_Master_Data'!AI22&amp;""))="yes","Need FLDG",IF(LOWER(TRIM('01_Master_Data'!AK22&amp;""))="yes","Need Vidyalakshmi",IF(LOWER(TRIM('01_Master_Data'!AJ22&amp;""))="yes","Need Review",IF(LOWER(J22)="critical","Critical",IF(LOWER(U22)="risk","Risk Case",IF(X22="Refund","Refund","Normal")))))))</f>
        <v/>
      </c>
      <c r="AB22">
        <f>IF(A22="","",IF(OR(LOWER(J22)="critical",LOWER(TRIM('01_Master_Data'!AI22&amp;""))="yes",LOWER(TRIM('01_Master_Data'!AK22&amp;""))="yes",LOWER(U22)="risk"),"Yes","No"))</f>
        <v/>
      </c>
      <c r="AC22">
        <f>IF(A22="","",IF(LOWER(TRIM('01_Master_Data'!AI22&amp;""))="yes","Yes","No"))</f>
        <v/>
      </c>
      <c r="AD22">
        <f>IF(A22="","",IF(LOWER(TRIM('01_Master_Data'!AK22&amp;""))="yes","Yes","No"))</f>
        <v/>
      </c>
      <c r="AE22">
        <f>IF(A22="","",IF(LOWER(TRIM('01_Master_Data'!AJ22&amp;""))="yes","Yes","No"))</f>
        <v/>
      </c>
      <c r="AF22">
        <f>IF(A22="","",TRIM('01_Master_Data'!AL22&amp;""))</f>
        <v/>
      </c>
      <c r="AG22">
        <f>IF(A22="","",IF(AF22="","—",IF(ISNUMBER(SEARCH("DNP",AF22)),"Unreachable / DNP",IF(ISNUMBER(SEARCH("interest",LOWER(AF22))),"High Interest / Terms",IF(OR(ISNUMBER(SEARCH("eligib",LOWER(AF22))),ISNUMBER(SEARCH("income",LOWER(AF22)))),"Eligibility / Income",IF(OR(ISNUMBER(SEARCH("start",LOWER(AF22))),ISNUMBER(SEARCH("Newer",AF22)),ISNUMBER(SEARCH("Will start",AF22))),"Process Yet to Start",IF(ISNUMBER(SEARCH("sure",LOWER(AF22))),"Undecided",IF(OR(ISNUMBER(SEARCH("reject",LOWER(AF22))),ISNUMBER(SEARCH("SBI",AF22))),"Rejected Elsewhere",IF(ISNUMBER(SEARCH("call",LOWER(AF22))),"Bank Communication",IF(OR(ISNUMBER(SEARCH("father",LOWER(AF22))),ISNUMBER(SEARCH("sister",LOWER(AF22)))),"Family / Dependency","Other"))))))))))</f>
        <v/>
      </c>
      <c r="AH22">
        <f>IF(A22="","",'01_Master_Data'!AC22)</f>
        <v/>
      </c>
      <c r="AI22">
        <f>IF(A22="","",IF(OR(AH22="",NOT(ISNUMBER(AH22))),"",MAX(0,'02_Configuration'!$B$82-AH22)))</f>
        <v/>
      </c>
      <c r="AJ22">
        <f>IF(A22="","",IF(AI22="","Unknown",IF(AI22&lt;=3,"0–3 Days",IF(AI22&lt;=7,"4–7 Days",IF(AI22&lt;=15,"8–15 Days",IF(AI22&lt;=30,"16–30 Days","30+ Days"))))))</f>
        <v/>
      </c>
      <c r="AK22">
        <f>IF(A22="","",IF(LOWER(H22)="yes","Yes","No"))</f>
        <v/>
      </c>
      <c r="AL22">
        <f>IF(A22="","",'01_Master_Data'!T22)</f>
        <v/>
      </c>
      <c r="AM22">
        <f>IF(A22="","",'01_Master_Data'!S22)</f>
        <v/>
      </c>
      <c r="AN22">
        <f>IF(A22="","",'01_Master_Data'!I22)</f>
        <v/>
      </c>
      <c r="AO22">
        <f>IF(A22="","",'01_Master_Data'!M22)</f>
        <v/>
      </c>
      <c r="AP22">
        <f>IF(A22="","",IF(ISNUMBER(SEARCH("Icici",W22&amp;"")),1,0))</f>
        <v/>
      </c>
      <c r="AQ22">
        <f>IF(A22="","",IF(ISNUMBER(SEARCH("Propelld",W22&amp;"")),1,0))</f>
        <v/>
      </c>
      <c r="AR22">
        <f>IF(A22="","",IF(ISNUMBER(SEARCH("GyanDhan",W22&amp;"")),1,0))</f>
        <v/>
      </c>
      <c r="AS22">
        <f>IF(A22="","",IF(ISNUMBER(SEARCH("vidyalakshmi",LOWER(W22&amp;""))),1,0))</f>
        <v/>
      </c>
      <c r="AT22">
        <f>IF(A22="","",IF(ISNUMBER(SEARCH("other bank",LOWER(W22&amp;""))),1,0))</f>
        <v/>
      </c>
      <c r="AU22">
        <f>IF(A22="","",IF(ISNUMBER(SEARCH("sanctioned",LOWER(W22&amp;""))),1,0))</f>
        <v/>
      </c>
      <c r="AV22">
        <f>IF(A22="","",IF(ISNUMBER(SEARCH("Docs Pending",W22&amp;"")),1,0))</f>
        <v/>
      </c>
      <c r="AW22">
        <f>IF(A22="","",IF(OR(X22="Rejected",ISNUMBER(SEARCH("Not eligbile",W22&amp;""))),1,0))</f>
        <v/>
      </c>
    </row>
    <row r="23">
      <c r="A23">
        <f>IF('01_Master_Data'!B23="","",22)</f>
        <v/>
      </c>
      <c r="B23">
        <f>IF('01_Master_Data'!B23="","",IF('01_Master_Data'!C23&lt;&gt;"","MOB|"&amp;TEXT('01_Master_Data'!C23,"0"),IF('01_Master_Data'!D23&lt;&gt;"","PID|"&amp;TRIM('01_Master_Data'!D23&amp;""),"")))</f>
        <v/>
      </c>
      <c r="C23">
        <f>IF('01_Master_Data'!B23="","",'01_Master_Data'!B23)</f>
        <v/>
      </c>
      <c r="D23">
        <f>IF('01_Master_Data'!B23="","",'01_Master_Data'!C23)</f>
        <v/>
      </c>
      <c r="E23">
        <f>IF('01_Master_Data'!B23="","",'01_Master_Data'!D23)</f>
        <v/>
      </c>
      <c r="F23">
        <f>IF('01_Master_Data'!B23="","",'01_Master_Data'!E23)</f>
        <v/>
      </c>
      <c r="G23">
        <f>IF('01_Master_Data'!B23="","",IFERROR(VLOOKUP(TRIM('01_Master_Data'!E23&amp;""),'02_Configuration'!$A$40:$B$44,2,FALSE),UPPER(TRIM('01_Master_Data'!E23&amp;""))))</f>
        <v/>
      </c>
      <c r="H23">
        <f>IF('01_Master_Data'!B23="","",IF('01_Master_Data'!U23="","",TRIM('01_Master_Data'!U23&amp;"")))</f>
        <v/>
      </c>
      <c r="I23">
        <f>IF('01_Master_Data'!B23="","",TRIM('01_Master_Data'!F23&amp;""))</f>
        <v/>
      </c>
      <c r="J23">
        <f>IF('01_Master_Data'!B23="","",TRIM('01_Master_Data'!G23&amp;""))</f>
        <v/>
      </c>
      <c r="K23">
        <f>IF('01_Master_Data'!B23="","",'01_Master_Data'!H23)</f>
        <v/>
      </c>
      <c r="L23">
        <f>IF('01_Master_Data'!B23="","",IF(LOWER(TRIM('01_Master_Data'!V23&amp;""))="yes",1,0))</f>
        <v/>
      </c>
      <c r="M23">
        <f>IF('01_Master_Data'!B23="","",IF(LOWER(TRIM('01_Master_Data'!W23&amp;""))="yes",1,0))</f>
        <v/>
      </c>
      <c r="N23">
        <f>IF('01_Master_Data'!B23="","",IF(LOWER(TRIM('01_Master_Data'!X23&amp;""))="yes",1,0))</f>
        <v/>
      </c>
      <c r="O23">
        <f>IF('01_Master_Data'!B23="","",IF(LOWER(TRIM('01_Master_Data'!Y23&amp;""))="yes",1,0))</f>
        <v/>
      </c>
      <c r="P23">
        <f>IF('01_Master_Data'!B23="","",IF(LOWER(TRIM('01_Master_Data'!Z23&amp;""))="yes",1,0))</f>
        <v/>
      </c>
      <c r="Q23">
        <f>IF(A23="","",L23+M23+N23+O23+P23)</f>
        <v/>
      </c>
      <c r="R23">
        <f>IF(A23="","",IF(Q23&gt;1,"Yes","No"))</f>
        <v/>
      </c>
      <c r="S23">
        <f>IF(A23="","",TEXTJOIN(", ",TRUE,IF(L23=1,"ICICI",""),IF(M23=1,"Propelld",""),IF(N23=1,"Study4Buddy",""),IF(O23=1,"Poonawala Fincorp",""),IF(P23=1,"GyanDhan","")))</f>
        <v/>
      </c>
      <c r="T23">
        <f>IF(A23="","",IF(L23=1,"ICICI",IF(M23=1,"Propelld",IF(P23=1,"GyanDhan",IF(N23=1,"Study4Buddy",IF(O23=1,"Poonawala Fincorp",IF(ISNUMBER(SEARCH("GyanDhan",W23&amp;"")),"GyanDhan",IF(ISNUMBER(SEARCH("Icici",W23&amp;"")),"ICICI",IF(ISNUMBER(SEARCH("Propelld",W23&amp;"")),"Propelld",IF(ISNUMBER(SEARCH("vidyalakshmi",LOWER(W23&amp;"")),"PM Vidyalakshmi","—"))))))))))</f>
        <v/>
      </c>
      <c r="U23">
        <f>IF(A23="","",TRIM('01_Master_Data'!AA23&amp;""))</f>
        <v/>
      </c>
      <c r="V23">
        <f>IF(A23="","",TRIM('01_Master_Data'!AG23&amp;""))</f>
        <v/>
      </c>
      <c r="W23">
        <f>IF(A23="","",TRIM('01_Master_Data'!AH23&amp;""))</f>
        <v/>
      </c>
      <c r="X23">
        <f>IF(A23="","",IF(OR(LOWER(H23)="refund",LOWER(U23)="refund case"),"Refund",IF(OR(LOWER(H23)="dnp",LOWER(U23)="dnp"),"DNP",IF(OR(LOWER(V23)="disbursed",ISNUMBER(SEARCH("Disbursed",W23&amp;""))),"Disbursed",IF(OR(LOWER(V23)="loan proccessed/accepted",ISNUMBER(SEARCH("sanctioned",LOWER(W23&amp;"")))),"Sanctioned",IF(OR(LOWER(V23)="rejected",ISNUMBER(SEARCH("Not eligbile",W23&amp;"")),ISNUMBER(SEARCH("Not eligible",W23&amp;""))),"Rejected",IF(ISNUMBER(SEARCH("Docs Pending",W23&amp;"")),"Documents Pending",IF(AND(LOWER(H23)="yes",LOWER(V23)="ongoing"),"Processing",IF(AND(LOWER(H23)="yes",Q23&gt;0,OR(V23="",LOWER(V23)="not even started")),"Vendor Assigned",IF(AND(LOWER(H23)="yes",LOWER(V23)="not even started"),"Need Loan",IF(LOWER(H23)="yes","Loan Started",IF(LOWER(H23)="not sure","Interested",IF(OR(LOWER(H23)="no",LOWER(V23)="not required"),"Not Required","Unclassified")))))))))))))</f>
        <v/>
      </c>
      <c r="Y23">
        <f>IF(A23="","",IF(OR(X23="Sanctioned",X23="Disbursed",X23="Approved"),"Approved",IF(X23="Rejected","Rejected",IF(OR(X23="Processing",X23="Documents Pending",X23="Vendor Assigned"),"In Progress",IF(X23="Need Loan","Pending Start","—"))))</f>
        <v/>
      </c>
      <c r="Z23">
        <f>IF(A23="","",IF(X23="Disbursed","Disbursed",IF(X23="Sanctioned","Sanctioned - Awaiting Disbursement","Not Disbursed")))</f>
        <v/>
      </c>
      <c r="AA23">
        <f>IF(A23="","",IF(LOWER(TRIM('01_Master_Data'!AI23&amp;""))="yes","Need FLDG",IF(LOWER(TRIM('01_Master_Data'!AK23&amp;""))="yes","Need Vidyalakshmi",IF(LOWER(TRIM('01_Master_Data'!AJ23&amp;""))="yes","Need Review",IF(LOWER(J23)="critical","Critical",IF(LOWER(U23)="risk","Risk Case",IF(X23="Refund","Refund","Normal")))))))</f>
        <v/>
      </c>
      <c r="AB23">
        <f>IF(A23="","",IF(OR(LOWER(J23)="critical",LOWER(TRIM('01_Master_Data'!AI23&amp;""))="yes",LOWER(TRIM('01_Master_Data'!AK23&amp;""))="yes",LOWER(U23)="risk"),"Yes","No"))</f>
        <v/>
      </c>
      <c r="AC23">
        <f>IF(A23="","",IF(LOWER(TRIM('01_Master_Data'!AI23&amp;""))="yes","Yes","No"))</f>
        <v/>
      </c>
      <c r="AD23">
        <f>IF(A23="","",IF(LOWER(TRIM('01_Master_Data'!AK23&amp;""))="yes","Yes","No"))</f>
        <v/>
      </c>
      <c r="AE23">
        <f>IF(A23="","",IF(LOWER(TRIM('01_Master_Data'!AJ23&amp;""))="yes","Yes","No"))</f>
        <v/>
      </c>
      <c r="AF23">
        <f>IF(A23="","",TRIM('01_Master_Data'!AL23&amp;""))</f>
        <v/>
      </c>
      <c r="AG23">
        <f>IF(A23="","",IF(AF23="","—",IF(ISNUMBER(SEARCH("DNP",AF23)),"Unreachable / DNP",IF(ISNUMBER(SEARCH("interest",LOWER(AF23))),"High Interest / Terms",IF(OR(ISNUMBER(SEARCH("eligib",LOWER(AF23))),ISNUMBER(SEARCH("income",LOWER(AF23)))),"Eligibility / Income",IF(OR(ISNUMBER(SEARCH("start",LOWER(AF23))),ISNUMBER(SEARCH("Newer",AF23)),ISNUMBER(SEARCH("Will start",AF23))),"Process Yet to Start",IF(ISNUMBER(SEARCH("sure",LOWER(AF23))),"Undecided",IF(OR(ISNUMBER(SEARCH("reject",LOWER(AF23))),ISNUMBER(SEARCH("SBI",AF23))),"Rejected Elsewhere",IF(ISNUMBER(SEARCH("call",LOWER(AF23))),"Bank Communication",IF(OR(ISNUMBER(SEARCH("father",LOWER(AF23))),ISNUMBER(SEARCH("sister",LOWER(AF23)))),"Family / Dependency","Other"))))))))))</f>
        <v/>
      </c>
      <c r="AH23">
        <f>IF(A23="","",'01_Master_Data'!AC23)</f>
        <v/>
      </c>
      <c r="AI23">
        <f>IF(A23="","",IF(OR(AH23="",NOT(ISNUMBER(AH23))),"",MAX(0,'02_Configuration'!$B$82-AH23)))</f>
        <v/>
      </c>
      <c r="AJ23">
        <f>IF(A23="","",IF(AI23="","Unknown",IF(AI23&lt;=3,"0–3 Days",IF(AI23&lt;=7,"4–7 Days",IF(AI23&lt;=15,"8–15 Days",IF(AI23&lt;=30,"16–30 Days","30+ Days"))))))</f>
        <v/>
      </c>
      <c r="AK23">
        <f>IF(A23="","",IF(LOWER(H23)="yes","Yes","No"))</f>
        <v/>
      </c>
      <c r="AL23">
        <f>IF(A23="","",'01_Master_Data'!T23)</f>
        <v/>
      </c>
      <c r="AM23">
        <f>IF(A23="","",'01_Master_Data'!S23)</f>
        <v/>
      </c>
      <c r="AN23">
        <f>IF(A23="","",'01_Master_Data'!I23)</f>
        <v/>
      </c>
      <c r="AO23">
        <f>IF(A23="","",'01_Master_Data'!M23)</f>
        <v/>
      </c>
      <c r="AP23">
        <f>IF(A23="","",IF(ISNUMBER(SEARCH("Icici",W23&amp;"")),1,0))</f>
        <v/>
      </c>
      <c r="AQ23">
        <f>IF(A23="","",IF(ISNUMBER(SEARCH("Propelld",W23&amp;"")),1,0))</f>
        <v/>
      </c>
      <c r="AR23">
        <f>IF(A23="","",IF(ISNUMBER(SEARCH("GyanDhan",W23&amp;"")),1,0))</f>
        <v/>
      </c>
      <c r="AS23">
        <f>IF(A23="","",IF(ISNUMBER(SEARCH("vidyalakshmi",LOWER(W23&amp;""))),1,0))</f>
        <v/>
      </c>
      <c r="AT23">
        <f>IF(A23="","",IF(ISNUMBER(SEARCH("other bank",LOWER(W23&amp;""))),1,0))</f>
        <v/>
      </c>
      <c r="AU23">
        <f>IF(A23="","",IF(ISNUMBER(SEARCH("sanctioned",LOWER(W23&amp;""))),1,0))</f>
        <v/>
      </c>
      <c r="AV23">
        <f>IF(A23="","",IF(ISNUMBER(SEARCH("Docs Pending",W23&amp;"")),1,0))</f>
        <v/>
      </c>
      <c r="AW23">
        <f>IF(A23="","",IF(OR(X23="Rejected",ISNUMBER(SEARCH("Not eligbile",W23&amp;""))),1,0))</f>
        <v/>
      </c>
    </row>
    <row r="24">
      <c r="A24">
        <f>IF('01_Master_Data'!B24="","",23)</f>
        <v/>
      </c>
      <c r="B24">
        <f>IF('01_Master_Data'!B24="","",IF('01_Master_Data'!C24&lt;&gt;"","MOB|"&amp;TEXT('01_Master_Data'!C24,"0"),IF('01_Master_Data'!D24&lt;&gt;"","PID|"&amp;TRIM('01_Master_Data'!D24&amp;""),"")))</f>
        <v/>
      </c>
      <c r="C24">
        <f>IF('01_Master_Data'!B24="","",'01_Master_Data'!B24)</f>
        <v/>
      </c>
      <c r="D24">
        <f>IF('01_Master_Data'!B24="","",'01_Master_Data'!C24)</f>
        <v/>
      </c>
      <c r="E24">
        <f>IF('01_Master_Data'!B24="","",'01_Master_Data'!D24)</f>
        <v/>
      </c>
      <c r="F24">
        <f>IF('01_Master_Data'!B24="","",'01_Master_Data'!E24)</f>
        <v/>
      </c>
      <c r="G24">
        <f>IF('01_Master_Data'!B24="","",IFERROR(VLOOKUP(TRIM('01_Master_Data'!E24&amp;""),'02_Configuration'!$A$40:$B$44,2,FALSE),UPPER(TRIM('01_Master_Data'!E24&amp;""))))</f>
        <v/>
      </c>
      <c r="H24">
        <f>IF('01_Master_Data'!B24="","",IF('01_Master_Data'!U24="","",TRIM('01_Master_Data'!U24&amp;"")))</f>
        <v/>
      </c>
      <c r="I24">
        <f>IF('01_Master_Data'!B24="","",TRIM('01_Master_Data'!F24&amp;""))</f>
        <v/>
      </c>
      <c r="J24">
        <f>IF('01_Master_Data'!B24="","",TRIM('01_Master_Data'!G24&amp;""))</f>
        <v/>
      </c>
      <c r="K24">
        <f>IF('01_Master_Data'!B24="","",'01_Master_Data'!H24)</f>
        <v/>
      </c>
      <c r="L24">
        <f>IF('01_Master_Data'!B24="","",IF(LOWER(TRIM('01_Master_Data'!V24&amp;""))="yes",1,0))</f>
        <v/>
      </c>
      <c r="M24">
        <f>IF('01_Master_Data'!B24="","",IF(LOWER(TRIM('01_Master_Data'!W24&amp;""))="yes",1,0))</f>
        <v/>
      </c>
      <c r="N24">
        <f>IF('01_Master_Data'!B24="","",IF(LOWER(TRIM('01_Master_Data'!X24&amp;""))="yes",1,0))</f>
        <v/>
      </c>
      <c r="O24">
        <f>IF('01_Master_Data'!B24="","",IF(LOWER(TRIM('01_Master_Data'!Y24&amp;""))="yes",1,0))</f>
        <v/>
      </c>
      <c r="P24">
        <f>IF('01_Master_Data'!B24="","",IF(LOWER(TRIM('01_Master_Data'!Z24&amp;""))="yes",1,0))</f>
        <v/>
      </c>
      <c r="Q24">
        <f>IF(A24="","",L24+M24+N24+O24+P24)</f>
        <v/>
      </c>
      <c r="R24">
        <f>IF(A24="","",IF(Q24&gt;1,"Yes","No"))</f>
        <v/>
      </c>
      <c r="S24">
        <f>IF(A24="","",TEXTJOIN(", ",TRUE,IF(L24=1,"ICICI",""),IF(M24=1,"Propelld",""),IF(N24=1,"Study4Buddy",""),IF(O24=1,"Poonawala Fincorp",""),IF(P24=1,"GyanDhan","")))</f>
        <v/>
      </c>
      <c r="T24">
        <f>IF(A24="","",IF(L24=1,"ICICI",IF(M24=1,"Propelld",IF(P24=1,"GyanDhan",IF(N24=1,"Study4Buddy",IF(O24=1,"Poonawala Fincorp",IF(ISNUMBER(SEARCH("GyanDhan",W24&amp;"")),"GyanDhan",IF(ISNUMBER(SEARCH("Icici",W24&amp;"")),"ICICI",IF(ISNUMBER(SEARCH("Propelld",W24&amp;"")),"Propelld",IF(ISNUMBER(SEARCH("vidyalakshmi",LOWER(W24&amp;"")),"PM Vidyalakshmi","—"))))))))))</f>
        <v/>
      </c>
      <c r="U24">
        <f>IF(A24="","",TRIM('01_Master_Data'!AA24&amp;""))</f>
        <v/>
      </c>
      <c r="V24">
        <f>IF(A24="","",TRIM('01_Master_Data'!AG24&amp;""))</f>
        <v/>
      </c>
      <c r="W24">
        <f>IF(A24="","",TRIM('01_Master_Data'!AH24&amp;""))</f>
        <v/>
      </c>
      <c r="X24">
        <f>IF(A24="","",IF(OR(LOWER(H24)="refund",LOWER(U24)="refund case"),"Refund",IF(OR(LOWER(H24)="dnp",LOWER(U24)="dnp"),"DNP",IF(OR(LOWER(V24)="disbursed",ISNUMBER(SEARCH("Disbursed",W24&amp;""))),"Disbursed",IF(OR(LOWER(V24)="loan proccessed/accepted",ISNUMBER(SEARCH("sanctioned",LOWER(W24&amp;"")))),"Sanctioned",IF(OR(LOWER(V24)="rejected",ISNUMBER(SEARCH("Not eligbile",W24&amp;"")),ISNUMBER(SEARCH("Not eligible",W24&amp;""))),"Rejected",IF(ISNUMBER(SEARCH("Docs Pending",W24&amp;"")),"Documents Pending",IF(AND(LOWER(H24)="yes",LOWER(V24)="ongoing"),"Processing",IF(AND(LOWER(H24)="yes",Q24&gt;0,OR(V24="",LOWER(V24)="not even started")),"Vendor Assigned",IF(AND(LOWER(H24)="yes",LOWER(V24)="not even started"),"Need Loan",IF(LOWER(H24)="yes","Loan Started",IF(LOWER(H24)="not sure","Interested",IF(OR(LOWER(H24)="no",LOWER(V24)="not required"),"Not Required","Unclassified")))))))))))))</f>
        <v/>
      </c>
      <c r="Y24">
        <f>IF(A24="","",IF(OR(X24="Sanctioned",X24="Disbursed",X24="Approved"),"Approved",IF(X24="Rejected","Rejected",IF(OR(X24="Processing",X24="Documents Pending",X24="Vendor Assigned"),"In Progress",IF(X24="Need Loan","Pending Start","—"))))</f>
        <v/>
      </c>
      <c r="Z24">
        <f>IF(A24="","",IF(X24="Disbursed","Disbursed",IF(X24="Sanctioned","Sanctioned - Awaiting Disbursement","Not Disbursed")))</f>
        <v/>
      </c>
      <c r="AA24">
        <f>IF(A24="","",IF(LOWER(TRIM('01_Master_Data'!AI24&amp;""))="yes","Need FLDG",IF(LOWER(TRIM('01_Master_Data'!AK24&amp;""))="yes","Need Vidyalakshmi",IF(LOWER(TRIM('01_Master_Data'!AJ24&amp;""))="yes","Need Review",IF(LOWER(J24)="critical","Critical",IF(LOWER(U24)="risk","Risk Case",IF(X24="Refund","Refund","Normal")))))))</f>
        <v/>
      </c>
      <c r="AB24">
        <f>IF(A24="","",IF(OR(LOWER(J24)="critical",LOWER(TRIM('01_Master_Data'!AI24&amp;""))="yes",LOWER(TRIM('01_Master_Data'!AK24&amp;""))="yes",LOWER(U24)="risk"),"Yes","No"))</f>
        <v/>
      </c>
      <c r="AC24">
        <f>IF(A24="","",IF(LOWER(TRIM('01_Master_Data'!AI24&amp;""))="yes","Yes","No"))</f>
        <v/>
      </c>
      <c r="AD24">
        <f>IF(A24="","",IF(LOWER(TRIM('01_Master_Data'!AK24&amp;""))="yes","Yes","No"))</f>
        <v/>
      </c>
      <c r="AE24">
        <f>IF(A24="","",IF(LOWER(TRIM('01_Master_Data'!AJ24&amp;""))="yes","Yes","No"))</f>
        <v/>
      </c>
      <c r="AF24">
        <f>IF(A24="","",TRIM('01_Master_Data'!AL24&amp;""))</f>
        <v/>
      </c>
      <c r="AG24">
        <f>IF(A24="","",IF(AF24="","—",IF(ISNUMBER(SEARCH("DNP",AF24)),"Unreachable / DNP",IF(ISNUMBER(SEARCH("interest",LOWER(AF24))),"High Interest / Terms",IF(OR(ISNUMBER(SEARCH("eligib",LOWER(AF24))),ISNUMBER(SEARCH("income",LOWER(AF24)))),"Eligibility / Income",IF(OR(ISNUMBER(SEARCH("start",LOWER(AF24))),ISNUMBER(SEARCH("Newer",AF24)),ISNUMBER(SEARCH("Will start",AF24))),"Process Yet to Start",IF(ISNUMBER(SEARCH("sure",LOWER(AF24))),"Undecided",IF(OR(ISNUMBER(SEARCH("reject",LOWER(AF24))),ISNUMBER(SEARCH("SBI",AF24))),"Rejected Elsewhere",IF(ISNUMBER(SEARCH("call",LOWER(AF24))),"Bank Communication",IF(OR(ISNUMBER(SEARCH("father",LOWER(AF24))),ISNUMBER(SEARCH("sister",LOWER(AF24)))),"Family / Dependency","Other"))))))))))</f>
        <v/>
      </c>
      <c r="AH24">
        <f>IF(A24="","",'01_Master_Data'!AC24)</f>
        <v/>
      </c>
      <c r="AI24">
        <f>IF(A24="","",IF(OR(AH24="",NOT(ISNUMBER(AH24))),"",MAX(0,'02_Configuration'!$B$82-AH24)))</f>
        <v/>
      </c>
      <c r="AJ24">
        <f>IF(A24="","",IF(AI24="","Unknown",IF(AI24&lt;=3,"0–3 Days",IF(AI24&lt;=7,"4–7 Days",IF(AI24&lt;=15,"8–15 Days",IF(AI24&lt;=30,"16–30 Days","30+ Days"))))))</f>
        <v/>
      </c>
      <c r="AK24">
        <f>IF(A24="","",IF(LOWER(H24)="yes","Yes","No"))</f>
        <v/>
      </c>
      <c r="AL24">
        <f>IF(A24="","",'01_Master_Data'!T24)</f>
        <v/>
      </c>
      <c r="AM24">
        <f>IF(A24="","",'01_Master_Data'!S24)</f>
        <v/>
      </c>
      <c r="AN24">
        <f>IF(A24="","",'01_Master_Data'!I24)</f>
        <v/>
      </c>
      <c r="AO24">
        <f>IF(A24="","",'01_Master_Data'!M24)</f>
        <v/>
      </c>
      <c r="AP24">
        <f>IF(A24="","",IF(ISNUMBER(SEARCH("Icici",W24&amp;"")),1,0))</f>
        <v/>
      </c>
      <c r="AQ24">
        <f>IF(A24="","",IF(ISNUMBER(SEARCH("Propelld",W24&amp;"")),1,0))</f>
        <v/>
      </c>
      <c r="AR24">
        <f>IF(A24="","",IF(ISNUMBER(SEARCH("GyanDhan",W24&amp;"")),1,0))</f>
        <v/>
      </c>
      <c r="AS24">
        <f>IF(A24="","",IF(ISNUMBER(SEARCH("vidyalakshmi",LOWER(W24&amp;""))),1,0))</f>
        <v/>
      </c>
      <c r="AT24">
        <f>IF(A24="","",IF(ISNUMBER(SEARCH("other bank",LOWER(W24&amp;""))),1,0))</f>
        <v/>
      </c>
      <c r="AU24">
        <f>IF(A24="","",IF(ISNUMBER(SEARCH("sanctioned",LOWER(W24&amp;""))),1,0))</f>
        <v/>
      </c>
      <c r="AV24">
        <f>IF(A24="","",IF(ISNUMBER(SEARCH("Docs Pending",W24&amp;"")),1,0))</f>
        <v/>
      </c>
      <c r="AW24">
        <f>IF(A24="","",IF(OR(X24="Rejected",ISNUMBER(SEARCH("Not eligbile",W24&amp;""))),1,0))</f>
        <v/>
      </c>
    </row>
    <row r="25">
      <c r="A25">
        <f>IF('01_Master_Data'!B25="","",24)</f>
        <v/>
      </c>
      <c r="B25">
        <f>IF('01_Master_Data'!B25="","",IF('01_Master_Data'!C25&lt;&gt;"","MOB|"&amp;TEXT('01_Master_Data'!C25,"0"),IF('01_Master_Data'!D25&lt;&gt;"","PID|"&amp;TRIM('01_Master_Data'!D25&amp;""),"")))</f>
        <v/>
      </c>
      <c r="C25">
        <f>IF('01_Master_Data'!B25="","",'01_Master_Data'!B25)</f>
        <v/>
      </c>
      <c r="D25">
        <f>IF('01_Master_Data'!B25="","",'01_Master_Data'!C25)</f>
        <v/>
      </c>
      <c r="E25">
        <f>IF('01_Master_Data'!B25="","",'01_Master_Data'!D25)</f>
        <v/>
      </c>
      <c r="F25">
        <f>IF('01_Master_Data'!B25="","",'01_Master_Data'!E25)</f>
        <v/>
      </c>
      <c r="G25">
        <f>IF('01_Master_Data'!B25="","",IFERROR(VLOOKUP(TRIM('01_Master_Data'!E25&amp;""),'02_Configuration'!$A$40:$B$44,2,FALSE),UPPER(TRIM('01_Master_Data'!E25&amp;""))))</f>
        <v/>
      </c>
      <c r="H25">
        <f>IF('01_Master_Data'!B25="","",IF('01_Master_Data'!U25="","",TRIM('01_Master_Data'!U25&amp;"")))</f>
        <v/>
      </c>
      <c r="I25">
        <f>IF('01_Master_Data'!B25="","",TRIM('01_Master_Data'!F25&amp;""))</f>
        <v/>
      </c>
      <c r="J25">
        <f>IF('01_Master_Data'!B25="","",TRIM('01_Master_Data'!G25&amp;""))</f>
        <v/>
      </c>
      <c r="K25">
        <f>IF('01_Master_Data'!B25="","",'01_Master_Data'!H25)</f>
        <v/>
      </c>
      <c r="L25">
        <f>IF('01_Master_Data'!B25="","",IF(LOWER(TRIM('01_Master_Data'!V25&amp;""))="yes",1,0))</f>
        <v/>
      </c>
      <c r="M25">
        <f>IF('01_Master_Data'!B25="","",IF(LOWER(TRIM('01_Master_Data'!W25&amp;""))="yes",1,0))</f>
        <v/>
      </c>
      <c r="N25">
        <f>IF('01_Master_Data'!B25="","",IF(LOWER(TRIM('01_Master_Data'!X25&amp;""))="yes",1,0))</f>
        <v/>
      </c>
      <c r="O25">
        <f>IF('01_Master_Data'!B25="","",IF(LOWER(TRIM('01_Master_Data'!Y25&amp;""))="yes",1,0))</f>
        <v/>
      </c>
      <c r="P25">
        <f>IF('01_Master_Data'!B25="","",IF(LOWER(TRIM('01_Master_Data'!Z25&amp;""))="yes",1,0))</f>
        <v/>
      </c>
      <c r="Q25">
        <f>IF(A25="","",L25+M25+N25+O25+P25)</f>
        <v/>
      </c>
      <c r="R25">
        <f>IF(A25="","",IF(Q25&gt;1,"Yes","No"))</f>
        <v/>
      </c>
      <c r="S25">
        <f>IF(A25="","",TEXTJOIN(", ",TRUE,IF(L25=1,"ICICI",""),IF(M25=1,"Propelld",""),IF(N25=1,"Study4Buddy",""),IF(O25=1,"Poonawala Fincorp",""),IF(P25=1,"GyanDhan","")))</f>
        <v/>
      </c>
      <c r="T25">
        <f>IF(A25="","",IF(L25=1,"ICICI",IF(M25=1,"Propelld",IF(P25=1,"GyanDhan",IF(N25=1,"Study4Buddy",IF(O25=1,"Poonawala Fincorp",IF(ISNUMBER(SEARCH("GyanDhan",W25&amp;"")),"GyanDhan",IF(ISNUMBER(SEARCH("Icici",W25&amp;"")),"ICICI",IF(ISNUMBER(SEARCH("Propelld",W25&amp;"")),"Propelld",IF(ISNUMBER(SEARCH("vidyalakshmi",LOWER(W25&amp;"")),"PM Vidyalakshmi","—"))))))))))</f>
        <v/>
      </c>
      <c r="U25">
        <f>IF(A25="","",TRIM('01_Master_Data'!AA25&amp;""))</f>
        <v/>
      </c>
      <c r="V25">
        <f>IF(A25="","",TRIM('01_Master_Data'!AG25&amp;""))</f>
        <v/>
      </c>
      <c r="W25">
        <f>IF(A25="","",TRIM('01_Master_Data'!AH25&amp;""))</f>
        <v/>
      </c>
      <c r="X25">
        <f>IF(A25="","",IF(OR(LOWER(H25)="refund",LOWER(U25)="refund case"),"Refund",IF(OR(LOWER(H25)="dnp",LOWER(U25)="dnp"),"DNP",IF(OR(LOWER(V25)="disbursed",ISNUMBER(SEARCH("Disbursed",W25&amp;""))),"Disbursed",IF(OR(LOWER(V25)="loan proccessed/accepted",ISNUMBER(SEARCH("sanctioned",LOWER(W25&amp;"")))),"Sanctioned",IF(OR(LOWER(V25)="rejected",ISNUMBER(SEARCH("Not eligbile",W25&amp;"")),ISNUMBER(SEARCH("Not eligible",W25&amp;""))),"Rejected",IF(ISNUMBER(SEARCH("Docs Pending",W25&amp;"")),"Documents Pending",IF(AND(LOWER(H25)="yes",LOWER(V25)="ongoing"),"Processing",IF(AND(LOWER(H25)="yes",Q25&gt;0,OR(V25="",LOWER(V25)="not even started")),"Vendor Assigned",IF(AND(LOWER(H25)="yes",LOWER(V25)="not even started"),"Need Loan",IF(LOWER(H25)="yes","Loan Started",IF(LOWER(H25)="not sure","Interested",IF(OR(LOWER(H25)="no",LOWER(V25)="not required"),"Not Required","Unclassified")))))))))))))</f>
        <v/>
      </c>
      <c r="Y25">
        <f>IF(A25="","",IF(OR(X25="Sanctioned",X25="Disbursed",X25="Approved"),"Approved",IF(X25="Rejected","Rejected",IF(OR(X25="Processing",X25="Documents Pending",X25="Vendor Assigned"),"In Progress",IF(X25="Need Loan","Pending Start","—"))))</f>
        <v/>
      </c>
      <c r="Z25">
        <f>IF(A25="","",IF(X25="Disbursed","Disbursed",IF(X25="Sanctioned","Sanctioned - Awaiting Disbursement","Not Disbursed")))</f>
        <v/>
      </c>
      <c r="AA25">
        <f>IF(A25="","",IF(LOWER(TRIM('01_Master_Data'!AI25&amp;""))="yes","Need FLDG",IF(LOWER(TRIM('01_Master_Data'!AK25&amp;""))="yes","Need Vidyalakshmi",IF(LOWER(TRIM('01_Master_Data'!AJ25&amp;""))="yes","Need Review",IF(LOWER(J25)="critical","Critical",IF(LOWER(U25)="risk","Risk Case",IF(X25="Refund","Refund","Normal")))))))</f>
        <v/>
      </c>
      <c r="AB25">
        <f>IF(A25="","",IF(OR(LOWER(J25)="critical",LOWER(TRIM('01_Master_Data'!AI25&amp;""))="yes",LOWER(TRIM('01_Master_Data'!AK25&amp;""))="yes",LOWER(U25)="risk"),"Yes","No"))</f>
        <v/>
      </c>
      <c r="AC25">
        <f>IF(A25="","",IF(LOWER(TRIM('01_Master_Data'!AI25&amp;""))="yes","Yes","No"))</f>
        <v/>
      </c>
      <c r="AD25">
        <f>IF(A25="","",IF(LOWER(TRIM('01_Master_Data'!AK25&amp;""))="yes","Yes","No"))</f>
        <v/>
      </c>
      <c r="AE25">
        <f>IF(A25="","",IF(LOWER(TRIM('01_Master_Data'!AJ25&amp;""))="yes","Yes","No"))</f>
        <v/>
      </c>
      <c r="AF25">
        <f>IF(A25="","",TRIM('01_Master_Data'!AL25&amp;""))</f>
        <v/>
      </c>
      <c r="AG25">
        <f>IF(A25="","",IF(AF25="","—",IF(ISNUMBER(SEARCH("DNP",AF25)),"Unreachable / DNP",IF(ISNUMBER(SEARCH("interest",LOWER(AF25))),"High Interest / Terms",IF(OR(ISNUMBER(SEARCH("eligib",LOWER(AF25))),ISNUMBER(SEARCH("income",LOWER(AF25)))),"Eligibility / Income",IF(OR(ISNUMBER(SEARCH("start",LOWER(AF25))),ISNUMBER(SEARCH("Newer",AF25)),ISNUMBER(SEARCH("Will start",AF25))),"Process Yet to Start",IF(ISNUMBER(SEARCH("sure",LOWER(AF25))),"Undecided",IF(OR(ISNUMBER(SEARCH("reject",LOWER(AF25))),ISNUMBER(SEARCH("SBI",AF25))),"Rejected Elsewhere",IF(ISNUMBER(SEARCH("call",LOWER(AF25))),"Bank Communication",IF(OR(ISNUMBER(SEARCH("father",LOWER(AF25))),ISNUMBER(SEARCH("sister",LOWER(AF25)))),"Family / Dependency","Other"))))))))))</f>
        <v/>
      </c>
      <c r="AH25">
        <f>IF(A25="","",'01_Master_Data'!AC25)</f>
        <v/>
      </c>
      <c r="AI25">
        <f>IF(A25="","",IF(OR(AH25="",NOT(ISNUMBER(AH25))),"",MAX(0,'02_Configuration'!$B$82-AH25)))</f>
        <v/>
      </c>
      <c r="AJ25">
        <f>IF(A25="","",IF(AI25="","Unknown",IF(AI25&lt;=3,"0–3 Days",IF(AI25&lt;=7,"4–7 Days",IF(AI25&lt;=15,"8–15 Days",IF(AI25&lt;=30,"16–30 Days","30+ Days"))))))</f>
        <v/>
      </c>
      <c r="AK25">
        <f>IF(A25="","",IF(LOWER(H25)="yes","Yes","No"))</f>
        <v/>
      </c>
      <c r="AL25">
        <f>IF(A25="","",'01_Master_Data'!T25)</f>
        <v/>
      </c>
      <c r="AM25">
        <f>IF(A25="","",'01_Master_Data'!S25)</f>
        <v/>
      </c>
      <c r="AN25">
        <f>IF(A25="","",'01_Master_Data'!I25)</f>
        <v/>
      </c>
      <c r="AO25">
        <f>IF(A25="","",'01_Master_Data'!M25)</f>
        <v/>
      </c>
      <c r="AP25">
        <f>IF(A25="","",IF(ISNUMBER(SEARCH("Icici",W25&amp;"")),1,0))</f>
        <v/>
      </c>
      <c r="AQ25">
        <f>IF(A25="","",IF(ISNUMBER(SEARCH("Propelld",W25&amp;"")),1,0))</f>
        <v/>
      </c>
      <c r="AR25">
        <f>IF(A25="","",IF(ISNUMBER(SEARCH("GyanDhan",W25&amp;"")),1,0))</f>
        <v/>
      </c>
      <c r="AS25">
        <f>IF(A25="","",IF(ISNUMBER(SEARCH("vidyalakshmi",LOWER(W25&amp;""))),1,0))</f>
        <v/>
      </c>
      <c r="AT25">
        <f>IF(A25="","",IF(ISNUMBER(SEARCH("other bank",LOWER(W25&amp;""))),1,0))</f>
        <v/>
      </c>
      <c r="AU25">
        <f>IF(A25="","",IF(ISNUMBER(SEARCH("sanctioned",LOWER(W25&amp;""))),1,0))</f>
        <v/>
      </c>
      <c r="AV25">
        <f>IF(A25="","",IF(ISNUMBER(SEARCH("Docs Pending",W25&amp;"")),1,0))</f>
        <v/>
      </c>
      <c r="AW25">
        <f>IF(A25="","",IF(OR(X25="Rejected",ISNUMBER(SEARCH("Not eligbile",W25&amp;""))),1,0))</f>
        <v/>
      </c>
    </row>
    <row r="26">
      <c r="A26">
        <f>IF('01_Master_Data'!B26="","",25)</f>
        <v/>
      </c>
      <c r="B26">
        <f>IF('01_Master_Data'!B26="","",IF('01_Master_Data'!C26&lt;&gt;"","MOB|"&amp;TEXT('01_Master_Data'!C26,"0"),IF('01_Master_Data'!D26&lt;&gt;"","PID|"&amp;TRIM('01_Master_Data'!D26&amp;""),"")))</f>
        <v/>
      </c>
      <c r="C26">
        <f>IF('01_Master_Data'!B26="","",'01_Master_Data'!B26)</f>
        <v/>
      </c>
      <c r="D26">
        <f>IF('01_Master_Data'!B26="","",'01_Master_Data'!C26)</f>
        <v/>
      </c>
      <c r="E26">
        <f>IF('01_Master_Data'!B26="","",'01_Master_Data'!D26)</f>
        <v/>
      </c>
      <c r="F26">
        <f>IF('01_Master_Data'!B26="","",'01_Master_Data'!E26)</f>
        <v/>
      </c>
      <c r="G26">
        <f>IF('01_Master_Data'!B26="","",IFERROR(VLOOKUP(TRIM('01_Master_Data'!E26&amp;""),'02_Configuration'!$A$40:$B$44,2,FALSE),UPPER(TRIM('01_Master_Data'!E26&amp;""))))</f>
        <v/>
      </c>
      <c r="H26">
        <f>IF('01_Master_Data'!B26="","",IF('01_Master_Data'!U26="","",TRIM('01_Master_Data'!U26&amp;"")))</f>
        <v/>
      </c>
      <c r="I26">
        <f>IF('01_Master_Data'!B26="","",TRIM('01_Master_Data'!F26&amp;""))</f>
        <v/>
      </c>
      <c r="J26">
        <f>IF('01_Master_Data'!B26="","",TRIM('01_Master_Data'!G26&amp;""))</f>
        <v/>
      </c>
      <c r="K26">
        <f>IF('01_Master_Data'!B26="","",'01_Master_Data'!H26)</f>
        <v/>
      </c>
      <c r="L26">
        <f>IF('01_Master_Data'!B26="","",IF(LOWER(TRIM('01_Master_Data'!V26&amp;""))="yes",1,0))</f>
        <v/>
      </c>
      <c r="M26">
        <f>IF('01_Master_Data'!B26="","",IF(LOWER(TRIM('01_Master_Data'!W26&amp;""))="yes",1,0))</f>
        <v/>
      </c>
      <c r="N26">
        <f>IF('01_Master_Data'!B26="","",IF(LOWER(TRIM('01_Master_Data'!X26&amp;""))="yes",1,0))</f>
        <v/>
      </c>
      <c r="O26">
        <f>IF('01_Master_Data'!B26="","",IF(LOWER(TRIM('01_Master_Data'!Y26&amp;""))="yes",1,0))</f>
        <v/>
      </c>
      <c r="P26">
        <f>IF('01_Master_Data'!B26="","",IF(LOWER(TRIM('01_Master_Data'!Z26&amp;""))="yes",1,0))</f>
        <v/>
      </c>
      <c r="Q26">
        <f>IF(A26="","",L26+M26+N26+O26+P26)</f>
        <v/>
      </c>
      <c r="R26">
        <f>IF(A26="","",IF(Q26&gt;1,"Yes","No"))</f>
        <v/>
      </c>
      <c r="S26">
        <f>IF(A26="","",TEXTJOIN(", ",TRUE,IF(L26=1,"ICICI",""),IF(M26=1,"Propelld",""),IF(N26=1,"Study4Buddy",""),IF(O26=1,"Poonawala Fincorp",""),IF(P26=1,"GyanDhan","")))</f>
        <v/>
      </c>
      <c r="T26">
        <f>IF(A26="","",IF(L26=1,"ICICI",IF(M26=1,"Propelld",IF(P26=1,"GyanDhan",IF(N26=1,"Study4Buddy",IF(O26=1,"Poonawala Fincorp",IF(ISNUMBER(SEARCH("GyanDhan",W26&amp;"")),"GyanDhan",IF(ISNUMBER(SEARCH("Icici",W26&amp;"")),"ICICI",IF(ISNUMBER(SEARCH("Propelld",W26&amp;"")),"Propelld",IF(ISNUMBER(SEARCH("vidyalakshmi",LOWER(W26&amp;"")),"PM Vidyalakshmi","—"))))))))))</f>
        <v/>
      </c>
      <c r="U26">
        <f>IF(A26="","",TRIM('01_Master_Data'!AA26&amp;""))</f>
        <v/>
      </c>
      <c r="V26">
        <f>IF(A26="","",TRIM('01_Master_Data'!AG26&amp;""))</f>
        <v/>
      </c>
      <c r="W26">
        <f>IF(A26="","",TRIM('01_Master_Data'!AH26&amp;""))</f>
        <v/>
      </c>
      <c r="X26">
        <f>IF(A26="","",IF(OR(LOWER(H26)="refund",LOWER(U26)="refund case"),"Refund",IF(OR(LOWER(H26)="dnp",LOWER(U26)="dnp"),"DNP",IF(OR(LOWER(V26)="disbursed",ISNUMBER(SEARCH("Disbursed",W26&amp;""))),"Disbursed",IF(OR(LOWER(V26)="loan proccessed/accepted",ISNUMBER(SEARCH("sanctioned",LOWER(W26&amp;"")))),"Sanctioned",IF(OR(LOWER(V26)="rejected",ISNUMBER(SEARCH("Not eligbile",W26&amp;"")),ISNUMBER(SEARCH("Not eligible",W26&amp;""))),"Rejected",IF(ISNUMBER(SEARCH("Docs Pending",W26&amp;"")),"Documents Pending",IF(AND(LOWER(H26)="yes",LOWER(V26)="ongoing"),"Processing",IF(AND(LOWER(H26)="yes",Q26&gt;0,OR(V26="",LOWER(V26)="not even started")),"Vendor Assigned",IF(AND(LOWER(H26)="yes",LOWER(V26)="not even started"),"Need Loan",IF(LOWER(H26)="yes","Loan Started",IF(LOWER(H26)="not sure","Interested",IF(OR(LOWER(H26)="no",LOWER(V26)="not required"),"Not Required","Unclassified")))))))))))))</f>
        <v/>
      </c>
      <c r="Y26">
        <f>IF(A26="","",IF(OR(X26="Sanctioned",X26="Disbursed",X26="Approved"),"Approved",IF(X26="Rejected","Rejected",IF(OR(X26="Processing",X26="Documents Pending",X26="Vendor Assigned"),"In Progress",IF(X26="Need Loan","Pending Start","—"))))</f>
        <v/>
      </c>
      <c r="Z26">
        <f>IF(A26="","",IF(X26="Disbursed","Disbursed",IF(X26="Sanctioned","Sanctioned - Awaiting Disbursement","Not Disbursed")))</f>
        <v/>
      </c>
      <c r="AA26">
        <f>IF(A26="","",IF(LOWER(TRIM('01_Master_Data'!AI26&amp;""))="yes","Need FLDG",IF(LOWER(TRIM('01_Master_Data'!AK26&amp;""))="yes","Need Vidyalakshmi",IF(LOWER(TRIM('01_Master_Data'!AJ26&amp;""))="yes","Need Review",IF(LOWER(J26)="critical","Critical",IF(LOWER(U26)="risk","Risk Case",IF(X26="Refund","Refund","Normal")))))))</f>
        <v/>
      </c>
      <c r="AB26">
        <f>IF(A26="","",IF(OR(LOWER(J26)="critical",LOWER(TRIM('01_Master_Data'!AI26&amp;""))="yes",LOWER(TRIM('01_Master_Data'!AK26&amp;""))="yes",LOWER(U26)="risk"),"Yes","No"))</f>
        <v/>
      </c>
      <c r="AC26">
        <f>IF(A26="","",IF(LOWER(TRIM('01_Master_Data'!AI26&amp;""))="yes","Yes","No"))</f>
        <v/>
      </c>
      <c r="AD26">
        <f>IF(A26="","",IF(LOWER(TRIM('01_Master_Data'!AK26&amp;""))="yes","Yes","No"))</f>
        <v/>
      </c>
      <c r="AE26">
        <f>IF(A26="","",IF(LOWER(TRIM('01_Master_Data'!AJ26&amp;""))="yes","Yes","No"))</f>
        <v/>
      </c>
      <c r="AF26">
        <f>IF(A26="","",TRIM('01_Master_Data'!AL26&amp;""))</f>
        <v/>
      </c>
      <c r="AG26">
        <f>IF(A26="","",IF(AF26="","—",IF(ISNUMBER(SEARCH("DNP",AF26)),"Unreachable / DNP",IF(ISNUMBER(SEARCH("interest",LOWER(AF26))),"High Interest / Terms",IF(OR(ISNUMBER(SEARCH("eligib",LOWER(AF26))),ISNUMBER(SEARCH("income",LOWER(AF26)))),"Eligibility / Income",IF(OR(ISNUMBER(SEARCH("start",LOWER(AF26))),ISNUMBER(SEARCH("Newer",AF26)),ISNUMBER(SEARCH("Will start",AF26))),"Process Yet to Start",IF(ISNUMBER(SEARCH("sure",LOWER(AF26))),"Undecided",IF(OR(ISNUMBER(SEARCH("reject",LOWER(AF26))),ISNUMBER(SEARCH("SBI",AF26))),"Rejected Elsewhere",IF(ISNUMBER(SEARCH("call",LOWER(AF26))),"Bank Communication",IF(OR(ISNUMBER(SEARCH("father",LOWER(AF26))),ISNUMBER(SEARCH("sister",LOWER(AF26)))),"Family / Dependency","Other"))))))))))</f>
        <v/>
      </c>
      <c r="AH26">
        <f>IF(A26="","",'01_Master_Data'!AC26)</f>
        <v/>
      </c>
      <c r="AI26">
        <f>IF(A26="","",IF(OR(AH26="",NOT(ISNUMBER(AH26))),"",MAX(0,'02_Configuration'!$B$82-AH26)))</f>
        <v/>
      </c>
      <c r="AJ26">
        <f>IF(A26="","",IF(AI26="","Unknown",IF(AI26&lt;=3,"0–3 Days",IF(AI26&lt;=7,"4–7 Days",IF(AI26&lt;=15,"8–15 Days",IF(AI26&lt;=30,"16–30 Days","30+ Days"))))))</f>
        <v/>
      </c>
      <c r="AK26">
        <f>IF(A26="","",IF(LOWER(H26)="yes","Yes","No"))</f>
        <v/>
      </c>
      <c r="AL26">
        <f>IF(A26="","",'01_Master_Data'!T26)</f>
        <v/>
      </c>
      <c r="AM26">
        <f>IF(A26="","",'01_Master_Data'!S26)</f>
        <v/>
      </c>
      <c r="AN26">
        <f>IF(A26="","",'01_Master_Data'!I26)</f>
        <v/>
      </c>
      <c r="AO26">
        <f>IF(A26="","",'01_Master_Data'!M26)</f>
        <v/>
      </c>
      <c r="AP26">
        <f>IF(A26="","",IF(ISNUMBER(SEARCH("Icici",W26&amp;"")),1,0))</f>
        <v/>
      </c>
      <c r="AQ26">
        <f>IF(A26="","",IF(ISNUMBER(SEARCH("Propelld",W26&amp;"")),1,0))</f>
        <v/>
      </c>
      <c r="AR26">
        <f>IF(A26="","",IF(ISNUMBER(SEARCH("GyanDhan",W26&amp;"")),1,0))</f>
        <v/>
      </c>
      <c r="AS26">
        <f>IF(A26="","",IF(ISNUMBER(SEARCH("vidyalakshmi",LOWER(W26&amp;""))),1,0))</f>
        <v/>
      </c>
      <c r="AT26">
        <f>IF(A26="","",IF(ISNUMBER(SEARCH("other bank",LOWER(W26&amp;""))),1,0))</f>
        <v/>
      </c>
      <c r="AU26">
        <f>IF(A26="","",IF(ISNUMBER(SEARCH("sanctioned",LOWER(W26&amp;""))),1,0))</f>
        <v/>
      </c>
      <c r="AV26">
        <f>IF(A26="","",IF(ISNUMBER(SEARCH("Docs Pending",W26&amp;"")),1,0))</f>
        <v/>
      </c>
      <c r="AW26">
        <f>IF(A26="","",IF(OR(X26="Rejected",ISNUMBER(SEARCH("Not eligbile",W26&amp;""))),1,0))</f>
        <v/>
      </c>
    </row>
    <row r="27">
      <c r="A27">
        <f>IF('01_Master_Data'!B27="","",26)</f>
        <v/>
      </c>
      <c r="B27">
        <f>IF('01_Master_Data'!B27="","",IF('01_Master_Data'!C27&lt;&gt;"","MOB|"&amp;TEXT('01_Master_Data'!C27,"0"),IF('01_Master_Data'!D27&lt;&gt;"","PID|"&amp;TRIM('01_Master_Data'!D27&amp;""),"")))</f>
        <v/>
      </c>
      <c r="C27">
        <f>IF('01_Master_Data'!B27="","",'01_Master_Data'!B27)</f>
        <v/>
      </c>
      <c r="D27">
        <f>IF('01_Master_Data'!B27="","",'01_Master_Data'!C27)</f>
        <v/>
      </c>
      <c r="E27">
        <f>IF('01_Master_Data'!B27="","",'01_Master_Data'!D27)</f>
        <v/>
      </c>
      <c r="F27">
        <f>IF('01_Master_Data'!B27="","",'01_Master_Data'!E27)</f>
        <v/>
      </c>
      <c r="G27">
        <f>IF('01_Master_Data'!B27="","",IFERROR(VLOOKUP(TRIM('01_Master_Data'!E27&amp;""),'02_Configuration'!$A$40:$B$44,2,FALSE),UPPER(TRIM('01_Master_Data'!E27&amp;""))))</f>
        <v/>
      </c>
      <c r="H27">
        <f>IF('01_Master_Data'!B27="","",IF('01_Master_Data'!U27="","",TRIM('01_Master_Data'!U27&amp;"")))</f>
        <v/>
      </c>
      <c r="I27">
        <f>IF('01_Master_Data'!B27="","",TRIM('01_Master_Data'!F27&amp;""))</f>
        <v/>
      </c>
      <c r="J27">
        <f>IF('01_Master_Data'!B27="","",TRIM('01_Master_Data'!G27&amp;""))</f>
        <v/>
      </c>
      <c r="K27">
        <f>IF('01_Master_Data'!B27="","",'01_Master_Data'!H27)</f>
        <v/>
      </c>
      <c r="L27">
        <f>IF('01_Master_Data'!B27="","",IF(LOWER(TRIM('01_Master_Data'!V27&amp;""))="yes",1,0))</f>
        <v/>
      </c>
      <c r="M27">
        <f>IF('01_Master_Data'!B27="","",IF(LOWER(TRIM('01_Master_Data'!W27&amp;""))="yes",1,0))</f>
        <v/>
      </c>
      <c r="N27">
        <f>IF('01_Master_Data'!B27="","",IF(LOWER(TRIM('01_Master_Data'!X27&amp;""))="yes",1,0))</f>
        <v/>
      </c>
      <c r="O27">
        <f>IF('01_Master_Data'!B27="","",IF(LOWER(TRIM('01_Master_Data'!Y27&amp;""))="yes",1,0))</f>
        <v/>
      </c>
      <c r="P27">
        <f>IF('01_Master_Data'!B27="","",IF(LOWER(TRIM('01_Master_Data'!Z27&amp;""))="yes",1,0))</f>
        <v/>
      </c>
      <c r="Q27">
        <f>IF(A27="","",L27+M27+N27+O27+P27)</f>
        <v/>
      </c>
      <c r="R27">
        <f>IF(A27="","",IF(Q27&gt;1,"Yes","No"))</f>
        <v/>
      </c>
      <c r="S27">
        <f>IF(A27="","",TEXTJOIN(", ",TRUE,IF(L27=1,"ICICI",""),IF(M27=1,"Propelld",""),IF(N27=1,"Study4Buddy",""),IF(O27=1,"Poonawala Fincorp",""),IF(P27=1,"GyanDhan","")))</f>
        <v/>
      </c>
      <c r="T27">
        <f>IF(A27="","",IF(L27=1,"ICICI",IF(M27=1,"Propelld",IF(P27=1,"GyanDhan",IF(N27=1,"Study4Buddy",IF(O27=1,"Poonawala Fincorp",IF(ISNUMBER(SEARCH("GyanDhan",W27&amp;"")),"GyanDhan",IF(ISNUMBER(SEARCH("Icici",W27&amp;"")),"ICICI",IF(ISNUMBER(SEARCH("Propelld",W27&amp;"")),"Propelld",IF(ISNUMBER(SEARCH("vidyalakshmi",LOWER(W27&amp;"")),"PM Vidyalakshmi","—"))))))))))</f>
        <v/>
      </c>
      <c r="U27">
        <f>IF(A27="","",TRIM('01_Master_Data'!AA27&amp;""))</f>
        <v/>
      </c>
      <c r="V27">
        <f>IF(A27="","",TRIM('01_Master_Data'!AG27&amp;""))</f>
        <v/>
      </c>
      <c r="W27">
        <f>IF(A27="","",TRIM('01_Master_Data'!AH27&amp;""))</f>
        <v/>
      </c>
      <c r="X27">
        <f>IF(A27="","",IF(OR(LOWER(H27)="refund",LOWER(U27)="refund case"),"Refund",IF(OR(LOWER(H27)="dnp",LOWER(U27)="dnp"),"DNP",IF(OR(LOWER(V27)="disbursed",ISNUMBER(SEARCH("Disbursed",W27&amp;""))),"Disbursed",IF(OR(LOWER(V27)="loan proccessed/accepted",ISNUMBER(SEARCH("sanctioned",LOWER(W27&amp;"")))),"Sanctioned",IF(OR(LOWER(V27)="rejected",ISNUMBER(SEARCH("Not eligbile",W27&amp;"")),ISNUMBER(SEARCH("Not eligible",W27&amp;""))),"Rejected",IF(ISNUMBER(SEARCH("Docs Pending",W27&amp;"")),"Documents Pending",IF(AND(LOWER(H27)="yes",LOWER(V27)="ongoing"),"Processing",IF(AND(LOWER(H27)="yes",Q27&gt;0,OR(V27="",LOWER(V27)="not even started")),"Vendor Assigned",IF(AND(LOWER(H27)="yes",LOWER(V27)="not even started"),"Need Loan",IF(LOWER(H27)="yes","Loan Started",IF(LOWER(H27)="not sure","Interested",IF(OR(LOWER(H27)="no",LOWER(V27)="not required"),"Not Required","Unclassified")))))))))))))</f>
        <v/>
      </c>
      <c r="Y27">
        <f>IF(A27="","",IF(OR(X27="Sanctioned",X27="Disbursed",X27="Approved"),"Approved",IF(X27="Rejected","Rejected",IF(OR(X27="Processing",X27="Documents Pending",X27="Vendor Assigned"),"In Progress",IF(X27="Need Loan","Pending Start","—"))))</f>
        <v/>
      </c>
      <c r="Z27">
        <f>IF(A27="","",IF(X27="Disbursed","Disbursed",IF(X27="Sanctioned","Sanctioned - Awaiting Disbursement","Not Disbursed")))</f>
        <v/>
      </c>
      <c r="AA27">
        <f>IF(A27="","",IF(LOWER(TRIM('01_Master_Data'!AI27&amp;""))="yes","Need FLDG",IF(LOWER(TRIM('01_Master_Data'!AK27&amp;""))="yes","Need Vidyalakshmi",IF(LOWER(TRIM('01_Master_Data'!AJ27&amp;""))="yes","Need Review",IF(LOWER(J27)="critical","Critical",IF(LOWER(U27)="risk","Risk Case",IF(X27="Refund","Refund","Normal")))))))</f>
        <v/>
      </c>
      <c r="AB27">
        <f>IF(A27="","",IF(OR(LOWER(J27)="critical",LOWER(TRIM('01_Master_Data'!AI27&amp;""))="yes",LOWER(TRIM('01_Master_Data'!AK27&amp;""))="yes",LOWER(U27)="risk"),"Yes","No"))</f>
        <v/>
      </c>
      <c r="AC27">
        <f>IF(A27="","",IF(LOWER(TRIM('01_Master_Data'!AI27&amp;""))="yes","Yes","No"))</f>
        <v/>
      </c>
      <c r="AD27">
        <f>IF(A27="","",IF(LOWER(TRIM('01_Master_Data'!AK27&amp;""))="yes","Yes","No"))</f>
        <v/>
      </c>
      <c r="AE27">
        <f>IF(A27="","",IF(LOWER(TRIM('01_Master_Data'!AJ27&amp;""))="yes","Yes","No"))</f>
        <v/>
      </c>
      <c r="AF27">
        <f>IF(A27="","",TRIM('01_Master_Data'!AL27&amp;""))</f>
        <v/>
      </c>
      <c r="AG27">
        <f>IF(A27="","",IF(AF27="","—",IF(ISNUMBER(SEARCH("DNP",AF27)),"Unreachable / DNP",IF(ISNUMBER(SEARCH("interest",LOWER(AF27))),"High Interest / Terms",IF(OR(ISNUMBER(SEARCH("eligib",LOWER(AF27))),ISNUMBER(SEARCH("income",LOWER(AF27)))),"Eligibility / Income",IF(OR(ISNUMBER(SEARCH("start",LOWER(AF27))),ISNUMBER(SEARCH("Newer",AF27)),ISNUMBER(SEARCH("Will start",AF27))),"Process Yet to Start",IF(ISNUMBER(SEARCH("sure",LOWER(AF27))),"Undecided",IF(OR(ISNUMBER(SEARCH("reject",LOWER(AF27))),ISNUMBER(SEARCH("SBI",AF27))),"Rejected Elsewhere",IF(ISNUMBER(SEARCH("call",LOWER(AF27))),"Bank Communication",IF(OR(ISNUMBER(SEARCH("father",LOWER(AF27))),ISNUMBER(SEARCH("sister",LOWER(AF27)))),"Family / Dependency","Other"))))))))))</f>
        <v/>
      </c>
      <c r="AH27">
        <f>IF(A27="","",'01_Master_Data'!AC27)</f>
        <v/>
      </c>
      <c r="AI27">
        <f>IF(A27="","",IF(OR(AH27="",NOT(ISNUMBER(AH27))),"",MAX(0,'02_Configuration'!$B$82-AH27)))</f>
        <v/>
      </c>
      <c r="AJ27">
        <f>IF(A27="","",IF(AI27="","Unknown",IF(AI27&lt;=3,"0–3 Days",IF(AI27&lt;=7,"4–7 Days",IF(AI27&lt;=15,"8–15 Days",IF(AI27&lt;=30,"16–30 Days","30+ Days"))))))</f>
        <v/>
      </c>
      <c r="AK27">
        <f>IF(A27="","",IF(LOWER(H27)="yes","Yes","No"))</f>
        <v/>
      </c>
      <c r="AL27">
        <f>IF(A27="","",'01_Master_Data'!T27)</f>
        <v/>
      </c>
      <c r="AM27">
        <f>IF(A27="","",'01_Master_Data'!S27)</f>
        <v/>
      </c>
      <c r="AN27">
        <f>IF(A27="","",'01_Master_Data'!I27)</f>
        <v/>
      </c>
      <c r="AO27">
        <f>IF(A27="","",'01_Master_Data'!M27)</f>
        <v/>
      </c>
      <c r="AP27">
        <f>IF(A27="","",IF(ISNUMBER(SEARCH("Icici",W27&amp;"")),1,0))</f>
        <v/>
      </c>
      <c r="AQ27">
        <f>IF(A27="","",IF(ISNUMBER(SEARCH("Propelld",W27&amp;"")),1,0))</f>
        <v/>
      </c>
      <c r="AR27">
        <f>IF(A27="","",IF(ISNUMBER(SEARCH("GyanDhan",W27&amp;"")),1,0))</f>
        <v/>
      </c>
      <c r="AS27">
        <f>IF(A27="","",IF(ISNUMBER(SEARCH("vidyalakshmi",LOWER(W27&amp;""))),1,0))</f>
        <v/>
      </c>
      <c r="AT27">
        <f>IF(A27="","",IF(ISNUMBER(SEARCH("other bank",LOWER(W27&amp;""))),1,0))</f>
        <v/>
      </c>
      <c r="AU27">
        <f>IF(A27="","",IF(ISNUMBER(SEARCH("sanctioned",LOWER(W27&amp;""))),1,0))</f>
        <v/>
      </c>
      <c r="AV27">
        <f>IF(A27="","",IF(ISNUMBER(SEARCH("Docs Pending",W27&amp;"")),1,0))</f>
        <v/>
      </c>
      <c r="AW27">
        <f>IF(A27="","",IF(OR(X27="Rejected",ISNUMBER(SEARCH("Not eligbile",W27&amp;""))),1,0))</f>
        <v/>
      </c>
    </row>
    <row r="28">
      <c r="A28">
        <f>IF('01_Master_Data'!B28="","",27)</f>
        <v/>
      </c>
      <c r="B28">
        <f>IF('01_Master_Data'!B28="","",IF('01_Master_Data'!C28&lt;&gt;"","MOB|"&amp;TEXT('01_Master_Data'!C28,"0"),IF('01_Master_Data'!D28&lt;&gt;"","PID|"&amp;TRIM('01_Master_Data'!D28&amp;""),"")))</f>
        <v/>
      </c>
      <c r="C28">
        <f>IF('01_Master_Data'!B28="","",'01_Master_Data'!B28)</f>
        <v/>
      </c>
      <c r="D28">
        <f>IF('01_Master_Data'!B28="","",'01_Master_Data'!C28)</f>
        <v/>
      </c>
      <c r="E28">
        <f>IF('01_Master_Data'!B28="","",'01_Master_Data'!D28)</f>
        <v/>
      </c>
      <c r="F28">
        <f>IF('01_Master_Data'!B28="","",'01_Master_Data'!E28)</f>
        <v/>
      </c>
      <c r="G28">
        <f>IF('01_Master_Data'!B28="","",IFERROR(VLOOKUP(TRIM('01_Master_Data'!E28&amp;""),'02_Configuration'!$A$40:$B$44,2,FALSE),UPPER(TRIM('01_Master_Data'!E28&amp;""))))</f>
        <v/>
      </c>
      <c r="H28">
        <f>IF('01_Master_Data'!B28="","",IF('01_Master_Data'!U28="","",TRIM('01_Master_Data'!U28&amp;"")))</f>
        <v/>
      </c>
      <c r="I28">
        <f>IF('01_Master_Data'!B28="","",TRIM('01_Master_Data'!F28&amp;""))</f>
        <v/>
      </c>
      <c r="J28">
        <f>IF('01_Master_Data'!B28="","",TRIM('01_Master_Data'!G28&amp;""))</f>
        <v/>
      </c>
      <c r="K28">
        <f>IF('01_Master_Data'!B28="","",'01_Master_Data'!H28)</f>
        <v/>
      </c>
      <c r="L28">
        <f>IF('01_Master_Data'!B28="","",IF(LOWER(TRIM('01_Master_Data'!V28&amp;""))="yes",1,0))</f>
        <v/>
      </c>
      <c r="M28">
        <f>IF('01_Master_Data'!B28="","",IF(LOWER(TRIM('01_Master_Data'!W28&amp;""))="yes",1,0))</f>
        <v/>
      </c>
      <c r="N28">
        <f>IF('01_Master_Data'!B28="","",IF(LOWER(TRIM('01_Master_Data'!X28&amp;""))="yes",1,0))</f>
        <v/>
      </c>
      <c r="O28">
        <f>IF('01_Master_Data'!B28="","",IF(LOWER(TRIM('01_Master_Data'!Y28&amp;""))="yes",1,0))</f>
        <v/>
      </c>
      <c r="P28">
        <f>IF('01_Master_Data'!B28="","",IF(LOWER(TRIM('01_Master_Data'!Z28&amp;""))="yes",1,0))</f>
        <v/>
      </c>
      <c r="Q28">
        <f>IF(A28="","",L28+M28+N28+O28+P28)</f>
        <v/>
      </c>
      <c r="R28">
        <f>IF(A28="","",IF(Q28&gt;1,"Yes","No"))</f>
        <v/>
      </c>
      <c r="S28">
        <f>IF(A28="","",TEXTJOIN(", ",TRUE,IF(L28=1,"ICICI",""),IF(M28=1,"Propelld",""),IF(N28=1,"Study4Buddy",""),IF(O28=1,"Poonawala Fincorp",""),IF(P28=1,"GyanDhan","")))</f>
        <v/>
      </c>
      <c r="T28">
        <f>IF(A28="","",IF(L28=1,"ICICI",IF(M28=1,"Propelld",IF(P28=1,"GyanDhan",IF(N28=1,"Study4Buddy",IF(O28=1,"Poonawala Fincorp",IF(ISNUMBER(SEARCH("GyanDhan",W28&amp;"")),"GyanDhan",IF(ISNUMBER(SEARCH("Icici",W28&amp;"")),"ICICI",IF(ISNUMBER(SEARCH("Propelld",W28&amp;"")),"Propelld",IF(ISNUMBER(SEARCH("vidyalakshmi",LOWER(W28&amp;"")),"PM Vidyalakshmi","—"))))))))))</f>
        <v/>
      </c>
      <c r="U28">
        <f>IF(A28="","",TRIM('01_Master_Data'!AA28&amp;""))</f>
        <v/>
      </c>
      <c r="V28">
        <f>IF(A28="","",TRIM('01_Master_Data'!AG28&amp;""))</f>
        <v/>
      </c>
      <c r="W28">
        <f>IF(A28="","",TRIM('01_Master_Data'!AH28&amp;""))</f>
        <v/>
      </c>
      <c r="X28">
        <f>IF(A28="","",IF(OR(LOWER(H28)="refund",LOWER(U28)="refund case"),"Refund",IF(OR(LOWER(H28)="dnp",LOWER(U28)="dnp"),"DNP",IF(OR(LOWER(V28)="disbursed",ISNUMBER(SEARCH("Disbursed",W28&amp;""))),"Disbursed",IF(OR(LOWER(V28)="loan proccessed/accepted",ISNUMBER(SEARCH("sanctioned",LOWER(W28&amp;"")))),"Sanctioned",IF(OR(LOWER(V28)="rejected",ISNUMBER(SEARCH("Not eligbile",W28&amp;"")),ISNUMBER(SEARCH("Not eligible",W28&amp;""))),"Rejected",IF(ISNUMBER(SEARCH("Docs Pending",W28&amp;"")),"Documents Pending",IF(AND(LOWER(H28)="yes",LOWER(V28)="ongoing"),"Processing",IF(AND(LOWER(H28)="yes",Q28&gt;0,OR(V28="",LOWER(V28)="not even started")),"Vendor Assigned",IF(AND(LOWER(H28)="yes",LOWER(V28)="not even started"),"Need Loan",IF(LOWER(H28)="yes","Loan Started",IF(LOWER(H28)="not sure","Interested",IF(OR(LOWER(H28)="no",LOWER(V28)="not required"),"Not Required","Unclassified")))))))))))))</f>
        <v/>
      </c>
      <c r="Y28">
        <f>IF(A28="","",IF(OR(X28="Sanctioned",X28="Disbursed",X28="Approved"),"Approved",IF(X28="Rejected","Rejected",IF(OR(X28="Processing",X28="Documents Pending",X28="Vendor Assigned"),"In Progress",IF(X28="Need Loan","Pending Start","—"))))</f>
        <v/>
      </c>
      <c r="Z28">
        <f>IF(A28="","",IF(X28="Disbursed","Disbursed",IF(X28="Sanctioned","Sanctioned - Awaiting Disbursement","Not Disbursed")))</f>
        <v/>
      </c>
      <c r="AA28">
        <f>IF(A28="","",IF(LOWER(TRIM('01_Master_Data'!AI28&amp;""))="yes","Need FLDG",IF(LOWER(TRIM('01_Master_Data'!AK28&amp;""))="yes","Need Vidyalakshmi",IF(LOWER(TRIM('01_Master_Data'!AJ28&amp;""))="yes","Need Review",IF(LOWER(J28)="critical","Critical",IF(LOWER(U28)="risk","Risk Case",IF(X28="Refund","Refund","Normal")))))))</f>
        <v/>
      </c>
      <c r="AB28">
        <f>IF(A28="","",IF(OR(LOWER(J28)="critical",LOWER(TRIM('01_Master_Data'!AI28&amp;""))="yes",LOWER(TRIM('01_Master_Data'!AK28&amp;""))="yes",LOWER(U28)="risk"),"Yes","No"))</f>
        <v/>
      </c>
      <c r="AC28">
        <f>IF(A28="","",IF(LOWER(TRIM('01_Master_Data'!AI28&amp;""))="yes","Yes","No"))</f>
        <v/>
      </c>
      <c r="AD28">
        <f>IF(A28="","",IF(LOWER(TRIM('01_Master_Data'!AK28&amp;""))="yes","Yes","No"))</f>
        <v/>
      </c>
      <c r="AE28">
        <f>IF(A28="","",IF(LOWER(TRIM('01_Master_Data'!AJ28&amp;""))="yes","Yes","No"))</f>
        <v/>
      </c>
      <c r="AF28">
        <f>IF(A28="","",TRIM('01_Master_Data'!AL28&amp;""))</f>
        <v/>
      </c>
      <c r="AG28">
        <f>IF(A28="","",IF(AF28="","—",IF(ISNUMBER(SEARCH("DNP",AF28)),"Unreachable / DNP",IF(ISNUMBER(SEARCH("interest",LOWER(AF28))),"High Interest / Terms",IF(OR(ISNUMBER(SEARCH("eligib",LOWER(AF28))),ISNUMBER(SEARCH("income",LOWER(AF28)))),"Eligibility / Income",IF(OR(ISNUMBER(SEARCH("start",LOWER(AF28))),ISNUMBER(SEARCH("Newer",AF28)),ISNUMBER(SEARCH("Will start",AF28))),"Process Yet to Start",IF(ISNUMBER(SEARCH("sure",LOWER(AF28))),"Undecided",IF(OR(ISNUMBER(SEARCH("reject",LOWER(AF28))),ISNUMBER(SEARCH("SBI",AF28))),"Rejected Elsewhere",IF(ISNUMBER(SEARCH("call",LOWER(AF28))),"Bank Communication",IF(OR(ISNUMBER(SEARCH("father",LOWER(AF28))),ISNUMBER(SEARCH("sister",LOWER(AF28)))),"Family / Dependency","Other"))))))))))</f>
        <v/>
      </c>
      <c r="AH28">
        <f>IF(A28="","",'01_Master_Data'!AC28)</f>
        <v/>
      </c>
      <c r="AI28">
        <f>IF(A28="","",IF(OR(AH28="",NOT(ISNUMBER(AH28))),"",MAX(0,'02_Configuration'!$B$82-AH28)))</f>
        <v/>
      </c>
      <c r="AJ28">
        <f>IF(A28="","",IF(AI28="","Unknown",IF(AI28&lt;=3,"0–3 Days",IF(AI28&lt;=7,"4–7 Days",IF(AI28&lt;=15,"8–15 Days",IF(AI28&lt;=30,"16–30 Days","30+ Days"))))))</f>
        <v/>
      </c>
      <c r="AK28">
        <f>IF(A28="","",IF(LOWER(H28)="yes","Yes","No"))</f>
        <v/>
      </c>
      <c r="AL28">
        <f>IF(A28="","",'01_Master_Data'!T28)</f>
        <v/>
      </c>
      <c r="AM28">
        <f>IF(A28="","",'01_Master_Data'!S28)</f>
        <v/>
      </c>
      <c r="AN28">
        <f>IF(A28="","",'01_Master_Data'!I28)</f>
        <v/>
      </c>
      <c r="AO28">
        <f>IF(A28="","",'01_Master_Data'!M28)</f>
        <v/>
      </c>
      <c r="AP28">
        <f>IF(A28="","",IF(ISNUMBER(SEARCH("Icici",W28&amp;"")),1,0))</f>
        <v/>
      </c>
      <c r="AQ28">
        <f>IF(A28="","",IF(ISNUMBER(SEARCH("Propelld",W28&amp;"")),1,0))</f>
        <v/>
      </c>
      <c r="AR28">
        <f>IF(A28="","",IF(ISNUMBER(SEARCH("GyanDhan",W28&amp;"")),1,0))</f>
        <v/>
      </c>
      <c r="AS28">
        <f>IF(A28="","",IF(ISNUMBER(SEARCH("vidyalakshmi",LOWER(W28&amp;""))),1,0))</f>
        <v/>
      </c>
      <c r="AT28">
        <f>IF(A28="","",IF(ISNUMBER(SEARCH("other bank",LOWER(W28&amp;""))),1,0))</f>
        <v/>
      </c>
      <c r="AU28">
        <f>IF(A28="","",IF(ISNUMBER(SEARCH("sanctioned",LOWER(W28&amp;""))),1,0))</f>
        <v/>
      </c>
      <c r="AV28">
        <f>IF(A28="","",IF(ISNUMBER(SEARCH("Docs Pending",W28&amp;"")),1,0))</f>
        <v/>
      </c>
      <c r="AW28">
        <f>IF(A28="","",IF(OR(X28="Rejected",ISNUMBER(SEARCH("Not eligbile",W28&amp;""))),1,0))</f>
        <v/>
      </c>
    </row>
    <row r="29">
      <c r="A29">
        <f>IF('01_Master_Data'!B29="","",28)</f>
        <v/>
      </c>
      <c r="B29">
        <f>IF('01_Master_Data'!B29="","",IF('01_Master_Data'!C29&lt;&gt;"","MOB|"&amp;TEXT('01_Master_Data'!C29,"0"),IF('01_Master_Data'!D29&lt;&gt;"","PID|"&amp;TRIM('01_Master_Data'!D29&amp;""),"")))</f>
        <v/>
      </c>
      <c r="C29">
        <f>IF('01_Master_Data'!B29="","",'01_Master_Data'!B29)</f>
        <v/>
      </c>
      <c r="D29">
        <f>IF('01_Master_Data'!B29="","",'01_Master_Data'!C29)</f>
        <v/>
      </c>
      <c r="E29">
        <f>IF('01_Master_Data'!B29="","",'01_Master_Data'!D29)</f>
        <v/>
      </c>
      <c r="F29">
        <f>IF('01_Master_Data'!B29="","",'01_Master_Data'!E29)</f>
        <v/>
      </c>
      <c r="G29">
        <f>IF('01_Master_Data'!B29="","",IFERROR(VLOOKUP(TRIM('01_Master_Data'!E29&amp;""),'02_Configuration'!$A$40:$B$44,2,FALSE),UPPER(TRIM('01_Master_Data'!E29&amp;""))))</f>
        <v/>
      </c>
      <c r="H29">
        <f>IF('01_Master_Data'!B29="","",IF('01_Master_Data'!U29="","",TRIM('01_Master_Data'!U29&amp;"")))</f>
        <v/>
      </c>
      <c r="I29">
        <f>IF('01_Master_Data'!B29="","",TRIM('01_Master_Data'!F29&amp;""))</f>
        <v/>
      </c>
      <c r="J29">
        <f>IF('01_Master_Data'!B29="","",TRIM('01_Master_Data'!G29&amp;""))</f>
        <v/>
      </c>
      <c r="K29">
        <f>IF('01_Master_Data'!B29="","",'01_Master_Data'!H29)</f>
        <v/>
      </c>
      <c r="L29">
        <f>IF('01_Master_Data'!B29="","",IF(LOWER(TRIM('01_Master_Data'!V29&amp;""))="yes",1,0))</f>
        <v/>
      </c>
      <c r="M29">
        <f>IF('01_Master_Data'!B29="","",IF(LOWER(TRIM('01_Master_Data'!W29&amp;""))="yes",1,0))</f>
        <v/>
      </c>
      <c r="N29">
        <f>IF('01_Master_Data'!B29="","",IF(LOWER(TRIM('01_Master_Data'!X29&amp;""))="yes",1,0))</f>
        <v/>
      </c>
      <c r="O29">
        <f>IF('01_Master_Data'!B29="","",IF(LOWER(TRIM('01_Master_Data'!Y29&amp;""))="yes",1,0))</f>
        <v/>
      </c>
      <c r="P29">
        <f>IF('01_Master_Data'!B29="","",IF(LOWER(TRIM('01_Master_Data'!Z29&amp;""))="yes",1,0))</f>
        <v/>
      </c>
      <c r="Q29">
        <f>IF(A29="","",L29+M29+N29+O29+P29)</f>
        <v/>
      </c>
      <c r="R29">
        <f>IF(A29="","",IF(Q29&gt;1,"Yes","No"))</f>
        <v/>
      </c>
      <c r="S29">
        <f>IF(A29="","",TEXTJOIN(", ",TRUE,IF(L29=1,"ICICI",""),IF(M29=1,"Propelld",""),IF(N29=1,"Study4Buddy",""),IF(O29=1,"Poonawala Fincorp",""),IF(P29=1,"GyanDhan","")))</f>
        <v/>
      </c>
      <c r="T29">
        <f>IF(A29="","",IF(L29=1,"ICICI",IF(M29=1,"Propelld",IF(P29=1,"GyanDhan",IF(N29=1,"Study4Buddy",IF(O29=1,"Poonawala Fincorp",IF(ISNUMBER(SEARCH("GyanDhan",W29&amp;"")),"GyanDhan",IF(ISNUMBER(SEARCH("Icici",W29&amp;"")),"ICICI",IF(ISNUMBER(SEARCH("Propelld",W29&amp;"")),"Propelld",IF(ISNUMBER(SEARCH("vidyalakshmi",LOWER(W29&amp;"")),"PM Vidyalakshmi","—"))))))))))</f>
        <v/>
      </c>
      <c r="U29">
        <f>IF(A29="","",TRIM('01_Master_Data'!AA29&amp;""))</f>
        <v/>
      </c>
      <c r="V29">
        <f>IF(A29="","",TRIM('01_Master_Data'!AG29&amp;""))</f>
        <v/>
      </c>
      <c r="W29">
        <f>IF(A29="","",TRIM('01_Master_Data'!AH29&amp;""))</f>
        <v/>
      </c>
      <c r="X29">
        <f>IF(A29="","",IF(OR(LOWER(H29)="refund",LOWER(U29)="refund case"),"Refund",IF(OR(LOWER(H29)="dnp",LOWER(U29)="dnp"),"DNP",IF(OR(LOWER(V29)="disbursed",ISNUMBER(SEARCH("Disbursed",W29&amp;""))),"Disbursed",IF(OR(LOWER(V29)="loan proccessed/accepted",ISNUMBER(SEARCH("sanctioned",LOWER(W29&amp;"")))),"Sanctioned",IF(OR(LOWER(V29)="rejected",ISNUMBER(SEARCH("Not eligbile",W29&amp;"")),ISNUMBER(SEARCH("Not eligible",W29&amp;""))),"Rejected",IF(ISNUMBER(SEARCH("Docs Pending",W29&amp;"")),"Documents Pending",IF(AND(LOWER(H29)="yes",LOWER(V29)="ongoing"),"Processing",IF(AND(LOWER(H29)="yes",Q29&gt;0,OR(V29="",LOWER(V29)="not even started")),"Vendor Assigned",IF(AND(LOWER(H29)="yes",LOWER(V29)="not even started"),"Need Loan",IF(LOWER(H29)="yes","Loan Started",IF(LOWER(H29)="not sure","Interested",IF(OR(LOWER(H29)="no",LOWER(V29)="not required"),"Not Required","Unclassified")))))))))))))</f>
        <v/>
      </c>
      <c r="Y29">
        <f>IF(A29="","",IF(OR(X29="Sanctioned",X29="Disbursed",X29="Approved"),"Approved",IF(X29="Rejected","Rejected",IF(OR(X29="Processing",X29="Documents Pending",X29="Vendor Assigned"),"In Progress",IF(X29="Need Loan","Pending Start","—"))))</f>
        <v/>
      </c>
      <c r="Z29">
        <f>IF(A29="","",IF(X29="Disbursed","Disbursed",IF(X29="Sanctioned","Sanctioned - Awaiting Disbursement","Not Disbursed")))</f>
        <v/>
      </c>
      <c r="AA29">
        <f>IF(A29="","",IF(LOWER(TRIM('01_Master_Data'!AI29&amp;""))="yes","Need FLDG",IF(LOWER(TRIM('01_Master_Data'!AK29&amp;""))="yes","Need Vidyalakshmi",IF(LOWER(TRIM('01_Master_Data'!AJ29&amp;""))="yes","Need Review",IF(LOWER(J29)="critical","Critical",IF(LOWER(U29)="risk","Risk Case",IF(X29="Refund","Refund","Normal")))))))</f>
        <v/>
      </c>
      <c r="AB29">
        <f>IF(A29="","",IF(OR(LOWER(J29)="critical",LOWER(TRIM('01_Master_Data'!AI29&amp;""))="yes",LOWER(TRIM('01_Master_Data'!AK29&amp;""))="yes",LOWER(U29)="risk"),"Yes","No"))</f>
        <v/>
      </c>
      <c r="AC29">
        <f>IF(A29="","",IF(LOWER(TRIM('01_Master_Data'!AI29&amp;""))="yes","Yes","No"))</f>
        <v/>
      </c>
      <c r="AD29">
        <f>IF(A29="","",IF(LOWER(TRIM('01_Master_Data'!AK29&amp;""))="yes","Yes","No"))</f>
        <v/>
      </c>
      <c r="AE29">
        <f>IF(A29="","",IF(LOWER(TRIM('01_Master_Data'!AJ29&amp;""))="yes","Yes","No"))</f>
        <v/>
      </c>
      <c r="AF29">
        <f>IF(A29="","",TRIM('01_Master_Data'!AL29&amp;""))</f>
        <v/>
      </c>
      <c r="AG29">
        <f>IF(A29="","",IF(AF29="","—",IF(ISNUMBER(SEARCH("DNP",AF29)),"Unreachable / DNP",IF(ISNUMBER(SEARCH("interest",LOWER(AF29))),"High Interest / Terms",IF(OR(ISNUMBER(SEARCH("eligib",LOWER(AF29))),ISNUMBER(SEARCH("income",LOWER(AF29)))),"Eligibility / Income",IF(OR(ISNUMBER(SEARCH("start",LOWER(AF29))),ISNUMBER(SEARCH("Newer",AF29)),ISNUMBER(SEARCH("Will start",AF29))),"Process Yet to Start",IF(ISNUMBER(SEARCH("sure",LOWER(AF29))),"Undecided",IF(OR(ISNUMBER(SEARCH("reject",LOWER(AF29))),ISNUMBER(SEARCH("SBI",AF29))),"Rejected Elsewhere",IF(ISNUMBER(SEARCH("call",LOWER(AF29))),"Bank Communication",IF(OR(ISNUMBER(SEARCH("father",LOWER(AF29))),ISNUMBER(SEARCH("sister",LOWER(AF29)))),"Family / Dependency","Other"))))))))))</f>
        <v/>
      </c>
      <c r="AH29">
        <f>IF(A29="","",'01_Master_Data'!AC29)</f>
        <v/>
      </c>
      <c r="AI29">
        <f>IF(A29="","",IF(OR(AH29="",NOT(ISNUMBER(AH29))),"",MAX(0,'02_Configuration'!$B$82-AH29)))</f>
        <v/>
      </c>
      <c r="AJ29">
        <f>IF(A29="","",IF(AI29="","Unknown",IF(AI29&lt;=3,"0–3 Days",IF(AI29&lt;=7,"4–7 Days",IF(AI29&lt;=15,"8–15 Days",IF(AI29&lt;=30,"16–30 Days","30+ Days"))))))</f>
        <v/>
      </c>
      <c r="AK29">
        <f>IF(A29="","",IF(LOWER(H29)="yes","Yes","No"))</f>
        <v/>
      </c>
      <c r="AL29">
        <f>IF(A29="","",'01_Master_Data'!T29)</f>
        <v/>
      </c>
      <c r="AM29">
        <f>IF(A29="","",'01_Master_Data'!S29)</f>
        <v/>
      </c>
      <c r="AN29">
        <f>IF(A29="","",'01_Master_Data'!I29)</f>
        <v/>
      </c>
      <c r="AO29">
        <f>IF(A29="","",'01_Master_Data'!M29)</f>
        <v/>
      </c>
      <c r="AP29">
        <f>IF(A29="","",IF(ISNUMBER(SEARCH("Icici",W29&amp;"")),1,0))</f>
        <v/>
      </c>
      <c r="AQ29">
        <f>IF(A29="","",IF(ISNUMBER(SEARCH("Propelld",W29&amp;"")),1,0))</f>
        <v/>
      </c>
      <c r="AR29">
        <f>IF(A29="","",IF(ISNUMBER(SEARCH("GyanDhan",W29&amp;"")),1,0))</f>
        <v/>
      </c>
      <c r="AS29">
        <f>IF(A29="","",IF(ISNUMBER(SEARCH("vidyalakshmi",LOWER(W29&amp;""))),1,0))</f>
        <v/>
      </c>
      <c r="AT29">
        <f>IF(A29="","",IF(ISNUMBER(SEARCH("other bank",LOWER(W29&amp;""))),1,0))</f>
        <v/>
      </c>
      <c r="AU29">
        <f>IF(A29="","",IF(ISNUMBER(SEARCH("sanctioned",LOWER(W29&amp;""))),1,0))</f>
        <v/>
      </c>
      <c r="AV29">
        <f>IF(A29="","",IF(ISNUMBER(SEARCH("Docs Pending",W29&amp;"")),1,0))</f>
        <v/>
      </c>
      <c r="AW29">
        <f>IF(A29="","",IF(OR(X29="Rejected",ISNUMBER(SEARCH("Not eligbile",W29&amp;""))),1,0))</f>
        <v/>
      </c>
    </row>
    <row r="30">
      <c r="A30">
        <f>IF('01_Master_Data'!B30="","",29)</f>
        <v/>
      </c>
      <c r="B30">
        <f>IF('01_Master_Data'!B30="","",IF('01_Master_Data'!C30&lt;&gt;"","MOB|"&amp;TEXT('01_Master_Data'!C30,"0"),IF('01_Master_Data'!D30&lt;&gt;"","PID|"&amp;TRIM('01_Master_Data'!D30&amp;""),"")))</f>
        <v/>
      </c>
      <c r="C30">
        <f>IF('01_Master_Data'!B30="","",'01_Master_Data'!B30)</f>
        <v/>
      </c>
      <c r="D30">
        <f>IF('01_Master_Data'!B30="","",'01_Master_Data'!C30)</f>
        <v/>
      </c>
      <c r="E30">
        <f>IF('01_Master_Data'!B30="","",'01_Master_Data'!D30)</f>
        <v/>
      </c>
      <c r="F30">
        <f>IF('01_Master_Data'!B30="","",'01_Master_Data'!E30)</f>
        <v/>
      </c>
      <c r="G30">
        <f>IF('01_Master_Data'!B30="","",IFERROR(VLOOKUP(TRIM('01_Master_Data'!E30&amp;""),'02_Configuration'!$A$40:$B$44,2,FALSE),UPPER(TRIM('01_Master_Data'!E30&amp;""))))</f>
        <v/>
      </c>
      <c r="H30">
        <f>IF('01_Master_Data'!B30="","",IF('01_Master_Data'!U30="","",TRIM('01_Master_Data'!U30&amp;"")))</f>
        <v/>
      </c>
      <c r="I30">
        <f>IF('01_Master_Data'!B30="","",TRIM('01_Master_Data'!F30&amp;""))</f>
        <v/>
      </c>
      <c r="J30">
        <f>IF('01_Master_Data'!B30="","",TRIM('01_Master_Data'!G30&amp;""))</f>
        <v/>
      </c>
      <c r="K30">
        <f>IF('01_Master_Data'!B30="","",'01_Master_Data'!H30)</f>
        <v/>
      </c>
      <c r="L30">
        <f>IF('01_Master_Data'!B30="","",IF(LOWER(TRIM('01_Master_Data'!V30&amp;""))="yes",1,0))</f>
        <v/>
      </c>
      <c r="M30">
        <f>IF('01_Master_Data'!B30="","",IF(LOWER(TRIM('01_Master_Data'!W30&amp;""))="yes",1,0))</f>
        <v/>
      </c>
      <c r="N30">
        <f>IF('01_Master_Data'!B30="","",IF(LOWER(TRIM('01_Master_Data'!X30&amp;""))="yes",1,0))</f>
        <v/>
      </c>
      <c r="O30">
        <f>IF('01_Master_Data'!B30="","",IF(LOWER(TRIM('01_Master_Data'!Y30&amp;""))="yes",1,0))</f>
        <v/>
      </c>
      <c r="P30">
        <f>IF('01_Master_Data'!B30="","",IF(LOWER(TRIM('01_Master_Data'!Z30&amp;""))="yes",1,0))</f>
        <v/>
      </c>
      <c r="Q30">
        <f>IF(A30="","",L30+M30+N30+O30+P30)</f>
        <v/>
      </c>
      <c r="R30">
        <f>IF(A30="","",IF(Q30&gt;1,"Yes","No"))</f>
        <v/>
      </c>
      <c r="S30">
        <f>IF(A30="","",TEXTJOIN(", ",TRUE,IF(L30=1,"ICICI",""),IF(M30=1,"Propelld",""),IF(N30=1,"Study4Buddy",""),IF(O30=1,"Poonawala Fincorp",""),IF(P30=1,"GyanDhan","")))</f>
        <v/>
      </c>
      <c r="T30">
        <f>IF(A30="","",IF(L30=1,"ICICI",IF(M30=1,"Propelld",IF(P30=1,"GyanDhan",IF(N30=1,"Study4Buddy",IF(O30=1,"Poonawala Fincorp",IF(ISNUMBER(SEARCH("GyanDhan",W30&amp;"")),"GyanDhan",IF(ISNUMBER(SEARCH("Icici",W30&amp;"")),"ICICI",IF(ISNUMBER(SEARCH("Propelld",W30&amp;"")),"Propelld",IF(ISNUMBER(SEARCH("vidyalakshmi",LOWER(W30&amp;"")),"PM Vidyalakshmi","—"))))))))))</f>
        <v/>
      </c>
      <c r="U30">
        <f>IF(A30="","",TRIM('01_Master_Data'!AA30&amp;""))</f>
        <v/>
      </c>
      <c r="V30">
        <f>IF(A30="","",TRIM('01_Master_Data'!AG30&amp;""))</f>
        <v/>
      </c>
      <c r="W30">
        <f>IF(A30="","",TRIM('01_Master_Data'!AH30&amp;""))</f>
        <v/>
      </c>
      <c r="X30">
        <f>IF(A30="","",IF(OR(LOWER(H30)="refund",LOWER(U30)="refund case"),"Refund",IF(OR(LOWER(H30)="dnp",LOWER(U30)="dnp"),"DNP",IF(OR(LOWER(V30)="disbursed",ISNUMBER(SEARCH("Disbursed",W30&amp;""))),"Disbursed",IF(OR(LOWER(V30)="loan proccessed/accepted",ISNUMBER(SEARCH("sanctioned",LOWER(W30&amp;"")))),"Sanctioned",IF(OR(LOWER(V30)="rejected",ISNUMBER(SEARCH("Not eligbile",W30&amp;"")),ISNUMBER(SEARCH("Not eligible",W30&amp;""))),"Rejected",IF(ISNUMBER(SEARCH("Docs Pending",W30&amp;"")),"Documents Pending",IF(AND(LOWER(H30)="yes",LOWER(V30)="ongoing"),"Processing",IF(AND(LOWER(H30)="yes",Q30&gt;0,OR(V30="",LOWER(V30)="not even started")),"Vendor Assigned",IF(AND(LOWER(H30)="yes",LOWER(V30)="not even started"),"Need Loan",IF(LOWER(H30)="yes","Loan Started",IF(LOWER(H30)="not sure","Interested",IF(OR(LOWER(H30)="no",LOWER(V30)="not required"),"Not Required","Unclassified")))))))))))))</f>
        <v/>
      </c>
      <c r="Y30">
        <f>IF(A30="","",IF(OR(X30="Sanctioned",X30="Disbursed",X30="Approved"),"Approved",IF(X30="Rejected","Rejected",IF(OR(X30="Processing",X30="Documents Pending",X30="Vendor Assigned"),"In Progress",IF(X30="Need Loan","Pending Start","—"))))</f>
        <v/>
      </c>
      <c r="Z30">
        <f>IF(A30="","",IF(X30="Disbursed","Disbursed",IF(X30="Sanctioned","Sanctioned - Awaiting Disbursement","Not Disbursed")))</f>
        <v/>
      </c>
      <c r="AA30">
        <f>IF(A30="","",IF(LOWER(TRIM('01_Master_Data'!AI30&amp;""))="yes","Need FLDG",IF(LOWER(TRIM('01_Master_Data'!AK30&amp;""))="yes","Need Vidyalakshmi",IF(LOWER(TRIM('01_Master_Data'!AJ30&amp;""))="yes","Need Review",IF(LOWER(J30)="critical","Critical",IF(LOWER(U30)="risk","Risk Case",IF(X30="Refund","Refund","Normal")))))))</f>
        <v/>
      </c>
      <c r="AB30">
        <f>IF(A30="","",IF(OR(LOWER(J30)="critical",LOWER(TRIM('01_Master_Data'!AI30&amp;""))="yes",LOWER(TRIM('01_Master_Data'!AK30&amp;""))="yes",LOWER(U30)="risk"),"Yes","No"))</f>
        <v/>
      </c>
      <c r="AC30">
        <f>IF(A30="","",IF(LOWER(TRIM('01_Master_Data'!AI30&amp;""))="yes","Yes","No"))</f>
        <v/>
      </c>
      <c r="AD30">
        <f>IF(A30="","",IF(LOWER(TRIM('01_Master_Data'!AK30&amp;""))="yes","Yes","No"))</f>
        <v/>
      </c>
      <c r="AE30">
        <f>IF(A30="","",IF(LOWER(TRIM('01_Master_Data'!AJ30&amp;""))="yes","Yes","No"))</f>
        <v/>
      </c>
      <c r="AF30">
        <f>IF(A30="","",TRIM('01_Master_Data'!AL30&amp;""))</f>
        <v/>
      </c>
      <c r="AG30">
        <f>IF(A30="","",IF(AF30="","—",IF(ISNUMBER(SEARCH("DNP",AF30)),"Unreachable / DNP",IF(ISNUMBER(SEARCH("interest",LOWER(AF30))),"High Interest / Terms",IF(OR(ISNUMBER(SEARCH("eligib",LOWER(AF30))),ISNUMBER(SEARCH("income",LOWER(AF30)))),"Eligibility / Income",IF(OR(ISNUMBER(SEARCH("start",LOWER(AF30))),ISNUMBER(SEARCH("Newer",AF30)),ISNUMBER(SEARCH("Will start",AF30))),"Process Yet to Start",IF(ISNUMBER(SEARCH("sure",LOWER(AF30))),"Undecided",IF(OR(ISNUMBER(SEARCH("reject",LOWER(AF30))),ISNUMBER(SEARCH("SBI",AF30))),"Rejected Elsewhere",IF(ISNUMBER(SEARCH("call",LOWER(AF30))),"Bank Communication",IF(OR(ISNUMBER(SEARCH("father",LOWER(AF30))),ISNUMBER(SEARCH("sister",LOWER(AF30)))),"Family / Dependency","Other"))))))))))</f>
        <v/>
      </c>
      <c r="AH30">
        <f>IF(A30="","",'01_Master_Data'!AC30)</f>
        <v/>
      </c>
      <c r="AI30">
        <f>IF(A30="","",IF(OR(AH30="",NOT(ISNUMBER(AH30))),"",MAX(0,'02_Configuration'!$B$82-AH30)))</f>
        <v/>
      </c>
      <c r="AJ30">
        <f>IF(A30="","",IF(AI30="","Unknown",IF(AI30&lt;=3,"0–3 Days",IF(AI30&lt;=7,"4–7 Days",IF(AI30&lt;=15,"8–15 Days",IF(AI30&lt;=30,"16–30 Days","30+ Days"))))))</f>
        <v/>
      </c>
      <c r="AK30">
        <f>IF(A30="","",IF(LOWER(H30)="yes","Yes","No"))</f>
        <v/>
      </c>
      <c r="AL30">
        <f>IF(A30="","",'01_Master_Data'!T30)</f>
        <v/>
      </c>
      <c r="AM30">
        <f>IF(A30="","",'01_Master_Data'!S30)</f>
        <v/>
      </c>
      <c r="AN30">
        <f>IF(A30="","",'01_Master_Data'!I30)</f>
        <v/>
      </c>
      <c r="AO30">
        <f>IF(A30="","",'01_Master_Data'!M30)</f>
        <v/>
      </c>
      <c r="AP30">
        <f>IF(A30="","",IF(ISNUMBER(SEARCH("Icici",W30&amp;"")),1,0))</f>
        <v/>
      </c>
      <c r="AQ30">
        <f>IF(A30="","",IF(ISNUMBER(SEARCH("Propelld",W30&amp;"")),1,0))</f>
        <v/>
      </c>
      <c r="AR30">
        <f>IF(A30="","",IF(ISNUMBER(SEARCH("GyanDhan",W30&amp;"")),1,0))</f>
        <v/>
      </c>
      <c r="AS30">
        <f>IF(A30="","",IF(ISNUMBER(SEARCH("vidyalakshmi",LOWER(W30&amp;""))),1,0))</f>
        <v/>
      </c>
      <c r="AT30">
        <f>IF(A30="","",IF(ISNUMBER(SEARCH("other bank",LOWER(W30&amp;""))),1,0))</f>
        <v/>
      </c>
      <c r="AU30">
        <f>IF(A30="","",IF(ISNUMBER(SEARCH("sanctioned",LOWER(W30&amp;""))),1,0))</f>
        <v/>
      </c>
      <c r="AV30">
        <f>IF(A30="","",IF(ISNUMBER(SEARCH("Docs Pending",W30&amp;"")),1,0))</f>
        <v/>
      </c>
      <c r="AW30">
        <f>IF(A30="","",IF(OR(X30="Rejected",ISNUMBER(SEARCH("Not eligbile",W30&amp;""))),1,0))</f>
        <v/>
      </c>
    </row>
    <row r="31">
      <c r="A31">
        <f>IF('01_Master_Data'!B31="","",30)</f>
        <v/>
      </c>
      <c r="B31">
        <f>IF('01_Master_Data'!B31="","",IF('01_Master_Data'!C31&lt;&gt;"","MOB|"&amp;TEXT('01_Master_Data'!C31,"0"),IF('01_Master_Data'!D31&lt;&gt;"","PID|"&amp;TRIM('01_Master_Data'!D31&amp;""),"")))</f>
        <v/>
      </c>
      <c r="C31">
        <f>IF('01_Master_Data'!B31="","",'01_Master_Data'!B31)</f>
        <v/>
      </c>
      <c r="D31">
        <f>IF('01_Master_Data'!B31="","",'01_Master_Data'!C31)</f>
        <v/>
      </c>
      <c r="E31">
        <f>IF('01_Master_Data'!B31="","",'01_Master_Data'!D31)</f>
        <v/>
      </c>
      <c r="F31">
        <f>IF('01_Master_Data'!B31="","",'01_Master_Data'!E31)</f>
        <v/>
      </c>
      <c r="G31">
        <f>IF('01_Master_Data'!B31="","",IFERROR(VLOOKUP(TRIM('01_Master_Data'!E31&amp;""),'02_Configuration'!$A$40:$B$44,2,FALSE),UPPER(TRIM('01_Master_Data'!E31&amp;""))))</f>
        <v/>
      </c>
      <c r="H31">
        <f>IF('01_Master_Data'!B31="","",IF('01_Master_Data'!U31="","",TRIM('01_Master_Data'!U31&amp;"")))</f>
        <v/>
      </c>
      <c r="I31">
        <f>IF('01_Master_Data'!B31="","",TRIM('01_Master_Data'!F31&amp;""))</f>
        <v/>
      </c>
      <c r="J31">
        <f>IF('01_Master_Data'!B31="","",TRIM('01_Master_Data'!G31&amp;""))</f>
        <v/>
      </c>
      <c r="K31">
        <f>IF('01_Master_Data'!B31="","",'01_Master_Data'!H31)</f>
        <v/>
      </c>
      <c r="L31">
        <f>IF('01_Master_Data'!B31="","",IF(LOWER(TRIM('01_Master_Data'!V31&amp;""))="yes",1,0))</f>
        <v/>
      </c>
      <c r="M31">
        <f>IF('01_Master_Data'!B31="","",IF(LOWER(TRIM('01_Master_Data'!W31&amp;""))="yes",1,0))</f>
        <v/>
      </c>
      <c r="N31">
        <f>IF('01_Master_Data'!B31="","",IF(LOWER(TRIM('01_Master_Data'!X31&amp;""))="yes",1,0))</f>
        <v/>
      </c>
      <c r="O31">
        <f>IF('01_Master_Data'!B31="","",IF(LOWER(TRIM('01_Master_Data'!Y31&amp;""))="yes",1,0))</f>
        <v/>
      </c>
      <c r="P31">
        <f>IF('01_Master_Data'!B31="","",IF(LOWER(TRIM('01_Master_Data'!Z31&amp;""))="yes",1,0))</f>
        <v/>
      </c>
      <c r="Q31">
        <f>IF(A31="","",L31+M31+N31+O31+P31)</f>
        <v/>
      </c>
      <c r="R31">
        <f>IF(A31="","",IF(Q31&gt;1,"Yes","No"))</f>
        <v/>
      </c>
      <c r="S31">
        <f>IF(A31="","",TEXTJOIN(", ",TRUE,IF(L31=1,"ICICI",""),IF(M31=1,"Propelld",""),IF(N31=1,"Study4Buddy",""),IF(O31=1,"Poonawala Fincorp",""),IF(P31=1,"GyanDhan","")))</f>
        <v/>
      </c>
      <c r="T31">
        <f>IF(A31="","",IF(L31=1,"ICICI",IF(M31=1,"Propelld",IF(P31=1,"GyanDhan",IF(N31=1,"Study4Buddy",IF(O31=1,"Poonawala Fincorp",IF(ISNUMBER(SEARCH("GyanDhan",W31&amp;"")),"GyanDhan",IF(ISNUMBER(SEARCH("Icici",W31&amp;"")),"ICICI",IF(ISNUMBER(SEARCH("Propelld",W31&amp;"")),"Propelld",IF(ISNUMBER(SEARCH("vidyalakshmi",LOWER(W31&amp;"")),"PM Vidyalakshmi","—"))))))))))</f>
        <v/>
      </c>
      <c r="U31">
        <f>IF(A31="","",TRIM('01_Master_Data'!AA31&amp;""))</f>
        <v/>
      </c>
      <c r="V31">
        <f>IF(A31="","",TRIM('01_Master_Data'!AG31&amp;""))</f>
        <v/>
      </c>
      <c r="W31">
        <f>IF(A31="","",TRIM('01_Master_Data'!AH31&amp;""))</f>
        <v/>
      </c>
      <c r="X31">
        <f>IF(A31="","",IF(OR(LOWER(H31)="refund",LOWER(U31)="refund case"),"Refund",IF(OR(LOWER(H31)="dnp",LOWER(U31)="dnp"),"DNP",IF(OR(LOWER(V31)="disbursed",ISNUMBER(SEARCH("Disbursed",W31&amp;""))),"Disbursed",IF(OR(LOWER(V31)="loan proccessed/accepted",ISNUMBER(SEARCH("sanctioned",LOWER(W31&amp;"")))),"Sanctioned",IF(OR(LOWER(V31)="rejected",ISNUMBER(SEARCH("Not eligbile",W31&amp;"")),ISNUMBER(SEARCH("Not eligible",W31&amp;""))),"Rejected",IF(ISNUMBER(SEARCH("Docs Pending",W31&amp;"")),"Documents Pending",IF(AND(LOWER(H31)="yes",LOWER(V31)="ongoing"),"Processing",IF(AND(LOWER(H31)="yes",Q31&gt;0,OR(V31="",LOWER(V31)="not even started")),"Vendor Assigned",IF(AND(LOWER(H31)="yes",LOWER(V31)="not even started"),"Need Loan",IF(LOWER(H31)="yes","Loan Started",IF(LOWER(H31)="not sure","Interested",IF(OR(LOWER(H31)="no",LOWER(V31)="not required"),"Not Required","Unclassified")))))))))))))</f>
        <v/>
      </c>
      <c r="Y31">
        <f>IF(A31="","",IF(OR(X31="Sanctioned",X31="Disbursed",X31="Approved"),"Approved",IF(X31="Rejected","Rejected",IF(OR(X31="Processing",X31="Documents Pending",X31="Vendor Assigned"),"In Progress",IF(X31="Need Loan","Pending Start","—"))))</f>
        <v/>
      </c>
      <c r="Z31">
        <f>IF(A31="","",IF(X31="Disbursed","Disbursed",IF(X31="Sanctioned","Sanctioned - Awaiting Disbursement","Not Disbursed")))</f>
        <v/>
      </c>
      <c r="AA31">
        <f>IF(A31="","",IF(LOWER(TRIM('01_Master_Data'!AI31&amp;""))="yes","Need FLDG",IF(LOWER(TRIM('01_Master_Data'!AK31&amp;""))="yes","Need Vidyalakshmi",IF(LOWER(TRIM('01_Master_Data'!AJ31&amp;""))="yes","Need Review",IF(LOWER(J31)="critical","Critical",IF(LOWER(U31)="risk","Risk Case",IF(X31="Refund","Refund","Normal")))))))</f>
        <v/>
      </c>
      <c r="AB31">
        <f>IF(A31="","",IF(OR(LOWER(J31)="critical",LOWER(TRIM('01_Master_Data'!AI31&amp;""))="yes",LOWER(TRIM('01_Master_Data'!AK31&amp;""))="yes",LOWER(U31)="risk"),"Yes","No"))</f>
        <v/>
      </c>
      <c r="AC31">
        <f>IF(A31="","",IF(LOWER(TRIM('01_Master_Data'!AI31&amp;""))="yes","Yes","No"))</f>
        <v/>
      </c>
      <c r="AD31">
        <f>IF(A31="","",IF(LOWER(TRIM('01_Master_Data'!AK31&amp;""))="yes","Yes","No"))</f>
        <v/>
      </c>
      <c r="AE31">
        <f>IF(A31="","",IF(LOWER(TRIM('01_Master_Data'!AJ31&amp;""))="yes","Yes","No"))</f>
        <v/>
      </c>
      <c r="AF31">
        <f>IF(A31="","",TRIM('01_Master_Data'!AL31&amp;""))</f>
        <v/>
      </c>
      <c r="AG31">
        <f>IF(A31="","",IF(AF31="","—",IF(ISNUMBER(SEARCH("DNP",AF31)),"Unreachable / DNP",IF(ISNUMBER(SEARCH("interest",LOWER(AF31))),"High Interest / Terms",IF(OR(ISNUMBER(SEARCH("eligib",LOWER(AF31))),ISNUMBER(SEARCH("income",LOWER(AF31)))),"Eligibility / Income",IF(OR(ISNUMBER(SEARCH("start",LOWER(AF31))),ISNUMBER(SEARCH("Newer",AF31)),ISNUMBER(SEARCH("Will start",AF31))),"Process Yet to Start",IF(ISNUMBER(SEARCH("sure",LOWER(AF31))),"Undecided",IF(OR(ISNUMBER(SEARCH("reject",LOWER(AF31))),ISNUMBER(SEARCH("SBI",AF31))),"Rejected Elsewhere",IF(ISNUMBER(SEARCH("call",LOWER(AF31))),"Bank Communication",IF(OR(ISNUMBER(SEARCH("father",LOWER(AF31))),ISNUMBER(SEARCH("sister",LOWER(AF31)))),"Family / Dependency","Other"))))))))))</f>
        <v/>
      </c>
      <c r="AH31">
        <f>IF(A31="","",'01_Master_Data'!AC31)</f>
        <v/>
      </c>
      <c r="AI31">
        <f>IF(A31="","",IF(OR(AH31="",NOT(ISNUMBER(AH31))),"",MAX(0,'02_Configuration'!$B$82-AH31)))</f>
        <v/>
      </c>
      <c r="AJ31">
        <f>IF(A31="","",IF(AI31="","Unknown",IF(AI31&lt;=3,"0–3 Days",IF(AI31&lt;=7,"4–7 Days",IF(AI31&lt;=15,"8–15 Days",IF(AI31&lt;=30,"16–30 Days","30+ Days"))))))</f>
        <v/>
      </c>
      <c r="AK31">
        <f>IF(A31="","",IF(LOWER(H31)="yes","Yes","No"))</f>
        <v/>
      </c>
      <c r="AL31">
        <f>IF(A31="","",'01_Master_Data'!T31)</f>
        <v/>
      </c>
      <c r="AM31">
        <f>IF(A31="","",'01_Master_Data'!S31)</f>
        <v/>
      </c>
      <c r="AN31">
        <f>IF(A31="","",'01_Master_Data'!I31)</f>
        <v/>
      </c>
      <c r="AO31">
        <f>IF(A31="","",'01_Master_Data'!M31)</f>
        <v/>
      </c>
      <c r="AP31">
        <f>IF(A31="","",IF(ISNUMBER(SEARCH("Icici",W31&amp;"")),1,0))</f>
        <v/>
      </c>
      <c r="AQ31">
        <f>IF(A31="","",IF(ISNUMBER(SEARCH("Propelld",W31&amp;"")),1,0))</f>
        <v/>
      </c>
      <c r="AR31">
        <f>IF(A31="","",IF(ISNUMBER(SEARCH("GyanDhan",W31&amp;"")),1,0))</f>
        <v/>
      </c>
      <c r="AS31">
        <f>IF(A31="","",IF(ISNUMBER(SEARCH("vidyalakshmi",LOWER(W31&amp;""))),1,0))</f>
        <v/>
      </c>
      <c r="AT31">
        <f>IF(A31="","",IF(ISNUMBER(SEARCH("other bank",LOWER(W31&amp;""))),1,0))</f>
        <v/>
      </c>
      <c r="AU31">
        <f>IF(A31="","",IF(ISNUMBER(SEARCH("sanctioned",LOWER(W31&amp;""))),1,0))</f>
        <v/>
      </c>
      <c r="AV31">
        <f>IF(A31="","",IF(ISNUMBER(SEARCH("Docs Pending",W31&amp;"")),1,0))</f>
        <v/>
      </c>
      <c r="AW31">
        <f>IF(A31="","",IF(OR(X31="Rejected",ISNUMBER(SEARCH("Not eligbile",W31&amp;""))),1,0))</f>
        <v/>
      </c>
    </row>
    <row r="32">
      <c r="A32">
        <f>IF('01_Master_Data'!B32="","",31)</f>
        <v/>
      </c>
      <c r="B32">
        <f>IF('01_Master_Data'!B32="","",IF('01_Master_Data'!C32&lt;&gt;"","MOB|"&amp;TEXT('01_Master_Data'!C32,"0"),IF('01_Master_Data'!D32&lt;&gt;"","PID|"&amp;TRIM('01_Master_Data'!D32&amp;""),"")))</f>
        <v/>
      </c>
      <c r="C32">
        <f>IF('01_Master_Data'!B32="","",'01_Master_Data'!B32)</f>
        <v/>
      </c>
      <c r="D32">
        <f>IF('01_Master_Data'!B32="","",'01_Master_Data'!C32)</f>
        <v/>
      </c>
      <c r="E32">
        <f>IF('01_Master_Data'!B32="","",'01_Master_Data'!D32)</f>
        <v/>
      </c>
      <c r="F32">
        <f>IF('01_Master_Data'!B32="","",'01_Master_Data'!E32)</f>
        <v/>
      </c>
      <c r="G32">
        <f>IF('01_Master_Data'!B32="","",IFERROR(VLOOKUP(TRIM('01_Master_Data'!E32&amp;""),'02_Configuration'!$A$40:$B$44,2,FALSE),UPPER(TRIM('01_Master_Data'!E32&amp;""))))</f>
        <v/>
      </c>
      <c r="H32">
        <f>IF('01_Master_Data'!B32="","",IF('01_Master_Data'!U32="","",TRIM('01_Master_Data'!U32&amp;"")))</f>
        <v/>
      </c>
      <c r="I32">
        <f>IF('01_Master_Data'!B32="","",TRIM('01_Master_Data'!F32&amp;""))</f>
        <v/>
      </c>
      <c r="J32">
        <f>IF('01_Master_Data'!B32="","",TRIM('01_Master_Data'!G32&amp;""))</f>
        <v/>
      </c>
      <c r="K32">
        <f>IF('01_Master_Data'!B32="","",'01_Master_Data'!H32)</f>
        <v/>
      </c>
      <c r="L32">
        <f>IF('01_Master_Data'!B32="","",IF(LOWER(TRIM('01_Master_Data'!V32&amp;""))="yes",1,0))</f>
        <v/>
      </c>
      <c r="M32">
        <f>IF('01_Master_Data'!B32="","",IF(LOWER(TRIM('01_Master_Data'!W32&amp;""))="yes",1,0))</f>
        <v/>
      </c>
      <c r="N32">
        <f>IF('01_Master_Data'!B32="","",IF(LOWER(TRIM('01_Master_Data'!X32&amp;""))="yes",1,0))</f>
        <v/>
      </c>
      <c r="O32">
        <f>IF('01_Master_Data'!B32="","",IF(LOWER(TRIM('01_Master_Data'!Y32&amp;""))="yes",1,0))</f>
        <v/>
      </c>
      <c r="P32">
        <f>IF('01_Master_Data'!B32="","",IF(LOWER(TRIM('01_Master_Data'!Z32&amp;""))="yes",1,0))</f>
        <v/>
      </c>
      <c r="Q32">
        <f>IF(A32="","",L32+M32+N32+O32+P32)</f>
        <v/>
      </c>
      <c r="R32">
        <f>IF(A32="","",IF(Q32&gt;1,"Yes","No"))</f>
        <v/>
      </c>
      <c r="S32">
        <f>IF(A32="","",TEXTJOIN(", ",TRUE,IF(L32=1,"ICICI",""),IF(M32=1,"Propelld",""),IF(N32=1,"Study4Buddy",""),IF(O32=1,"Poonawala Fincorp",""),IF(P32=1,"GyanDhan","")))</f>
        <v/>
      </c>
      <c r="T32">
        <f>IF(A32="","",IF(L32=1,"ICICI",IF(M32=1,"Propelld",IF(P32=1,"GyanDhan",IF(N32=1,"Study4Buddy",IF(O32=1,"Poonawala Fincorp",IF(ISNUMBER(SEARCH("GyanDhan",W32&amp;"")),"GyanDhan",IF(ISNUMBER(SEARCH("Icici",W32&amp;"")),"ICICI",IF(ISNUMBER(SEARCH("Propelld",W32&amp;"")),"Propelld",IF(ISNUMBER(SEARCH("vidyalakshmi",LOWER(W32&amp;"")),"PM Vidyalakshmi","—"))))))))))</f>
        <v/>
      </c>
      <c r="U32">
        <f>IF(A32="","",TRIM('01_Master_Data'!AA32&amp;""))</f>
        <v/>
      </c>
      <c r="V32">
        <f>IF(A32="","",TRIM('01_Master_Data'!AG32&amp;""))</f>
        <v/>
      </c>
      <c r="W32">
        <f>IF(A32="","",TRIM('01_Master_Data'!AH32&amp;""))</f>
        <v/>
      </c>
      <c r="X32">
        <f>IF(A32="","",IF(OR(LOWER(H32)="refund",LOWER(U32)="refund case"),"Refund",IF(OR(LOWER(H32)="dnp",LOWER(U32)="dnp"),"DNP",IF(OR(LOWER(V32)="disbursed",ISNUMBER(SEARCH("Disbursed",W32&amp;""))),"Disbursed",IF(OR(LOWER(V32)="loan proccessed/accepted",ISNUMBER(SEARCH("sanctioned",LOWER(W32&amp;"")))),"Sanctioned",IF(OR(LOWER(V32)="rejected",ISNUMBER(SEARCH("Not eligbile",W32&amp;"")),ISNUMBER(SEARCH("Not eligible",W32&amp;""))),"Rejected",IF(ISNUMBER(SEARCH("Docs Pending",W32&amp;"")),"Documents Pending",IF(AND(LOWER(H32)="yes",LOWER(V32)="ongoing"),"Processing",IF(AND(LOWER(H32)="yes",Q32&gt;0,OR(V32="",LOWER(V32)="not even started")),"Vendor Assigned",IF(AND(LOWER(H32)="yes",LOWER(V32)="not even started"),"Need Loan",IF(LOWER(H32)="yes","Loan Started",IF(LOWER(H32)="not sure","Interested",IF(OR(LOWER(H32)="no",LOWER(V32)="not required"),"Not Required","Unclassified")))))))))))))</f>
        <v/>
      </c>
      <c r="Y32">
        <f>IF(A32="","",IF(OR(X32="Sanctioned",X32="Disbursed",X32="Approved"),"Approved",IF(X32="Rejected","Rejected",IF(OR(X32="Processing",X32="Documents Pending",X32="Vendor Assigned"),"In Progress",IF(X32="Need Loan","Pending Start","—"))))</f>
        <v/>
      </c>
      <c r="Z32">
        <f>IF(A32="","",IF(X32="Disbursed","Disbursed",IF(X32="Sanctioned","Sanctioned - Awaiting Disbursement","Not Disbursed")))</f>
        <v/>
      </c>
      <c r="AA32">
        <f>IF(A32="","",IF(LOWER(TRIM('01_Master_Data'!AI32&amp;""))="yes","Need FLDG",IF(LOWER(TRIM('01_Master_Data'!AK32&amp;""))="yes","Need Vidyalakshmi",IF(LOWER(TRIM('01_Master_Data'!AJ32&amp;""))="yes","Need Review",IF(LOWER(J32)="critical","Critical",IF(LOWER(U32)="risk","Risk Case",IF(X32="Refund","Refund","Normal")))))))</f>
        <v/>
      </c>
      <c r="AB32">
        <f>IF(A32="","",IF(OR(LOWER(J32)="critical",LOWER(TRIM('01_Master_Data'!AI32&amp;""))="yes",LOWER(TRIM('01_Master_Data'!AK32&amp;""))="yes",LOWER(U32)="risk"),"Yes","No"))</f>
        <v/>
      </c>
      <c r="AC32">
        <f>IF(A32="","",IF(LOWER(TRIM('01_Master_Data'!AI32&amp;""))="yes","Yes","No"))</f>
        <v/>
      </c>
      <c r="AD32">
        <f>IF(A32="","",IF(LOWER(TRIM('01_Master_Data'!AK32&amp;""))="yes","Yes","No"))</f>
        <v/>
      </c>
      <c r="AE32">
        <f>IF(A32="","",IF(LOWER(TRIM('01_Master_Data'!AJ32&amp;""))="yes","Yes","No"))</f>
        <v/>
      </c>
      <c r="AF32">
        <f>IF(A32="","",TRIM('01_Master_Data'!AL32&amp;""))</f>
        <v/>
      </c>
      <c r="AG32">
        <f>IF(A32="","",IF(AF32="","—",IF(ISNUMBER(SEARCH("DNP",AF32)),"Unreachable / DNP",IF(ISNUMBER(SEARCH("interest",LOWER(AF32))),"High Interest / Terms",IF(OR(ISNUMBER(SEARCH("eligib",LOWER(AF32))),ISNUMBER(SEARCH("income",LOWER(AF32)))),"Eligibility / Income",IF(OR(ISNUMBER(SEARCH("start",LOWER(AF32))),ISNUMBER(SEARCH("Newer",AF32)),ISNUMBER(SEARCH("Will start",AF32))),"Process Yet to Start",IF(ISNUMBER(SEARCH("sure",LOWER(AF32))),"Undecided",IF(OR(ISNUMBER(SEARCH("reject",LOWER(AF32))),ISNUMBER(SEARCH("SBI",AF32))),"Rejected Elsewhere",IF(ISNUMBER(SEARCH("call",LOWER(AF32))),"Bank Communication",IF(OR(ISNUMBER(SEARCH("father",LOWER(AF32))),ISNUMBER(SEARCH("sister",LOWER(AF32)))),"Family / Dependency","Other"))))))))))</f>
        <v/>
      </c>
      <c r="AH32">
        <f>IF(A32="","",'01_Master_Data'!AC32)</f>
        <v/>
      </c>
      <c r="AI32">
        <f>IF(A32="","",IF(OR(AH32="",NOT(ISNUMBER(AH32))),"",MAX(0,'02_Configuration'!$B$82-AH32)))</f>
        <v/>
      </c>
      <c r="AJ32">
        <f>IF(A32="","",IF(AI32="","Unknown",IF(AI32&lt;=3,"0–3 Days",IF(AI32&lt;=7,"4–7 Days",IF(AI32&lt;=15,"8–15 Days",IF(AI32&lt;=30,"16–30 Days","30+ Days"))))))</f>
        <v/>
      </c>
      <c r="AK32">
        <f>IF(A32="","",IF(LOWER(H32)="yes","Yes","No"))</f>
        <v/>
      </c>
      <c r="AL32">
        <f>IF(A32="","",'01_Master_Data'!T32)</f>
        <v/>
      </c>
      <c r="AM32">
        <f>IF(A32="","",'01_Master_Data'!S32)</f>
        <v/>
      </c>
      <c r="AN32">
        <f>IF(A32="","",'01_Master_Data'!I32)</f>
        <v/>
      </c>
      <c r="AO32">
        <f>IF(A32="","",'01_Master_Data'!M32)</f>
        <v/>
      </c>
      <c r="AP32">
        <f>IF(A32="","",IF(ISNUMBER(SEARCH("Icici",W32&amp;"")),1,0))</f>
        <v/>
      </c>
      <c r="AQ32">
        <f>IF(A32="","",IF(ISNUMBER(SEARCH("Propelld",W32&amp;"")),1,0))</f>
        <v/>
      </c>
      <c r="AR32">
        <f>IF(A32="","",IF(ISNUMBER(SEARCH("GyanDhan",W32&amp;"")),1,0))</f>
        <v/>
      </c>
      <c r="AS32">
        <f>IF(A32="","",IF(ISNUMBER(SEARCH("vidyalakshmi",LOWER(W32&amp;""))),1,0))</f>
        <v/>
      </c>
      <c r="AT32">
        <f>IF(A32="","",IF(ISNUMBER(SEARCH("other bank",LOWER(W32&amp;""))),1,0))</f>
        <v/>
      </c>
      <c r="AU32">
        <f>IF(A32="","",IF(ISNUMBER(SEARCH("sanctioned",LOWER(W32&amp;""))),1,0))</f>
        <v/>
      </c>
      <c r="AV32">
        <f>IF(A32="","",IF(ISNUMBER(SEARCH("Docs Pending",W32&amp;"")),1,0))</f>
        <v/>
      </c>
      <c r="AW32">
        <f>IF(A32="","",IF(OR(X32="Rejected",ISNUMBER(SEARCH("Not eligbile",W32&amp;""))),1,0))</f>
        <v/>
      </c>
    </row>
    <row r="33">
      <c r="A33">
        <f>IF('01_Master_Data'!B33="","",32)</f>
        <v/>
      </c>
      <c r="B33">
        <f>IF('01_Master_Data'!B33="","",IF('01_Master_Data'!C33&lt;&gt;"","MOB|"&amp;TEXT('01_Master_Data'!C33,"0"),IF('01_Master_Data'!D33&lt;&gt;"","PID|"&amp;TRIM('01_Master_Data'!D33&amp;""),"")))</f>
        <v/>
      </c>
      <c r="C33">
        <f>IF('01_Master_Data'!B33="","",'01_Master_Data'!B33)</f>
        <v/>
      </c>
      <c r="D33">
        <f>IF('01_Master_Data'!B33="","",'01_Master_Data'!C33)</f>
        <v/>
      </c>
      <c r="E33">
        <f>IF('01_Master_Data'!B33="","",'01_Master_Data'!D33)</f>
        <v/>
      </c>
      <c r="F33">
        <f>IF('01_Master_Data'!B33="","",'01_Master_Data'!E33)</f>
        <v/>
      </c>
      <c r="G33">
        <f>IF('01_Master_Data'!B33="","",IFERROR(VLOOKUP(TRIM('01_Master_Data'!E33&amp;""),'02_Configuration'!$A$40:$B$44,2,FALSE),UPPER(TRIM('01_Master_Data'!E33&amp;""))))</f>
        <v/>
      </c>
      <c r="H33">
        <f>IF('01_Master_Data'!B33="","",IF('01_Master_Data'!U33="","",TRIM('01_Master_Data'!U33&amp;"")))</f>
        <v/>
      </c>
      <c r="I33">
        <f>IF('01_Master_Data'!B33="","",TRIM('01_Master_Data'!F33&amp;""))</f>
        <v/>
      </c>
      <c r="J33">
        <f>IF('01_Master_Data'!B33="","",TRIM('01_Master_Data'!G33&amp;""))</f>
        <v/>
      </c>
      <c r="K33">
        <f>IF('01_Master_Data'!B33="","",'01_Master_Data'!H33)</f>
        <v/>
      </c>
      <c r="L33">
        <f>IF('01_Master_Data'!B33="","",IF(LOWER(TRIM('01_Master_Data'!V33&amp;""))="yes",1,0))</f>
        <v/>
      </c>
      <c r="M33">
        <f>IF('01_Master_Data'!B33="","",IF(LOWER(TRIM('01_Master_Data'!W33&amp;""))="yes",1,0))</f>
        <v/>
      </c>
      <c r="N33">
        <f>IF('01_Master_Data'!B33="","",IF(LOWER(TRIM('01_Master_Data'!X33&amp;""))="yes",1,0))</f>
        <v/>
      </c>
      <c r="O33">
        <f>IF('01_Master_Data'!B33="","",IF(LOWER(TRIM('01_Master_Data'!Y33&amp;""))="yes",1,0))</f>
        <v/>
      </c>
      <c r="P33">
        <f>IF('01_Master_Data'!B33="","",IF(LOWER(TRIM('01_Master_Data'!Z33&amp;""))="yes",1,0))</f>
        <v/>
      </c>
      <c r="Q33">
        <f>IF(A33="","",L33+M33+N33+O33+P33)</f>
        <v/>
      </c>
      <c r="R33">
        <f>IF(A33="","",IF(Q33&gt;1,"Yes","No"))</f>
        <v/>
      </c>
      <c r="S33">
        <f>IF(A33="","",TEXTJOIN(", ",TRUE,IF(L33=1,"ICICI",""),IF(M33=1,"Propelld",""),IF(N33=1,"Study4Buddy",""),IF(O33=1,"Poonawala Fincorp",""),IF(P33=1,"GyanDhan","")))</f>
        <v/>
      </c>
      <c r="T33">
        <f>IF(A33="","",IF(L33=1,"ICICI",IF(M33=1,"Propelld",IF(P33=1,"GyanDhan",IF(N33=1,"Study4Buddy",IF(O33=1,"Poonawala Fincorp",IF(ISNUMBER(SEARCH("GyanDhan",W33&amp;"")),"GyanDhan",IF(ISNUMBER(SEARCH("Icici",W33&amp;"")),"ICICI",IF(ISNUMBER(SEARCH("Propelld",W33&amp;"")),"Propelld",IF(ISNUMBER(SEARCH("vidyalakshmi",LOWER(W33&amp;"")),"PM Vidyalakshmi","—"))))))))))</f>
        <v/>
      </c>
      <c r="U33">
        <f>IF(A33="","",TRIM('01_Master_Data'!AA33&amp;""))</f>
        <v/>
      </c>
      <c r="V33">
        <f>IF(A33="","",TRIM('01_Master_Data'!AG33&amp;""))</f>
        <v/>
      </c>
      <c r="W33">
        <f>IF(A33="","",TRIM('01_Master_Data'!AH33&amp;""))</f>
        <v/>
      </c>
      <c r="X33">
        <f>IF(A33="","",IF(OR(LOWER(H33)="refund",LOWER(U33)="refund case"),"Refund",IF(OR(LOWER(H33)="dnp",LOWER(U33)="dnp"),"DNP",IF(OR(LOWER(V33)="disbursed",ISNUMBER(SEARCH("Disbursed",W33&amp;""))),"Disbursed",IF(OR(LOWER(V33)="loan proccessed/accepted",ISNUMBER(SEARCH("sanctioned",LOWER(W33&amp;"")))),"Sanctioned",IF(OR(LOWER(V33)="rejected",ISNUMBER(SEARCH("Not eligbile",W33&amp;"")),ISNUMBER(SEARCH("Not eligible",W33&amp;""))),"Rejected",IF(ISNUMBER(SEARCH("Docs Pending",W33&amp;"")),"Documents Pending",IF(AND(LOWER(H33)="yes",LOWER(V33)="ongoing"),"Processing",IF(AND(LOWER(H33)="yes",Q33&gt;0,OR(V33="",LOWER(V33)="not even started")),"Vendor Assigned",IF(AND(LOWER(H33)="yes",LOWER(V33)="not even started"),"Need Loan",IF(LOWER(H33)="yes","Loan Started",IF(LOWER(H33)="not sure","Interested",IF(OR(LOWER(H33)="no",LOWER(V33)="not required"),"Not Required","Unclassified")))))))))))))</f>
        <v/>
      </c>
      <c r="Y33">
        <f>IF(A33="","",IF(OR(X33="Sanctioned",X33="Disbursed",X33="Approved"),"Approved",IF(X33="Rejected","Rejected",IF(OR(X33="Processing",X33="Documents Pending",X33="Vendor Assigned"),"In Progress",IF(X33="Need Loan","Pending Start","—"))))</f>
        <v/>
      </c>
      <c r="Z33">
        <f>IF(A33="","",IF(X33="Disbursed","Disbursed",IF(X33="Sanctioned","Sanctioned - Awaiting Disbursement","Not Disbursed")))</f>
        <v/>
      </c>
      <c r="AA33">
        <f>IF(A33="","",IF(LOWER(TRIM('01_Master_Data'!AI33&amp;""))="yes","Need FLDG",IF(LOWER(TRIM('01_Master_Data'!AK33&amp;""))="yes","Need Vidyalakshmi",IF(LOWER(TRIM('01_Master_Data'!AJ33&amp;""))="yes","Need Review",IF(LOWER(J33)="critical","Critical",IF(LOWER(U33)="risk","Risk Case",IF(X33="Refund","Refund","Normal")))))))</f>
        <v/>
      </c>
      <c r="AB33">
        <f>IF(A33="","",IF(OR(LOWER(J33)="critical",LOWER(TRIM('01_Master_Data'!AI33&amp;""))="yes",LOWER(TRIM('01_Master_Data'!AK33&amp;""))="yes",LOWER(U33)="risk"),"Yes","No"))</f>
        <v/>
      </c>
      <c r="AC33">
        <f>IF(A33="","",IF(LOWER(TRIM('01_Master_Data'!AI33&amp;""))="yes","Yes","No"))</f>
        <v/>
      </c>
      <c r="AD33">
        <f>IF(A33="","",IF(LOWER(TRIM('01_Master_Data'!AK33&amp;""))="yes","Yes","No"))</f>
        <v/>
      </c>
      <c r="AE33">
        <f>IF(A33="","",IF(LOWER(TRIM('01_Master_Data'!AJ33&amp;""))="yes","Yes","No"))</f>
        <v/>
      </c>
      <c r="AF33">
        <f>IF(A33="","",TRIM('01_Master_Data'!AL33&amp;""))</f>
        <v/>
      </c>
      <c r="AG33">
        <f>IF(A33="","",IF(AF33="","—",IF(ISNUMBER(SEARCH("DNP",AF33)),"Unreachable / DNP",IF(ISNUMBER(SEARCH("interest",LOWER(AF33))),"High Interest / Terms",IF(OR(ISNUMBER(SEARCH("eligib",LOWER(AF33))),ISNUMBER(SEARCH("income",LOWER(AF33)))),"Eligibility / Income",IF(OR(ISNUMBER(SEARCH("start",LOWER(AF33))),ISNUMBER(SEARCH("Newer",AF33)),ISNUMBER(SEARCH("Will start",AF33))),"Process Yet to Start",IF(ISNUMBER(SEARCH("sure",LOWER(AF33))),"Undecided",IF(OR(ISNUMBER(SEARCH("reject",LOWER(AF33))),ISNUMBER(SEARCH("SBI",AF33))),"Rejected Elsewhere",IF(ISNUMBER(SEARCH("call",LOWER(AF33))),"Bank Communication",IF(OR(ISNUMBER(SEARCH("father",LOWER(AF33))),ISNUMBER(SEARCH("sister",LOWER(AF33)))),"Family / Dependency","Other"))))))))))</f>
        <v/>
      </c>
      <c r="AH33">
        <f>IF(A33="","",'01_Master_Data'!AC33)</f>
        <v/>
      </c>
      <c r="AI33">
        <f>IF(A33="","",IF(OR(AH33="",NOT(ISNUMBER(AH33))),"",MAX(0,'02_Configuration'!$B$82-AH33)))</f>
        <v/>
      </c>
      <c r="AJ33">
        <f>IF(A33="","",IF(AI33="","Unknown",IF(AI33&lt;=3,"0–3 Days",IF(AI33&lt;=7,"4–7 Days",IF(AI33&lt;=15,"8–15 Days",IF(AI33&lt;=30,"16–30 Days","30+ Days"))))))</f>
        <v/>
      </c>
      <c r="AK33">
        <f>IF(A33="","",IF(LOWER(H33)="yes","Yes","No"))</f>
        <v/>
      </c>
      <c r="AL33">
        <f>IF(A33="","",'01_Master_Data'!T33)</f>
        <v/>
      </c>
      <c r="AM33">
        <f>IF(A33="","",'01_Master_Data'!S33)</f>
        <v/>
      </c>
      <c r="AN33">
        <f>IF(A33="","",'01_Master_Data'!I33)</f>
        <v/>
      </c>
      <c r="AO33">
        <f>IF(A33="","",'01_Master_Data'!M33)</f>
        <v/>
      </c>
      <c r="AP33">
        <f>IF(A33="","",IF(ISNUMBER(SEARCH("Icici",W33&amp;"")),1,0))</f>
        <v/>
      </c>
      <c r="AQ33">
        <f>IF(A33="","",IF(ISNUMBER(SEARCH("Propelld",W33&amp;"")),1,0))</f>
        <v/>
      </c>
      <c r="AR33">
        <f>IF(A33="","",IF(ISNUMBER(SEARCH("GyanDhan",W33&amp;"")),1,0))</f>
        <v/>
      </c>
      <c r="AS33">
        <f>IF(A33="","",IF(ISNUMBER(SEARCH("vidyalakshmi",LOWER(W33&amp;""))),1,0))</f>
        <v/>
      </c>
      <c r="AT33">
        <f>IF(A33="","",IF(ISNUMBER(SEARCH("other bank",LOWER(W33&amp;""))),1,0))</f>
        <v/>
      </c>
      <c r="AU33">
        <f>IF(A33="","",IF(ISNUMBER(SEARCH("sanctioned",LOWER(W33&amp;""))),1,0))</f>
        <v/>
      </c>
      <c r="AV33">
        <f>IF(A33="","",IF(ISNUMBER(SEARCH("Docs Pending",W33&amp;"")),1,0))</f>
        <v/>
      </c>
      <c r="AW33">
        <f>IF(A33="","",IF(OR(X33="Rejected",ISNUMBER(SEARCH("Not eligbile",W33&amp;""))),1,0))</f>
        <v/>
      </c>
    </row>
    <row r="34">
      <c r="A34">
        <f>IF('01_Master_Data'!B34="","",33)</f>
        <v/>
      </c>
      <c r="B34">
        <f>IF('01_Master_Data'!B34="","",IF('01_Master_Data'!C34&lt;&gt;"","MOB|"&amp;TEXT('01_Master_Data'!C34,"0"),IF('01_Master_Data'!D34&lt;&gt;"","PID|"&amp;TRIM('01_Master_Data'!D34&amp;""),"")))</f>
        <v/>
      </c>
      <c r="C34">
        <f>IF('01_Master_Data'!B34="","",'01_Master_Data'!B34)</f>
        <v/>
      </c>
      <c r="D34">
        <f>IF('01_Master_Data'!B34="","",'01_Master_Data'!C34)</f>
        <v/>
      </c>
      <c r="E34">
        <f>IF('01_Master_Data'!B34="","",'01_Master_Data'!D34)</f>
        <v/>
      </c>
      <c r="F34">
        <f>IF('01_Master_Data'!B34="","",'01_Master_Data'!E34)</f>
        <v/>
      </c>
      <c r="G34">
        <f>IF('01_Master_Data'!B34="","",IFERROR(VLOOKUP(TRIM('01_Master_Data'!E34&amp;""),'02_Configuration'!$A$40:$B$44,2,FALSE),UPPER(TRIM('01_Master_Data'!E34&amp;""))))</f>
        <v/>
      </c>
      <c r="H34">
        <f>IF('01_Master_Data'!B34="","",IF('01_Master_Data'!U34="","",TRIM('01_Master_Data'!U34&amp;"")))</f>
        <v/>
      </c>
      <c r="I34">
        <f>IF('01_Master_Data'!B34="","",TRIM('01_Master_Data'!F34&amp;""))</f>
        <v/>
      </c>
      <c r="J34">
        <f>IF('01_Master_Data'!B34="","",TRIM('01_Master_Data'!G34&amp;""))</f>
        <v/>
      </c>
      <c r="K34">
        <f>IF('01_Master_Data'!B34="","",'01_Master_Data'!H34)</f>
        <v/>
      </c>
      <c r="L34">
        <f>IF('01_Master_Data'!B34="","",IF(LOWER(TRIM('01_Master_Data'!V34&amp;""))="yes",1,0))</f>
        <v/>
      </c>
      <c r="M34">
        <f>IF('01_Master_Data'!B34="","",IF(LOWER(TRIM('01_Master_Data'!W34&amp;""))="yes",1,0))</f>
        <v/>
      </c>
      <c r="N34">
        <f>IF('01_Master_Data'!B34="","",IF(LOWER(TRIM('01_Master_Data'!X34&amp;""))="yes",1,0))</f>
        <v/>
      </c>
      <c r="O34">
        <f>IF('01_Master_Data'!B34="","",IF(LOWER(TRIM('01_Master_Data'!Y34&amp;""))="yes",1,0))</f>
        <v/>
      </c>
      <c r="P34">
        <f>IF('01_Master_Data'!B34="","",IF(LOWER(TRIM('01_Master_Data'!Z34&amp;""))="yes",1,0))</f>
        <v/>
      </c>
      <c r="Q34">
        <f>IF(A34="","",L34+M34+N34+O34+P34)</f>
        <v/>
      </c>
      <c r="R34">
        <f>IF(A34="","",IF(Q34&gt;1,"Yes","No"))</f>
        <v/>
      </c>
      <c r="S34">
        <f>IF(A34="","",TEXTJOIN(", ",TRUE,IF(L34=1,"ICICI",""),IF(M34=1,"Propelld",""),IF(N34=1,"Study4Buddy",""),IF(O34=1,"Poonawala Fincorp",""),IF(P34=1,"GyanDhan","")))</f>
        <v/>
      </c>
      <c r="T34">
        <f>IF(A34="","",IF(L34=1,"ICICI",IF(M34=1,"Propelld",IF(P34=1,"GyanDhan",IF(N34=1,"Study4Buddy",IF(O34=1,"Poonawala Fincorp",IF(ISNUMBER(SEARCH("GyanDhan",W34&amp;"")),"GyanDhan",IF(ISNUMBER(SEARCH("Icici",W34&amp;"")),"ICICI",IF(ISNUMBER(SEARCH("Propelld",W34&amp;"")),"Propelld",IF(ISNUMBER(SEARCH("vidyalakshmi",LOWER(W34&amp;"")),"PM Vidyalakshmi","—"))))))))))</f>
        <v/>
      </c>
      <c r="U34">
        <f>IF(A34="","",TRIM('01_Master_Data'!AA34&amp;""))</f>
        <v/>
      </c>
      <c r="V34">
        <f>IF(A34="","",TRIM('01_Master_Data'!AG34&amp;""))</f>
        <v/>
      </c>
      <c r="W34">
        <f>IF(A34="","",TRIM('01_Master_Data'!AH34&amp;""))</f>
        <v/>
      </c>
      <c r="X34">
        <f>IF(A34="","",IF(OR(LOWER(H34)="refund",LOWER(U34)="refund case"),"Refund",IF(OR(LOWER(H34)="dnp",LOWER(U34)="dnp"),"DNP",IF(OR(LOWER(V34)="disbursed",ISNUMBER(SEARCH("Disbursed",W34&amp;""))),"Disbursed",IF(OR(LOWER(V34)="loan proccessed/accepted",ISNUMBER(SEARCH("sanctioned",LOWER(W34&amp;"")))),"Sanctioned",IF(OR(LOWER(V34)="rejected",ISNUMBER(SEARCH("Not eligbile",W34&amp;"")),ISNUMBER(SEARCH("Not eligible",W34&amp;""))),"Rejected",IF(ISNUMBER(SEARCH("Docs Pending",W34&amp;"")),"Documents Pending",IF(AND(LOWER(H34)="yes",LOWER(V34)="ongoing"),"Processing",IF(AND(LOWER(H34)="yes",Q34&gt;0,OR(V34="",LOWER(V34)="not even started")),"Vendor Assigned",IF(AND(LOWER(H34)="yes",LOWER(V34)="not even started"),"Need Loan",IF(LOWER(H34)="yes","Loan Started",IF(LOWER(H34)="not sure","Interested",IF(OR(LOWER(H34)="no",LOWER(V34)="not required"),"Not Required","Unclassified")))))))))))))</f>
        <v/>
      </c>
      <c r="Y34">
        <f>IF(A34="","",IF(OR(X34="Sanctioned",X34="Disbursed",X34="Approved"),"Approved",IF(X34="Rejected","Rejected",IF(OR(X34="Processing",X34="Documents Pending",X34="Vendor Assigned"),"In Progress",IF(X34="Need Loan","Pending Start","—"))))</f>
        <v/>
      </c>
      <c r="Z34">
        <f>IF(A34="","",IF(X34="Disbursed","Disbursed",IF(X34="Sanctioned","Sanctioned - Awaiting Disbursement","Not Disbursed")))</f>
        <v/>
      </c>
      <c r="AA34">
        <f>IF(A34="","",IF(LOWER(TRIM('01_Master_Data'!AI34&amp;""))="yes","Need FLDG",IF(LOWER(TRIM('01_Master_Data'!AK34&amp;""))="yes","Need Vidyalakshmi",IF(LOWER(TRIM('01_Master_Data'!AJ34&amp;""))="yes","Need Review",IF(LOWER(J34)="critical","Critical",IF(LOWER(U34)="risk","Risk Case",IF(X34="Refund","Refund","Normal")))))))</f>
        <v/>
      </c>
      <c r="AB34">
        <f>IF(A34="","",IF(OR(LOWER(J34)="critical",LOWER(TRIM('01_Master_Data'!AI34&amp;""))="yes",LOWER(TRIM('01_Master_Data'!AK34&amp;""))="yes",LOWER(U34)="risk"),"Yes","No"))</f>
        <v/>
      </c>
      <c r="AC34">
        <f>IF(A34="","",IF(LOWER(TRIM('01_Master_Data'!AI34&amp;""))="yes","Yes","No"))</f>
        <v/>
      </c>
      <c r="AD34">
        <f>IF(A34="","",IF(LOWER(TRIM('01_Master_Data'!AK34&amp;""))="yes","Yes","No"))</f>
        <v/>
      </c>
      <c r="AE34">
        <f>IF(A34="","",IF(LOWER(TRIM('01_Master_Data'!AJ34&amp;""))="yes","Yes","No"))</f>
        <v/>
      </c>
      <c r="AF34">
        <f>IF(A34="","",TRIM('01_Master_Data'!AL34&amp;""))</f>
        <v/>
      </c>
      <c r="AG34">
        <f>IF(A34="","",IF(AF34="","—",IF(ISNUMBER(SEARCH("DNP",AF34)),"Unreachable / DNP",IF(ISNUMBER(SEARCH("interest",LOWER(AF34))),"High Interest / Terms",IF(OR(ISNUMBER(SEARCH("eligib",LOWER(AF34))),ISNUMBER(SEARCH("income",LOWER(AF34)))),"Eligibility / Income",IF(OR(ISNUMBER(SEARCH("start",LOWER(AF34))),ISNUMBER(SEARCH("Newer",AF34)),ISNUMBER(SEARCH("Will start",AF34))),"Process Yet to Start",IF(ISNUMBER(SEARCH("sure",LOWER(AF34))),"Undecided",IF(OR(ISNUMBER(SEARCH("reject",LOWER(AF34))),ISNUMBER(SEARCH("SBI",AF34))),"Rejected Elsewhere",IF(ISNUMBER(SEARCH("call",LOWER(AF34))),"Bank Communication",IF(OR(ISNUMBER(SEARCH("father",LOWER(AF34))),ISNUMBER(SEARCH("sister",LOWER(AF34)))),"Family / Dependency","Other"))))))))))</f>
        <v/>
      </c>
      <c r="AH34">
        <f>IF(A34="","",'01_Master_Data'!AC34)</f>
        <v/>
      </c>
      <c r="AI34">
        <f>IF(A34="","",IF(OR(AH34="",NOT(ISNUMBER(AH34))),"",MAX(0,'02_Configuration'!$B$82-AH34)))</f>
        <v/>
      </c>
      <c r="AJ34">
        <f>IF(A34="","",IF(AI34="","Unknown",IF(AI34&lt;=3,"0–3 Days",IF(AI34&lt;=7,"4–7 Days",IF(AI34&lt;=15,"8–15 Days",IF(AI34&lt;=30,"16–30 Days","30+ Days"))))))</f>
        <v/>
      </c>
      <c r="AK34">
        <f>IF(A34="","",IF(LOWER(H34)="yes","Yes","No"))</f>
        <v/>
      </c>
      <c r="AL34">
        <f>IF(A34="","",'01_Master_Data'!T34)</f>
        <v/>
      </c>
      <c r="AM34">
        <f>IF(A34="","",'01_Master_Data'!S34)</f>
        <v/>
      </c>
      <c r="AN34">
        <f>IF(A34="","",'01_Master_Data'!I34)</f>
        <v/>
      </c>
      <c r="AO34">
        <f>IF(A34="","",'01_Master_Data'!M34)</f>
        <v/>
      </c>
      <c r="AP34">
        <f>IF(A34="","",IF(ISNUMBER(SEARCH("Icici",W34&amp;"")),1,0))</f>
        <v/>
      </c>
      <c r="AQ34">
        <f>IF(A34="","",IF(ISNUMBER(SEARCH("Propelld",W34&amp;"")),1,0))</f>
        <v/>
      </c>
      <c r="AR34">
        <f>IF(A34="","",IF(ISNUMBER(SEARCH("GyanDhan",W34&amp;"")),1,0))</f>
        <v/>
      </c>
      <c r="AS34">
        <f>IF(A34="","",IF(ISNUMBER(SEARCH("vidyalakshmi",LOWER(W34&amp;""))),1,0))</f>
        <v/>
      </c>
      <c r="AT34">
        <f>IF(A34="","",IF(ISNUMBER(SEARCH("other bank",LOWER(W34&amp;""))),1,0))</f>
        <v/>
      </c>
      <c r="AU34">
        <f>IF(A34="","",IF(ISNUMBER(SEARCH("sanctioned",LOWER(W34&amp;""))),1,0))</f>
        <v/>
      </c>
      <c r="AV34">
        <f>IF(A34="","",IF(ISNUMBER(SEARCH("Docs Pending",W34&amp;"")),1,0))</f>
        <v/>
      </c>
      <c r="AW34">
        <f>IF(A34="","",IF(OR(X34="Rejected",ISNUMBER(SEARCH("Not eligbile",W34&amp;""))),1,0))</f>
        <v/>
      </c>
    </row>
    <row r="35">
      <c r="A35">
        <f>IF('01_Master_Data'!B35="","",34)</f>
        <v/>
      </c>
      <c r="B35">
        <f>IF('01_Master_Data'!B35="","",IF('01_Master_Data'!C35&lt;&gt;"","MOB|"&amp;TEXT('01_Master_Data'!C35,"0"),IF('01_Master_Data'!D35&lt;&gt;"","PID|"&amp;TRIM('01_Master_Data'!D35&amp;""),"")))</f>
        <v/>
      </c>
      <c r="C35">
        <f>IF('01_Master_Data'!B35="","",'01_Master_Data'!B35)</f>
        <v/>
      </c>
      <c r="D35">
        <f>IF('01_Master_Data'!B35="","",'01_Master_Data'!C35)</f>
        <v/>
      </c>
      <c r="E35">
        <f>IF('01_Master_Data'!B35="","",'01_Master_Data'!D35)</f>
        <v/>
      </c>
      <c r="F35">
        <f>IF('01_Master_Data'!B35="","",'01_Master_Data'!E35)</f>
        <v/>
      </c>
      <c r="G35">
        <f>IF('01_Master_Data'!B35="","",IFERROR(VLOOKUP(TRIM('01_Master_Data'!E35&amp;""),'02_Configuration'!$A$40:$B$44,2,FALSE),UPPER(TRIM('01_Master_Data'!E35&amp;""))))</f>
        <v/>
      </c>
      <c r="H35">
        <f>IF('01_Master_Data'!B35="","",IF('01_Master_Data'!U35="","",TRIM('01_Master_Data'!U35&amp;"")))</f>
        <v/>
      </c>
      <c r="I35">
        <f>IF('01_Master_Data'!B35="","",TRIM('01_Master_Data'!F35&amp;""))</f>
        <v/>
      </c>
      <c r="J35">
        <f>IF('01_Master_Data'!B35="","",TRIM('01_Master_Data'!G35&amp;""))</f>
        <v/>
      </c>
      <c r="K35">
        <f>IF('01_Master_Data'!B35="","",'01_Master_Data'!H35)</f>
        <v/>
      </c>
      <c r="L35">
        <f>IF('01_Master_Data'!B35="","",IF(LOWER(TRIM('01_Master_Data'!V35&amp;""))="yes",1,0))</f>
        <v/>
      </c>
      <c r="M35">
        <f>IF('01_Master_Data'!B35="","",IF(LOWER(TRIM('01_Master_Data'!W35&amp;""))="yes",1,0))</f>
        <v/>
      </c>
      <c r="N35">
        <f>IF('01_Master_Data'!B35="","",IF(LOWER(TRIM('01_Master_Data'!X35&amp;""))="yes",1,0))</f>
        <v/>
      </c>
      <c r="O35">
        <f>IF('01_Master_Data'!B35="","",IF(LOWER(TRIM('01_Master_Data'!Y35&amp;""))="yes",1,0))</f>
        <v/>
      </c>
      <c r="P35">
        <f>IF('01_Master_Data'!B35="","",IF(LOWER(TRIM('01_Master_Data'!Z35&amp;""))="yes",1,0))</f>
        <v/>
      </c>
      <c r="Q35">
        <f>IF(A35="","",L35+M35+N35+O35+P35)</f>
        <v/>
      </c>
      <c r="R35">
        <f>IF(A35="","",IF(Q35&gt;1,"Yes","No"))</f>
        <v/>
      </c>
      <c r="S35">
        <f>IF(A35="","",TEXTJOIN(", ",TRUE,IF(L35=1,"ICICI",""),IF(M35=1,"Propelld",""),IF(N35=1,"Study4Buddy",""),IF(O35=1,"Poonawala Fincorp",""),IF(P35=1,"GyanDhan","")))</f>
        <v/>
      </c>
      <c r="T35">
        <f>IF(A35="","",IF(L35=1,"ICICI",IF(M35=1,"Propelld",IF(P35=1,"GyanDhan",IF(N35=1,"Study4Buddy",IF(O35=1,"Poonawala Fincorp",IF(ISNUMBER(SEARCH("GyanDhan",W35&amp;"")),"GyanDhan",IF(ISNUMBER(SEARCH("Icici",W35&amp;"")),"ICICI",IF(ISNUMBER(SEARCH("Propelld",W35&amp;"")),"Propelld",IF(ISNUMBER(SEARCH("vidyalakshmi",LOWER(W35&amp;"")),"PM Vidyalakshmi","—"))))))))))</f>
        <v/>
      </c>
      <c r="U35">
        <f>IF(A35="","",TRIM('01_Master_Data'!AA35&amp;""))</f>
        <v/>
      </c>
      <c r="V35">
        <f>IF(A35="","",TRIM('01_Master_Data'!AG35&amp;""))</f>
        <v/>
      </c>
      <c r="W35">
        <f>IF(A35="","",TRIM('01_Master_Data'!AH35&amp;""))</f>
        <v/>
      </c>
      <c r="X35">
        <f>IF(A35="","",IF(OR(LOWER(H35)="refund",LOWER(U35)="refund case"),"Refund",IF(OR(LOWER(H35)="dnp",LOWER(U35)="dnp"),"DNP",IF(OR(LOWER(V35)="disbursed",ISNUMBER(SEARCH("Disbursed",W35&amp;""))),"Disbursed",IF(OR(LOWER(V35)="loan proccessed/accepted",ISNUMBER(SEARCH("sanctioned",LOWER(W35&amp;"")))),"Sanctioned",IF(OR(LOWER(V35)="rejected",ISNUMBER(SEARCH("Not eligbile",W35&amp;"")),ISNUMBER(SEARCH("Not eligible",W35&amp;""))),"Rejected",IF(ISNUMBER(SEARCH("Docs Pending",W35&amp;"")),"Documents Pending",IF(AND(LOWER(H35)="yes",LOWER(V35)="ongoing"),"Processing",IF(AND(LOWER(H35)="yes",Q35&gt;0,OR(V35="",LOWER(V35)="not even started")),"Vendor Assigned",IF(AND(LOWER(H35)="yes",LOWER(V35)="not even started"),"Need Loan",IF(LOWER(H35)="yes","Loan Started",IF(LOWER(H35)="not sure","Interested",IF(OR(LOWER(H35)="no",LOWER(V35)="not required"),"Not Required","Unclassified")))))))))))))</f>
        <v/>
      </c>
      <c r="Y35">
        <f>IF(A35="","",IF(OR(X35="Sanctioned",X35="Disbursed",X35="Approved"),"Approved",IF(X35="Rejected","Rejected",IF(OR(X35="Processing",X35="Documents Pending",X35="Vendor Assigned"),"In Progress",IF(X35="Need Loan","Pending Start","—"))))</f>
        <v/>
      </c>
      <c r="Z35">
        <f>IF(A35="","",IF(X35="Disbursed","Disbursed",IF(X35="Sanctioned","Sanctioned - Awaiting Disbursement","Not Disbursed")))</f>
        <v/>
      </c>
      <c r="AA35">
        <f>IF(A35="","",IF(LOWER(TRIM('01_Master_Data'!AI35&amp;""))="yes","Need FLDG",IF(LOWER(TRIM('01_Master_Data'!AK35&amp;""))="yes","Need Vidyalakshmi",IF(LOWER(TRIM('01_Master_Data'!AJ35&amp;""))="yes","Need Review",IF(LOWER(J35)="critical","Critical",IF(LOWER(U35)="risk","Risk Case",IF(X35="Refund","Refund","Normal")))))))</f>
        <v/>
      </c>
      <c r="AB35">
        <f>IF(A35="","",IF(OR(LOWER(J35)="critical",LOWER(TRIM('01_Master_Data'!AI35&amp;""))="yes",LOWER(TRIM('01_Master_Data'!AK35&amp;""))="yes",LOWER(U35)="risk"),"Yes","No"))</f>
        <v/>
      </c>
      <c r="AC35">
        <f>IF(A35="","",IF(LOWER(TRIM('01_Master_Data'!AI35&amp;""))="yes","Yes","No"))</f>
        <v/>
      </c>
      <c r="AD35">
        <f>IF(A35="","",IF(LOWER(TRIM('01_Master_Data'!AK35&amp;""))="yes","Yes","No"))</f>
        <v/>
      </c>
      <c r="AE35">
        <f>IF(A35="","",IF(LOWER(TRIM('01_Master_Data'!AJ35&amp;""))="yes","Yes","No"))</f>
        <v/>
      </c>
      <c r="AF35">
        <f>IF(A35="","",TRIM('01_Master_Data'!AL35&amp;""))</f>
        <v/>
      </c>
      <c r="AG35">
        <f>IF(A35="","",IF(AF35="","—",IF(ISNUMBER(SEARCH("DNP",AF35)),"Unreachable / DNP",IF(ISNUMBER(SEARCH("interest",LOWER(AF35))),"High Interest / Terms",IF(OR(ISNUMBER(SEARCH("eligib",LOWER(AF35))),ISNUMBER(SEARCH("income",LOWER(AF35)))),"Eligibility / Income",IF(OR(ISNUMBER(SEARCH("start",LOWER(AF35))),ISNUMBER(SEARCH("Newer",AF35)),ISNUMBER(SEARCH("Will start",AF35))),"Process Yet to Start",IF(ISNUMBER(SEARCH("sure",LOWER(AF35))),"Undecided",IF(OR(ISNUMBER(SEARCH("reject",LOWER(AF35))),ISNUMBER(SEARCH("SBI",AF35))),"Rejected Elsewhere",IF(ISNUMBER(SEARCH("call",LOWER(AF35))),"Bank Communication",IF(OR(ISNUMBER(SEARCH("father",LOWER(AF35))),ISNUMBER(SEARCH("sister",LOWER(AF35)))),"Family / Dependency","Other"))))))))))</f>
        <v/>
      </c>
      <c r="AH35">
        <f>IF(A35="","",'01_Master_Data'!AC35)</f>
        <v/>
      </c>
      <c r="AI35">
        <f>IF(A35="","",IF(OR(AH35="",NOT(ISNUMBER(AH35))),"",MAX(0,'02_Configuration'!$B$82-AH35)))</f>
        <v/>
      </c>
      <c r="AJ35">
        <f>IF(A35="","",IF(AI35="","Unknown",IF(AI35&lt;=3,"0–3 Days",IF(AI35&lt;=7,"4–7 Days",IF(AI35&lt;=15,"8–15 Days",IF(AI35&lt;=30,"16–30 Days","30+ Days"))))))</f>
        <v/>
      </c>
      <c r="AK35">
        <f>IF(A35="","",IF(LOWER(H35)="yes","Yes","No"))</f>
        <v/>
      </c>
      <c r="AL35">
        <f>IF(A35="","",'01_Master_Data'!T35)</f>
        <v/>
      </c>
      <c r="AM35">
        <f>IF(A35="","",'01_Master_Data'!S35)</f>
        <v/>
      </c>
      <c r="AN35">
        <f>IF(A35="","",'01_Master_Data'!I35)</f>
        <v/>
      </c>
      <c r="AO35">
        <f>IF(A35="","",'01_Master_Data'!M35)</f>
        <v/>
      </c>
      <c r="AP35">
        <f>IF(A35="","",IF(ISNUMBER(SEARCH("Icici",W35&amp;"")),1,0))</f>
        <v/>
      </c>
      <c r="AQ35">
        <f>IF(A35="","",IF(ISNUMBER(SEARCH("Propelld",W35&amp;"")),1,0))</f>
        <v/>
      </c>
      <c r="AR35">
        <f>IF(A35="","",IF(ISNUMBER(SEARCH("GyanDhan",W35&amp;"")),1,0))</f>
        <v/>
      </c>
      <c r="AS35">
        <f>IF(A35="","",IF(ISNUMBER(SEARCH("vidyalakshmi",LOWER(W35&amp;""))),1,0))</f>
        <v/>
      </c>
      <c r="AT35">
        <f>IF(A35="","",IF(ISNUMBER(SEARCH("other bank",LOWER(W35&amp;""))),1,0))</f>
        <v/>
      </c>
      <c r="AU35">
        <f>IF(A35="","",IF(ISNUMBER(SEARCH("sanctioned",LOWER(W35&amp;""))),1,0))</f>
        <v/>
      </c>
      <c r="AV35">
        <f>IF(A35="","",IF(ISNUMBER(SEARCH("Docs Pending",W35&amp;"")),1,0))</f>
        <v/>
      </c>
      <c r="AW35">
        <f>IF(A35="","",IF(OR(X35="Rejected",ISNUMBER(SEARCH("Not eligbile",W35&amp;""))),1,0))</f>
        <v/>
      </c>
    </row>
    <row r="36">
      <c r="A36">
        <f>IF('01_Master_Data'!B36="","",35)</f>
        <v/>
      </c>
      <c r="B36">
        <f>IF('01_Master_Data'!B36="","",IF('01_Master_Data'!C36&lt;&gt;"","MOB|"&amp;TEXT('01_Master_Data'!C36,"0"),IF('01_Master_Data'!D36&lt;&gt;"","PID|"&amp;TRIM('01_Master_Data'!D36&amp;""),"")))</f>
        <v/>
      </c>
      <c r="C36">
        <f>IF('01_Master_Data'!B36="","",'01_Master_Data'!B36)</f>
        <v/>
      </c>
      <c r="D36">
        <f>IF('01_Master_Data'!B36="","",'01_Master_Data'!C36)</f>
        <v/>
      </c>
      <c r="E36">
        <f>IF('01_Master_Data'!B36="","",'01_Master_Data'!D36)</f>
        <v/>
      </c>
      <c r="F36">
        <f>IF('01_Master_Data'!B36="","",'01_Master_Data'!E36)</f>
        <v/>
      </c>
      <c r="G36">
        <f>IF('01_Master_Data'!B36="","",IFERROR(VLOOKUP(TRIM('01_Master_Data'!E36&amp;""),'02_Configuration'!$A$40:$B$44,2,FALSE),UPPER(TRIM('01_Master_Data'!E36&amp;""))))</f>
        <v/>
      </c>
      <c r="H36">
        <f>IF('01_Master_Data'!B36="","",IF('01_Master_Data'!U36="","",TRIM('01_Master_Data'!U36&amp;"")))</f>
        <v/>
      </c>
      <c r="I36">
        <f>IF('01_Master_Data'!B36="","",TRIM('01_Master_Data'!F36&amp;""))</f>
        <v/>
      </c>
      <c r="J36">
        <f>IF('01_Master_Data'!B36="","",TRIM('01_Master_Data'!G36&amp;""))</f>
        <v/>
      </c>
      <c r="K36">
        <f>IF('01_Master_Data'!B36="","",'01_Master_Data'!H36)</f>
        <v/>
      </c>
      <c r="L36">
        <f>IF('01_Master_Data'!B36="","",IF(LOWER(TRIM('01_Master_Data'!V36&amp;""))="yes",1,0))</f>
        <v/>
      </c>
      <c r="M36">
        <f>IF('01_Master_Data'!B36="","",IF(LOWER(TRIM('01_Master_Data'!W36&amp;""))="yes",1,0))</f>
        <v/>
      </c>
      <c r="N36">
        <f>IF('01_Master_Data'!B36="","",IF(LOWER(TRIM('01_Master_Data'!X36&amp;""))="yes",1,0))</f>
        <v/>
      </c>
      <c r="O36">
        <f>IF('01_Master_Data'!B36="","",IF(LOWER(TRIM('01_Master_Data'!Y36&amp;""))="yes",1,0))</f>
        <v/>
      </c>
      <c r="P36">
        <f>IF('01_Master_Data'!B36="","",IF(LOWER(TRIM('01_Master_Data'!Z36&amp;""))="yes",1,0))</f>
        <v/>
      </c>
      <c r="Q36">
        <f>IF(A36="","",L36+M36+N36+O36+P36)</f>
        <v/>
      </c>
      <c r="R36">
        <f>IF(A36="","",IF(Q36&gt;1,"Yes","No"))</f>
        <v/>
      </c>
      <c r="S36">
        <f>IF(A36="","",TEXTJOIN(", ",TRUE,IF(L36=1,"ICICI",""),IF(M36=1,"Propelld",""),IF(N36=1,"Study4Buddy",""),IF(O36=1,"Poonawala Fincorp",""),IF(P36=1,"GyanDhan","")))</f>
        <v/>
      </c>
      <c r="T36">
        <f>IF(A36="","",IF(L36=1,"ICICI",IF(M36=1,"Propelld",IF(P36=1,"GyanDhan",IF(N36=1,"Study4Buddy",IF(O36=1,"Poonawala Fincorp",IF(ISNUMBER(SEARCH("GyanDhan",W36&amp;"")),"GyanDhan",IF(ISNUMBER(SEARCH("Icici",W36&amp;"")),"ICICI",IF(ISNUMBER(SEARCH("Propelld",W36&amp;"")),"Propelld",IF(ISNUMBER(SEARCH("vidyalakshmi",LOWER(W36&amp;"")),"PM Vidyalakshmi","—"))))))))))</f>
        <v/>
      </c>
      <c r="U36">
        <f>IF(A36="","",TRIM('01_Master_Data'!AA36&amp;""))</f>
        <v/>
      </c>
      <c r="V36">
        <f>IF(A36="","",TRIM('01_Master_Data'!AG36&amp;""))</f>
        <v/>
      </c>
      <c r="W36">
        <f>IF(A36="","",TRIM('01_Master_Data'!AH36&amp;""))</f>
        <v/>
      </c>
      <c r="X36">
        <f>IF(A36="","",IF(OR(LOWER(H36)="refund",LOWER(U36)="refund case"),"Refund",IF(OR(LOWER(H36)="dnp",LOWER(U36)="dnp"),"DNP",IF(OR(LOWER(V36)="disbursed",ISNUMBER(SEARCH("Disbursed",W36&amp;""))),"Disbursed",IF(OR(LOWER(V36)="loan proccessed/accepted",ISNUMBER(SEARCH("sanctioned",LOWER(W36&amp;"")))),"Sanctioned",IF(OR(LOWER(V36)="rejected",ISNUMBER(SEARCH("Not eligbile",W36&amp;"")),ISNUMBER(SEARCH("Not eligible",W36&amp;""))),"Rejected",IF(ISNUMBER(SEARCH("Docs Pending",W36&amp;"")),"Documents Pending",IF(AND(LOWER(H36)="yes",LOWER(V36)="ongoing"),"Processing",IF(AND(LOWER(H36)="yes",Q36&gt;0,OR(V36="",LOWER(V36)="not even started")),"Vendor Assigned",IF(AND(LOWER(H36)="yes",LOWER(V36)="not even started"),"Need Loan",IF(LOWER(H36)="yes","Loan Started",IF(LOWER(H36)="not sure","Interested",IF(OR(LOWER(H36)="no",LOWER(V36)="not required"),"Not Required","Unclassified")))))))))))))</f>
        <v/>
      </c>
      <c r="Y36">
        <f>IF(A36="","",IF(OR(X36="Sanctioned",X36="Disbursed",X36="Approved"),"Approved",IF(X36="Rejected","Rejected",IF(OR(X36="Processing",X36="Documents Pending",X36="Vendor Assigned"),"In Progress",IF(X36="Need Loan","Pending Start","—"))))</f>
        <v/>
      </c>
      <c r="Z36">
        <f>IF(A36="","",IF(X36="Disbursed","Disbursed",IF(X36="Sanctioned","Sanctioned - Awaiting Disbursement","Not Disbursed")))</f>
        <v/>
      </c>
      <c r="AA36">
        <f>IF(A36="","",IF(LOWER(TRIM('01_Master_Data'!AI36&amp;""))="yes","Need FLDG",IF(LOWER(TRIM('01_Master_Data'!AK36&amp;""))="yes","Need Vidyalakshmi",IF(LOWER(TRIM('01_Master_Data'!AJ36&amp;""))="yes","Need Review",IF(LOWER(J36)="critical","Critical",IF(LOWER(U36)="risk","Risk Case",IF(X36="Refund","Refund","Normal")))))))</f>
        <v/>
      </c>
      <c r="AB36">
        <f>IF(A36="","",IF(OR(LOWER(J36)="critical",LOWER(TRIM('01_Master_Data'!AI36&amp;""))="yes",LOWER(TRIM('01_Master_Data'!AK36&amp;""))="yes",LOWER(U36)="risk"),"Yes","No"))</f>
        <v/>
      </c>
      <c r="AC36">
        <f>IF(A36="","",IF(LOWER(TRIM('01_Master_Data'!AI36&amp;""))="yes","Yes","No"))</f>
        <v/>
      </c>
      <c r="AD36">
        <f>IF(A36="","",IF(LOWER(TRIM('01_Master_Data'!AK36&amp;""))="yes","Yes","No"))</f>
        <v/>
      </c>
      <c r="AE36">
        <f>IF(A36="","",IF(LOWER(TRIM('01_Master_Data'!AJ36&amp;""))="yes","Yes","No"))</f>
        <v/>
      </c>
      <c r="AF36">
        <f>IF(A36="","",TRIM('01_Master_Data'!AL36&amp;""))</f>
        <v/>
      </c>
      <c r="AG36">
        <f>IF(A36="","",IF(AF36="","—",IF(ISNUMBER(SEARCH("DNP",AF36)),"Unreachable / DNP",IF(ISNUMBER(SEARCH("interest",LOWER(AF36))),"High Interest / Terms",IF(OR(ISNUMBER(SEARCH("eligib",LOWER(AF36))),ISNUMBER(SEARCH("income",LOWER(AF36)))),"Eligibility / Income",IF(OR(ISNUMBER(SEARCH("start",LOWER(AF36))),ISNUMBER(SEARCH("Newer",AF36)),ISNUMBER(SEARCH("Will start",AF36))),"Process Yet to Start",IF(ISNUMBER(SEARCH("sure",LOWER(AF36))),"Undecided",IF(OR(ISNUMBER(SEARCH("reject",LOWER(AF36))),ISNUMBER(SEARCH("SBI",AF36))),"Rejected Elsewhere",IF(ISNUMBER(SEARCH("call",LOWER(AF36))),"Bank Communication",IF(OR(ISNUMBER(SEARCH("father",LOWER(AF36))),ISNUMBER(SEARCH("sister",LOWER(AF36)))),"Family / Dependency","Other"))))))))))</f>
        <v/>
      </c>
      <c r="AH36">
        <f>IF(A36="","",'01_Master_Data'!AC36)</f>
        <v/>
      </c>
      <c r="AI36">
        <f>IF(A36="","",IF(OR(AH36="",NOT(ISNUMBER(AH36))),"",MAX(0,'02_Configuration'!$B$82-AH36)))</f>
        <v/>
      </c>
      <c r="AJ36">
        <f>IF(A36="","",IF(AI36="","Unknown",IF(AI36&lt;=3,"0–3 Days",IF(AI36&lt;=7,"4–7 Days",IF(AI36&lt;=15,"8–15 Days",IF(AI36&lt;=30,"16–30 Days","30+ Days"))))))</f>
        <v/>
      </c>
      <c r="AK36">
        <f>IF(A36="","",IF(LOWER(H36)="yes","Yes","No"))</f>
        <v/>
      </c>
      <c r="AL36">
        <f>IF(A36="","",'01_Master_Data'!T36)</f>
        <v/>
      </c>
      <c r="AM36">
        <f>IF(A36="","",'01_Master_Data'!S36)</f>
        <v/>
      </c>
      <c r="AN36">
        <f>IF(A36="","",'01_Master_Data'!I36)</f>
        <v/>
      </c>
      <c r="AO36">
        <f>IF(A36="","",'01_Master_Data'!M36)</f>
        <v/>
      </c>
      <c r="AP36">
        <f>IF(A36="","",IF(ISNUMBER(SEARCH("Icici",W36&amp;"")),1,0))</f>
        <v/>
      </c>
      <c r="AQ36">
        <f>IF(A36="","",IF(ISNUMBER(SEARCH("Propelld",W36&amp;"")),1,0))</f>
        <v/>
      </c>
      <c r="AR36">
        <f>IF(A36="","",IF(ISNUMBER(SEARCH("GyanDhan",W36&amp;"")),1,0))</f>
        <v/>
      </c>
      <c r="AS36">
        <f>IF(A36="","",IF(ISNUMBER(SEARCH("vidyalakshmi",LOWER(W36&amp;""))),1,0))</f>
        <v/>
      </c>
      <c r="AT36">
        <f>IF(A36="","",IF(ISNUMBER(SEARCH("other bank",LOWER(W36&amp;""))),1,0))</f>
        <v/>
      </c>
      <c r="AU36">
        <f>IF(A36="","",IF(ISNUMBER(SEARCH("sanctioned",LOWER(W36&amp;""))),1,0))</f>
        <v/>
      </c>
      <c r="AV36">
        <f>IF(A36="","",IF(ISNUMBER(SEARCH("Docs Pending",W36&amp;"")),1,0))</f>
        <v/>
      </c>
      <c r="AW36">
        <f>IF(A36="","",IF(OR(X36="Rejected",ISNUMBER(SEARCH("Not eligbile",W36&amp;""))),1,0))</f>
        <v/>
      </c>
    </row>
    <row r="37">
      <c r="A37">
        <f>IF('01_Master_Data'!B37="","",36)</f>
        <v/>
      </c>
      <c r="B37">
        <f>IF('01_Master_Data'!B37="","",IF('01_Master_Data'!C37&lt;&gt;"","MOB|"&amp;TEXT('01_Master_Data'!C37,"0"),IF('01_Master_Data'!D37&lt;&gt;"","PID|"&amp;TRIM('01_Master_Data'!D37&amp;""),"")))</f>
        <v/>
      </c>
      <c r="C37">
        <f>IF('01_Master_Data'!B37="","",'01_Master_Data'!B37)</f>
        <v/>
      </c>
      <c r="D37">
        <f>IF('01_Master_Data'!B37="","",'01_Master_Data'!C37)</f>
        <v/>
      </c>
      <c r="E37">
        <f>IF('01_Master_Data'!B37="","",'01_Master_Data'!D37)</f>
        <v/>
      </c>
      <c r="F37">
        <f>IF('01_Master_Data'!B37="","",'01_Master_Data'!E37)</f>
        <v/>
      </c>
      <c r="G37">
        <f>IF('01_Master_Data'!B37="","",IFERROR(VLOOKUP(TRIM('01_Master_Data'!E37&amp;""),'02_Configuration'!$A$40:$B$44,2,FALSE),UPPER(TRIM('01_Master_Data'!E37&amp;""))))</f>
        <v/>
      </c>
      <c r="H37">
        <f>IF('01_Master_Data'!B37="","",IF('01_Master_Data'!U37="","",TRIM('01_Master_Data'!U37&amp;"")))</f>
        <v/>
      </c>
      <c r="I37">
        <f>IF('01_Master_Data'!B37="","",TRIM('01_Master_Data'!F37&amp;""))</f>
        <v/>
      </c>
      <c r="J37">
        <f>IF('01_Master_Data'!B37="","",TRIM('01_Master_Data'!G37&amp;""))</f>
        <v/>
      </c>
      <c r="K37">
        <f>IF('01_Master_Data'!B37="","",'01_Master_Data'!H37)</f>
        <v/>
      </c>
      <c r="L37">
        <f>IF('01_Master_Data'!B37="","",IF(LOWER(TRIM('01_Master_Data'!V37&amp;""))="yes",1,0))</f>
        <v/>
      </c>
      <c r="M37">
        <f>IF('01_Master_Data'!B37="","",IF(LOWER(TRIM('01_Master_Data'!W37&amp;""))="yes",1,0))</f>
        <v/>
      </c>
      <c r="N37">
        <f>IF('01_Master_Data'!B37="","",IF(LOWER(TRIM('01_Master_Data'!X37&amp;""))="yes",1,0))</f>
        <v/>
      </c>
      <c r="O37">
        <f>IF('01_Master_Data'!B37="","",IF(LOWER(TRIM('01_Master_Data'!Y37&amp;""))="yes",1,0))</f>
        <v/>
      </c>
      <c r="P37">
        <f>IF('01_Master_Data'!B37="","",IF(LOWER(TRIM('01_Master_Data'!Z37&amp;""))="yes",1,0))</f>
        <v/>
      </c>
      <c r="Q37">
        <f>IF(A37="","",L37+M37+N37+O37+P37)</f>
        <v/>
      </c>
      <c r="R37">
        <f>IF(A37="","",IF(Q37&gt;1,"Yes","No"))</f>
        <v/>
      </c>
      <c r="S37">
        <f>IF(A37="","",TEXTJOIN(", ",TRUE,IF(L37=1,"ICICI",""),IF(M37=1,"Propelld",""),IF(N37=1,"Study4Buddy",""),IF(O37=1,"Poonawala Fincorp",""),IF(P37=1,"GyanDhan","")))</f>
        <v/>
      </c>
      <c r="T37">
        <f>IF(A37="","",IF(L37=1,"ICICI",IF(M37=1,"Propelld",IF(P37=1,"GyanDhan",IF(N37=1,"Study4Buddy",IF(O37=1,"Poonawala Fincorp",IF(ISNUMBER(SEARCH("GyanDhan",W37&amp;"")),"GyanDhan",IF(ISNUMBER(SEARCH("Icici",W37&amp;"")),"ICICI",IF(ISNUMBER(SEARCH("Propelld",W37&amp;"")),"Propelld",IF(ISNUMBER(SEARCH("vidyalakshmi",LOWER(W37&amp;"")),"PM Vidyalakshmi","—"))))))))))</f>
        <v/>
      </c>
      <c r="U37">
        <f>IF(A37="","",TRIM('01_Master_Data'!AA37&amp;""))</f>
        <v/>
      </c>
      <c r="V37">
        <f>IF(A37="","",TRIM('01_Master_Data'!AG37&amp;""))</f>
        <v/>
      </c>
      <c r="W37">
        <f>IF(A37="","",TRIM('01_Master_Data'!AH37&amp;""))</f>
        <v/>
      </c>
      <c r="X37">
        <f>IF(A37="","",IF(OR(LOWER(H37)="refund",LOWER(U37)="refund case"),"Refund",IF(OR(LOWER(H37)="dnp",LOWER(U37)="dnp"),"DNP",IF(OR(LOWER(V37)="disbursed",ISNUMBER(SEARCH("Disbursed",W37&amp;""))),"Disbursed",IF(OR(LOWER(V37)="loan proccessed/accepted",ISNUMBER(SEARCH("sanctioned",LOWER(W37&amp;"")))),"Sanctioned",IF(OR(LOWER(V37)="rejected",ISNUMBER(SEARCH("Not eligbile",W37&amp;"")),ISNUMBER(SEARCH("Not eligible",W37&amp;""))),"Rejected",IF(ISNUMBER(SEARCH("Docs Pending",W37&amp;"")),"Documents Pending",IF(AND(LOWER(H37)="yes",LOWER(V37)="ongoing"),"Processing",IF(AND(LOWER(H37)="yes",Q37&gt;0,OR(V37="",LOWER(V37)="not even started")),"Vendor Assigned",IF(AND(LOWER(H37)="yes",LOWER(V37)="not even started"),"Need Loan",IF(LOWER(H37)="yes","Loan Started",IF(LOWER(H37)="not sure","Interested",IF(OR(LOWER(H37)="no",LOWER(V37)="not required"),"Not Required","Unclassified")))))))))))))</f>
        <v/>
      </c>
      <c r="Y37">
        <f>IF(A37="","",IF(OR(X37="Sanctioned",X37="Disbursed",X37="Approved"),"Approved",IF(X37="Rejected","Rejected",IF(OR(X37="Processing",X37="Documents Pending",X37="Vendor Assigned"),"In Progress",IF(X37="Need Loan","Pending Start","—"))))</f>
        <v/>
      </c>
      <c r="Z37">
        <f>IF(A37="","",IF(X37="Disbursed","Disbursed",IF(X37="Sanctioned","Sanctioned - Awaiting Disbursement","Not Disbursed")))</f>
        <v/>
      </c>
      <c r="AA37">
        <f>IF(A37="","",IF(LOWER(TRIM('01_Master_Data'!AI37&amp;""))="yes","Need FLDG",IF(LOWER(TRIM('01_Master_Data'!AK37&amp;""))="yes","Need Vidyalakshmi",IF(LOWER(TRIM('01_Master_Data'!AJ37&amp;""))="yes","Need Review",IF(LOWER(J37)="critical","Critical",IF(LOWER(U37)="risk","Risk Case",IF(X37="Refund","Refund","Normal")))))))</f>
        <v/>
      </c>
      <c r="AB37">
        <f>IF(A37="","",IF(OR(LOWER(J37)="critical",LOWER(TRIM('01_Master_Data'!AI37&amp;""))="yes",LOWER(TRIM('01_Master_Data'!AK37&amp;""))="yes",LOWER(U37)="risk"),"Yes","No"))</f>
        <v/>
      </c>
      <c r="AC37">
        <f>IF(A37="","",IF(LOWER(TRIM('01_Master_Data'!AI37&amp;""))="yes","Yes","No"))</f>
        <v/>
      </c>
      <c r="AD37">
        <f>IF(A37="","",IF(LOWER(TRIM('01_Master_Data'!AK37&amp;""))="yes","Yes","No"))</f>
        <v/>
      </c>
      <c r="AE37">
        <f>IF(A37="","",IF(LOWER(TRIM('01_Master_Data'!AJ37&amp;""))="yes","Yes","No"))</f>
        <v/>
      </c>
      <c r="AF37">
        <f>IF(A37="","",TRIM('01_Master_Data'!AL37&amp;""))</f>
        <v/>
      </c>
      <c r="AG37">
        <f>IF(A37="","",IF(AF37="","—",IF(ISNUMBER(SEARCH("DNP",AF37)),"Unreachable / DNP",IF(ISNUMBER(SEARCH("interest",LOWER(AF37))),"High Interest / Terms",IF(OR(ISNUMBER(SEARCH("eligib",LOWER(AF37))),ISNUMBER(SEARCH("income",LOWER(AF37)))),"Eligibility / Income",IF(OR(ISNUMBER(SEARCH("start",LOWER(AF37))),ISNUMBER(SEARCH("Newer",AF37)),ISNUMBER(SEARCH("Will start",AF37))),"Process Yet to Start",IF(ISNUMBER(SEARCH("sure",LOWER(AF37))),"Undecided",IF(OR(ISNUMBER(SEARCH("reject",LOWER(AF37))),ISNUMBER(SEARCH("SBI",AF37))),"Rejected Elsewhere",IF(ISNUMBER(SEARCH("call",LOWER(AF37))),"Bank Communication",IF(OR(ISNUMBER(SEARCH("father",LOWER(AF37))),ISNUMBER(SEARCH("sister",LOWER(AF37)))),"Family / Dependency","Other"))))))))))</f>
        <v/>
      </c>
      <c r="AH37">
        <f>IF(A37="","",'01_Master_Data'!AC37)</f>
        <v/>
      </c>
      <c r="AI37">
        <f>IF(A37="","",IF(OR(AH37="",NOT(ISNUMBER(AH37))),"",MAX(0,'02_Configuration'!$B$82-AH37)))</f>
        <v/>
      </c>
      <c r="AJ37">
        <f>IF(A37="","",IF(AI37="","Unknown",IF(AI37&lt;=3,"0–3 Days",IF(AI37&lt;=7,"4–7 Days",IF(AI37&lt;=15,"8–15 Days",IF(AI37&lt;=30,"16–30 Days","30+ Days"))))))</f>
        <v/>
      </c>
      <c r="AK37">
        <f>IF(A37="","",IF(LOWER(H37)="yes","Yes","No"))</f>
        <v/>
      </c>
      <c r="AL37">
        <f>IF(A37="","",'01_Master_Data'!T37)</f>
        <v/>
      </c>
      <c r="AM37">
        <f>IF(A37="","",'01_Master_Data'!S37)</f>
        <v/>
      </c>
      <c r="AN37">
        <f>IF(A37="","",'01_Master_Data'!I37)</f>
        <v/>
      </c>
      <c r="AO37">
        <f>IF(A37="","",'01_Master_Data'!M37)</f>
        <v/>
      </c>
      <c r="AP37">
        <f>IF(A37="","",IF(ISNUMBER(SEARCH("Icici",W37&amp;"")),1,0))</f>
        <v/>
      </c>
      <c r="AQ37">
        <f>IF(A37="","",IF(ISNUMBER(SEARCH("Propelld",W37&amp;"")),1,0))</f>
        <v/>
      </c>
      <c r="AR37">
        <f>IF(A37="","",IF(ISNUMBER(SEARCH("GyanDhan",W37&amp;"")),1,0))</f>
        <v/>
      </c>
      <c r="AS37">
        <f>IF(A37="","",IF(ISNUMBER(SEARCH("vidyalakshmi",LOWER(W37&amp;""))),1,0))</f>
        <v/>
      </c>
      <c r="AT37">
        <f>IF(A37="","",IF(ISNUMBER(SEARCH("other bank",LOWER(W37&amp;""))),1,0))</f>
        <v/>
      </c>
      <c r="AU37">
        <f>IF(A37="","",IF(ISNUMBER(SEARCH("sanctioned",LOWER(W37&amp;""))),1,0))</f>
        <v/>
      </c>
      <c r="AV37">
        <f>IF(A37="","",IF(ISNUMBER(SEARCH("Docs Pending",W37&amp;"")),1,0))</f>
        <v/>
      </c>
      <c r="AW37">
        <f>IF(A37="","",IF(OR(X37="Rejected",ISNUMBER(SEARCH("Not eligbile",W37&amp;""))),1,0))</f>
        <v/>
      </c>
    </row>
    <row r="38">
      <c r="A38">
        <f>IF('01_Master_Data'!B38="","",37)</f>
        <v/>
      </c>
      <c r="B38">
        <f>IF('01_Master_Data'!B38="","",IF('01_Master_Data'!C38&lt;&gt;"","MOB|"&amp;TEXT('01_Master_Data'!C38,"0"),IF('01_Master_Data'!D38&lt;&gt;"","PID|"&amp;TRIM('01_Master_Data'!D38&amp;""),"")))</f>
        <v/>
      </c>
      <c r="C38">
        <f>IF('01_Master_Data'!B38="","",'01_Master_Data'!B38)</f>
        <v/>
      </c>
      <c r="D38">
        <f>IF('01_Master_Data'!B38="","",'01_Master_Data'!C38)</f>
        <v/>
      </c>
      <c r="E38">
        <f>IF('01_Master_Data'!B38="","",'01_Master_Data'!D38)</f>
        <v/>
      </c>
      <c r="F38">
        <f>IF('01_Master_Data'!B38="","",'01_Master_Data'!E38)</f>
        <v/>
      </c>
      <c r="G38">
        <f>IF('01_Master_Data'!B38="","",IFERROR(VLOOKUP(TRIM('01_Master_Data'!E38&amp;""),'02_Configuration'!$A$40:$B$44,2,FALSE),UPPER(TRIM('01_Master_Data'!E38&amp;""))))</f>
        <v/>
      </c>
      <c r="H38">
        <f>IF('01_Master_Data'!B38="","",IF('01_Master_Data'!U38="","",TRIM('01_Master_Data'!U38&amp;"")))</f>
        <v/>
      </c>
      <c r="I38">
        <f>IF('01_Master_Data'!B38="","",TRIM('01_Master_Data'!F38&amp;""))</f>
        <v/>
      </c>
      <c r="J38">
        <f>IF('01_Master_Data'!B38="","",TRIM('01_Master_Data'!G38&amp;""))</f>
        <v/>
      </c>
      <c r="K38">
        <f>IF('01_Master_Data'!B38="","",'01_Master_Data'!H38)</f>
        <v/>
      </c>
      <c r="L38">
        <f>IF('01_Master_Data'!B38="","",IF(LOWER(TRIM('01_Master_Data'!V38&amp;""))="yes",1,0))</f>
        <v/>
      </c>
      <c r="M38">
        <f>IF('01_Master_Data'!B38="","",IF(LOWER(TRIM('01_Master_Data'!W38&amp;""))="yes",1,0))</f>
        <v/>
      </c>
      <c r="N38">
        <f>IF('01_Master_Data'!B38="","",IF(LOWER(TRIM('01_Master_Data'!X38&amp;""))="yes",1,0))</f>
        <v/>
      </c>
      <c r="O38">
        <f>IF('01_Master_Data'!B38="","",IF(LOWER(TRIM('01_Master_Data'!Y38&amp;""))="yes",1,0))</f>
        <v/>
      </c>
      <c r="P38">
        <f>IF('01_Master_Data'!B38="","",IF(LOWER(TRIM('01_Master_Data'!Z38&amp;""))="yes",1,0))</f>
        <v/>
      </c>
      <c r="Q38">
        <f>IF(A38="","",L38+M38+N38+O38+P38)</f>
        <v/>
      </c>
      <c r="R38">
        <f>IF(A38="","",IF(Q38&gt;1,"Yes","No"))</f>
        <v/>
      </c>
      <c r="S38">
        <f>IF(A38="","",TEXTJOIN(", ",TRUE,IF(L38=1,"ICICI",""),IF(M38=1,"Propelld",""),IF(N38=1,"Study4Buddy",""),IF(O38=1,"Poonawala Fincorp",""),IF(P38=1,"GyanDhan","")))</f>
        <v/>
      </c>
      <c r="T38">
        <f>IF(A38="","",IF(L38=1,"ICICI",IF(M38=1,"Propelld",IF(P38=1,"GyanDhan",IF(N38=1,"Study4Buddy",IF(O38=1,"Poonawala Fincorp",IF(ISNUMBER(SEARCH("GyanDhan",W38&amp;"")),"GyanDhan",IF(ISNUMBER(SEARCH("Icici",W38&amp;"")),"ICICI",IF(ISNUMBER(SEARCH("Propelld",W38&amp;"")),"Propelld",IF(ISNUMBER(SEARCH("vidyalakshmi",LOWER(W38&amp;"")),"PM Vidyalakshmi","—"))))))))))</f>
        <v/>
      </c>
      <c r="U38">
        <f>IF(A38="","",TRIM('01_Master_Data'!AA38&amp;""))</f>
        <v/>
      </c>
      <c r="V38">
        <f>IF(A38="","",TRIM('01_Master_Data'!AG38&amp;""))</f>
        <v/>
      </c>
      <c r="W38">
        <f>IF(A38="","",TRIM('01_Master_Data'!AH38&amp;""))</f>
        <v/>
      </c>
      <c r="X38">
        <f>IF(A38="","",IF(OR(LOWER(H38)="refund",LOWER(U38)="refund case"),"Refund",IF(OR(LOWER(H38)="dnp",LOWER(U38)="dnp"),"DNP",IF(OR(LOWER(V38)="disbursed",ISNUMBER(SEARCH("Disbursed",W38&amp;""))),"Disbursed",IF(OR(LOWER(V38)="loan proccessed/accepted",ISNUMBER(SEARCH("sanctioned",LOWER(W38&amp;"")))),"Sanctioned",IF(OR(LOWER(V38)="rejected",ISNUMBER(SEARCH("Not eligbile",W38&amp;"")),ISNUMBER(SEARCH("Not eligible",W38&amp;""))),"Rejected",IF(ISNUMBER(SEARCH("Docs Pending",W38&amp;"")),"Documents Pending",IF(AND(LOWER(H38)="yes",LOWER(V38)="ongoing"),"Processing",IF(AND(LOWER(H38)="yes",Q38&gt;0,OR(V38="",LOWER(V38)="not even started")),"Vendor Assigned",IF(AND(LOWER(H38)="yes",LOWER(V38)="not even started"),"Need Loan",IF(LOWER(H38)="yes","Loan Started",IF(LOWER(H38)="not sure","Interested",IF(OR(LOWER(H38)="no",LOWER(V38)="not required"),"Not Required","Unclassified")))))))))))))</f>
        <v/>
      </c>
      <c r="Y38">
        <f>IF(A38="","",IF(OR(X38="Sanctioned",X38="Disbursed",X38="Approved"),"Approved",IF(X38="Rejected","Rejected",IF(OR(X38="Processing",X38="Documents Pending",X38="Vendor Assigned"),"In Progress",IF(X38="Need Loan","Pending Start","—"))))</f>
        <v/>
      </c>
      <c r="Z38">
        <f>IF(A38="","",IF(X38="Disbursed","Disbursed",IF(X38="Sanctioned","Sanctioned - Awaiting Disbursement","Not Disbursed")))</f>
        <v/>
      </c>
      <c r="AA38">
        <f>IF(A38="","",IF(LOWER(TRIM('01_Master_Data'!AI38&amp;""))="yes","Need FLDG",IF(LOWER(TRIM('01_Master_Data'!AK38&amp;""))="yes","Need Vidyalakshmi",IF(LOWER(TRIM('01_Master_Data'!AJ38&amp;""))="yes","Need Review",IF(LOWER(J38)="critical","Critical",IF(LOWER(U38)="risk","Risk Case",IF(X38="Refund","Refund","Normal")))))))</f>
        <v/>
      </c>
      <c r="AB38">
        <f>IF(A38="","",IF(OR(LOWER(J38)="critical",LOWER(TRIM('01_Master_Data'!AI38&amp;""))="yes",LOWER(TRIM('01_Master_Data'!AK38&amp;""))="yes",LOWER(U38)="risk"),"Yes","No"))</f>
        <v/>
      </c>
      <c r="AC38">
        <f>IF(A38="","",IF(LOWER(TRIM('01_Master_Data'!AI38&amp;""))="yes","Yes","No"))</f>
        <v/>
      </c>
      <c r="AD38">
        <f>IF(A38="","",IF(LOWER(TRIM('01_Master_Data'!AK38&amp;""))="yes","Yes","No"))</f>
        <v/>
      </c>
      <c r="AE38">
        <f>IF(A38="","",IF(LOWER(TRIM('01_Master_Data'!AJ38&amp;""))="yes","Yes","No"))</f>
        <v/>
      </c>
      <c r="AF38">
        <f>IF(A38="","",TRIM('01_Master_Data'!AL38&amp;""))</f>
        <v/>
      </c>
      <c r="AG38">
        <f>IF(A38="","",IF(AF38="","—",IF(ISNUMBER(SEARCH("DNP",AF38)),"Unreachable / DNP",IF(ISNUMBER(SEARCH("interest",LOWER(AF38))),"High Interest / Terms",IF(OR(ISNUMBER(SEARCH("eligib",LOWER(AF38))),ISNUMBER(SEARCH("income",LOWER(AF38)))),"Eligibility / Income",IF(OR(ISNUMBER(SEARCH("start",LOWER(AF38))),ISNUMBER(SEARCH("Newer",AF38)),ISNUMBER(SEARCH("Will start",AF38))),"Process Yet to Start",IF(ISNUMBER(SEARCH("sure",LOWER(AF38))),"Undecided",IF(OR(ISNUMBER(SEARCH("reject",LOWER(AF38))),ISNUMBER(SEARCH("SBI",AF38))),"Rejected Elsewhere",IF(ISNUMBER(SEARCH("call",LOWER(AF38))),"Bank Communication",IF(OR(ISNUMBER(SEARCH("father",LOWER(AF38))),ISNUMBER(SEARCH("sister",LOWER(AF38)))),"Family / Dependency","Other"))))))))))</f>
        <v/>
      </c>
      <c r="AH38">
        <f>IF(A38="","",'01_Master_Data'!AC38)</f>
        <v/>
      </c>
      <c r="AI38">
        <f>IF(A38="","",IF(OR(AH38="",NOT(ISNUMBER(AH38))),"",MAX(0,'02_Configuration'!$B$82-AH38)))</f>
        <v/>
      </c>
      <c r="AJ38">
        <f>IF(A38="","",IF(AI38="","Unknown",IF(AI38&lt;=3,"0–3 Days",IF(AI38&lt;=7,"4–7 Days",IF(AI38&lt;=15,"8–15 Days",IF(AI38&lt;=30,"16–30 Days","30+ Days"))))))</f>
        <v/>
      </c>
      <c r="AK38">
        <f>IF(A38="","",IF(LOWER(H38)="yes","Yes","No"))</f>
        <v/>
      </c>
      <c r="AL38">
        <f>IF(A38="","",'01_Master_Data'!T38)</f>
        <v/>
      </c>
      <c r="AM38">
        <f>IF(A38="","",'01_Master_Data'!S38)</f>
        <v/>
      </c>
      <c r="AN38">
        <f>IF(A38="","",'01_Master_Data'!I38)</f>
        <v/>
      </c>
      <c r="AO38">
        <f>IF(A38="","",'01_Master_Data'!M38)</f>
        <v/>
      </c>
      <c r="AP38">
        <f>IF(A38="","",IF(ISNUMBER(SEARCH("Icici",W38&amp;"")),1,0))</f>
        <v/>
      </c>
      <c r="AQ38">
        <f>IF(A38="","",IF(ISNUMBER(SEARCH("Propelld",W38&amp;"")),1,0))</f>
        <v/>
      </c>
      <c r="AR38">
        <f>IF(A38="","",IF(ISNUMBER(SEARCH("GyanDhan",W38&amp;"")),1,0))</f>
        <v/>
      </c>
      <c r="AS38">
        <f>IF(A38="","",IF(ISNUMBER(SEARCH("vidyalakshmi",LOWER(W38&amp;""))),1,0))</f>
        <v/>
      </c>
      <c r="AT38">
        <f>IF(A38="","",IF(ISNUMBER(SEARCH("other bank",LOWER(W38&amp;""))),1,0))</f>
        <v/>
      </c>
      <c r="AU38">
        <f>IF(A38="","",IF(ISNUMBER(SEARCH("sanctioned",LOWER(W38&amp;""))),1,0))</f>
        <v/>
      </c>
      <c r="AV38">
        <f>IF(A38="","",IF(ISNUMBER(SEARCH("Docs Pending",W38&amp;"")),1,0))</f>
        <v/>
      </c>
      <c r="AW38">
        <f>IF(A38="","",IF(OR(X38="Rejected",ISNUMBER(SEARCH("Not eligbile",W38&amp;""))),1,0))</f>
        <v/>
      </c>
    </row>
    <row r="39">
      <c r="A39">
        <f>IF('01_Master_Data'!B39="","",38)</f>
        <v/>
      </c>
      <c r="B39">
        <f>IF('01_Master_Data'!B39="","",IF('01_Master_Data'!C39&lt;&gt;"","MOB|"&amp;TEXT('01_Master_Data'!C39,"0"),IF('01_Master_Data'!D39&lt;&gt;"","PID|"&amp;TRIM('01_Master_Data'!D39&amp;""),"")))</f>
        <v/>
      </c>
      <c r="C39">
        <f>IF('01_Master_Data'!B39="","",'01_Master_Data'!B39)</f>
        <v/>
      </c>
      <c r="D39">
        <f>IF('01_Master_Data'!B39="","",'01_Master_Data'!C39)</f>
        <v/>
      </c>
      <c r="E39">
        <f>IF('01_Master_Data'!B39="","",'01_Master_Data'!D39)</f>
        <v/>
      </c>
      <c r="F39">
        <f>IF('01_Master_Data'!B39="","",'01_Master_Data'!E39)</f>
        <v/>
      </c>
      <c r="G39">
        <f>IF('01_Master_Data'!B39="","",IFERROR(VLOOKUP(TRIM('01_Master_Data'!E39&amp;""),'02_Configuration'!$A$40:$B$44,2,FALSE),UPPER(TRIM('01_Master_Data'!E39&amp;""))))</f>
        <v/>
      </c>
      <c r="H39">
        <f>IF('01_Master_Data'!B39="","",IF('01_Master_Data'!U39="","",TRIM('01_Master_Data'!U39&amp;"")))</f>
        <v/>
      </c>
      <c r="I39">
        <f>IF('01_Master_Data'!B39="","",TRIM('01_Master_Data'!F39&amp;""))</f>
        <v/>
      </c>
      <c r="J39">
        <f>IF('01_Master_Data'!B39="","",TRIM('01_Master_Data'!G39&amp;""))</f>
        <v/>
      </c>
      <c r="K39">
        <f>IF('01_Master_Data'!B39="","",'01_Master_Data'!H39)</f>
        <v/>
      </c>
      <c r="L39">
        <f>IF('01_Master_Data'!B39="","",IF(LOWER(TRIM('01_Master_Data'!V39&amp;""))="yes",1,0))</f>
        <v/>
      </c>
      <c r="M39">
        <f>IF('01_Master_Data'!B39="","",IF(LOWER(TRIM('01_Master_Data'!W39&amp;""))="yes",1,0))</f>
        <v/>
      </c>
      <c r="N39">
        <f>IF('01_Master_Data'!B39="","",IF(LOWER(TRIM('01_Master_Data'!X39&amp;""))="yes",1,0))</f>
        <v/>
      </c>
      <c r="O39">
        <f>IF('01_Master_Data'!B39="","",IF(LOWER(TRIM('01_Master_Data'!Y39&amp;""))="yes",1,0))</f>
        <v/>
      </c>
      <c r="P39">
        <f>IF('01_Master_Data'!B39="","",IF(LOWER(TRIM('01_Master_Data'!Z39&amp;""))="yes",1,0))</f>
        <v/>
      </c>
      <c r="Q39">
        <f>IF(A39="","",L39+M39+N39+O39+P39)</f>
        <v/>
      </c>
      <c r="R39">
        <f>IF(A39="","",IF(Q39&gt;1,"Yes","No"))</f>
        <v/>
      </c>
      <c r="S39">
        <f>IF(A39="","",TEXTJOIN(", ",TRUE,IF(L39=1,"ICICI",""),IF(M39=1,"Propelld",""),IF(N39=1,"Study4Buddy",""),IF(O39=1,"Poonawala Fincorp",""),IF(P39=1,"GyanDhan","")))</f>
        <v/>
      </c>
      <c r="T39">
        <f>IF(A39="","",IF(L39=1,"ICICI",IF(M39=1,"Propelld",IF(P39=1,"GyanDhan",IF(N39=1,"Study4Buddy",IF(O39=1,"Poonawala Fincorp",IF(ISNUMBER(SEARCH("GyanDhan",W39&amp;"")),"GyanDhan",IF(ISNUMBER(SEARCH("Icici",W39&amp;"")),"ICICI",IF(ISNUMBER(SEARCH("Propelld",W39&amp;"")),"Propelld",IF(ISNUMBER(SEARCH("vidyalakshmi",LOWER(W39&amp;"")),"PM Vidyalakshmi","—"))))))))))</f>
        <v/>
      </c>
      <c r="U39">
        <f>IF(A39="","",TRIM('01_Master_Data'!AA39&amp;""))</f>
        <v/>
      </c>
      <c r="V39">
        <f>IF(A39="","",TRIM('01_Master_Data'!AG39&amp;""))</f>
        <v/>
      </c>
      <c r="W39">
        <f>IF(A39="","",TRIM('01_Master_Data'!AH39&amp;""))</f>
        <v/>
      </c>
      <c r="X39">
        <f>IF(A39="","",IF(OR(LOWER(H39)="refund",LOWER(U39)="refund case"),"Refund",IF(OR(LOWER(H39)="dnp",LOWER(U39)="dnp"),"DNP",IF(OR(LOWER(V39)="disbursed",ISNUMBER(SEARCH("Disbursed",W39&amp;""))),"Disbursed",IF(OR(LOWER(V39)="loan proccessed/accepted",ISNUMBER(SEARCH("sanctioned",LOWER(W39&amp;"")))),"Sanctioned",IF(OR(LOWER(V39)="rejected",ISNUMBER(SEARCH("Not eligbile",W39&amp;"")),ISNUMBER(SEARCH("Not eligible",W39&amp;""))),"Rejected",IF(ISNUMBER(SEARCH("Docs Pending",W39&amp;"")),"Documents Pending",IF(AND(LOWER(H39)="yes",LOWER(V39)="ongoing"),"Processing",IF(AND(LOWER(H39)="yes",Q39&gt;0,OR(V39="",LOWER(V39)="not even started")),"Vendor Assigned",IF(AND(LOWER(H39)="yes",LOWER(V39)="not even started"),"Need Loan",IF(LOWER(H39)="yes","Loan Started",IF(LOWER(H39)="not sure","Interested",IF(OR(LOWER(H39)="no",LOWER(V39)="not required"),"Not Required","Unclassified")))))))))))))</f>
        <v/>
      </c>
      <c r="Y39">
        <f>IF(A39="","",IF(OR(X39="Sanctioned",X39="Disbursed",X39="Approved"),"Approved",IF(X39="Rejected","Rejected",IF(OR(X39="Processing",X39="Documents Pending",X39="Vendor Assigned"),"In Progress",IF(X39="Need Loan","Pending Start","—"))))</f>
        <v/>
      </c>
      <c r="Z39">
        <f>IF(A39="","",IF(X39="Disbursed","Disbursed",IF(X39="Sanctioned","Sanctioned - Awaiting Disbursement","Not Disbursed")))</f>
        <v/>
      </c>
      <c r="AA39">
        <f>IF(A39="","",IF(LOWER(TRIM('01_Master_Data'!AI39&amp;""))="yes","Need FLDG",IF(LOWER(TRIM('01_Master_Data'!AK39&amp;""))="yes","Need Vidyalakshmi",IF(LOWER(TRIM('01_Master_Data'!AJ39&amp;""))="yes","Need Review",IF(LOWER(J39)="critical","Critical",IF(LOWER(U39)="risk","Risk Case",IF(X39="Refund","Refund","Normal")))))))</f>
        <v/>
      </c>
      <c r="AB39">
        <f>IF(A39="","",IF(OR(LOWER(J39)="critical",LOWER(TRIM('01_Master_Data'!AI39&amp;""))="yes",LOWER(TRIM('01_Master_Data'!AK39&amp;""))="yes",LOWER(U39)="risk"),"Yes","No"))</f>
        <v/>
      </c>
      <c r="AC39">
        <f>IF(A39="","",IF(LOWER(TRIM('01_Master_Data'!AI39&amp;""))="yes","Yes","No"))</f>
        <v/>
      </c>
      <c r="AD39">
        <f>IF(A39="","",IF(LOWER(TRIM('01_Master_Data'!AK39&amp;""))="yes","Yes","No"))</f>
        <v/>
      </c>
      <c r="AE39">
        <f>IF(A39="","",IF(LOWER(TRIM('01_Master_Data'!AJ39&amp;""))="yes","Yes","No"))</f>
        <v/>
      </c>
      <c r="AF39">
        <f>IF(A39="","",TRIM('01_Master_Data'!AL39&amp;""))</f>
        <v/>
      </c>
      <c r="AG39">
        <f>IF(A39="","",IF(AF39="","—",IF(ISNUMBER(SEARCH("DNP",AF39)),"Unreachable / DNP",IF(ISNUMBER(SEARCH("interest",LOWER(AF39))),"High Interest / Terms",IF(OR(ISNUMBER(SEARCH("eligib",LOWER(AF39))),ISNUMBER(SEARCH("income",LOWER(AF39)))),"Eligibility / Income",IF(OR(ISNUMBER(SEARCH("start",LOWER(AF39))),ISNUMBER(SEARCH("Newer",AF39)),ISNUMBER(SEARCH("Will start",AF39))),"Process Yet to Start",IF(ISNUMBER(SEARCH("sure",LOWER(AF39))),"Undecided",IF(OR(ISNUMBER(SEARCH("reject",LOWER(AF39))),ISNUMBER(SEARCH("SBI",AF39))),"Rejected Elsewhere",IF(ISNUMBER(SEARCH("call",LOWER(AF39))),"Bank Communication",IF(OR(ISNUMBER(SEARCH("father",LOWER(AF39))),ISNUMBER(SEARCH("sister",LOWER(AF39)))),"Family / Dependency","Other"))))))))))</f>
        <v/>
      </c>
      <c r="AH39">
        <f>IF(A39="","",'01_Master_Data'!AC39)</f>
        <v/>
      </c>
      <c r="AI39">
        <f>IF(A39="","",IF(OR(AH39="",NOT(ISNUMBER(AH39))),"",MAX(0,'02_Configuration'!$B$82-AH39)))</f>
        <v/>
      </c>
      <c r="AJ39">
        <f>IF(A39="","",IF(AI39="","Unknown",IF(AI39&lt;=3,"0–3 Days",IF(AI39&lt;=7,"4–7 Days",IF(AI39&lt;=15,"8–15 Days",IF(AI39&lt;=30,"16–30 Days","30+ Days"))))))</f>
        <v/>
      </c>
      <c r="AK39">
        <f>IF(A39="","",IF(LOWER(H39)="yes","Yes","No"))</f>
        <v/>
      </c>
      <c r="AL39">
        <f>IF(A39="","",'01_Master_Data'!T39)</f>
        <v/>
      </c>
      <c r="AM39">
        <f>IF(A39="","",'01_Master_Data'!S39)</f>
        <v/>
      </c>
      <c r="AN39">
        <f>IF(A39="","",'01_Master_Data'!I39)</f>
        <v/>
      </c>
      <c r="AO39">
        <f>IF(A39="","",'01_Master_Data'!M39)</f>
        <v/>
      </c>
      <c r="AP39">
        <f>IF(A39="","",IF(ISNUMBER(SEARCH("Icici",W39&amp;"")),1,0))</f>
        <v/>
      </c>
      <c r="AQ39">
        <f>IF(A39="","",IF(ISNUMBER(SEARCH("Propelld",W39&amp;"")),1,0))</f>
        <v/>
      </c>
      <c r="AR39">
        <f>IF(A39="","",IF(ISNUMBER(SEARCH("GyanDhan",W39&amp;"")),1,0))</f>
        <v/>
      </c>
      <c r="AS39">
        <f>IF(A39="","",IF(ISNUMBER(SEARCH("vidyalakshmi",LOWER(W39&amp;""))),1,0))</f>
        <v/>
      </c>
      <c r="AT39">
        <f>IF(A39="","",IF(ISNUMBER(SEARCH("other bank",LOWER(W39&amp;""))),1,0))</f>
        <v/>
      </c>
      <c r="AU39">
        <f>IF(A39="","",IF(ISNUMBER(SEARCH("sanctioned",LOWER(W39&amp;""))),1,0))</f>
        <v/>
      </c>
      <c r="AV39">
        <f>IF(A39="","",IF(ISNUMBER(SEARCH("Docs Pending",W39&amp;"")),1,0))</f>
        <v/>
      </c>
      <c r="AW39">
        <f>IF(A39="","",IF(OR(X39="Rejected",ISNUMBER(SEARCH("Not eligbile",W39&amp;""))),1,0))</f>
        <v/>
      </c>
    </row>
    <row r="40">
      <c r="A40">
        <f>IF('01_Master_Data'!B40="","",39)</f>
        <v/>
      </c>
      <c r="B40">
        <f>IF('01_Master_Data'!B40="","",IF('01_Master_Data'!C40&lt;&gt;"","MOB|"&amp;TEXT('01_Master_Data'!C40,"0"),IF('01_Master_Data'!D40&lt;&gt;"","PID|"&amp;TRIM('01_Master_Data'!D40&amp;""),"")))</f>
        <v/>
      </c>
      <c r="C40">
        <f>IF('01_Master_Data'!B40="","",'01_Master_Data'!B40)</f>
        <v/>
      </c>
      <c r="D40">
        <f>IF('01_Master_Data'!B40="","",'01_Master_Data'!C40)</f>
        <v/>
      </c>
      <c r="E40">
        <f>IF('01_Master_Data'!B40="","",'01_Master_Data'!D40)</f>
        <v/>
      </c>
      <c r="F40">
        <f>IF('01_Master_Data'!B40="","",'01_Master_Data'!E40)</f>
        <v/>
      </c>
      <c r="G40">
        <f>IF('01_Master_Data'!B40="","",IFERROR(VLOOKUP(TRIM('01_Master_Data'!E40&amp;""),'02_Configuration'!$A$40:$B$44,2,FALSE),UPPER(TRIM('01_Master_Data'!E40&amp;""))))</f>
        <v/>
      </c>
      <c r="H40">
        <f>IF('01_Master_Data'!B40="","",IF('01_Master_Data'!U40="","",TRIM('01_Master_Data'!U40&amp;"")))</f>
        <v/>
      </c>
      <c r="I40">
        <f>IF('01_Master_Data'!B40="","",TRIM('01_Master_Data'!F40&amp;""))</f>
        <v/>
      </c>
      <c r="J40">
        <f>IF('01_Master_Data'!B40="","",TRIM('01_Master_Data'!G40&amp;""))</f>
        <v/>
      </c>
      <c r="K40">
        <f>IF('01_Master_Data'!B40="","",'01_Master_Data'!H40)</f>
        <v/>
      </c>
      <c r="L40">
        <f>IF('01_Master_Data'!B40="","",IF(LOWER(TRIM('01_Master_Data'!V40&amp;""))="yes",1,0))</f>
        <v/>
      </c>
      <c r="M40">
        <f>IF('01_Master_Data'!B40="","",IF(LOWER(TRIM('01_Master_Data'!W40&amp;""))="yes",1,0))</f>
        <v/>
      </c>
      <c r="N40">
        <f>IF('01_Master_Data'!B40="","",IF(LOWER(TRIM('01_Master_Data'!X40&amp;""))="yes",1,0))</f>
        <v/>
      </c>
      <c r="O40">
        <f>IF('01_Master_Data'!B40="","",IF(LOWER(TRIM('01_Master_Data'!Y40&amp;""))="yes",1,0))</f>
        <v/>
      </c>
      <c r="P40">
        <f>IF('01_Master_Data'!B40="","",IF(LOWER(TRIM('01_Master_Data'!Z40&amp;""))="yes",1,0))</f>
        <v/>
      </c>
      <c r="Q40">
        <f>IF(A40="","",L40+M40+N40+O40+P40)</f>
        <v/>
      </c>
      <c r="R40">
        <f>IF(A40="","",IF(Q40&gt;1,"Yes","No"))</f>
        <v/>
      </c>
      <c r="S40">
        <f>IF(A40="","",TEXTJOIN(", ",TRUE,IF(L40=1,"ICICI",""),IF(M40=1,"Propelld",""),IF(N40=1,"Study4Buddy",""),IF(O40=1,"Poonawala Fincorp",""),IF(P40=1,"GyanDhan","")))</f>
        <v/>
      </c>
      <c r="T40">
        <f>IF(A40="","",IF(L40=1,"ICICI",IF(M40=1,"Propelld",IF(P40=1,"GyanDhan",IF(N40=1,"Study4Buddy",IF(O40=1,"Poonawala Fincorp",IF(ISNUMBER(SEARCH("GyanDhan",W40&amp;"")),"GyanDhan",IF(ISNUMBER(SEARCH("Icici",W40&amp;"")),"ICICI",IF(ISNUMBER(SEARCH("Propelld",W40&amp;"")),"Propelld",IF(ISNUMBER(SEARCH("vidyalakshmi",LOWER(W40&amp;"")),"PM Vidyalakshmi","—"))))))))))</f>
        <v/>
      </c>
      <c r="U40">
        <f>IF(A40="","",TRIM('01_Master_Data'!AA40&amp;""))</f>
        <v/>
      </c>
      <c r="V40">
        <f>IF(A40="","",TRIM('01_Master_Data'!AG40&amp;""))</f>
        <v/>
      </c>
      <c r="W40">
        <f>IF(A40="","",TRIM('01_Master_Data'!AH40&amp;""))</f>
        <v/>
      </c>
      <c r="X40">
        <f>IF(A40="","",IF(OR(LOWER(H40)="refund",LOWER(U40)="refund case"),"Refund",IF(OR(LOWER(H40)="dnp",LOWER(U40)="dnp"),"DNP",IF(OR(LOWER(V40)="disbursed",ISNUMBER(SEARCH("Disbursed",W40&amp;""))),"Disbursed",IF(OR(LOWER(V40)="loan proccessed/accepted",ISNUMBER(SEARCH("sanctioned",LOWER(W40&amp;"")))),"Sanctioned",IF(OR(LOWER(V40)="rejected",ISNUMBER(SEARCH("Not eligbile",W40&amp;"")),ISNUMBER(SEARCH("Not eligible",W40&amp;""))),"Rejected",IF(ISNUMBER(SEARCH("Docs Pending",W40&amp;"")),"Documents Pending",IF(AND(LOWER(H40)="yes",LOWER(V40)="ongoing"),"Processing",IF(AND(LOWER(H40)="yes",Q40&gt;0,OR(V40="",LOWER(V40)="not even started")),"Vendor Assigned",IF(AND(LOWER(H40)="yes",LOWER(V40)="not even started"),"Need Loan",IF(LOWER(H40)="yes","Loan Started",IF(LOWER(H40)="not sure","Interested",IF(OR(LOWER(H40)="no",LOWER(V40)="not required"),"Not Required","Unclassified")))))))))))))</f>
        <v/>
      </c>
      <c r="Y40">
        <f>IF(A40="","",IF(OR(X40="Sanctioned",X40="Disbursed",X40="Approved"),"Approved",IF(X40="Rejected","Rejected",IF(OR(X40="Processing",X40="Documents Pending",X40="Vendor Assigned"),"In Progress",IF(X40="Need Loan","Pending Start","—"))))</f>
        <v/>
      </c>
      <c r="Z40">
        <f>IF(A40="","",IF(X40="Disbursed","Disbursed",IF(X40="Sanctioned","Sanctioned - Awaiting Disbursement","Not Disbursed")))</f>
        <v/>
      </c>
      <c r="AA40">
        <f>IF(A40="","",IF(LOWER(TRIM('01_Master_Data'!AI40&amp;""))="yes","Need FLDG",IF(LOWER(TRIM('01_Master_Data'!AK40&amp;""))="yes","Need Vidyalakshmi",IF(LOWER(TRIM('01_Master_Data'!AJ40&amp;""))="yes","Need Review",IF(LOWER(J40)="critical","Critical",IF(LOWER(U40)="risk","Risk Case",IF(X40="Refund","Refund","Normal")))))))</f>
        <v/>
      </c>
      <c r="AB40">
        <f>IF(A40="","",IF(OR(LOWER(J40)="critical",LOWER(TRIM('01_Master_Data'!AI40&amp;""))="yes",LOWER(TRIM('01_Master_Data'!AK40&amp;""))="yes",LOWER(U40)="risk"),"Yes","No"))</f>
        <v/>
      </c>
      <c r="AC40">
        <f>IF(A40="","",IF(LOWER(TRIM('01_Master_Data'!AI40&amp;""))="yes","Yes","No"))</f>
        <v/>
      </c>
      <c r="AD40">
        <f>IF(A40="","",IF(LOWER(TRIM('01_Master_Data'!AK40&amp;""))="yes","Yes","No"))</f>
        <v/>
      </c>
      <c r="AE40">
        <f>IF(A40="","",IF(LOWER(TRIM('01_Master_Data'!AJ40&amp;""))="yes","Yes","No"))</f>
        <v/>
      </c>
      <c r="AF40">
        <f>IF(A40="","",TRIM('01_Master_Data'!AL40&amp;""))</f>
        <v/>
      </c>
      <c r="AG40">
        <f>IF(A40="","",IF(AF40="","—",IF(ISNUMBER(SEARCH("DNP",AF40)),"Unreachable / DNP",IF(ISNUMBER(SEARCH("interest",LOWER(AF40))),"High Interest / Terms",IF(OR(ISNUMBER(SEARCH("eligib",LOWER(AF40))),ISNUMBER(SEARCH("income",LOWER(AF40)))),"Eligibility / Income",IF(OR(ISNUMBER(SEARCH("start",LOWER(AF40))),ISNUMBER(SEARCH("Newer",AF40)),ISNUMBER(SEARCH("Will start",AF40))),"Process Yet to Start",IF(ISNUMBER(SEARCH("sure",LOWER(AF40))),"Undecided",IF(OR(ISNUMBER(SEARCH("reject",LOWER(AF40))),ISNUMBER(SEARCH("SBI",AF40))),"Rejected Elsewhere",IF(ISNUMBER(SEARCH("call",LOWER(AF40))),"Bank Communication",IF(OR(ISNUMBER(SEARCH("father",LOWER(AF40))),ISNUMBER(SEARCH("sister",LOWER(AF40)))),"Family / Dependency","Other"))))))))))</f>
        <v/>
      </c>
      <c r="AH40">
        <f>IF(A40="","",'01_Master_Data'!AC40)</f>
        <v/>
      </c>
      <c r="AI40">
        <f>IF(A40="","",IF(OR(AH40="",NOT(ISNUMBER(AH40))),"",MAX(0,'02_Configuration'!$B$82-AH40)))</f>
        <v/>
      </c>
      <c r="AJ40">
        <f>IF(A40="","",IF(AI40="","Unknown",IF(AI40&lt;=3,"0–3 Days",IF(AI40&lt;=7,"4–7 Days",IF(AI40&lt;=15,"8–15 Days",IF(AI40&lt;=30,"16–30 Days","30+ Days"))))))</f>
        <v/>
      </c>
      <c r="AK40">
        <f>IF(A40="","",IF(LOWER(H40)="yes","Yes","No"))</f>
        <v/>
      </c>
      <c r="AL40">
        <f>IF(A40="","",'01_Master_Data'!T40)</f>
        <v/>
      </c>
      <c r="AM40">
        <f>IF(A40="","",'01_Master_Data'!S40)</f>
        <v/>
      </c>
      <c r="AN40">
        <f>IF(A40="","",'01_Master_Data'!I40)</f>
        <v/>
      </c>
      <c r="AO40">
        <f>IF(A40="","",'01_Master_Data'!M40)</f>
        <v/>
      </c>
      <c r="AP40">
        <f>IF(A40="","",IF(ISNUMBER(SEARCH("Icici",W40&amp;"")),1,0))</f>
        <v/>
      </c>
      <c r="AQ40">
        <f>IF(A40="","",IF(ISNUMBER(SEARCH("Propelld",W40&amp;"")),1,0))</f>
        <v/>
      </c>
      <c r="AR40">
        <f>IF(A40="","",IF(ISNUMBER(SEARCH("GyanDhan",W40&amp;"")),1,0))</f>
        <v/>
      </c>
      <c r="AS40">
        <f>IF(A40="","",IF(ISNUMBER(SEARCH("vidyalakshmi",LOWER(W40&amp;""))),1,0))</f>
        <v/>
      </c>
      <c r="AT40">
        <f>IF(A40="","",IF(ISNUMBER(SEARCH("other bank",LOWER(W40&amp;""))),1,0))</f>
        <v/>
      </c>
      <c r="AU40">
        <f>IF(A40="","",IF(ISNUMBER(SEARCH("sanctioned",LOWER(W40&amp;""))),1,0))</f>
        <v/>
      </c>
      <c r="AV40">
        <f>IF(A40="","",IF(ISNUMBER(SEARCH("Docs Pending",W40&amp;"")),1,0))</f>
        <v/>
      </c>
      <c r="AW40">
        <f>IF(A40="","",IF(OR(X40="Rejected",ISNUMBER(SEARCH("Not eligbile",W40&amp;""))),1,0))</f>
        <v/>
      </c>
    </row>
    <row r="41">
      <c r="A41">
        <f>IF('01_Master_Data'!B41="","",40)</f>
        <v/>
      </c>
      <c r="B41">
        <f>IF('01_Master_Data'!B41="","",IF('01_Master_Data'!C41&lt;&gt;"","MOB|"&amp;TEXT('01_Master_Data'!C41,"0"),IF('01_Master_Data'!D41&lt;&gt;"","PID|"&amp;TRIM('01_Master_Data'!D41&amp;""),"")))</f>
        <v/>
      </c>
      <c r="C41">
        <f>IF('01_Master_Data'!B41="","",'01_Master_Data'!B41)</f>
        <v/>
      </c>
      <c r="D41">
        <f>IF('01_Master_Data'!B41="","",'01_Master_Data'!C41)</f>
        <v/>
      </c>
      <c r="E41">
        <f>IF('01_Master_Data'!B41="","",'01_Master_Data'!D41)</f>
        <v/>
      </c>
      <c r="F41">
        <f>IF('01_Master_Data'!B41="","",'01_Master_Data'!E41)</f>
        <v/>
      </c>
      <c r="G41">
        <f>IF('01_Master_Data'!B41="","",IFERROR(VLOOKUP(TRIM('01_Master_Data'!E41&amp;""),'02_Configuration'!$A$40:$B$44,2,FALSE),UPPER(TRIM('01_Master_Data'!E41&amp;""))))</f>
        <v/>
      </c>
      <c r="H41">
        <f>IF('01_Master_Data'!B41="","",IF('01_Master_Data'!U41="","",TRIM('01_Master_Data'!U41&amp;"")))</f>
        <v/>
      </c>
      <c r="I41">
        <f>IF('01_Master_Data'!B41="","",TRIM('01_Master_Data'!F41&amp;""))</f>
        <v/>
      </c>
      <c r="J41">
        <f>IF('01_Master_Data'!B41="","",TRIM('01_Master_Data'!G41&amp;""))</f>
        <v/>
      </c>
      <c r="K41">
        <f>IF('01_Master_Data'!B41="","",'01_Master_Data'!H41)</f>
        <v/>
      </c>
      <c r="L41">
        <f>IF('01_Master_Data'!B41="","",IF(LOWER(TRIM('01_Master_Data'!V41&amp;""))="yes",1,0))</f>
        <v/>
      </c>
      <c r="M41">
        <f>IF('01_Master_Data'!B41="","",IF(LOWER(TRIM('01_Master_Data'!W41&amp;""))="yes",1,0))</f>
        <v/>
      </c>
      <c r="N41">
        <f>IF('01_Master_Data'!B41="","",IF(LOWER(TRIM('01_Master_Data'!X41&amp;""))="yes",1,0))</f>
        <v/>
      </c>
      <c r="O41">
        <f>IF('01_Master_Data'!B41="","",IF(LOWER(TRIM('01_Master_Data'!Y41&amp;""))="yes",1,0))</f>
        <v/>
      </c>
      <c r="P41">
        <f>IF('01_Master_Data'!B41="","",IF(LOWER(TRIM('01_Master_Data'!Z41&amp;""))="yes",1,0))</f>
        <v/>
      </c>
      <c r="Q41">
        <f>IF(A41="","",L41+M41+N41+O41+P41)</f>
        <v/>
      </c>
      <c r="R41">
        <f>IF(A41="","",IF(Q41&gt;1,"Yes","No"))</f>
        <v/>
      </c>
      <c r="S41">
        <f>IF(A41="","",TEXTJOIN(", ",TRUE,IF(L41=1,"ICICI",""),IF(M41=1,"Propelld",""),IF(N41=1,"Study4Buddy",""),IF(O41=1,"Poonawala Fincorp",""),IF(P41=1,"GyanDhan","")))</f>
        <v/>
      </c>
      <c r="T41">
        <f>IF(A41="","",IF(L41=1,"ICICI",IF(M41=1,"Propelld",IF(P41=1,"GyanDhan",IF(N41=1,"Study4Buddy",IF(O41=1,"Poonawala Fincorp",IF(ISNUMBER(SEARCH("GyanDhan",W41&amp;"")),"GyanDhan",IF(ISNUMBER(SEARCH("Icici",W41&amp;"")),"ICICI",IF(ISNUMBER(SEARCH("Propelld",W41&amp;"")),"Propelld",IF(ISNUMBER(SEARCH("vidyalakshmi",LOWER(W41&amp;"")),"PM Vidyalakshmi","—"))))))))))</f>
        <v/>
      </c>
      <c r="U41">
        <f>IF(A41="","",TRIM('01_Master_Data'!AA41&amp;""))</f>
        <v/>
      </c>
      <c r="V41">
        <f>IF(A41="","",TRIM('01_Master_Data'!AG41&amp;""))</f>
        <v/>
      </c>
      <c r="W41">
        <f>IF(A41="","",TRIM('01_Master_Data'!AH41&amp;""))</f>
        <v/>
      </c>
      <c r="X41">
        <f>IF(A41="","",IF(OR(LOWER(H41)="refund",LOWER(U41)="refund case"),"Refund",IF(OR(LOWER(H41)="dnp",LOWER(U41)="dnp"),"DNP",IF(OR(LOWER(V41)="disbursed",ISNUMBER(SEARCH("Disbursed",W41&amp;""))),"Disbursed",IF(OR(LOWER(V41)="loan proccessed/accepted",ISNUMBER(SEARCH("sanctioned",LOWER(W41&amp;"")))),"Sanctioned",IF(OR(LOWER(V41)="rejected",ISNUMBER(SEARCH("Not eligbile",W41&amp;"")),ISNUMBER(SEARCH("Not eligible",W41&amp;""))),"Rejected",IF(ISNUMBER(SEARCH("Docs Pending",W41&amp;"")),"Documents Pending",IF(AND(LOWER(H41)="yes",LOWER(V41)="ongoing"),"Processing",IF(AND(LOWER(H41)="yes",Q41&gt;0,OR(V41="",LOWER(V41)="not even started")),"Vendor Assigned",IF(AND(LOWER(H41)="yes",LOWER(V41)="not even started"),"Need Loan",IF(LOWER(H41)="yes","Loan Started",IF(LOWER(H41)="not sure","Interested",IF(OR(LOWER(H41)="no",LOWER(V41)="not required"),"Not Required","Unclassified")))))))))))))</f>
        <v/>
      </c>
      <c r="Y41">
        <f>IF(A41="","",IF(OR(X41="Sanctioned",X41="Disbursed",X41="Approved"),"Approved",IF(X41="Rejected","Rejected",IF(OR(X41="Processing",X41="Documents Pending",X41="Vendor Assigned"),"In Progress",IF(X41="Need Loan","Pending Start","—"))))</f>
        <v/>
      </c>
      <c r="Z41">
        <f>IF(A41="","",IF(X41="Disbursed","Disbursed",IF(X41="Sanctioned","Sanctioned - Awaiting Disbursement","Not Disbursed")))</f>
        <v/>
      </c>
      <c r="AA41">
        <f>IF(A41="","",IF(LOWER(TRIM('01_Master_Data'!AI41&amp;""))="yes","Need FLDG",IF(LOWER(TRIM('01_Master_Data'!AK41&amp;""))="yes","Need Vidyalakshmi",IF(LOWER(TRIM('01_Master_Data'!AJ41&amp;""))="yes","Need Review",IF(LOWER(J41)="critical","Critical",IF(LOWER(U41)="risk","Risk Case",IF(X41="Refund","Refund","Normal")))))))</f>
        <v/>
      </c>
      <c r="AB41">
        <f>IF(A41="","",IF(OR(LOWER(J41)="critical",LOWER(TRIM('01_Master_Data'!AI41&amp;""))="yes",LOWER(TRIM('01_Master_Data'!AK41&amp;""))="yes",LOWER(U41)="risk"),"Yes","No"))</f>
        <v/>
      </c>
      <c r="AC41">
        <f>IF(A41="","",IF(LOWER(TRIM('01_Master_Data'!AI41&amp;""))="yes","Yes","No"))</f>
        <v/>
      </c>
      <c r="AD41">
        <f>IF(A41="","",IF(LOWER(TRIM('01_Master_Data'!AK41&amp;""))="yes","Yes","No"))</f>
        <v/>
      </c>
      <c r="AE41">
        <f>IF(A41="","",IF(LOWER(TRIM('01_Master_Data'!AJ41&amp;""))="yes","Yes","No"))</f>
        <v/>
      </c>
      <c r="AF41">
        <f>IF(A41="","",TRIM('01_Master_Data'!AL41&amp;""))</f>
        <v/>
      </c>
      <c r="AG41">
        <f>IF(A41="","",IF(AF41="","—",IF(ISNUMBER(SEARCH("DNP",AF41)),"Unreachable / DNP",IF(ISNUMBER(SEARCH("interest",LOWER(AF41))),"High Interest / Terms",IF(OR(ISNUMBER(SEARCH("eligib",LOWER(AF41))),ISNUMBER(SEARCH("income",LOWER(AF41)))),"Eligibility / Income",IF(OR(ISNUMBER(SEARCH("start",LOWER(AF41))),ISNUMBER(SEARCH("Newer",AF41)),ISNUMBER(SEARCH("Will start",AF41))),"Process Yet to Start",IF(ISNUMBER(SEARCH("sure",LOWER(AF41))),"Undecided",IF(OR(ISNUMBER(SEARCH("reject",LOWER(AF41))),ISNUMBER(SEARCH("SBI",AF41))),"Rejected Elsewhere",IF(ISNUMBER(SEARCH("call",LOWER(AF41))),"Bank Communication",IF(OR(ISNUMBER(SEARCH("father",LOWER(AF41))),ISNUMBER(SEARCH("sister",LOWER(AF41)))),"Family / Dependency","Other"))))))))))</f>
        <v/>
      </c>
      <c r="AH41">
        <f>IF(A41="","",'01_Master_Data'!AC41)</f>
        <v/>
      </c>
      <c r="AI41">
        <f>IF(A41="","",IF(OR(AH41="",NOT(ISNUMBER(AH41))),"",MAX(0,'02_Configuration'!$B$82-AH41)))</f>
        <v/>
      </c>
      <c r="AJ41">
        <f>IF(A41="","",IF(AI41="","Unknown",IF(AI41&lt;=3,"0–3 Days",IF(AI41&lt;=7,"4–7 Days",IF(AI41&lt;=15,"8–15 Days",IF(AI41&lt;=30,"16–30 Days","30+ Days"))))))</f>
        <v/>
      </c>
      <c r="AK41">
        <f>IF(A41="","",IF(LOWER(H41)="yes","Yes","No"))</f>
        <v/>
      </c>
      <c r="AL41">
        <f>IF(A41="","",'01_Master_Data'!T41)</f>
        <v/>
      </c>
      <c r="AM41">
        <f>IF(A41="","",'01_Master_Data'!S41)</f>
        <v/>
      </c>
      <c r="AN41">
        <f>IF(A41="","",'01_Master_Data'!I41)</f>
        <v/>
      </c>
      <c r="AO41">
        <f>IF(A41="","",'01_Master_Data'!M41)</f>
        <v/>
      </c>
      <c r="AP41">
        <f>IF(A41="","",IF(ISNUMBER(SEARCH("Icici",W41&amp;"")),1,0))</f>
        <v/>
      </c>
      <c r="AQ41">
        <f>IF(A41="","",IF(ISNUMBER(SEARCH("Propelld",W41&amp;"")),1,0))</f>
        <v/>
      </c>
      <c r="AR41">
        <f>IF(A41="","",IF(ISNUMBER(SEARCH("GyanDhan",W41&amp;"")),1,0))</f>
        <v/>
      </c>
      <c r="AS41">
        <f>IF(A41="","",IF(ISNUMBER(SEARCH("vidyalakshmi",LOWER(W41&amp;""))),1,0))</f>
        <v/>
      </c>
      <c r="AT41">
        <f>IF(A41="","",IF(ISNUMBER(SEARCH("other bank",LOWER(W41&amp;""))),1,0))</f>
        <v/>
      </c>
      <c r="AU41">
        <f>IF(A41="","",IF(ISNUMBER(SEARCH("sanctioned",LOWER(W41&amp;""))),1,0))</f>
        <v/>
      </c>
      <c r="AV41">
        <f>IF(A41="","",IF(ISNUMBER(SEARCH("Docs Pending",W41&amp;"")),1,0))</f>
        <v/>
      </c>
      <c r="AW41">
        <f>IF(A41="","",IF(OR(X41="Rejected",ISNUMBER(SEARCH("Not eligbile",W41&amp;""))),1,0))</f>
        <v/>
      </c>
    </row>
    <row r="42">
      <c r="A42">
        <f>IF('01_Master_Data'!B42="","",41)</f>
        <v/>
      </c>
      <c r="B42">
        <f>IF('01_Master_Data'!B42="","",IF('01_Master_Data'!C42&lt;&gt;"","MOB|"&amp;TEXT('01_Master_Data'!C42,"0"),IF('01_Master_Data'!D42&lt;&gt;"","PID|"&amp;TRIM('01_Master_Data'!D42&amp;""),"")))</f>
        <v/>
      </c>
      <c r="C42">
        <f>IF('01_Master_Data'!B42="","",'01_Master_Data'!B42)</f>
        <v/>
      </c>
      <c r="D42">
        <f>IF('01_Master_Data'!B42="","",'01_Master_Data'!C42)</f>
        <v/>
      </c>
      <c r="E42">
        <f>IF('01_Master_Data'!B42="","",'01_Master_Data'!D42)</f>
        <v/>
      </c>
      <c r="F42">
        <f>IF('01_Master_Data'!B42="","",'01_Master_Data'!E42)</f>
        <v/>
      </c>
      <c r="G42">
        <f>IF('01_Master_Data'!B42="","",IFERROR(VLOOKUP(TRIM('01_Master_Data'!E42&amp;""),'02_Configuration'!$A$40:$B$44,2,FALSE),UPPER(TRIM('01_Master_Data'!E42&amp;""))))</f>
        <v/>
      </c>
      <c r="H42">
        <f>IF('01_Master_Data'!B42="","",IF('01_Master_Data'!U42="","",TRIM('01_Master_Data'!U42&amp;"")))</f>
        <v/>
      </c>
      <c r="I42">
        <f>IF('01_Master_Data'!B42="","",TRIM('01_Master_Data'!F42&amp;""))</f>
        <v/>
      </c>
      <c r="J42">
        <f>IF('01_Master_Data'!B42="","",TRIM('01_Master_Data'!G42&amp;""))</f>
        <v/>
      </c>
      <c r="K42">
        <f>IF('01_Master_Data'!B42="","",'01_Master_Data'!H42)</f>
        <v/>
      </c>
      <c r="L42">
        <f>IF('01_Master_Data'!B42="","",IF(LOWER(TRIM('01_Master_Data'!V42&amp;""))="yes",1,0))</f>
        <v/>
      </c>
      <c r="M42">
        <f>IF('01_Master_Data'!B42="","",IF(LOWER(TRIM('01_Master_Data'!W42&amp;""))="yes",1,0))</f>
        <v/>
      </c>
      <c r="N42">
        <f>IF('01_Master_Data'!B42="","",IF(LOWER(TRIM('01_Master_Data'!X42&amp;""))="yes",1,0))</f>
        <v/>
      </c>
      <c r="O42">
        <f>IF('01_Master_Data'!B42="","",IF(LOWER(TRIM('01_Master_Data'!Y42&amp;""))="yes",1,0))</f>
        <v/>
      </c>
      <c r="P42">
        <f>IF('01_Master_Data'!B42="","",IF(LOWER(TRIM('01_Master_Data'!Z42&amp;""))="yes",1,0))</f>
        <v/>
      </c>
      <c r="Q42">
        <f>IF(A42="","",L42+M42+N42+O42+P42)</f>
        <v/>
      </c>
      <c r="R42">
        <f>IF(A42="","",IF(Q42&gt;1,"Yes","No"))</f>
        <v/>
      </c>
      <c r="S42">
        <f>IF(A42="","",TEXTJOIN(", ",TRUE,IF(L42=1,"ICICI",""),IF(M42=1,"Propelld",""),IF(N42=1,"Study4Buddy",""),IF(O42=1,"Poonawala Fincorp",""),IF(P42=1,"GyanDhan","")))</f>
        <v/>
      </c>
      <c r="T42">
        <f>IF(A42="","",IF(L42=1,"ICICI",IF(M42=1,"Propelld",IF(P42=1,"GyanDhan",IF(N42=1,"Study4Buddy",IF(O42=1,"Poonawala Fincorp",IF(ISNUMBER(SEARCH("GyanDhan",W42&amp;"")),"GyanDhan",IF(ISNUMBER(SEARCH("Icici",W42&amp;"")),"ICICI",IF(ISNUMBER(SEARCH("Propelld",W42&amp;"")),"Propelld",IF(ISNUMBER(SEARCH("vidyalakshmi",LOWER(W42&amp;"")),"PM Vidyalakshmi","—"))))))))))</f>
        <v/>
      </c>
      <c r="U42">
        <f>IF(A42="","",TRIM('01_Master_Data'!AA42&amp;""))</f>
        <v/>
      </c>
      <c r="V42">
        <f>IF(A42="","",TRIM('01_Master_Data'!AG42&amp;""))</f>
        <v/>
      </c>
      <c r="W42">
        <f>IF(A42="","",TRIM('01_Master_Data'!AH42&amp;""))</f>
        <v/>
      </c>
      <c r="X42">
        <f>IF(A42="","",IF(OR(LOWER(H42)="refund",LOWER(U42)="refund case"),"Refund",IF(OR(LOWER(H42)="dnp",LOWER(U42)="dnp"),"DNP",IF(OR(LOWER(V42)="disbursed",ISNUMBER(SEARCH("Disbursed",W42&amp;""))),"Disbursed",IF(OR(LOWER(V42)="loan proccessed/accepted",ISNUMBER(SEARCH("sanctioned",LOWER(W42&amp;"")))),"Sanctioned",IF(OR(LOWER(V42)="rejected",ISNUMBER(SEARCH("Not eligbile",W42&amp;"")),ISNUMBER(SEARCH("Not eligible",W42&amp;""))),"Rejected",IF(ISNUMBER(SEARCH("Docs Pending",W42&amp;"")),"Documents Pending",IF(AND(LOWER(H42)="yes",LOWER(V42)="ongoing"),"Processing",IF(AND(LOWER(H42)="yes",Q42&gt;0,OR(V42="",LOWER(V42)="not even started")),"Vendor Assigned",IF(AND(LOWER(H42)="yes",LOWER(V42)="not even started"),"Need Loan",IF(LOWER(H42)="yes","Loan Started",IF(LOWER(H42)="not sure","Interested",IF(OR(LOWER(H42)="no",LOWER(V42)="not required"),"Not Required","Unclassified")))))))))))))</f>
        <v/>
      </c>
      <c r="Y42">
        <f>IF(A42="","",IF(OR(X42="Sanctioned",X42="Disbursed",X42="Approved"),"Approved",IF(X42="Rejected","Rejected",IF(OR(X42="Processing",X42="Documents Pending",X42="Vendor Assigned"),"In Progress",IF(X42="Need Loan","Pending Start","—"))))</f>
        <v/>
      </c>
      <c r="Z42">
        <f>IF(A42="","",IF(X42="Disbursed","Disbursed",IF(X42="Sanctioned","Sanctioned - Awaiting Disbursement","Not Disbursed")))</f>
        <v/>
      </c>
      <c r="AA42">
        <f>IF(A42="","",IF(LOWER(TRIM('01_Master_Data'!AI42&amp;""))="yes","Need FLDG",IF(LOWER(TRIM('01_Master_Data'!AK42&amp;""))="yes","Need Vidyalakshmi",IF(LOWER(TRIM('01_Master_Data'!AJ42&amp;""))="yes","Need Review",IF(LOWER(J42)="critical","Critical",IF(LOWER(U42)="risk","Risk Case",IF(X42="Refund","Refund","Normal")))))))</f>
        <v/>
      </c>
      <c r="AB42">
        <f>IF(A42="","",IF(OR(LOWER(J42)="critical",LOWER(TRIM('01_Master_Data'!AI42&amp;""))="yes",LOWER(TRIM('01_Master_Data'!AK42&amp;""))="yes",LOWER(U42)="risk"),"Yes","No"))</f>
        <v/>
      </c>
      <c r="AC42">
        <f>IF(A42="","",IF(LOWER(TRIM('01_Master_Data'!AI42&amp;""))="yes","Yes","No"))</f>
        <v/>
      </c>
      <c r="AD42">
        <f>IF(A42="","",IF(LOWER(TRIM('01_Master_Data'!AK42&amp;""))="yes","Yes","No"))</f>
        <v/>
      </c>
      <c r="AE42">
        <f>IF(A42="","",IF(LOWER(TRIM('01_Master_Data'!AJ42&amp;""))="yes","Yes","No"))</f>
        <v/>
      </c>
      <c r="AF42">
        <f>IF(A42="","",TRIM('01_Master_Data'!AL42&amp;""))</f>
        <v/>
      </c>
      <c r="AG42">
        <f>IF(A42="","",IF(AF42="","—",IF(ISNUMBER(SEARCH("DNP",AF42)),"Unreachable / DNP",IF(ISNUMBER(SEARCH("interest",LOWER(AF42))),"High Interest / Terms",IF(OR(ISNUMBER(SEARCH("eligib",LOWER(AF42))),ISNUMBER(SEARCH("income",LOWER(AF42)))),"Eligibility / Income",IF(OR(ISNUMBER(SEARCH("start",LOWER(AF42))),ISNUMBER(SEARCH("Newer",AF42)),ISNUMBER(SEARCH("Will start",AF42))),"Process Yet to Start",IF(ISNUMBER(SEARCH("sure",LOWER(AF42))),"Undecided",IF(OR(ISNUMBER(SEARCH("reject",LOWER(AF42))),ISNUMBER(SEARCH("SBI",AF42))),"Rejected Elsewhere",IF(ISNUMBER(SEARCH("call",LOWER(AF42))),"Bank Communication",IF(OR(ISNUMBER(SEARCH("father",LOWER(AF42))),ISNUMBER(SEARCH("sister",LOWER(AF42)))),"Family / Dependency","Other"))))))))))</f>
        <v/>
      </c>
      <c r="AH42">
        <f>IF(A42="","",'01_Master_Data'!AC42)</f>
        <v/>
      </c>
      <c r="AI42">
        <f>IF(A42="","",IF(OR(AH42="",NOT(ISNUMBER(AH42))),"",MAX(0,'02_Configuration'!$B$82-AH42)))</f>
        <v/>
      </c>
      <c r="AJ42">
        <f>IF(A42="","",IF(AI42="","Unknown",IF(AI42&lt;=3,"0–3 Days",IF(AI42&lt;=7,"4–7 Days",IF(AI42&lt;=15,"8–15 Days",IF(AI42&lt;=30,"16–30 Days","30+ Days"))))))</f>
        <v/>
      </c>
      <c r="AK42">
        <f>IF(A42="","",IF(LOWER(H42)="yes","Yes","No"))</f>
        <v/>
      </c>
      <c r="AL42">
        <f>IF(A42="","",'01_Master_Data'!T42)</f>
        <v/>
      </c>
      <c r="AM42">
        <f>IF(A42="","",'01_Master_Data'!S42)</f>
        <v/>
      </c>
      <c r="AN42">
        <f>IF(A42="","",'01_Master_Data'!I42)</f>
        <v/>
      </c>
      <c r="AO42">
        <f>IF(A42="","",'01_Master_Data'!M42)</f>
        <v/>
      </c>
      <c r="AP42">
        <f>IF(A42="","",IF(ISNUMBER(SEARCH("Icici",W42&amp;"")),1,0))</f>
        <v/>
      </c>
      <c r="AQ42">
        <f>IF(A42="","",IF(ISNUMBER(SEARCH("Propelld",W42&amp;"")),1,0))</f>
        <v/>
      </c>
      <c r="AR42">
        <f>IF(A42="","",IF(ISNUMBER(SEARCH("GyanDhan",W42&amp;"")),1,0))</f>
        <v/>
      </c>
      <c r="AS42">
        <f>IF(A42="","",IF(ISNUMBER(SEARCH("vidyalakshmi",LOWER(W42&amp;""))),1,0))</f>
        <v/>
      </c>
      <c r="AT42">
        <f>IF(A42="","",IF(ISNUMBER(SEARCH("other bank",LOWER(W42&amp;""))),1,0))</f>
        <v/>
      </c>
      <c r="AU42">
        <f>IF(A42="","",IF(ISNUMBER(SEARCH("sanctioned",LOWER(W42&amp;""))),1,0))</f>
        <v/>
      </c>
      <c r="AV42">
        <f>IF(A42="","",IF(ISNUMBER(SEARCH("Docs Pending",W42&amp;"")),1,0))</f>
        <v/>
      </c>
      <c r="AW42">
        <f>IF(A42="","",IF(OR(X42="Rejected",ISNUMBER(SEARCH("Not eligbile",W42&amp;""))),1,0))</f>
        <v/>
      </c>
    </row>
    <row r="43">
      <c r="A43">
        <f>IF('01_Master_Data'!B43="","",42)</f>
        <v/>
      </c>
      <c r="B43">
        <f>IF('01_Master_Data'!B43="","",IF('01_Master_Data'!C43&lt;&gt;"","MOB|"&amp;TEXT('01_Master_Data'!C43,"0"),IF('01_Master_Data'!D43&lt;&gt;"","PID|"&amp;TRIM('01_Master_Data'!D43&amp;""),"")))</f>
        <v/>
      </c>
      <c r="C43">
        <f>IF('01_Master_Data'!B43="","",'01_Master_Data'!B43)</f>
        <v/>
      </c>
      <c r="D43">
        <f>IF('01_Master_Data'!B43="","",'01_Master_Data'!C43)</f>
        <v/>
      </c>
      <c r="E43">
        <f>IF('01_Master_Data'!B43="","",'01_Master_Data'!D43)</f>
        <v/>
      </c>
      <c r="F43">
        <f>IF('01_Master_Data'!B43="","",'01_Master_Data'!E43)</f>
        <v/>
      </c>
      <c r="G43">
        <f>IF('01_Master_Data'!B43="","",IFERROR(VLOOKUP(TRIM('01_Master_Data'!E43&amp;""),'02_Configuration'!$A$40:$B$44,2,FALSE),UPPER(TRIM('01_Master_Data'!E43&amp;""))))</f>
        <v/>
      </c>
      <c r="H43">
        <f>IF('01_Master_Data'!B43="","",IF('01_Master_Data'!U43="","",TRIM('01_Master_Data'!U43&amp;"")))</f>
        <v/>
      </c>
      <c r="I43">
        <f>IF('01_Master_Data'!B43="","",TRIM('01_Master_Data'!F43&amp;""))</f>
        <v/>
      </c>
      <c r="J43">
        <f>IF('01_Master_Data'!B43="","",TRIM('01_Master_Data'!G43&amp;""))</f>
        <v/>
      </c>
      <c r="K43">
        <f>IF('01_Master_Data'!B43="","",'01_Master_Data'!H43)</f>
        <v/>
      </c>
      <c r="L43">
        <f>IF('01_Master_Data'!B43="","",IF(LOWER(TRIM('01_Master_Data'!V43&amp;""))="yes",1,0))</f>
        <v/>
      </c>
      <c r="M43">
        <f>IF('01_Master_Data'!B43="","",IF(LOWER(TRIM('01_Master_Data'!W43&amp;""))="yes",1,0))</f>
        <v/>
      </c>
      <c r="N43">
        <f>IF('01_Master_Data'!B43="","",IF(LOWER(TRIM('01_Master_Data'!X43&amp;""))="yes",1,0))</f>
        <v/>
      </c>
      <c r="O43">
        <f>IF('01_Master_Data'!B43="","",IF(LOWER(TRIM('01_Master_Data'!Y43&amp;""))="yes",1,0))</f>
        <v/>
      </c>
      <c r="P43">
        <f>IF('01_Master_Data'!B43="","",IF(LOWER(TRIM('01_Master_Data'!Z43&amp;""))="yes",1,0))</f>
        <v/>
      </c>
      <c r="Q43">
        <f>IF(A43="","",L43+M43+N43+O43+P43)</f>
        <v/>
      </c>
      <c r="R43">
        <f>IF(A43="","",IF(Q43&gt;1,"Yes","No"))</f>
        <v/>
      </c>
      <c r="S43">
        <f>IF(A43="","",TEXTJOIN(", ",TRUE,IF(L43=1,"ICICI",""),IF(M43=1,"Propelld",""),IF(N43=1,"Study4Buddy",""),IF(O43=1,"Poonawala Fincorp",""),IF(P43=1,"GyanDhan","")))</f>
        <v/>
      </c>
      <c r="T43">
        <f>IF(A43="","",IF(L43=1,"ICICI",IF(M43=1,"Propelld",IF(P43=1,"GyanDhan",IF(N43=1,"Study4Buddy",IF(O43=1,"Poonawala Fincorp",IF(ISNUMBER(SEARCH("GyanDhan",W43&amp;"")),"GyanDhan",IF(ISNUMBER(SEARCH("Icici",W43&amp;"")),"ICICI",IF(ISNUMBER(SEARCH("Propelld",W43&amp;"")),"Propelld",IF(ISNUMBER(SEARCH("vidyalakshmi",LOWER(W43&amp;"")),"PM Vidyalakshmi","—"))))))))))</f>
        <v/>
      </c>
      <c r="U43">
        <f>IF(A43="","",TRIM('01_Master_Data'!AA43&amp;""))</f>
        <v/>
      </c>
      <c r="V43">
        <f>IF(A43="","",TRIM('01_Master_Data'!AG43&amp;""))</f>
        <v/>
      </c>
      <c r="W43">
        <f>IF(A43="","",TRIM('01_Master_Data'!AH43&amp;""))</f>
        <v/>
      </c>
      <c r="X43">
        <f>IF(A43="","",IF(OR(LOWER(H43)="refund",LOWER(U43)="refund case"),"Refund",IF(OR(LOWER(H43)="dnp",LOWER(U43)="dnp"),"DNP",IF(OR(LOWER(V43)="disbursed",ISNUMBER(SEARCH("Disbursed",W43&amp;""))),"Disbursed",IF(OR(LOWER(V43)="loan proccessed/accepted",ISNUMBER(SEARCH("sanctioned",LOWER(W43&amp;"")))),"Sanctioned",IF(OR(LOWER(V43)="rejected",ISNUMBER(SEARCH("Not eligbile",W43&amp;"")),ISNUMBER(SEARCH("Not eligible",W43&amp;""))),"Rejected",IF(ISNUMBER(SEARCH("Docs Pending",W43&amp;"")),"Documents Pending",IF(AND(LOWER(H43)="yes",LOWER(V43)="ongoing"),"Processing",IF(AND(LOWER(H43)="yes",Q43&gt;0,OR(V43="",LOWER(V43)="not even started")),"Vendor Assigned",IF(AND(LOWER(H43)="yes",LOWER(V43)="not even started"),"Need Loan",IF(LOWER(H43)="yes","Loan Started",IF(LOWER(H43)="not sure","Interested",IF(OR(LOWER(H43)="no",LOWER(V43)="not required"),"Not Required","Unclassified")))))))))))))</f>
        <v/>
      </c>
      <c r="Y43">
        <f>IF(A43="","",IF(OR(X43="Sanctioned",X43="Disbursed",X43="Approved"),"Approved",IF(X43="Rejected","Rejected",IF(OR(X43="Processing",X43="Documents Pending",X43="Vendor Assigned"),"In Progress",IF(X43="Need Loan","Pending Start","—"))))</f>
        <v/>
      </c>
      <c r="Z43">
        <f>IF(A43="","",IF(X43="Disbursed","Disbursed",IF(X43="Sanctioned","Sanctioned - Awaiting Disbursement","Not Disbursed")))</f>
        <v/>
      </c>
      <c r="AA43">
        <f>IF(A43="","",IF(LOWER(TRIM('01_Master_Data'!AI43&amp;""))="yes","Need FLDG",IF(LOWER(TRIM('01_Master_Data'!AK43&amp;""))="yes","Need Vidyalakshmi",IF(LOWER(TRIM('01_Master_Data'!AJ43&amp;""))="yes","Need Review",IF(LOWER(J43)="critical","Critical",IF(LOWER(U43)="risk","Risk Case",IF(X43="Refund","Refund","Normal")))))))</f>
        <v/>
      </c>
      <c r="AB43">
        <f>IF(A43="","",IF(OR(LOWER(J43)="critical",LOWER(TRIM('01_Master_Data'!AI43&amp;""))="yes",LOWER(TRIM('01_Master_Data'!AK43&amp;""))="yes",LOWER(U43)="risk"),"Yes","No"))</f>
        <v/>
      </c>
      <c r="AC43">
        <f>IF(A43="","",IF(LOWER(TRIM('01_Master_Data'!AI43&amp;""))="yes","Yes","No"))</f>
        <v/>
      </c>
      <c r="AD43">
        <f>IF(A43="","",IF(LOWER(TRIM('01_Master_Data'!AK43&amp;""))="yes","Yes","No"))</f>
        <v/>
      </c>
      <c r="AE43">
        <f>IF(A43="","",IF(LOWER(TRIM('01_Master_Data'!AJ43&amp;""))="yes","Yes","No"))</f>
        <v/>
      </c>
      <c r="AF43">
        <f>IF(A43="","",TRIM('01_Master_Data'!AL43&amp;""))</f>
        <v/>
      </c>
      <c r="AG43">
        <f>IF(A43="","",IF(AF43="","—",IF(ISNUMBER(SEARCH("DNP",AF43)),"Unreachable / DNP",IF(ISNUMBER(SEARCH("interest",LOWER(AF43))),"High Interest / Terms",IF(OR(ISNUMBER(SEARCH("eligib",LOWER(AF43))),ISNUMBER(SEARCH("income",LOWER(AF43)))),"Eligibility / Income",IF(OR(ISNUMBER(SEARCH("start",LOWER(AF43))),ISNUMBER(SEARCH("Newer",AF43)),ISNUMBER(SEARCH("Will start",AF43))),"Process Yet to Start",IF(ISNUMBER(SEARCH("sure",LOWER(AF43))),"Undecided",IF(OR(ISNUMBER(SEARCH("reject",LOWER(AF43))),ISNUMBER(SEARCH("SBI",AF43))),"Rejected Elsewhere",IF(ISNUMBER(SEARCH("call",LOWER(AF43))),"Bank Communication",IF(OR(ISNUMBER(SEARCH("father",LOWER(AF43))),ISNUMBER(SEARCH("sister",LOWER(AF43)))),"Family / Dependency","Other"))))))))))</f>
        <v/>
      </c>
      <c r="AH43">
        <f>IF(A43="","",'01_Master_Data'!AC43)</f>
        <v/>
      </c>
      <c r="AI43">
        <f>IF(A43="","",IF(OR(AH43="",NOT(ISNUMBER(AH43))),"",MAX(0,'02_Configuration'!$B$82-AH43)))</f>
        <v/>
      </c>
      <c r="AJ43">
        <f>IF(A43="","",IF(AI43="","Unknown",IF(AI43&lt;=3,"0–3 Days",IF(AI43&lt;=7,"4–7 Days",IF(AI43&lt;=15,"8–15 Days",IF(AI43&lt;=30,"16–30 Days","30+ Days"))))))</f>
        <v/>
      </c>
      <c r="AK43">
        <f>IF(A43="","",IF(LOWER(H43)="yes","Yes","No"))</f>
        <v/>
      </c>
      <c r="AL43">
        <f>IF(A43="","",'01_Master_Data'!T43)</f>
        <v/>
      </c>
      <c r="AM43">
        <f>IF(A43="","",'01_Master_Data'!S43)</f>
        <v/>
      </c>
      <c r="AN43">
        <f>IF(A43="","",'01_Master_Data'!I43)</f>
        <v/>
      </c>
      <c r="AO43">
        <f>IF(A43="","",'01_Master_Data'!M43)</f>
        <v/>
      </c>
      <c r="AP43">
        <f>IF(A43="","",IF(ISNUMBER(SEARCH("Icici",W43&amp;"")),1,0))</f>
        <v/>
      </c>
      <c r="AQ43">
        <f>IF(A43="","",IF(ISNUMBER(SEARCH("Propelld",W43&amp;"")),1,0))</f>
        <v/>
      </c>
      <c r="AR43">
        <f>IF(A43="","",IF(ISNUMBER(SEARCH("GyanDhan",W43&amp;"")),1,0))</f>
        <v/>
      </c>
      <c r="AS43">
        <f>IF(A43="","",IF(ISNUMBER(SEARCH("vidyalakshmi",LOWER(W43&amp;""))),1,0))</f>
        <v/>
      </c>
      <c r="AT43">
        <f>IF(A43="","",IF(ISNUMBER(SEARCH("other bank",LOWER(W43&amp;""))),1,0))</f>
        <v/>
      </c>
      <c r="AU43">
        <f>IF(A43="","",IF(ISNUMBER(SEARCH("sanctioned",LOWER(W43&amp;""))),1,0))</f>
        <v/>
      </c>
      <c r="AV43">
        <f>IF(A43="","",IF(ISNUMBER(SEARCH("Docs Pending",W43&amp;"")),1,0))</f>
        <v/>
      </c>
      <c r="AW43">
        <f>IF(A43="","",IF(OR(X43="Rejected",ISNUMBER(SEARCH("Not eligbile",W43&amp;""))),1,0))</f>
        <v/>
      </c>
    </row>
    <row r="44">
      <c r="A44">
        <f>IF('01_Master_Data'!B44="","",43)</f>
        <v/>
      </c>
      <c r="B44">
        <f>IF('01_Master_Data'!B44="","",IF('01_Master_Data'!C44&lt;&gt;"","MOB|"&amp;TEXT('01_Master_Data'!C44,"0"),IF('01_Master_Data'!D44&lt;&gt;"","PID|"&amp;TRIM('01_Master_Data'!D44&amp;""),"")))</f>
        <v/>
      </c>
      <c r="C44">
        <f>IF('01_Master_Data'!B44="","",'01_Master_Data'!B44)</f>
        <v/>
      </c>
      <c r="D44">
        <f>IF('01_Master_Data'!B44="","",'01_Master_Data'!C44)</f>
        <v/>
      </c>
      <c r="E44">
        <f>IF('01_Master_Data'!B44="","",'01_Master_Data'!D44)</f>
        <v/>
      </c>
      <c r="F44">
        <f>IF('01_Master_Data'!B44="","",'01_Master_Data'!E44)</f>
        <v/>
      </c>
      <c r="G44">
        <f>IF('01_Master_Data'!B44="","",IFERROR(VLOOKUP(TRIM('01_Master_Data'!E44&amp;""),'02_Configuration'!$A$40:$B$44,2,FALSE),UPPER(TRIM('01_Master_Data'!E44&amp;""))))</f>
        <v/>
      </c>
      <c r="H44">
        <f>IF('01_Master_Data'!B44="","",IF('01_Master_Data'!U44="","",TRIM('01_Master_Data'!U44&amp;"")))</f>
        <v/>
      </c>
      <c r="I44">
        <f>IF('01_Master_Data'!B44="","",TRIM('01_Master_Data'!F44&amp;""))</f>
        <v/>
      </c>
      <c r="J44">
        <f>IF('01_Master_Data'!B44="","",TRIM('01_Master_Data'!G44&amp;""))</f>
        <v/>
      </c>
      <c r="K44">
        <f>IF('01_Master_Data'!B44="","",'01_Master_Data'!H44)</f>
        <v/>
      </c>
      <c r="L44">
        <f>IF('01_Master_Data'!B44="","",IF(LOWER(TRIM('01_Master_Data'!V44&amp;""))="yes",1,0))</f>
        <v/>
      </c>
      <c r="M44">
        <f>IF('01_Master_Data'!B44="","",IF(LOWER(TRIM('01_Master_Data'!W44&amp;""))="yes",1,0))</f>
        <v/>
      </c>
      <c r="N44">
        <f>IF('01_Master_Data'!B44="","",IF(LOWER(TRIM('01_Master_Data'!X44&amp;""))="yes",1,0))</f>
        <v/>
      </c>
      <c r="O44">
        <f>IF('01_Master_Data'!B44="","",IF(LOWER(TRIM('01_Master_Data'!Y44&amp;""))="yes",1,0))</f>
        <v/>
      </c>
      <c r="P44">
        <f>IF('01_Master_Data'!B44="","",IF(LOWER(TRIM('01_Master_Data'!Z44&amp;""))="yes",1,0))</f>
        <v/>
      </c>
      <c r="Q44">
        <f>IF(A44="","",L44+M44+N44+O44+P44)</f>
        <v/>
      </c>
      <c r="R44">
        <f>IF(A44="","",IF(Q44&gt;1,"Yes","No"))</f>
        <v/>
      </c>
      <c r="S44">
        <f>IF(A44="","",TEXTJOIN(", ",TRUE,IF(L44=1,"ICICI",""),IF(M44=1,"Propelld",""),IF(N44=1,"Study4Buddy",""),IF(O44=1,"Poonawala Fincorp",""),IF(P44=1,"GyanDhan","")))</f>
        <v/>
      </c>
      <c r="T44">
        <f>IF(A44="","",IF(L44=1,"ICICI",IF(M44=1,"Propelld",IF(P44=1,"GyanDhan",IF(N44=1,"Study4Buddy",IF(O44=1,"Poonawala Fincorp",IF(ISNUMBER(SEARCH("GyanDhan",W44&amp;"")),"GyanDhan",IF(ISNUMBER(SEARCH("Icici",W44&amp;"")),"ICICI",IF(ISNUMBER(SEARCH("Propelld",W44&amp;"")),"Propelld",IF(ISNUMBER(SEARCH("vidyalakshmi",LOWER(W44&amp;"")),"PM Vidyalakshmi","—"))))))))))</f>
        <v/>
      </c>
      <c r="U44">
        <f>IF(A44="","",TRIM('01_Master_Data'!AA44&amp;""))</f>
        <v/>
      </c>
      <c r="V44">
        <f>IF(A44="","",TRIM('01_Master_Data'!AG44&amp;""))</f>
        <v/>
      </c>
      <c r="W44">
        <f>IF(A44="","",TRIM('01_Master_Data'!AH44&amp;""))</f>
        <v/>
      </c>
      <c r="X44">
        <f>IF(A44="","",IF(OR(LOWER(H44)="refund",LOWER(U44)="refund case"),"Refund",IF(OR(LOWER(H44)="dnp",LOWER(U44)="dnp"),"DNP",IF(OR(LOWER(V44)="disbursed",ISNUMBER(SEARCH("Disbursed",W44&amp;""))),"Disbursed",IF(OR(LOWER(V44)="loan proccessed/accepted",ISNUMBER(SEARCH("sanctioned",LOWER(W44&amp;"")))),"Sanctioned",IF(OR(LOWER(V44)="rejected",ISNUMBER(SEARCH("Not eligbile",W44&amp;"")),ISNUMBER(SEARCH("Not eligible",W44&amp;""))),"Rejected",IF(ISNUMBER(SEARCH("Docs Pending",W44&amp;"")),"Documents Pending",IF(AND(LOWER(H44)="yes",LOWER(V44)="ongoing"),"Processing",IF(AND(LOWER(H44)="yes",Q44&gt;0,OR(V44="",LOWER(V44)="not even started")),"Vendor Assigned",IF(AND(LOWER(H44)="yes",LOWER(V44)="not even started"),"Need Loan",IF(LOWER(H44)="yes","Loan Started",IF(LOWER(H44)="not sure","Interested",IF(OR(LOWER(H44)="no",LOWER(V44)="not required"),"Not Required","Unclassified")))))))))))))</f>
        <v/>
      </c>
      <c r="Y44">
        <f>IF(A44="","",IF(OR(X44="Sanctioned",X44="Disbursed",X44="Approved"),"Approved",IF(X44="Rejected","Rejected",IF(OR(X44="Processing",X44="Documents Pending",X44="Vendor Assigned"),"In Progress",IF(X44="Need Loan","Pending Start","—"))))</f>
        <v/>
      </c>
      <c r="Z44">
        <f>IF(A44="","",IF(X44="Disbursed","Disbursed",IF(X44="Sanctioned","Sanctioned - Awaiting Disbursement","Not Disbursed")))</f>
        <v/>
      </c>
      <c r="AA44">
        <f>IF(A44="","",IF(LOWER(TRIM('01_Master_Data'!AI44&amp;""))="yes","Need FLDG",IF(LOWER(TRIM('01_Master_Data'!AK44&amp;""))="yes","Need Vidyalakshmi",IF(LOWER(TRIM('01_Master_Data'!AJ44&amp;""))="yes","Need Review",IF(LOWER(J44)="critical","Critical",IF(LOWER(U44)="risk","Risk Case",IF(X44="Refund","Refund","Normal")))))))</f>
        <v/>
      </c>
      <c r="AB44">
        <f>IF(A44="","",IF(OR(LOWER(J44)="critical",LOWER(TRIM('01_Master_Data'!AI44&amp;""))="yes",LOWER(TRIM('01_Master_Data'!AK44&amp;""))="yes",LOWER(U44)="risk"),"Yes","No"))</f>
        <v/>
      </c>
      <c r="AC44">
        <f>IF(A44="","",IF(LOWER(TRIM('01_Master_Data'!AI44&amp;""))="yes","Yes","No"))</f>
        <v/>
      </c>
      <c r="AD44">
        <f>IF(A44="","",IF(LOWER(TRIM('01_Master_Data'!AK44&amp;""))="yes","Yes","No"))</f>
        <v/>
      </c>
      <c r="AE44">
        <f>IF(A44="","",IF(LOWER(TRIM('01_Master_Data'!AJ44&amp;""))="yes","Yes","No"))</f>
        <v/>
      </c>
      <c r="AF44">
        <f>IF(A44="","",TRIM('01_Master_Data'!AL44&amp;""))</f>
        <v/>
      </c>
      <c r="AG44">
        <f>IF(A44="","",IF(AF44="","—",IF(ISNUMBER(SEARCH("DNP",AF44)),"Unreachable / DNP",IF(ISNUMBER(SEARCH("interest",LOWER(AF44))),"High Interest / Terms",IF(OR(ISNUMBER(SEARCH("eligib",LOWER(AF44))),ISNUMBER(SEARCH("income",LOWER(AF44)))),"Eligibility / Income",IF(OR(ISNUMBER(SEARCH("start",LOWER(AF44))),ISNUMBER(SEARCH("Newer",AF44)),ISNUMBER(SEARCH("Will start",AF44))),"Process Yet to Start",IF(ISNUMBER(SEARCH("sure",LOWER(AF44))),"Undecided",IF(OR(ISNUMBER(SEARCH("reject",LOWER(AF44))),ISNUMBER(SEARCH("SBI",AF44))),"Rejected Elsewhere",IF(ISNUMBER(SEARCH("call",LOWER(AF44))),"Bank Communication",IF(OR(ISNUMBER(SEARCH("father",LOWER(AF44))),ISNUMBER(SEARCH("sister",LOWER(AF44)))),"Family / Dependency","Other"))))))))))</f>
        <v/>
      </c>
      <c r="AH44">
        <f>IF(A44="","",'01_Master_Data'!AC44)</f>
        <v/>
      </c>
      <c r="AI44">
        <f>IF(A44="","",IF(OR(AH44="",NOT(ISNUMBER(AH44))),"",MAX(0,'02_Configuration'!$B$82-AH44)))</f>
        <v/>
      </c>
      <c r="AJ44">
        <f>IF(A44="","",IF(AI44="","Unknown",IF(AI44&lt;=3,"0–3 Days",IF(AI44&lt;=7,"4–7 Days",IF(AI44&lt;=15,"8–15 Days",IF(AI44&lt;=30,"16–30 Days","30+ Days"))))))</f>
        <v/>
      </c>
      <c r="AK44">
        <f>IF(A44="","",IF(LOWER(H44)="yes","Yes","No"))</f>
        <v/>
      </c>
      <c r="AL44">
        <f>IF(A44="","",'01_Master_Data'!T44)</f>
        <v/>
      </c>
      <c r="AM44">
        <f>IF(A44="","",'01_Master_Data'!S44)</f>
        <v/>
      </c>
      <c r="AN44">
        <f>IF(A44="","",'01_Master_Data'!I44)</f>
        <v/>
      </c>
      <c r="AO44">
        <f>IF(A44="","",'01_Master_Data'!M44)</f>
        <v/>
      </c>
      <c r="AP44">
        <f>IF(A44="","",IF(ISNUMBER(SEARCH("Icici",W44&amp;"")),1,0))</f>
        <v/>
      </c>
      <c r="AQ44">
        <f>IF(A44="","",IF(ISNUMBER(SEARCH("Propelld",W44&amp;"")),1,0))</f>
        <v/>
      </c>
      <c r="AR44">
        <f>IF(A44="","",IF(ISNUMBER(SEARCH("GyanDhan",W44&amp;"")),1,0))</f>
        <v/>
      </c>
      <c r="AS44">
        <f>IF(A44="","",IF(ISNUMBER(SEARCH("vidyalakshmi",LOWER(W44&amp;""))),1,0))</f>
        <v/>
      </c>
      <c r="AT44">
        <f>IF(A44="","",IF(ISNUMBER(SEARCH("other bank",LOWER(W44&amp;""))),1,0))</f>
        <v/>
      </c>
      <c r="AU44">
        <f>IF(A44="","",IF(ISNUMBER(SEARCH("sanctioned",LOWER(W44&amp;""))),1,0))</f>
        <v/>
      </c>
      <c r="AV44">
        <f>IF(A44="","",IF(ISNUMBER(SEARCH("Docs Pending",W44&amp;"")),1,0))</f>
        <v/>
      </c>
      <c r="AW44">
        <f>IF(A44="","",IF(OR(X44="Rejected",ISNUMBER(SEARCH("Not eligbile",W44&amp;""))),1,0))</f>
        <v/>
      </c>
    </row>
    <row r="45">
      <c r="A45">
        <f>IF('01_Master_Data'!B45="","",44)</f>
        <v/>
      </c>
      <c r="B45">
        <f>IF('01_Master_Data'!B45="","",IF('01_Master_Data'!C45&lt;&gt;"","MOB|"&amp;TEXT('01_Master_Data'!C45,"0"),IF('01_Master_Data'!D45&lt;&gt;"","PID|"&amp;TRIM('01_Master_Data'!D45&amp;""),"")))</f>
        <v/>
      </c>
      <c r="C45">
        <f>IF('01_Master_Data'!B45="","",'01_Master_Data'!B45)</f>
        <v/>
      </c>
      <c r="D45">
        <f>IF('01_Master_Data'!B45="","",'01_Master_Data'!C45)</f>
        <v/>
      </c>
      <c r="E45">
        <f>IF('01_Master_Data'!B45="","",'01_Master_Data'!D45)</f>
        <v/>
      </c>
      <c r="F45">
        <f>IF('01_Master_Data'!B45="","",'01_Master_Data'!E45)</f>
        <v/>
      </c>
      <c r="G45">
        <f>IF('01_Master_Data'!B45="","",IFERROR(VLOOKUP(TRIM('01_Master_Data'!E45&amp;""),'02_Configuration'!$A$40:$B$44,2,FALSE),UPPER(TRIM('01_Master_Data'!E45&amp;""))))</f>
        <v/>
      </c>
      <c r="H45">
        <f>IF('01_Master_Data'!B45="","",IF('01_Master_Data'!U45="","",TRIM('01_Master_Data'!U45&amp;"")))</f>
        <v/>
      </c>
      <c r="I45">
        <f>IF('01_Master_Data'!B45="","",TRIM('01_Master_Data'!F45&amp;""))</f>
        <v/>
      </c>
      <c r="J45">
        <f>IF('01_Master_Data'!B45="","",TRIM('01_Master_Data'!G45&amp;""))</f>
        <v/>
      </c>
      <c r="K45">
        <f>IF('01_Master_Data'!B45="","",'01_Master_Data'!H45)</f>
        <v/>
      </c>
      <c r="L45">
        <f>IF('01_Master_Data'!B45="","",IF(LOWER(TRIM('01_Master_Data'!V45&amp;""))="yes",1,0))</f>
        <v/>
      </c>
      <c r="M45">
        <f>IF('01_Master_Data'!B45="","",IF(LOWER(TRIM('01_Master_Data'!W45&amp;""))="yes",1,0))</f>
        <v/>
      </c>
      <c r="N45">
        <f>IF('01_Master_Data'!B45="","",IF(LOWER(TRIM('01_Master_Data'!X45&amp;""))="yes",1,0))</f>
        <v/>
      </c>
      <c r="O45">
        <f>IF('01_Master_Data'!B45="","",IF(LOWER(TRIM('01_Master_Data'!Y45&amp;""))="yes",1,0))</f>
        <v/>
      </c>
      <c r="P45">
        <f>IF('01_Master_Data'!B45="","",IF(LOWER(TRIM('01_Master_Data'!Z45&amp;""))="yes",1,0))</f>
        <v/>
      </c>
      <c r="Q45">
        <f>IF(A45="","",L45+M45+N45+O45+P45)</f>
        <v/>
      </c>
      <c r="R45">
        <f>IF(A45="","",IF(Q45&gt;1,"Yes","No"))</f>
        <v/>
      </c>
      <c r="S45">
        <f>IF(A45="","",TEXTJOIN(", ",TRUE,IF(L45=1,"ICICI",""),IF(M45=1,"Propelld",""),IF(N45=1,"Study4Buddy",""),IF(O45=1,"Poonawala Fincorp",""),IF(P45=1,"GyanDhan","")))</f>
        <v/>
      </c>
      <c r="T45">
        <f>IF(A45="","",IF(L45=1,"ICICI",IF(M45=1,"Propelld",IF(P45=1,"GyanDhan",IF(N45=1,"Study4Buddy",IF(O45=1,"Poonawala Fincorp",IF(ISNUMBER(SEARCH("GyanDhan",W45&amp;"")),"GyanDhan",IF(ISNUMBER(SEARCH("Icici",W45&amp;"")),"ICICI",IF(ISNUMBER(SEARCH("Propelld",W45&amp;"")),"Propelld",IF(ISNUMBER(SEARCH("vidyalakshmi",LOWER(W45&amp;"")),"PM Vidyalakshmi","—"))))))))))</f>
        <v/>
      </c>
      <c r="U45">
        <f>IF(A45="","",TRIM('01_Master_Data'!AA45&amp;""))</f>
        <v/>
      </c>
      <c r="V45">
        <f>IF(A45="","",TRIM('01_Master_Data'!AG45&amp;""))</f>
        <v/>
      </c>
      <c r="W45">
        <f>IF(A45="","",TRIM('01_Master_Data'!AH45&amp;""))</f>
        <v/>
      </c>
      <c r="X45">
        <f>IF(A45="","",IF(OR(LOWER(H45)="refund",LOWER(U45)="refund case"),"Refund",IF(OR(LOWER(H45)="dnp",LOWER(U45)="dnp"),"DNP",IF(OR(LOWER(V45)="disbursed",ISNUMBER(SEARCH("Disbursed",W45&amp;""))),"Disbursed",IF(OR(LOWER(V45)="loan proccessed/accepted",ISNUMBER(SEARCH("sanctioned",LOWER(W45&amp;"")))),"Sanctioned",IF(OR(LOWER(V45)="rejected",ISNUMBER(SEARCH("Not eligbile",W45&amp;"")),ISNUMBER(SEARCH("Not eligible",W45&amp;""))),"Rejected",IF(ISNUMBER(SEARCH("Docs Pending",W45&amp;"")),"Documents Pending",IF(AND(LOWER(H45)="yes",LOWER(V45)="ongoing"),"Processing",IF(AND(LOWER(H45)="yes",Q45&gt;0,OR(V45="",LOWER(V45)="not even started")),"Vendor Assigned",IF(AND(LOWER(H45)="yes",LOWER(V45)="not even started"),"Need Loan",IF(LOWER(H45)="yes","Loan Started",IF(LOWER(H45)="not sure","Interested",IF(OR(LOWER(H45)="no",LOWER(V45)="not required"),"Not Required","Unclassified")))))))))))))</f>
        <v/>
      </c>
      <c r="Y45">
        <f>IF(A45="","",IF(OR(X45="Sanctioned",X45="Disbursed",X45="Approved"),"Approved",IF(X45="Rejected","Rejected",IF(OR(X45="Processing",X45="Documents Pending",X45="Vendor Assigned"),"In Progress",IF(X45="Need Loan","Pending Start","—"))))</f>
        <v/>
      </c>
      <c r="Z45">
        <f>IF(A45="","",IF(X45="Disbursed","Disbursed",IF(X45="Sanctioned","Sanctioned - Awaiting Disbursement","Not Disbursed")))</f>
        <v/>
      </c>
      <c r="AA45">
        <f>IF(A45="","",IF(LOWER(TRIM('01_Master_Data'!AI45&amp;""))="yes","Need FLDG",IF(LOWER(TRIM('01_Master_Data'!AK45&amp;""))="yes","Need Vidyalakshmi",IF(LOWER(TRIM('01_Master_Data'!AJ45&amp;""))="yes","Need Review",IF(LOWER(J45)="critical","Critical",IF(LOWER(U45)="risk","Risk Case",IF(X45="Refund","Refund","Normal")))))))</f>
        <v/>
      </c>
      <c r="AB45">
        <f>IF(A45="","",IF(OR(LOWER(J45)="critical",LOWER(TRIM('01_Master_Data'!AI45&amp;""))="yes",LOWER(TRIM('01_Master_Data'!AK45&amp;""))="yes",LOWER(U45)="risk"),"Yes","No"))</f>
        <v/>
      </c>
      <c r="AC45">
        <f>IF(A45="","",IF(LOWER(TRIM('01_Master_Data'!AI45&amp;""))="yes","Yes","No"))</f>
        <v/>
      </c>
      <c r="AD45">
        <f>IF(A45="","",IF(LOWER(TRIM('01_Master_Data'!AK45&amp;""))="yes","Yes","No"))</f>
        <v/>
      </c>
      <c r="AE45">
        <f>IF(A45="","",IF(LOWER(TRIM('01_Master_Data'!AJ45&amp;""))="yes","Yes","No"))</f>
        <v/>
      </c>
      <c r="AF45">
        <f>IF(A45="","",TRIM('01_Master_Data'!AL45&amp;""))</f>
        <v/>
      </c>
      <c r="AG45">
        <f>IF(A45="","",IF(AF45="","—",IF(ISNUMBER(SEARCH("DNP",AF45)),"Unreachable / DNP",IF(ISNUMBER(SEARCH("interest",LOWER(AF45))),"High Interest / Terms",IF(OR(ISNUMBER(SEARCH("eligib",LOWER(AF45))),ISNUMBER(SEARCH("income",LOWER(AF45)))),"Eligibility / Income",IF(OR(ISNUMBER(SEARCH("start",LOWER(AF45))),ISNUMBER(SEARCH("Newer",AF45)),ISNUMBER(SEARCH("Will start",AF45))),"Process Yet to Start",IF(ISNUMBER(SEARCH("sure",LOWER(AF45))),"Undecided",IF(OR(ISNUMBER(SEARCH("reject",LOWER(AF45))),ISNUMBER(SEARCH("SBI",AF45))),"Rejected Elsewhere",IF(ISNUMBER(SEARCH("call",LOWER(AF45))),"Bank Communication",IF(OR(ISNUMBER(SEARCH("father",LOWER(AF45))),ISNUMBER(SEARCH("sister",LOWER(AF45)))),"Family / Dependency","Other"))))))))))</f>
        <v/>
      </c>
      <c r="AH45">
        <f>IF(A45="","",'01_Master_Data'!AC45)</f>
        <v/>
      </c>
      <c r="AI45">
        <f>IF(A45="","",IF(OR(AH45="",NOT(ISNUMBER(AH45))),"",MAX(0,'02_Configuration'!$B$82-AH45)))</f>
        <v/>
      </c>
      <c r="AJ45">
        <f>IF(A45="","",IF(AI45="","Unknown",IF(AI45&lt;=3,"0–3 Days",IF(AI45&lt;=7,"4–7 Days",IF(AI45&lt;=15,"8–15 Days",IF(AI45&lt;=30,"16–30 Days","30+ Days"))))))</f>
        <v/>
      </c>
      <c r="AK45">
        <f>IF(A45="","",IF(LOWER(H45)="yes","Yes","No"))</f>
        <v/>
      </c>
      <c r="AL45">
        <f>IF(A45="","",'01_Master_Data'!T45)</f>
        <v/>
      </c>
      <c r="AM45">
        <f>IF(A45="","",'01_Master_Data'!S45)</f>
        <v/>
      </c>
      <c r="AN45">
        <f>IF(A45="","",'01_Master_Data'!I45)</f>
        <v/>
      </c>
      <c r="AO45">
        <f>IF(A45="","",'01_Master_Data'!M45)</f>
        <v/>
      </c>
      <c r="AP45">
        <f>IF(A45="","",IF(ISNUMBER(SEARCH("Icici",W45&amp;"")),1,0))</f>
        <v/>
      </c>
      <c r="AQ45">
        <f>IF(A45="","",IF(ISNUMBER(SEARCH("Propelld",W45&amp;"")),1,0))</f>
        <v/>
      </c>
      <c r="AR45">
        <f>IF(A45="","",IF(ISNUMBER(SEARCH("GyanDhan",W45&amp;"")),1,0))</f>
        <v/>
      </c>
      <c r="AS45">
        <f>IF(A45="","",IF(ISNUMBER(SEARCH("vidyalakshmi",LOWER(W45&amp;""))),1,0))</f>
        <v/>
      </c>
      <c r="AT45">
        <f>IF(A45="","",IF(ISNUMBER(SEARCH("other bank",LOWER(W45&amp;""))),1,0))</f>
        <v/>
      </c>
      <c r="AU45">
        <f>IF(A45="","",IF(ISNUMBER(SEARCH("sanctioned",LOWER(W45&amp;""))),1,0))</f>
        <v/>
      </c>
      <c r="AV45">
        <f>IF(A45="","",IF(ISNUMBER(SEARCH("Docs Pending",W45&amp;"")),1,0))</f>
        <v/>
      </c>
      <c r="AW45">
        <f>IF(A45="","",IF(OR(X45="Rejected",ISNUMBER(SEARCH("Not eligbile",W45&amp;""))),1,0))</f>
        <v/>
      </c>
    </row>
    <row r="46">
      <c r="A46">
        <f>IF('01_Master_Data'!B46="","",45)</f>
        <v/>
      </c>
      <c r="B46">
        <f>IF('01_Master_Data'!B46="","",IF('01_Master_Data'!C46&lt;&gt;"","MOB|"&amp;TEXT('01_Master_Data'!C46,"0"),IF('01_Master_Data'!D46&lt;&gt;"","PID|"&amp;TRIM('01_Master_Data'!D46&amp;""),"")))</f>
        <v/>
      </c>
      <c r="C46">
        <f>IF('01_Master_Data'!B46="","",'01_Master_Data'!B46)</f>
        <v/>
      </c>
      <c r="D46">
        <f>IF('01_Master_Data'!B46="","",'01_Master_Data'!C46)</f>
        <v/>
      </c>
      <c r="E46">
        <f>IF('01_Master_Data'!B46="","",'01_Master_Data'!D46)</f>
        <v/>
      </c>
      <c r="F46">
        <f>IF('01_Master_Data'!B46="","",'01_Master_Data'!E46)</f>
        <v/>
      </c>
      <c r="G46">
        <f>IF('01_Master_Data'!B46="","",IFERROR(VLOOKUP(TRIM('01_Master_Data'!E46&amp;""),'02_Configuration'!$A$40:$B$44,2,FALSE),UPPER(TRIM('01_Master_Data'!E46&amp;""))))</f>
        <v/>
      </c>
      <c r="H46">
        <f>IF('01_Master_Data'!B46="","",IF('01_Master_Data'!U46="","",TRIM('01_Master_Data'!U46&amp;"")))</f>
        <v/>
      </c>
      <c r="I46">
        <f>IF('01_Master_Data'!B46="","",TRIM('01_Master_Data'!F46&amp;""))</f>
        <v/>
      </c>
      <c r="J46">
        <f>IF('01_Master_Data'!B46="","",TRIM('01_Master_Data'!G46&amp;""))</f>
        <v/>
      </c>
      <c r="K46">
        <f>IF('01_Master_Data'!B46="","",'01_Master_Data'!H46)</f>
        <v/>
      </c>
      <c r="L46">
        <f>IF('01_Master_Data'!B46="","",IF(LOWER(TRIM('01_Master_Data'!V46&amp;""))="yes",1,0))</f>
        <v/>
      </c>
      <c r="M46">
        <f>IF('01_Master_Data'!B46="","",IF(LOWER(TRIM('01_Master_Data'!W46&amp;""))="yes",1,0))</f>
        <v/>
      </c>
      <c r="N46">
        <f>IF('01_Master_Data'!B46="","",IF(LOWER(TRIM('01_Master_Data'!X46&amp;""))="yes",1,0))</f>
        <v/>
      </c>
      <c r="O46">
        <f>IF('01_Master_Data'!B46="","",IF(LOWER(TRIM('01_Master_Data'!Y46&amp;""))="yes",1,0))</f>
        <v/>
      </c>
      <c r="P46">
        <f>IF('01_Master_Data'!B46="","",IF(LOWER(TRIM('01_Master_Data'!Z46&amp;""))="yes",1,0))</f>
        <v/>
      </c>
      <c r="Q46">
        <f>IF(A46="","",L46+M46+N46+O46+P46)</f>
        <v/>
      </c>
      <c r="R46">
        <f>IF(A46="","",IF(Q46&gt;1,"Yes","No"))</f>
        <v/>
      </c>
      <c r="S46">
        <f>IF(A46="","",TEXTJOIN(", ",TRUE,IF(L46=1,"ICICI",""),IF(M46=1,"Propelld",""),IF(N46=1,"Study4Buddy",""),IF(O46=1,"Poonawala Fincorp",""),IF(P46=1,"GyanDhan","")))</f>
        <v/>
      </c>
      <c r="T46">
        <f>IF(A46="","",IF(L46=1,"ICICI",IF(M46=1,"Propelld",IF(P46=1,"GyanDhan",IF(N46=1,"Study4Buddy",IF(O46=1,"Poonawala Fincorp",IF(ISNUMBER(SEARCH("GyanDhan",W46&amp;"")),"GyanDhan",IF(ISNUMBER(SEARCH("Icici",W46&amp;"")),"ICICI",IF(ISNUMBER(SEARCH("Propelld",W46&amp;"")),"Propelld",IF(ISNUMBER(SEARCH("vidyalakshmi",LOWER(W46&amp;"")),"PM Vidyalakshmi","—"))))))))))</f>
        <v/>
      </c>
      <c r="U46">
        <f>IF(A46="","",TRIM('01_Master_Data'!AA46&amp;""))</f>
        <v/>
      </c>
      <c r="V46">
        <f>IF(A46="","",TRIM('01_Master_Data'!AG46&amp;""))</f>
        <v/>
      </c>
      <c r="W46">
        <f>IF(A46="","",TRIM('01_Master_Data'!AH46&amp;""))</f>
        <v/>
      </c>
      <c r="X46">
        <f>IF(A46="","",IF(OR(LOWER(H46)="refund",LOWER(U46)="refund case"),"Refund",IF(OR(LOWER(H46)="dnp",LOWER(U46)="dnp"),"DNP",IF(OR(LOWER(V46)="disbursed",ISNUMBER(SEARCH("Disbursed",W46&amp;""))),"Disbursed",IF(OR(LOWER(V46)="loan proccessed/accepted",ISNUMBER(SEARCH("sanctioned",LOWER(W46&amp;"")))),"Sanctioned",IF(OR(LOWER(V46)="rejected",ISNUMBER(SEARCH("Not eligbile",W46&amp;"")),ISNUMBER(SEARCH("Not eligible",W46&amp;""))),"Rejected",IF(ISNUMBER(SEARCH("Docs Pending",W46&amp;"")),"Documents Pending",IF(AND(LOWER(H46)="yes",LOWER(V46)="ongoing"),"Processing",IF(AND(LOWER(H46)="yes",Q46&gt;0,OR(V46="",LOWER(V46)="not even started")),"Vendor Assigned",IF(AND(LOWER(H46)="yes",LOWER(V46)="not even started"),"Need Loan",IF(LOWER(H46)="yes","Loan Started",IF(LOWER(H46)="not sure","Interested",IF(OR(LOWER(H46)="no",LOWER(V46)="not required"),"Not Required","Unclassified")))))))))))))</f>
        <v/>
      </c>
      <c r="Y46">
        <f>IF(A46="","",IF(OR(X46="Sanctioned",X46="Disbursed",X46="Approved"),"Approved",IF(X46="Rejected","Rejected",IF(OR(X46="Processing",X46="Documents Pending",X46="Vendor Assigned"),"In Progress",IF(X46="Need Loan","Pending Start","—"))))</f>
        <v/>
      </c>
      <c r="Z46">
        <f>IF(A46="","",IF(X46="Disbursed","Disbursed",IF(X46="Sanctioned","Sanctioned - Awaiting Disbursement","Not Disbursed")))</f>
        <v/>
      </c>
      <c r="AA46">
        <f>IF(A46="","",IF(LOWER(TRIM('01_Master_Data'!AI46&amp;""))="yes","Need FLDG",IF(LOWER(TRIM('01_Master_Data'!AK46&amp;""))="yes","Need Vidyalakshmi",IF(LOWER(TRIM('01_Master_Data'!AJ46&amp;""))="yes","Need Review",IF(LOWER(J46)="critical","Critical",IF(LOWER(U46)="risk","Risk Case",IF(X46="Refund","Refund","Normal")))))))</f>
        <v/>
      </c>
      <c r="AB46">
        <f>IF(A46="","",IF(OR(LOWER(J46)="critical",LOWER(TRIM('01_Master_Data'!AI46&amp;""))="yes",LOWER(TRIM('01_Master_Data'!AK46&amp;""))="yes",LOWER(U46)="risk"),"Yes","No"))</f>
        <v/>
      </c>
      <c r="AC46">
        <f>IF(A46="","",IF(LOWER(TRIM('01_Master_Data'!AI46&amp;""))="yes","Yes","No"))</f>
        <v/>
      </c>
      <c r="AD46">
        <f>IF(A46="","",IF(LOWER(TRIM('01_Master_Data'!AK46&amp;""))="yes","Yes","No"))</f>
        <v/>
      </c>
      <c r="AE46">
        <f>IF(A46="","",IF(LOWER(TRIM('01_Master_Data'!AJ46&amp;""))="yes","Yes","No"))</f>
        <v/>
      </c>
      <c r="AF46">
        <f>IF(A46="","",TRIM('01_Master_Data'!AL46&amp;""))</f>
        <v/>
      </c>
      <c r="AG46">
        <f>IF(A46="","",IF(AF46="","—",IF(ISNUMBER(SEARCH("DNP",AF46)),"Unreachable / DNP",IF(ISNUMBER(SEARCH("interest",LOWER(AF46))),"High Interest / Terms",IF(OR(ISNUMBER(SEARCH("eligib",LOWER(AF46))),ISNUMBER(SEARCH("income",LOWER(AF46)))),"Eligibility / Income",IF(OR(ISNUMBER(SEARCH("start",LOWER(AF46))),ISNUMBER(SEARCH("Newer",AF46)),ISNUMBER(SEARCH("Will start",AF46))),"Process Yet to Start",IF(ISNUMBER(SEARCH("sure",LOWER(AF46))),"Undecided",IF(OR(ISNUMBER(SEARCH("reject",LOWER(AF46))),ISNUMBER(SEARCH("SBI",AF46))),"Rejected Elsewhere",IF(ISNUMBER(SEARCH("call",LOWER(AF46))),"Bank Communication",IF(OR(ISNUMBER(SEARCH("father",LOWER(AF46))),ISNUMBER(SEARCH("sister",LOWER(AF46)))),"Family / Dependency","Other"))))))))))</f>
        <v/>
      </c>
      <c r="AH46">
        <f>IF(A46="","",'01_Master_Data'!AC46)</f>
        <v/>
      </c>
      <c r="AI46">
        <f>IF(A46="","",IF(OR(AH46="",NOT(ISNUMBER(AH46))),"",MAX(0,'02_Configuration'!$B$82-AH46)))</f>
        <v/>
      </c>
      <c r="AJ46">
        <f>IF(A46="","",IF(AI46="","Unknown",IF(AI46&lt;=3,"0–3 Days",IF(AI46&lt;=7,"4–7 Days",IF(AI46&lt;=15,"8–15 Days",IF(AI46&lt;=30,"16–30 Days","30+ Days"))))))</f>
        <v/>
      </c>
      <c r="AK46">
        <f>IF(A46="","",IF(LOWER(H46)="yes","Yes","No"))</f>
        <v/>
      </c>
      <c r="AL46">
        <f>IF(A46="","",'01_Master_Data'!T46)</f>
        <v/>
      </c>
      <c r="AM46">
        <f>IF(A46="","",'01_Master_Data'!S46)</f>
        <v/>
      </c>
      <c r="AN46">
        <f>IF(A46="","",'01_Master_Data'!I46)</f>
        <v/>
      </c>
      <c r="AO46">
        <f>IF(A46="","",'01_Master_Data'!M46)</f>
        <v/>
      </c>
      <c r="AP46">
        <f>IF(A46="","",IF(ISNUMBER(SEARCH("Icici",W46&amp;"")),1,0))</f>
        <v/>
      </c>
      <c r="AQ46">
        <f>IF(A46="","",IF(ISNUMBER(SEARCH("Propelld",W46&amp;"")),1,0))</f>
        <v/>
      </c>
      <c r="AR46">
        <f>IF(A46="","",IF(ISNUMBER(SEARCH("GyanDhan",W46&amp;"")),1,0))</f>
        <v/>
      </c>
      <c r="AS46">
        <f>IF(A46="","",IF(ISNUMBER(SEARCH("vidyalakshmi",LOWER(W46&amp;""))),1,0))</f>
        <v/>
      </c>
      <c r="AT46">
        <f>IF(A46="","",IF(ISNUMBER(SEARCH("other bank",LOWER(W46&amp;""))),1,0))</f>
        <v/>
      </c>
      <c r="AU46">
        <f>IF(A46="","",IF(ISNUMBER(SEARCH("sanctioned",LOWER(W46&amp;""))),1,0))</f>
        <v/>
      </c>
      <c r="AV46">
        <f>IF(A46="","",IF(ISNUMBER(SEARCH("Docs Pending",W46&amp;"")),1,0))</f>
        <v/>
      </c>
      <c r="AW46">
        <f>IF(A46="","",IF(OR(X46="Rejected",ISNUMBER(SEARCH("Not eligbile",W46&amp;""))),1,0))</f>
        <v/>
      </c>
    </row>
    <row r="47">
      <c r="A47">
        <f>IF('01_Master_Data'!B47="","",46)</f>
        <v/>
      </c>
      <c r="B47">
        <f>IF('01_Master_Data'!B47="","",IF('01_Master_Data'!C47&lt;&gt;"","MOB|"&amp;TEXT('01_Master_Data'!C47,"0"),IF('01_Master_Data'!D47&lt;&gt;"","PID|"&amp;TRIM('01_Master_Data'!D47&amp;""),"")))</f>
        <v/>
      </c>
      <c r="C47">
        <f>IF('01_Master_Data'!B47="","",'01_Master_Data'!B47)</f>
        <v/>
      </c>
      <c r="D47">
        <f>IF('01_Master_Data'!B47="","",'01_Master_Data'!C47)</f>
        <v/>
      </c>
      <c r="E47">
        <f>IF('01_Master_Data'!B47="","",'01_Master_Data'!D47)</f>
        <v/>
      </c>
      <c r="F47">
        <f>IF('01_Master_Data'!B47="","",'01_Master_Data'!E47)</f>
        <v/>
      </c>
      <c r="G47">
        <f>IF('01_Master_Data'!B47="","",IFERROR(VLOOKUP(TRIM('01_Master_Data'!E47&amp;""),'02_Configuration'!$A$40:$B$44,2,FALSE),UPPER(TRIM('01_Master_Data'!E47&amp;""))))</f>
        <v/>
      </c>
      <c r="H47">
        <f>IF('01_Master_Data'!B47="","",IF('01_Master_Data'!U47="","",TRIM('01_Master_Data'!U47&amp;"")))</f>
        <v/>
      </c>
      <c r="I47">
        <f>IF('01_Master_Data'!B47="","",TRIM('01_Master_Data'!F47&amp;""))</f>
        <v/>
      </c>
      <c r="J47">
        <f>IF('01_Master_Data'!B47="","",TRIM('01_Master_Data'!G47&amp;""))</f>
        <v/>
      </c>
      <c r="K47">
        <f>IF('01_Master_Data'!B47="","",'01_Master_Data'!H47)</f>
        <v/>
      </c>
      <c r="L47">
        <f>IF('01_Master_Data'!B47="","",IF(LOWER(TRIM('01_Master_Data'!V47&amp;""))="yes",1,0))</f>
        <v/>
      </c>
      <c r="M47">
        <f>IF('01_Master_Data'!B47="","",IF(LOWER(TRIM('01_Master_Data'!W47&amp;""))="yes",1,0))</f>
        <v/>
      </c>
      <c r="N47">
        <f>IF('01_Master_Data'!B47="","",IF(LOWER(TRIM('01_Master_Data'!X47&amp;""))="yes",1,0))</f>
        <v/>
      </c>
      <c r="O47">
        <f>IF('01_Master_Data'!B47="","",IF(LOWER(TRIM('01_Master_Data'!Y47&amp;""))="yes",1,0))</f>
        <v/>
      </c>
      <c r="P47">
        <f>IF('01_Master_Data'!B47="","",IF(LOWER(TRIM('01_Master_Data'!Z47&amp;""))="yes",1,0))</f>
        <v/>
      </c>
      <c r="Q47">
        <f>IF(A47="","",L47+M47+N47+O47+P47)</f>
        <v/>
      </c>
      <c r="R47">
        <f>IF(A47="","",IF(Q47&gt;1,"Yes","No"))</f>
        <v/>
      </c>
      <c r="S47">
        <f>IF(A47="","",TEXTJOIN(", ",TRUE,IF(L47=1,"ICICI",""),IF(M47=1,"Propelld",""),IF(N47=1,"Study4Buddy",""),IF(O47=1,"Poonawala Fincorp",""),IF(P47=1,"GyanDhan","")))</f>
        <v/>
      </c>
      <c r="T47">
        <f>IF(A47="","",IF(L47=1,"ICICI",IF(M47=1,"Propelld",IF(P47=1,"GyanDhan",IF(N47=1,"Study4Buddy",IF(O47=1,"Poonawala Fincorp",IF(ISNUMBER(SEARCH("GyanDhan",W47&amp;"")),"GyanDhan",IF(ISNUMBER(SEARCH("Icici",W47&amp;"")),"ICICI",IF(ISNUMBER(SEARCH("Propelld",W47&amp;"")),"Propelld",IF(ISNUMBER(SEARCH("vidyalakshmi",LOWER(W47&amp;"")),"PM Vidyalakshmi","—"))))))))))</f>
        <v/>
      </c>
      <c r="U47">
        <f>IF(A47="","",TRIM('01_Master_Data'!AA47&amp;""))</f>
        <v/>
      </c>
      <c r="V47">
        <f>IF(A47="","",TRIM('01_Master_Data'!AG47&amp;""))</f>
        <v/>
      </c>
      <c r="W47">
        <f>IF(A47="","",TRIM('01_Master_Data'!AH47&amp;""))</f>
        <v/>
      </c>
      <c r="X47">
        <f>IF(A47="","",IF(OR(LOWER(H47)="refund",LOWER(U47)="refund case"),"Refund",IF(OR(LOWER(H47)="dnp",LOWER(U47)="dnp"),"DNP",IF(OR(LOWER(V47)="disbursed",ISNUMBER(SEARCH("Disbursed",W47&amp;""))),"Disbursed",IF(OR(LOWER(V47)="loan proccessed/accepted",ISNUMBER(SEARCH("sanctioned",LOWER(W47&amp;"")))),"Sanctioned",IF(OR(LOWER(V47)="rejected",ISNUMBER(SEARCH("Not eligbile",W47&amp;"")),ISNUMBER(SEARCH("Not eligible",W47&amp;""))),"Rejected",IF(ISNUMBER(SEARCH("Docs Pending",W47&amp;"")),"Documents Pending",IF(AND(LOWER(H47)="yes",LOWER(V47)="ongoing"),"Processing",IF(AND(LOWER(H47)="yes",Q47&gt;0,OR(V47="",LOWER(V47)="not even started")),"Vendor Assigned",IF(AND(LOWER(H47)="yes",LOWER(V47)="not even started"),"Need Loan",IF(LOWER(H47)="yes","Loan Started",IF(LOWER(H47)="not sure","Interested",IF(OR(LOWER(H47)="no",LOWER(V47)="not required"),"Not Required","Unclassified")))))))))))))</f>
        <v/>
      </c>
      <c r="Y47">
        <f>IF(A47="","",IF(OR(X47="Sanctioned",X47="Disbursed",X47="Approved"),"Approved",IF(X47="Rejected","Rejected",IF(OR(X47="Processing",X47="Documents Pending",X47="Vendor Assigned"),"In Progress",IF(X47="Need Loan","Pending Start","—"))))</f>
        <v/>
      </c>
      <c r="Z47">
        <f>IF(A47="","",IF(X47="Disbursed","Disbursed",IF(X47="Sanctioned","Sanctioned - Awaiting Disbursement","Not Disbursed")))</f>
        <v/>
      </c>
      <c r="AA47">
        <f>IF(A47="","",IF(LOWER(TRIM('01_Master_Data'!AI47&amp;""))="yes","Need FLDG",IF(LOWER(TRIM('01_Master_Data'!AK47&amp;""))="yes","Need Vidyalakshmi",IF(LOWER(TRIM('01_Master_Data'!AJ47&amp;""))="yes","Need Review",IF(LOWER(J47)="critical","Critical",IF(LOWER(U47)="risk","Risk Case",IF(X47="Refund","Refund","Normal")))))))</f>
        <v/>
      </c>
      <c r="AB47">
        <f>IF(A47="","",IF(OR(LOWER(J47)="critical",LOWER(TRIM('01_Master_Data'!AI47&amp;""))="yes",LOWER(TRIM('01_Master_Data'!AK47&amp;""))="yes",LOWER(U47)="risk"),"Yes","No"))</f>
        <v/>
      </c>
      <c r="AC47">
        <f>IF(A47="","",IF(LOWER(TRIM('01_Master_Data'!AI47&amp;""))="yes","Yes","No"))</f>
        <v/>
      </c>
      <c r="AD47">
        <f>IF(A47="","",IF(LOWER(TRIM('01_Master_Data'!AK47&amp;""))="yes","Yes","No"))</f>
        <v/>
      </c>
      <c r="AE47">
        <f>IF(A47="","",IF(LOWER(TRIM('01_Master_Data'!AJ47&amp;""))="yes","Yes","No"))</f>
        <v/>
      </c>
      <c r="AF47">
        <f>IF(A47="","",TRIM('01_Master_Data'!AL47&amp;""))</f>
        <v/>
      </c>
      <c r="AG47">
        <f>IF(A47="","",IF(AF47="","—",IF(ISNUMBER(SEARCH("DNP",AF47)),"Unreachable / DNP",IF(ISNUMBER(SEARCH("interest",LOWER(AF47))),"High Interest / Terms",IF(OR(ISNUMBER(SEARCH("eligib",LOWER(AF47))),ISNUMBER(SEARCH("income",LOWER(AF47)))),"Eligibility / Income",IF(OR(ISNUMBER(SEARCH("start",LOWER(AF47))),ISNUMBER(SEARCH("Newer",AF47)),ISNUMBER(SEARCH("Will start",AF47))),"Process Yet to Start",IF(ISNUMBER(SEARCH("sure",LOWER(AF47))),"Undecided",IF(OR(ISNUMBER(SEARCH("reject",LOWER(AF47))),ISNUMBER(SEARCH("SBI",AF47))),"Rejected Elsewhere",IF(ISNUMBER(SEARCH("call",LOWER(AF47))),"Bank Communication",IF(OR(ISNUMBER(SEARCH("father",LOWER(AF47))),ISNUMBER(SEARCH("sister",LOWER(AF47)))),"Family / Dependency","Other"))))))))))</f>
        <v/>
      </c>
      <c r="AH47">
        <f>IF(A47="","",'01_Master_Data'!AC47)</f>
        <v/>
      </c>
      <c r="AI47">
        <f>IF(A47="","",IF(OR(AH47="",NOT(ISNUMBER(AH47))),"",MAX(0,'02_Configuration'!$B$82-AH47)))</f>
        <v/>
      </c>
      <c r="AJ47">
        <f>IF(A47="","",IF(AI47="","Unknown",IF(AI47&lt;=3,"0–3 Days",IF(AI47&lt;=7,"4–7 Days",IF(AI47&lt;=15,"8–15 Days",IF(AI47&lt;=30,"16–30 Days","30+ Days"))))))</f>
        <v/>
      </c>
      <c r="AK47">
        <f>IF(A47="","",IF(LOWER(H47)="yes","Yes","No"))</f>
        <v/>
      </c>
      <c r="AL47">
        <f>IF(A47="","",'01_Master_Data'!T47)</f>
        <v/>
      </c>
      <c r="AM47">
        <f>IF(A47="","",'01_Master_Data'!S47)</f>
        <v/>
      </c>
      <c r="AN47">
        <f>IF(A47="","",'01_Master_Data'!I47)</f>
        <v/>
      </c>
      <c r="AO47">
        <f>IF(A47="","",'01_Master_Data'!M47)</f>
        <v/>
      </c>
      <c r="AP47">
        <f>IF(A47="","",IF(ISNUMBER(SEARCH("Icici",W47&amp;"")),1,0))</f>
        <v/>
      </c>
      <c r="AQ47">
        <f>IF(A47="","",IF(ISNUMBER(SEARCH("Propelld",W47&amp;"")),1,0))</f>
        <v/>
      </c>
      <c r="AR47">
        <f>IF(A47="","",IF(ISNUMBER(SEARCH("GyanDhan",W47&amp;"")),1,0))</f>
        <v/>
      </c>
      <c r="AS47">
        <f>IF(A47="","",IF(ISNUMBER(SEARCH("vidyalakshmi",LOWER(W47&amp;""))),1,0))</f>
        <v/>
      </c>
      <c r="AT47">
        <f>IF(A47="","",IF(ISNUMBER(SEARCH("other bank",LOWER(W47&amp;""))),1,0))</f>
        <v/>
      </c>
      <c r="AU47">
        <f>IF(A47="","",IF(ISNUMBER(SEARCH("sanctioned",LOWER(W47&amp;""))),1,0))</f>
        <v/>
      </c>
      <c r="AV47">
        <f>IF(A47="","",IF(ISNUMBER(SEARCH("Docs Pending",W47&amp;"")),1,0))</f>
        <v/>
      </c>
      <c r="AW47">
        <f>IF(A47="","",IF(OR(X47="Rejected",ISNUMBER(SEARCH("Not eligbile",W47&amp;""))),1,0))</f>
        <v/>
      </c>
    </row>
    <row r="48">
      <c r="A48">
        <f>IF('01_Master_Data'!B48="","",47)</f>
        <v/>
      </c>
      <c r="B48">
        <f>IF('01_Master_Data'!B48="","",IF('01_Master_Data'!C48&lt;&gt;"","MOB|"&amp;TEXT('01_Master_Data'!C48,"0"),IF('01_Master_Data'!D48&lt;&gt;"","PID|"&amp;TRIM('01_Master_Data'!D48&amp;""),"")))</f>
        <v/>
      </c>
      <c r="C48">
        <f>IF('01_Master_Data'!B48="","",'01_Master_Data'!B48)</f>
        <v/>
      </c>
      <c r="D48">
        <f>IF('01_Master_Data'!B48="","",'01_Master_Data'!C48)</f>
        <v/>
      </c>
      <c r="E48">
        <f>IF('01_Master_Data'!B48="","",'01_Master_Data'!D48)</f>
        <v/>
      </c>
      <c r="F48">
        <f>IF('01_Master_Data'!B48="","",'01_Master_Data'!E48)</f>
        <v/>
      </c>
      <c r="G48">
        <f>IF('01_Master_Data'!B48="","",IFERROR(VLOOKUP(TRIM('01_Master_Data'!E48&amp;""),'02_Configuration'!$A$40:$B$44,2,FALSE),UPPER(TRIM('01_Master_Data'!E48&amp;""))))</f>
        <v/>
      </c>
      <c r="H48">
        <f>IF('01_Master_Data'!B48="","",IF('01_Master_Data'!U48="","",TRIM('01_Master_Data'!U48&amp;"")))</f>
        <v/>
      </c>
      <c r="I48">
        <f>IF('01_Master_Data'!B48="","",TRIM('01_Master_Data'!F48&amp;""))</f>
        <v/>
      </c>
      <c r="J48">
        <f>IF('01_Master_Data'!B48="","",TRIM('01_Master_Data'!G48&amp;""))</f>
        <v/>
      </c>
      <c r="K48">
        <f>IF('01_Master_Data'!B48="","",'01_Master_Data'!H48)</f>
        <v/>
      </c>
      <c r="L48">
        <f>IF('01_Master_Data'!B48="","",IF(LOWER(TRIM('01_Master_Data'!V48&amp;""))="yes",1,0))</f>
        <v/>
      </c>
      <c r="M48">
        <f>IF('01_Master_Data'!B48="","",IF(LOWER(TRIM('01_Master_Data'!W48&amp;""))="yes",1,0))</f>
        <v/>
      </c>
      <c r="N48">
        <f>IF('01_Master_Data'!B48="","",IF(LOWER(TRIM('01_Master_Data'!X48&amp;""))="yes",1,0))</f>
        <v/>
      </c>
      <c r="O48">
        <f>IF('01_Master_Data'!B48="","",IF(LOWER(TRIM('01_Master_Data'!Y48&amp;""))="yes",1,0))</f>
        <v/>
      </c>
      <c r="P48">
        <f>IF('01_Master_Data'!B48="","",IF(LOWER(TRIM('01_Master_Data'!Z48&amp;""))="yes",1,0))</f>
        <v/>
      </c>
      <c r="Q48">
        <f>IF(A48="","",L48+M48+N48+O48+P48)</f>
        <v/>
      </c>
      <c r="R48">
        <f>IF(A48="","",IF(Q48&gt;1,"Yes","No"))</f>
        <v/>
      </c>
      <c r="S48">
        <f>IF(A48="","",TEXTJOIN(", ",TRUE,IF(L48=1,"ICICI",""),IF(M48=1,"Propelld",""),IF(N48=1,"Study4Buddy",""),IF(O48=1,"Poonawala Fincorp",""),IF(P48=1,"GyanDhan","")))</f>
        <v/>
      </c>
      <c r="T48">
        <f>IF(A48="","",IF(L48=1,"ICICI",IF(M48=1,"Propelld",IF(P48=1,"GyanDhan",IF(N48=1,"Study4Buddy",IF(O48=1,"Poonawala Fincorp",IF(ISNUMBER(SEARCH("GyanDhan",W48&amp;"")),"GyanDhan",IF(ISNUMBER(SEARCH("Icici",W48&amp;"")),"ICICI",IF(ISNUMBER(SEARCH("Propelld",W48&amp;"")),"Propelld",IF(ISNUMBER(SEARCH("vidyalakshmi",LOWER(W48&amp;"")),"PM Vidyalakshmi","—"))))))))))</f>
        <v/>
      </c>
      <c r="U48">
        <f>IF(A48="","",TRIM('01_Master_Data'!AA48&amp;""))</f>
        <v/>
      </c>
      <c r="V48">
        <f>IF(A48="","",TRIM('01_Master_Data'!AG48&amp;""))</f>
        <v/>
      </c>
      <c r="W48">
        <f>IF(A48="","",TRIM('01_Master_Data'!AH48&amp;""))</f>
        <v/>
      </c>
      <c r="X48">
        <f>IF(A48="","",IF(OR(LOWER(H48)="refund",LOWER(U48)="refund case"),"Refund",IF(OR(LOWER(H48)="dnp",LOWER(U48)="dnp"),"DNP",IF(OR(LOWER(V48)="disbursed",ISNUMBER(SEARCH("Disbursed",W48&amp;""))),"Disbursed",IF(OR(LOWER(V48)="loan proccessed/accepted",ISNUMBER(SEARCH("sanctioned",LOWER(W48&amp;"")))),"Sanctioned",IF(OR(LOWER(V48)="rejected",ISNUMBER(SEARCH("Not eligbile",W48&amp;"")),ISNUMBER(SEARCH("Not eligible",W48&amp;""))),"Rejected",IF(ISNUMBER(SEARCH("Docs Pending",W48&amp;"")),"Documents Pending",IF(AND(LOWER(H48)="yes",LOWER(V48)="ongoing"),"Processing",IF(AND(LOWER(H48)="yes",Q48&gt;0,OR(V48="",LOWER(V48)="not even started")),"Vendor Assigned",IF(AND(LOWER(H48)="yes",LOWER(V48)="not even started"),"Need Loan",IF(LOWER(H48)="yes","Loan Started",IF(LOWER(H48)="not sure","Interested",IF(OR(LOWER(H48)="no",LOWER(V48)="not required"),"Not Required","Unclassified")))))))))))))</f>
        <v/>
      </c>
      <c r="Y48">
        <f>IF(A48="","",IF(OR(X48="Sanctioned",X48="Disbursed",X48="Approved"),"Approved",IF(X48="Rejected","Rejected",IF(OR(X48="Processing",X48="Documents Pending",X48="Vendor Assigned"),"In Progress",IF(X48="Need Loan","Pending Start","—"))))</f>
        <v/>
      </c>
      <c r="Z48">
        <f>IF(A48="","",IF(X48="Disbursed","Disbursed",IF(X48="Sanctioned","Sanctioned - Awaiting Disbursement","Not Disbursed")))</f>
        <v/>
      </c>
      <c r="AA48">
        <f>IF(A48="","",IF(LOWER(TRIM('01_Master_Data'!AI48&amp;""))="yes","Need FLDG",IF(LOWER(TRIM('01_Master_Data'!AK48&amp;""))="yes","Need Vidyalakshmi",IF(LOWER(TRIM('01_Master_Data'!AJ48&amp;""))="yes","Need Review",IF(LOWER(J48)="critical","Critical",IF(LOWER(U48)="risk","Risk Case",IF(X48="Refund","Refund","Normal")))))))</f>
        <v/>
      </c>
      <c r="AB48">
        <f>IF(A48="","",IF(OR(LOWER(J48)="critical",LOWER(TRIM('01_Master_Data'!AI48&amp;""))="yes",LOWER(TRIM('01_Master_Data'!AK48&amp;""))="yes",LOWER(U48)="risk"),"Yes","No"))</f>
        <v/>
      </c>
      <c r="AC48">
        <f>IF(A48="","",IF(LOWER(TRIM('01_Master_Data'!AI48&amp;""))="yes","Yes","No"))</f>
        <v/>
      </c>
      <c r="AD48">
        <f>IF(A48="","",IF(LOWER(TRIM('01_Master_Data'!AK48&amp;""))="yes","Yes","No"))</f>
        <v/>
      </c>
      <c r="AE48">
        <f>IF(A48="","",IF(LOWER(TRIM('01_Master_Data'!AJ48&amp;""))="yes","Yes","No"))</f>
        <v/>
      </c>
      <c r="AF48">
        <f>IF(A48="","",TRIM('01_Master_Data'!AL48&amp;""))</f>
        <v/>
      </c>
      <c r="AG48">
        <f>IF(A48="","",IF(AF48="","—",IF(ISNUMBER(SEARCH("DNP",AF48)),"Unreachable / DNP",IF(ISNUMBER(SEARCH("interest",LOWER(AF48))),"High Interest / Terms",IF(OR(ISNUMBER(SEARCH("eligib",LOWER(AF48))),ISNUMBER(SEARCH("income",LOWER(AF48)))),"Eligibility / Income",IF(OR(ISNUMBER(SEARCH("start",LOWER(AF48))),ISNUMBER(SEARCH("Newer",AF48)),ISNUMBER(SEARCH("Will start",AF48))),"Process Yet to Start",IF(ISNUMBER(SEARCH("sure",LOWER(AF48))),"Undecided",IF(OR(ISNUMBER(SEARCH("reject",LOWER(AF48))),ISNUMBER(SEARCH("SBI",AF48))),"Rejected Elsewhere",IF(ISNUMBER(SEARCH("call",LOWER(AF48))),"Bank Communication",IF(OR(ISNUMBER(SEARCH("father",LOWER(AF48))),ISNUMBER(SEARCH("sister",LOWER(AF48)))),"Family / Dependency","Other"))))))))))</f>
        <v/>
      </c>
      <c r="AH48">
        <f>IF(A48="","",'01_Master_Data'!AC48)</f>
        <v/>
      </c>
      <c r="AI48">
        <f>IF(A48="","",IF(OR(AH48="",NOT(ISNUMBER(AH48))),"",MAX(0,'02_Configuration'!$B$82-AH48)))</f>
        <v/>
      </c>
      <c r="AJ48">
        <f>IF(A48="","",IF(AI48="","Unknown",IF(AI48&lt;=3,"0–3 Days",IF(AI48&lt;=7,"4–7 Days",IF(AI48&lt;=15,"8–15 Days",IF(AI48&lt;=30,"16–30 Days","30+ Days"))))))</f>
        <v/>
      </c>
      <c r="AK48">
        <f>IF(A48="","",IF(LOWER(H48)="yes","Yes","No"))</f>
        <v/>
      </c>
      <c r="AL48">
        <f>IF(A48="","",'01_Master_Data'!T48)</f>
        <v/>
      </c>
      <c r="AM48">
        <f>IF(A48="","",'01_Master_Data'!S48)</f>
        <v/>
      </c>
      <c r="AN48">
        <f>IF(A48="","",'01_Master_Data'!I48)</f>
        <v/>
      </c>
      <c r="AO48">
        <f>IF(A48="","",'01_Master_Data'!M48)</f>
        <v/>
      </c>
      <c r="AP48">
        <f>IF(A48="","",IF(ISNUMBER(SEARCH("Icici",W48&amp;"")),1,0))</f>
        <v/>
      </c>
      <c r="AQ48">
        <f>IF(A48="","",IF(ISNUMBER(SEARCH("Propelld",W48&amp;"")),1,0))</f>
        <v/>
      </c>
      <c r="AR48">
        <f>IF(A48="","",IF(ISNUMBER(SEARCH("GyanDhan",W48&amp;"")),1,0))</f>
        <v/>
      </c>
      <c r="AS48">
        <f>IF(A48="","",IF(ISNUMBER(SEARCH("vidyalakshmi",LOWER(W48&amp;""))),1,0))</f>
        <v/>
      </c>
      <c r="AT48">
        <f>IF(A48="","",IF(ISNUMBER(SEARCH("other bank",LOWER(W48&amp;""))),1,0))</f>
        <v/>
      </c>
      <c r="AU48">
        <f>IF(A48="","",IF(ISNUMBER(SEARCH("sanctioned",LOWER(W48&amp;""))),1,0))</f>
        <v/>
      </c>
      <c r="AV48">
        <f>IF(A48="","",IF(ISNUMBER(SEARCH("Docs Pending",W48&amp;"")),1,0))</f>
        <v/>
      </c>
      <c r="AW48">
        <f>IF(A48="","",IF(OR(X48="Rejected",ISNUMBER(SEARCH("Not eligbile",W48&amp;""))),1,0))</f>
        <v/>
      </c>
    </row>
    <row r="49">
      <c r="A49">
        <f>IF('01_Master_Data'!B49="","",48)</f>
        <v/>
      </c>
      <c r="B49">
        <f>IF('01_Master_Data'!B49="","",IF('01_Master_Data'!C49&lt;&gt;"","MOB|"&amp;TEXT('01_Master_Data'!C49,"0"),IF('01_Master_Data'!D49&lt;&gt;"","PID|"&amp;TRIM('01_Master_Data'!D49&amp;""),"")))</f>
        <v/>
      </c>
      <c r="C49">
        <f>IF('01_Master_Data'!B49="","",'01_Master_Data'!B49)</f>
        <v/>
      </c>
      <c r="D49">
        <f>IF('01_Master_Data'!B49="","",'01_Master_Data'!C49)</f>
        <v/>
      </c>
      <c r="E49">
        <f>IF('01_Master_Data'!B49="","",'01_Master_Data'!D49)</f>
        <v/>
      </c>
      <c r="F49">
        <f>IF('01_Master_Data'!B49="","",'01_Master_Data'!E49)</f>
        <v/>
      </c>
      <c r="G49">
        <f>IF('01_Master_Data'!B49="","",IFERROR(VLOOKUP(TRIM('01_Master_Data'!E49&amp;""),'02_Configuration'!$A$40:$B$44,2,FALSE),UPPER(TRIM('01_Master_Data'!E49&amp;""))))</f>
        <v/>
      </c>
      <c r="H49">
        <f>IF('01_Master_Data'!B49="","",IF('01_Master_Data'!U49="","",TRIM('01_Master_Data'!U49&amp;"")))</f>
        <v/>
      </c>
      <c r="I49">
        <f>IF('01_Master_Data'!B49="","",TRIM('01_Master_Data'!F49&amp;""))</f>
        <v/>
      </c>
      <c r="J49">
        <f>IF('01_Master_Data'!B49="","",TRIM('01_Master_Data'!G49&amp;""))</f>
        <v/>
      </c>
      <c r="K49">
        <f>IF('01_Master_Data'!B49="","",'01_Master_Data'!H49)</f>
        <v/>
      </c>
      <c r="L49">
        <f>IF('01_Master_Data'!B49="","",IF(LOWER(TRIM('01_Master_Data'!V49&amp;""))="yes",1,0))</f>
        <v/>
      </c>
      <c r="M49">
        <f>IF('01_Master_Data'!B49="","",IF(LOWER(TRIM('01_Master_Data'!W49&amp;""))="yes",1,0))</f>
        <v/>
      </c>
      <c r="N49">
        <f>IF('01_Master_Data'!B49="","",IF(LOWER(TRIM('01_Master_Data'!X49&amp;""))="yes",1,0))</f>
        <v/>
      </c>
      <c r="O49">
        <f>IF('01_Master_Data'!B49="","",IF(LOWER(TRIM('01_Master_Data'!Y49&amp;""))="yes",1,0))</f>
        <v/>
      </c>
      <c r="P49">
        <f>IF('01_Master_Data'!B49="","",IF(LOWER(TRIM('01_Master_Data'!Z49&amp;""))="yes",1,0))</f>
        <v/>
      </c>
      <c r="Q49">
        <f>IF(A49="","",L49+M49+N49+O49+P49)</f>
        <v/>
      </c>
      <c r="R49">
        <f>IF(A49="","",IF(Q49&gt;1,"Yes","No"))</f>
        <v/>
      </c>
      <c r="S49">
        <f>IF(A49="","",TEXTJOIN(", ",TRUE,IF(L49=1,"ICICI",""),IF(M49=1,"Propelld",""),IF(N49=1,"Study4Buddy",""),IF(O49=1,"Poonawala Fincorp",""),IF(P49=1,"GyanDhan","")))</f>
        <v/>
      </c>
      <c r="T49">
        <f>IF(A49="","",IF(L49=1,"ICICI",IF(M49=1,"Propelld",IF(P49=1,"GyanDhan",IF(N49=1,"Study4Buddy",IF(O49=1,"Poonawala Fincorp",IF(ISNUMBER(SEARCH("GyanDhan",W49&amp;"")),"GyanDhan",IF(ISNUMBER(SEARCH("Icici",W49&amp;"")),"ICICI",IF(ISNUMBER(SEARCH("Propelld",W49&amp;"")),"Propelld",IF(ISNUMBER(SEARCH("vidyalakshmi",LOWER(W49&amp;"")),"PM Vidyalakshmi","—"))))))))))</f>
        <v/>
      </c>
      <c r="U49">
        <f>IF(A49="","",TRIM('01_Master_Data'!AA49&amp;""))</f>
        <v/>
      </c>
      <c r="V49">
        <f>IF(A49="","",TRIM('01_Master_Data'!AG49&amp;""))</f>
        <v/>
      </c>
      <c r="W49">
        <f>IF(A49="","",TRIM('01_Master_Data'!AH49&amp;""))</f>
        <v/>
      </c>
      <c r="X49">
        <f>IF(A49="","",IF(OR(LOWER(H49)="refund",LOWER(U49)="refund case"),"Refund",IF(OR(LOWER(H49)="dnp",LOWER(U49)="dnp"),"DNP",IF(OR(LOWER(V49)="disbursed",ISNUMBER(SEARCH("Disbursed",W49&amp;""))),"Disbursed",IF(OR(LOWER(V49)="loan proccessed/accepted",ISNUMBER(SEARCH("sanctioned",LOWER(W49&amp;"")))),"Sanctioned",IF(OR(LOWER(V49)="rejected",ISNUMBER(SEARCH("Not eligbile",W49&amp;"")),ISNUMBER(SEARCH("Not eligible",W49&amp;""))),"Rejected",IF(ISNUMBER(SEARCH("Docs Pending",W49&amp;"")),"Documents Pending",IF(AND(LOWER(H49)="yes",LOWER(V49)="ongoing"),"Processing",IF(AND(LOWER(H49)="yes",Q49&gt;0,OR(V49="",LOWER(V49)="not even started")),"Vendor Assigned",IF(AND(LOWER(H49)="yes",LOWER(V49)="not even started"),"Need Loan",IF(LOWER(H49)="yes","Loan Started",IF(LOWER(H49)="not sure","Interested",IF(OR(LOWER(H49)="no",LOWER(V49)="not required"),"Not Required","Unclassified")))))))))))))</f>
        <v/>
      </c>
      <c r="Y49">
        <f>IF(A49="","",IF(OR(X49="Sanctioned",X49="Disbursed",X49="Approved"),"Approved",IF(X49="Rejected","Rejected",IF(OR(X49="Processing",X49="Documents Pending",X49="Vendor Assigned"),"In Progress",IF(X49="Need Loan","Pending Start","—"))))</f>
        <v/>
      </c>
      <c r="Z49">
        <f>IF(A49="","",IF(X49="Disbursed","Disbursed",IF(X49="Sanctioned","Sanctioned - Awaiting Disbursement","Not Disbursed")))</f>
        <v/>
      </c>
      <c r="AA49">
        <f>IF(A49="","",IF(LOWER(TRIM('01_Master_Data'!AI49&amp;""))="yes","Need FLDG",IF(LOWER(TRIM('01_Master_Data'!AK49&amp;""))="yes","Need Vidyalakshmi",IF(LOWER(TRIM('01_Master_Data'!AJ49&amp;""))="yes","Need Review",IF(LOWER(J49)="critical","Critical",IF(LOWER(U49)="risk","Risk Case",IF(X49="Refund","Refund","Normal")))))))</f>
        <v/>
      </c>
      <c r="AB49">
        <f>IF(A49="","",IF(OR(LOWER(J49)="critical",LOWER(TRIM('01_Master_Data'!AI49&amp;""))="yes",LOWER(TRIM('01_Master_Data'!AK49&amp;""))="yes",LOWER(U49)="risk"),"Yes","No"))</f>
        <v/>
      </c>
      <c r="AC49">
        <f>IF(A49="","",IF(LOWER(TRIM('01_Master_Data'!AI49&amp;""))="yes","Yes","No"))</f>
        <v/>
      </c>
      <c r="AD49">
        <f>IF(A49="","",IF(LOWER(TRIM('01_Master_Data'!AK49&amp;""))="yes","Yes","No"))</f>
        <v/>
      </c>
      <c r="AE49">
        <f>IF(A49="","",IF(LOWER(TRIM('01_Master_Data'!AJ49&amp;""))="yes","Yes","No"))</f>
        <v/>
      </c>
      <c r="AF49">
        <f>IF(A49="","",TRIM('01_Master_Data'!AL49&amp;""))</f>
        <v/>
      </c>
      <c r="AG49">
        <f>IF(A49="","",IF(AF49="","—",IF(ISNUMBER(SEARCH("DNP",AF49)),"Unreachable / DNP",IF(ISNUMBER(SEARCH("interest",LOWER(AF49))),"High Interest / Terms",IF(OR(ISNUMBER(SEARCH("eligib",LOWER(AF49))),ISNUMBER(SEARCH("income",LOWER(AF49)))),"Eligibility / Income",IF(OR(ISNUMBER(SEARCH("start",LOWER(AF49))),ISNUMBER(SEARCH("Newer",AF49)),ISNUMBER(SEARCH("Will start",AF49))),"Process Yet to Start",IF(ISNUMBER(SEARCH("sure",LOWER(AF49))),"Undecided",IF(OR(ISNUMBER(SEARCH("reject",LOWER(AF49))),ISNUMBER(SEARCH("SBI",AF49))),"Rejected Elsewhere",IF(ISNUMBER(SEARCH("call",LOWER(AF49))),"Bank Communication",IF(OR(ISNUMBER(SEARCH("father",LOWER(AF49))),ISNUMBER(SEARCH("sister",LOWER(AF49)))),"Family / Dependency","Other"))))))))))</f>
        <v/>
      </c>
      <c r="AH49">
        <f>IF(A49="","",'01_Master_Data'!AC49)</f>
        <v/>
      </c>
      <c r="AI49">
        <f>IF(A49="","",IF(OR(AH49="",NOT(ISNUMBER(AH49))),"",MAX(0,'02_Configuration'!$B$82-AH49)))</f>
        <v/>
      </c>
      <c r="AJ49">
        <f>IF(A49="","",IF(AI49="","Unknown",IF(AI49&lt;=3,"0–3 Days",IF(AI49&lt;=7,"4–7 Days",IF(AI49&lt;=15,"8–15 Days",IF(AI49&lt;=30,"16–30 Days","30+ Days"))))))</f>
        <v/>
      </c>
      <c r="AK49">
        <f>IF(A49="","",IF(LOWER(H49)="yes","Yes","No"))</f>
        <v/>
      </c>
      <c r="AL49">
        <f>IF(A49="","",'01_Master_Data'!T49)</f>
        <v/>
      </c>
      <c r="AM49">
        <f>IF(A49="","",'01_Master_Data'!S49)</f>
        <v/>
      </c>
      <c r="AN49">
        <f>IF(A49="","",'01_Master_Data'!I49)</f>
        <v/>
      </c>
      <c r="AO49">
        <f>IF(A49="","",'01_Master_Data'!M49)</f>
        <v/>
      </c>
      <c r="AP49">
        <f>IF(A49="","",IF(ISNUMBER(SEARCH("Icici",W49&amp;"")),1,0))</f>
        <v/>
      </c>
      <c r="AQ49">
        <f>IF(A49="","",IF(ISNUMBER(SEARCH("Propelld",W49&amp;"")),1,0))</f>
        <v/>
      </c>
      <c r="AR49">
        <f>IF(A49="","",IF(ISNUMBER(SEARCH("GyanDhan",W49&amp;"")),1,0))</f>
        <v/>
      </c>
      <c r="AS49">
        <f>IF(A49="","",IF(ISNUMBER(SEARCH("vidyalakshmi",LOWER(W49&amp;""))),1,0))</f>
        <v/>
      </c>
      <c r="AT49">
        <f>IF(A49="","",IF(ISNUMBER(SEARCH("other bank",LOWER(W49&amp;""))),1,0))</f>
        <v/>
      </c>
      <c r="AU49">
        <f>IF(A49="","",IF(ISNUMBER(SEARCH("sanctioned",LOWER(W49&amp;""))),1,0))</f>
        <v/>
      </c>
      <c r="AV49">
        <f>IF(A49="","",IF(ISNUMBER(SEARCH("Docs Pending",W49&amp;"")),1,0))</f>
        <v/>
      </c>
      <c r="AW49">
        <f>IF(A49="","",IF(OR(X49="Rejected",ISNUMBER(SEARCH("Not eligbile",W49&amp;""))),1,0))</f>
        <v/>
      </c>
    </row>
    <row r="50">
      <c r="A50">
        <f>IF('01_Master_Data'!B50="","",49)</f>
        <v/>
      </c>
      <c r="B50">
        <f>IF('01_Master_Data'!B50="","",IF('01_Master_Data'!C50&lt;&gt;"","MOB|"&amp;TEXT('01_Master_Data'!C50,"0"),IF('01_Master_Data'!D50&lt;&gt;"","PID|"&amp;TRIM('01_Master_Data'!D50&amp;""),"")))</f>
        <v/>
      </c>
      <c r="C50">
        <f>IF('01_Master_Data'!B50="","",'01_Master_Data'!B50)</f>
        <v/>
      </c>
      <c r="D50">
        <f>IF('01_Master_Data'!B50="","",'01_Master_Data'!C50)</f>
        <v/>
      </c>
      <c r="E50">
        <f>IF('01_Master_Data'!B50="","",'01_Master_Data'!D50)</f>
        <v/>
      </c>
      <c r="F50">
        <f>IF('01_Master_Data'!B50="","",'01_Master_Data'!E50)</f>
        <v/>
      </c>
      <c r="G50">
        <f>IF('01_Master_Data'!B50="","",IFERROR(VLOOKUP(TRIM('01_Master_Data'!E50&amp;""),'02_Configuration'!$A$40:$B$44,2,FALSE),UPPER(TRIM('01_Master_Data'!E50&amp;""))))</f>
        <v/>
      </c>
      <c r="H50">
        <f>IF('01_Master_Data'!B50="","",IF('01_Master_Data'!U50="","",TRIM('01_Master_Data'!U50&amp;"")))</f>
        <v/>
      </c>
      <c r="I50">
        <f>IF('01_Master_Data'!B50="","",TRIM('01_Master_Data'!F50&amp;""))</f>
        <v/>
      </c>
      <c r="J50">
        <f>IF('01_Master_Data'!B50="","",TRIM('01_Master_Data'!G50&amp;""))</f>
        <v/>
      </c>
      <c r="K50">
        <f>IF('01_Master_Data'!B50="","",'01_Master_Data'!H50)</f>
        <v/>
      </c>
      <c r="L50">
        <f>IF('01_Master_Data'!B50="","",IF(LOWER(TRIM('01_Master_Data'!V50&amp;""))="yes",1,0))</f>
        <v/>
      </c>
      <c r="M50">
        <f>IF('01_Master_Data'!B50="","",IF(LOWER(TRIM('01_Master_Data'!W50&amp;""))="yes",1,0))</f>
        <v/>
      </c>
      <c r="N50">
        <f>IF('01_Master_Data'!B50="","",IF(LOWER(TRIM('01_Master_Data'!X50&amp;""))="yes",1,0))</f>
        <v/>
      </c>
      <c r="O50">
        <f>IF('01_Master_Data'!B50="","",IF(LOWER(TRIM('01_Master_Data'!Y50&amp;""))="yes",1,0))</f>
        <v/>
      </c>
      <c r="P50">
        <f>IF('01_Master_Data'!B50="","",IF(LOWER(TRIM('01_Master_Data'!Z50&amp;""))="yes",1,0))</f>
        <v/>
      </c>
      <c r="Q50">
        <f>IF(A50="","",L50+M50+N50+O50+P50)</f>
        <v/>
      </c>
      <c r="R50">
        <f>IF(A50="","",IF(Q50&gt;1,"Yes","No"))</f>
        <v/>
      </c>
      <c r="S50">
        <f>IF(A50="","",TEXTJOIN(", ",TRUE,IF(L50=1,"ICICI",""),IF(M50=1,"Propelld",""),IF(N50=1,"Study4Buddy",""),IF(O50=1,"Poonawala Fincorp",""),IF(P50=1,"GyanDhan","")))</f>
        <v/>
      </c>
      <c r="T50">
        <f>IF(A50="","",IF(L50=1,"ICICI",IF(M50=1,"Propelld",IF(P50=1,"GyanDhan",IF(N50=1,"Study4Buddy",IF(O50=1,"Poonawala Fincorp",IF(ISNUMBER(SEARCH("GyanDhan",W50&amp;"")),"GyanDhan",IF(ISNUMBER(SEARCH("Icici",W50&amp;"")),"ICICI",IF(ISNUMBER(SEARCH("Propelld",W50&amp;"")),"Propelld",IF(ISNUMBER(SEARCH("vidyalakshmi",LOWER(W50&amp;"")),"PM Vidyalakshmi","—"))))))))))</f>
        <v/>
      </c>
      <c r="U50">
        <f>IF(A50="","",TRIM('01_Master_Data'!AA50&amp;""))</f>
        <v/>
      </c>
      <c r="V50">
        <f>IF(A50="","",TRIM('01_Master_Data'!AG50&amp;""))</f>
        <v/>
      </c>
      <c r="W50">
        <f>IF(A50="","",TRIM('01_Master_Data'!AH50&amp;""))</f>
        <v/>
      </c>
      <c r="X50">
        <f>IF(A50="","",IF(OR(LOWER(H50)="refund",LOWER(U50)="refund case"),"Refund",IF(OR(LOWER(H50)="dnp",LOWER(U50)="dnp"),"DNP",IF(OR(LOWER(V50)="disbursed",ISNUMBER(SEARCH("Disbursed",W50&amp;""))),"Disbursed",IF(OR(LOWER(V50)="loan proccessed/accepted",ISNUMBER(SEARCH("sanctioned",LOWER(W50&amp;"")))),"Sanctioned",IF(OR(LOWER(V50)="rejected",ISNUMBER(SEARCH("Not eligbile",W50&amp;"")),ISNUMBER(SEARCH("Not eligible",W50&amp;""))),"Rejected",IF(ISNUMBER(SEARCH("Docs Pending",W50&amp;"")),"Documents Pending",IF(AND(LOWER(H50)="yes",LOWER(V50)="ongoing"),"Processing",IF(AND(LOWER(H50)="yes",Q50&gt;0,OR(V50="",LOWER(V50)="not even started")),"Vendor Assigned",IF(AND(LOWER(H50)="yes",LOWER(V50)="not even started"),"Need Loan",IF(LOWER(H50)="yes","Loan Started",IF(LOWER(H50)="not sure","Interested",IF(OR(LOWER(H50)="no",LOWER(V50)="not required"),"Not Required","Unclassified")))))))))))))</f>
        <v/>
      </c>
      <c r="Y50">
        <f>IF(A50="","",IF(OR(X50="Sanctioned",X50="Disbursed",X50="Approved"),"Approved",IF(X50="Rejected","Rejected",IF(OR(X50="Processing",X50="Documents Pending",X50="Vendor Assigned"),"In Progress",IF(X50="Need Loan","Pending Start","—"))))</f>
        <v/>
      </c>
      <c r="Z50">
        <f>IF(A50="","",IF(X50="Disbursed","Disbursed",IF(X50="Sanctioned","Sanctioned - Awaiting Disbursement","Not Disbursed")))</f>
        <v/>
      </c>
      <c r="AA50">
        <f>IF(A50="","",IF(LOWER(TRIM('01_Master_Data'!AI50&amp;""))="yes","Need FLDG",IF(LOWER(TRIM('01_Master_Data'!AK50&amp;""))="yes","Need Vidyalakshmi",IF(LOWER(TRIM('01_Master_Data'!AJ50&amp;""))="yes","Need Review",IF(LOWER(J50)="critical","Critical",IF(LOWER(U50)="risk","Risk Case",IF(X50="Refund","Refund","Normal")))))))</f>
        <v/>
      </c>
      <c r="AB50">
        <f>IF(A50="","",IF(OR(LOWER(J50)="critical",LOWER(TRIM('01_Master_Data'!AI50&amp;""))="yes",LOWER(TRIM('01_Master_Data'!AK50&amp;""))="yes",LOWER(U50)="risk"),"Yes","No"))</f>
        <v/>
      </c>
      <c r="AC50">
        <f>IF(A50="","",IF(LOWER(TRIM('01_Master_Data'!AI50&amp;""))="yes","Yes","No"))</f>
        <v/>
      </c>
      <c r="AD50">
        <f>IF(A50="","",IF(LOWER(TRIM('01_Master_Data'!AK50&amp;""))="yes","Yes","No"))</f>
        <v/>
      </c>
      <c r="AE50">
        <f>IF(A50="","",IF(LOWER(TRIM('01_Master_Data'!AJ50&amp;""))="yes","Yes","No"))</f>
        <v/>
      </c>
      <c r="AF50">
        <f>IF(A50="","",TRIM('01_Master_Data'!AL50&amp;""))</f>
        <v/>
      </c>
      <c r="AG50">
        <f>IF(A50="","",IF(AF50="","—",IF(ISNUMBER(SEARCH("DNP",AF50)),"Unreachable / DNP",IF(ISNUMBER(SEARCH("interest",LOWER(AF50))),"High Interest / Terms",IF(OR(ISNUMBER(SEARCH("eligib",LOWER(AF50))),ISNUMBER(SEARCH("income",LOWER(AF50)))),"Eligibility / Income",IF(OR(ISNUMBER(SEARCH("start",LOWER(AF50))),ISNUMBER(SEARCH("Newer",AF50)),ISNUMBER(SEARCH("Will start",AF50))),"Process Yet to Start",IF(ISNUMBER(SEARCH("sure",LOWER(AF50))),"Undecided",IF(OR(ISNUMBER(SEARCH("reject",LOWER(AF50))),ISNUMBER(SEARCH("SBI",AF50))),"Rejected Elsewhere",IF(ISNUMBER(SEARCH("call",LOWER(AF50))),"Bank Communication",IF(OR(ISNUMBER(SEARCH("father",LOWER(AF50))),ISNUMBER(SEARCH("sister",LOWER(AF50)))),"Family / Dependency","Other"))))))))))</f>
        <v/>
      </c>
      <c r="AH50">
        <f>IF(A50="","",'01_Master_Data'!AC50)</f>
        <v/>
      </c>
      <c r="AI50">
        <f>IF(A50="","",IF(OR(AH50="",NOT(ISNUMBER(AH50))),"",MAX(0,'02_Configuration'!$B$82-AH50)))</f>
        <v/>
      </c>
      <c r="AJ50">
        <f>IF(A50="","",IF(AI50="","Unknown",IF(AI50&lt;=3,"0–3 Days",IF(AI50&lt;=7,"4–7 Days",IF(AI50&lt;=15,"8–15 Days",IF(AI50&lt;=30,"16–30 Days","30+ Days"))))))</f>
        <v/>
      </c>
      <c r="AK50">
        <f>IF(A50="","",IF(LOWER(H50)="yes","Yes","No"))</f>
        <v/>
      </c>
      <c r="AL50">
        <f>IF(A50="","",'01_Master_Data'!T50)</f>
        <v/>
      </c>
      <c r="AM50">
        <f>IF(A50="","",'01_Master_Data'!S50)</f>
        <v/>
      </c>
      <c r="AN50">
        <f>IF(A50="","",'01_Master_Data'!I50)</f>
        <v/>
      </c>
      <c r="AO50">
        <f>IF(A50="","",'01_Master_Data'!M50)</f>
        <v/>
      </c>
      <c r="AP50">
        <f>IF(A50="","",IF(ISNUMBER(SEARCH("Icici",W50&amp;"")),1,0))</f>
        <v/>
      </c>
      <c r="AQ50">
        <f>IF(A50="","",IF(ISNUMBER(SEARCH("Propelld",W50&amp;"")),1,0))</f>
        <v/>
      </c>
      <c r="AR50">
        <f>IF(A50="","",IF(ISNUMBER(SEARCH("GyanDhan",W50&amp;"")),1,0))</f>
        <v/>
      </c>
      <c r="AS50">
        <f>IF(A50="","",IF(ISNUMBER(SEARCH("vidyalakshmi",LOWER(W50&amp;""))),1,0))</f>
        <v/>
      </c>
      <c r="AT50">
        <f>IF(A50="","",IF(ISNUMBER(SEARCH("other bank",LOWER(W50&amp;""))),1,0))</f>
        <v/>
      </c>
      <c r="AU50">
        <f>IF(A50="","",IF(ISNUMBER(SEARCH("sanctioned",LOWER(W50&amp;""))),1,0))</f>
        <v/>
      </c>
      <c r="AV50">
        <f>IF(A50="","",IF(ISNUMBER(SEARCH("Docs Pending",W50&amp;"")),1,0))</f>
        <v/>
      </c>
      <c r="AW50">
        <f>IF(A50="","",IF(OR(X50="Rejected",ISNUMBER(SEARCH("Not eligbile",W50&amp;""))),1,0))</f>
        <v/>
      </c>
    </row>
    <row r="51">
      <c r="A51">
        <f>IF('01_Master_Data'!B51="","",50)</f>
        <v/>
      </c>
      <c r="B51">
        <f>IF('01_Master_Data'!B51="","",IF('01_Master_Data'!C51&lt;&gt;"","MOB|"&amp;TEXT('01_Master_Data'!C51,"0"),IF('01_Master_Data'!D51&lt;&gt;"","PID|"&amp;TRIM('01_Master_Data'!D51&amp;""),"")))</f>
        <v/>
      </c>
      <c r="C51">
        <f>IF('01_Master_Data'!B51="","",'01_Master_Data'!B51)</f>
        <v/>
      </c>
      <c r="D51">
        <f>IF('01_Master_Data'!B51="","",'01_Master_Data'!C51)</f>
        <v/>
      </c>
      <c r="E51">
        <f>IF('01_Master_Data'!B51="","",'01_Master_Data'!D51)</f>
        <v/>
      </c>
      <c r="F51">
        <f>IF('01_Master_Data'!B51="","",'01_Master_Data'!E51)</f>
        <v/>
      </c>
      <c r="G51">
        <f>IF('01_Master_Data'!B51="","",IFERROR(VLOOKUP(TRIM('01_Master_Data'!E51&amp;""),'02_Configuration'!$A$40:$B$44,2,FALSE),UPPER(TRIM('01_Master_Data'!E51&amp;""))))</f>
        <v/>
      </c>
      <c r="H51">
        <f>IF('01_Master_Data'!B51="","",IF('01_Master_Data'!U51="","",TRIM('01_Master_Data'!U51&amp;"")))</f>
        <v/>
      </c>
      <c r="I51">
        <f>IF('01_Master_Data'!B51="","",TRIM('01_Master_Data'!F51&amp;""))</f>
        <v/>
      </c>
      <c r="J51">
        <f>IF('01_Master_Data'!B51="","",TRIM('01_Master_Data'!G51&amp;""))</f>
        <v/>
      </c>
      <c r="K51">
        <f>IF('01_Master_Data'!B51="","",'01_Master_Data'!H51)</f>
        <v/>
      </c>
      <c r="L51">
        <f>IF('01_Master_Data'!B51="","",IF(LOWER(TRIM('01_Master_Data'!V51&amp;""))="yes",1,0))</f>
        <v/>
      </c>
      <c r="M51">
        <f>IF('01_Master_Data'!B51="","",IF(LOWER(TRIM('01_Master_Data'!W51&amp;""))="yes",1,0))</f>
        <v/>
      </c>
      <c r="N51">
        <f>IF('01_Master_Data'!B51="","",IF(LOWER(TRIM('01_Master_Data'!X51&amp;""))="yes",1,0))</f>
        <v/>
      </c>
      <c r="O51">
        <f>IF('01_Master_Data'!B51="","",IF(LOWER(TRIM('01_Master_Data'!Y51&amp;""))="yes",1,0))</f>
        <v/>
      </c>
      <c r="P51">
        <f>IF('01_Master_Data'!B51="","",IF(LOWER(TRIM('01_Master_Data'!Z51&amp;""))="yes",1,0))</f>
        <v/>
      </c>
      <c r="Q51">
        <f>IF(A51="","",L51+M51+N51+O51+P51)</f>
        <v/>
      </c>
      <c r="R51">
        <f>IF(A51="","",IF(Q51&gt;1,"Yes","No"))</f>
        <v/>
      </c>
      <c r="S51">
        <f>IF(A51="","",TEXTJOIN(", ",TRUE,IF(L51=1,"ICICI",""),IF(M51=1,"Propelld",""),IF(N51=1,"Study4Buddy",""),IF(O51=1,"Poonawala Fincorp",""),IF(P51=1,"GyanDhan","")))</f>
        <v/>
      </c>
      <c r="T51">
        <f>IF(A51="","",IF(L51=1,"ICICI",IF(M51=1,"Propelld",IF(P51=1,"GyanDhan",IF(N51=1,"Study4Buddy",IF(O51=1,"Poonawala Fincorp",IF(ISNUMBER(SEARCH("GyanDhan",W51&amp;"")),"GyanDhan",IF(ISNUMBER(SEARCH("Icici",W51&amp;"")),"ICICI",IF(ISNUMBER(SEARCH("Propelld",W51&amp;"")),"Propelld",IF(ISNUMBER(SEARCH("vidyalakshmi",LOWER(W51&amp;"")),"PM Vidyalakshmi","—"))))))))))</f>
        <v/>
      </c>
      <c r="U51">
        <f>IF(A51="","",TRIM('01_Master_Data'!AA51&amp;""))</f>
        <v/>
      </c>
      <c r="V51">
        <f>IF(A51="","",TRIM('01_Master_Data'!AG51&amp;""))</f>
        <v/>
      </c>
      <c r="W51">
        <f>IF(A51="","",TRIM('01_Master_Data'!AH51&amp;""))</f>
        <v/>
      </c>
      <c r="X51">
        <f>IF(A51="","",IF(OR(LOWER(H51)="refund",LOWER(U51)="refund case"),"Refund",IF(OR(LOWER(H51)="dnp",LOWER(U51)="dnp"),"DNP",IF(OR(LOWER(V51)="disbursed",ISNUMBER(SEARCH("Disbursed",W51&amp;""))),"Disbursed",IF(OR(LOWER(V51)="loan proccessed/accepted",ISNUMBER(SEARCH("sanctioned",LOWER(W51&amp;"")))),"Sanctioned",IF(OR(LOWER(V51)="rejected",ISNUMBER(SEARCH("Not eligbile",W51&amp;"")),ISNUMBER(SEARCH("Not eligible",W51&amp;""))),"Rejected",IF(ISNUMBER(SEARCH("Docs Pending",W51&amp;"")),"Documents Pending",IF(AND(LOWER(H51)="yes",LOWER(V51)="ongoing"),"Processing",IF(AND(LOWER(H51)="yes",Q51&gt;0,OR(V51="",LOWER(V51)="not even started")),"Vendor Assigned",IF(AND(LOWER(H51)="yes",LOWER(V51)="not even started"),"Need Loan",IF(LOWER(H51)="yes","Loan Started",IF(LOWER(H51)="not sure","Interested",IF(OR(LOWER(H51)="no",LOWER(V51)="not required"),"Not Required","Unclassified")))))))))))))</f>
        <v/>
      </c>
      <c r="Y51">
        <f>IF(A51="","",IF(OR(X51="Sanctioned",X51="Disbursed",X51="Approved"),"Approved",IF(X51="Rejected","Rejected",IF(OR(X51="Processing",X51="Documents Pending",X51="Vendor Assigned"),"In Progress",IF(X51="Need Loan","Pending Start","—"))))</f>
        <v/>
      </c>
      <c r="Z51">
        <f>IF(A51="","",IF(X51="Disbursed","Disbursed",IF(X51="Sanctioned","Sanctioned - Awaiting Disbursement","Not Disbursed")))</f>
        <v/>
      </c>
      <c r="AA51">
        <f>IF(A51="","",IF(LOWER(TRIM('01_Master_Data'!AI51&amp;""))="yes","Need FLDG",IF(LOWER(TRIM('01_Master_Data'!AK51&amp;""))="yes","Need Vidyalakshmi",IF(LOWER(TRIM('01_Master_Data'!AJ51&amp;""))="yes","Need Review",IF(LOWER(J51)="critical","Critical",IF(LOWER(U51)="risk","Risk Case",IF(X51="Refund","Refund","Normal")))))))</f>
        <v/>
      </c>
      <c r="AB51">
        <f>IF(A51="","",IF(OR(LOWER(J51)="critical",LOWER(TRIM('01_Master_Data'!AI51&amp;""))="yes",LOWER(TRIM('01_Master_Data'!AK51&amp;""))="yes",LOWER(U51)="risk"),"Yes","No"))</f>
        <v/>
      </c>
      <c r="AC51">
        <f>IF(A51="","",IF(LOWER(TRIM('01_Master_Data'!AI51&amp;""))="yes","Yes","No"))</f>
        <v/>
      </c>
      <c r="AD51">
        <f>IF(A51="","",IF(LOWER(TRIM('01_Master_Data'!AK51&amp;""))="yes","Yes","No"))</f>
        <v/>
      </c>
      <c r="AE51">
        <f>IF(A51="","",IF(LOWER(TRIM('01_Master_Data'!AJ51&amp;""))="yes","Yes","No"))</f>
        <v/>
      </c>
      <c r="AF51">
        <f>IF(A51="","",TRIM('01_Master_Data'!AL51&amp;""))</f>
        <v/>
      </c>
      <c r="AG51">
        <f>IF(A51="","",IF(AF51="","—",IF(ISNUMBER(SEARCH("DNP",AF51)),"Unreachable / DNP",IF(ISNUMBER(SEARCH("interest",LOWER(AF51))),"High Interest / Terms",IF(OR(ISNUMBER(SEARCH("eligib",LOWER(AF51))),ISNUMBER(SEARCH("income",LOWER(AF51)))),"Eligibility / Income",IF(OR(ISNUMBER(SEARCH("start",LOWER(AF51))),ISNUMBER(SEARCH("Newer",AF51)),ISNUMBER(SEARCH("Will start",AF51))),"Process Yet to Start",IF(ISNUMBER(SEARCH("sure",LOWER(AF51))),"Undecided",IF(OR(ISNUMBER(SEARCH("reject",LOWER(AF51))),ISNUMBER(SEARCH("SBI",AF51))),"Rejected Elsewhere",IF(ISNUMBER(SEARCH("call",LOWER(AF51))),"Bank Communication",IF(OR(ISNUMBER(SEARCH("father",LOWER(AF51))),ISNUMBER(SEARCH("sister",LOWER(AF51)))),"Family / Dependency","Other"))))))))))</f>
        <v/>
      </c>
      <c r="AH51">
        <f>IF(A51="","",'01_Master_Data'!AC51)</f>
        <v/>
      </c>
      <c r="AI51">
        <f>IF(A51="","",IF(OR(AH51="",NOT(ISNUMBER(AH51))),"",MAX(0,'02_Configuration'!$B$82-AH51)))</f>
        <v/>
      </c>
      <c r="AJ51">
        <f>IF(A51="","",IF(AI51="","Unknown",IF(AI51&lt;=3,"0–3 Days",IF(AI51&lt;=7,"4–7 Days",IF(AI51&lt;=15,"8–15 Days",IF(AI51&lt;=30,"16–30 Days","30+ Days"))))))</f>
        <v/>
      </c>
      <c r="AK51">
        <f>IF(A51="","",IF(LOWER(H51)="yes","Yes","No"))</f>
        <v/>
      </c>
      <c r="AL51">
        <f>IF(A51="","",'01_Master_Data'!T51)</f>
        <v/>
      </c>
      <c r="AM51">
        <f>IF(A51="","",'01_Master_Data'!S51)</f>
        <v/>
      </c>
      <c r="AN51">
        <f>IF(A51="","",'01_Master_Data'!I51)</f>
        <v/>
      </c>
      <c r="AO51">
        <f>IF(A51="","",'01_Master_Data'!M51)</f>
        <v/>
      </c>
      <c r="AP51">
        <f>IF(A51="","",IF(ISNUMBER(SEARCH("Icici",W51&amp;"")),1,0))</f>
        <v/>
      </c>
      <c r="AQ51">
        <f>IF(A51="","",IF(ISNUMBER(SEARCH("Propelld",W51&amp;"")),1,0))</f>
        <v/>
      </c>
      <c r="AR51">
        <f>IF(A51="","",IF(ISNUMBER(SEARCH("GyanDhan",W51&amp;"")),1,0))</f>
        <v/>
      </c>
      <c r="AS51">
        <f>IF(A51="","",IF(ISNUMBER(SEARCH("vidyalakshmi",LOWER(W51&amp;""))),1,0))</f>
        <v/>
      </c>
      <c r="AT51">
        <f>IF(A51="","",IF(ISNUMBER(SEARCH("other bank",LOWER(W51&amp;""))),1,0))</f>
        <v/>
      </c>
      <c r="AU51">
        <f>IF(A51="","",IF(ISNUMBER(SEARCH("sanctioned",LOWER(W51&amp;""))),1,0))</f>
        <v/>
      </c>
      <c r="AV51">
        <f>IF(A51="","",IF(ISNUMBER(SEARCH("Docs Pending",W51&amp;"")),1,0))</f>
        <v/>
      </c>
      <c r="AW51">
        <f>IF(A51="","",IF(OR(X51="Rejected",ISNUMBER(SEARCH("Not eligbile",W51&amp;""))),1,0))</f>
        <v/>
      </c>
    </row>
    <row r="52">
      <c r="A52">
        <f>IF('01_Master_Data'!B52="","",51)</f>
        <v/>
      </c>
      <c r="B52">
        <f>IF('01_Master_Data'!B52="","",IF('01_Master_Data'!C52&lt;&gt;"","MOB|"&amp;TEXT('01_Master_Data'!C52,"0"),IF('01_Master_Data'!D52&lt;&gt;"","PID|"&amp;TRIM('01_Master_Data'!D52&amp;""),"")))</f>
        <v/>
      </c>
      <c r="C52">
        <f>IF('01_Master_Data'!B52="","",'01_Master_Data'!B52)</f>
        <v/>
      </c>
      <c r="D52">
        <f>IF('01_Master_Data'!B52="","",'01_Master_Data'!C52)</f>
        <v/>
      </c>
      <c r="E52">
        <f>IF('01_Master_Data'!B52="","",'01_Master_Data'!D52)</f>
        <v/>
      </c>
      <c r="F52">
        <f>IF('01_Master_Data'!B52="","",'01_Master_Data'!E52)</f>
        <v/>
      </c>
      <c r="G52">
        <f>IF('01_Master_Data'!B52="","",IFERROR(VLOOKUP(TRIM('01_Master_Data'!E52&amp;""),'02_Configuration'!$A$40:$B$44,2,FALSE),UPPER(TRIM('01_Master_Data'!E52&amp;""))))</f>
        <v/>
      </c>
      <c r="H52">
        <f>IF('01_Master_Data'!B52="","",IF('01_Master_Data'!U52="","",TRIM('01_Master_Data'!U52&amp;"")))</f>
        <v/>
      </c>
      <c r="I52">
        <f>IF('01_Master_Data'!B52="","",TRIM('01_Master_Data'!F52&amp;""))</f>
        <v/>
      </c>
      <c r="J52">
        <f>IF('01_Master_Data'!B52="","",TRIM('01_Master_Data'!G52&amp;""))</f>
        <v/>
      </c>
      <c r="K52">
        <f>IF('01_Master_Data'!B52="","",'01_Master_Data'!H52)</f>
        <v/>
      </c>
      <c r="L52">
        <f>IF('01_Master_Data'!B52="","",IF(LOWER(TRIM('01_Master_Data'!V52&amp;""))="yes",1,0))</f>
        <v/>
      </c>
      <c r="M52">
        <f>IF('01_Master_Data'!B52="","",IF(LOWER(TRIM('01_Master_Data'!W52&amp;""))="yes",1,0))</f>
        <v/>
      </c>
      <c r="N52">
        <f>IF('01_Master_Data'!B52="","",IF(LOWER(TRIM('01_Master_Data'!X52&amp;""))="yes",1,0))</f>
        <v/>
      </c>
      <c r="O52">
        <f>IF('01_Master_Data'!B52="","",IF(LOWER(TRIM('01_Master_Data'!Y52&amp;""))="yes",1,0))</f>
        <v/>
      </c>
      <c r="P52">
        <f>IF('01_Master_Data'!B52="","",IF(LOWER(TRIM('01_Master_Data'!Z52&amp;""))="yes",1,0))</f>
        <v/>
      </c>
      <c r="Q52">
        <f>IF(A52="","",L52+M52+N52+O52+P52)</f>
        <v/>
      </c>
      <c r="R52">
        <f>IF(A52="","",IF(Q52&gt;1,"Yes","No"))</f>
        <v/>
      </c>
      <c r="S52">
        <f>IF(A52="","",TEXTJOIN(", ",TRUE,IF(L52=1,"ICICI",""),IF(M52=1,"Propelld",""),IF(N52=1,"Study4Buddy",""),IF(O52=1,"Poonawala Fincorp",""),IF(P52=1,"GyanDhan","")))</f>
        <v/>
      </c>
      <c r="T52">
        <f>IF(A52="","",IF(L52=1,"ICICI",IF(M52=1,"Propelld",IF(P52=1,"GyanDhan",IF(N52=1,"Study4Buddy",IF(O52=1,"Poonawala Fincorp",IF(ISNUMBER(SEARCH("GyanDhan",W52&amp;"")),"GyanDhan",IF(ISNUMBER(SEARCH("Icici",W52&amp;"")),"ICICI",IF(ISNUMBER(SEARCH("Propelld",W52&amp;"")),"Propelld",IF(ISNUMBER(SEARCH("vidyalakshmi",LOWER(W52&amp;"")),"PM Vidyalakshmi","—"))))))))))</f>
        <v/>
      </c>
      <c r="U52">
        <f>IF(A52="","",TRIM('01_Master_Data'!AA52&amp;""))</f>
        <v/>
      </c>
      <c r="V52">
        <f>IF(A52="","",TRIM('01_Master_Data'!AG52&amp;""))</f>
        <v/>
      </c>
      <c r="W52">
        <f>IF(A52="","",TRIM('01_Master_Data'!AH52&amp;""))</f>
        <v/>
      </c>
      <c r="X52">
        <f>IF(A52="","",IF(OR(LOWER(H52)="refund",LOWER(U52)="refund case"),"Refund",IF(OR(LOWER(H52)="dnp",LOWER(U52)="dnp"),"DNP",IF(OR(LOWER(V52)="disbursed",ISNUMBER(SEARCH("Disbursed",W52&amp;""))),"Disbursed",IF(OR(LOWER(V52)="loan proccessed/accepted",ISNUMBER(SEARCH("sanctioned",LOWER(W52&amp;"")))),"Sanctioned",IF(OR(LOWER(V52)="rejected",ISNUMBER(SEARCH("Not eligbile",W52&amp;"")),ISNUMBER(SEARCH("Not eligible",W52&amp;""))),"Rejected",IF(ISNUMBER(SEARCH("Docs Pending",W52&amp;"")),"Documents Pending",IF(AND(LOWER(H52)="yes",LOWER(V52)="ongoing"),"Processing",IF(AND(LOWER(H52)="yes",Q52&gt;0,OR(V52="",LOWER(V52)="not even started")),"Vendor Assigned",IF(AND(LOWER(H52)="yes",LOWER(V52)="not even started"),"Need Loan",IF(LOWER(H52)="yes","Loan Started",IF(LOWER(H52)="not sure","Interested",IF(OR(LOWER(H52)="no",LOWER(V52)="not required"),"Not Required","Unclassified")))))))))))))</f>
        <v/>
      </c>
      <c r="Y52">
        <f>IF(A52="","",IF(OR(X52="Sanctioned",X52="Disbursed",X52="Approved"),"Approved",IF(X52="Rejected","Rejected",IF(OR(X52="Processing",X52="Documents Pending",X52="Vendor Assigned"),"In Progress",IF(X52="Need Loan","Pending Start","—"))))</f>
        <v/>
      </c>
      <c r="Z52">
        <f>IF(A52="","",IF(X52="Disbursed","Disbursed",IF(X52="Sanctioned","Sanctioned - Awaiting Disbursement","Not Disbursed")))</f>
        <v/>
      </c>
      <c r="AA52">
        <f>IF(A52="","",IF(LOWER(TRIM('01_Master_Data'!AI52&amp;""))="yes","Need FLDG",IF(LOWER(TRIM('01_Master_Data'!AK52&amp;""))="yes","Need Vidyalakshmi",IF(LOWER(TRIM('01_Master_Data'!AJ52&amp;""))="yes","Need Review",IF(LOWER(J52)="critical","Critical",IF(LOWER(U52)="risk","Risk Case",IF(X52="Refund","Refund","Normal")))))))</f>
        <v/>
      </c>
      <c r="AB52">
        <f>IF(A52="","",IF(OR(LOWER(J52)="critical",LOWER(TRIM('01_Master_Data'!AI52&amp;""))="yes",LOWER(TRIM('01_Master_Data'!AK52&amp;""))="yes",LOWER(U52)="risk"),"Yes","No"))</f>
        <v/>
      </c>
      <c r="AC52">
        <f>IF(A52="","",IF(LOWER(TRIM('01_Master_Data'!AI52&amp;""))="yes","Yes","No"))</f>
        <v/>
      </c>
      <c r="AD52">
        <f>IF(A52="","",IF(LOWER(TRIM('01_Master_Data'!AK52&amp;""))="yes","Yes","No"))</f>
        <v/>
      </c>
      <c r="AE52">
        <f>IF(A52="","",IF(LOWER(TRIM('01_Master_Data'!AJ52&amp;""))="yes","Yes","No"))</f>
        <v/>
      </c>
      <c r="AF52">
        <f>IF(A52="","",TRIM('01_Master_Data'!AL52&amp;""))</f>
        <v/>
      </c>
      <c r="AG52">
        <f>IF(A52="","",IF(AF52="","—",IF(ISNUMBER(SEARCH("DNP",AF52)),"Unreachable / DNP",IF(ISNUMBER(SEARCH("interest",LOWER(AF52))),"High Interest / Terms",IF(OR(ISNUMBER(SEARCH("eligib",LOWER(AF52))),ISNUMBER(SEARCH("income",LOWER(AF52)))),"Eligibility / Income",IF(OR(ISNUMBER(SEARCH("start",LOWER(AF52))),ISNUMBER(SEARCH("Newer",AF52)),ISNUMBER(SEARCH("Will start",AF52))),"Process Yet to Start",IF(ISNUMBER(SEARCH("sure",LOWER(AF52))),"Undecided",IF(OR(ISNUMBER(SEARCH("reject",LOWER(AF52))),ISNUMBER(SEARCH("SBI",AF52))),"Rejected Elsewhere",IF(ISNUMBER(SEARCH("call",LOWER(AF52))),"Bank Communication",IF(OR(ISNUMBER(SEARCH("father",LOWER(AF52))),ISNUMBER(SEARCH("sister",LOWER(AF52)))),"Family / Dependency","Other"))))))))))</f>
        <v/>
      </c>
      <c r="AH52">
        <f>IF(A52="","",'01_Master_Data'!AC52)</f>
        <v/>
      </c>
      <c r="AI52">
        <f>IF(A52="","",IF(OR(AH52="",NOT(ISNUMBER(AH52))),"",MAX(0,'02_Configuration'!$B$82-AH52)))</f>
        <v/>
      </c>
      <c r="AJ52">
        <f>IF(A52="","",IF(AI52="","Unknown",IF(AI52&lt;=3,"0–3 Days",IF(AI52&lt;=7,"4–7 Days",IF(AI52&lt;=15,"8–15 Days",IF(AI52&lt;=30,"16–30 Days","30+ Days"))))))</f>
        <v/>
      </c>
      <c r="AK52">
        <f>IF(A52="","",IF(LOWER(H52)="yes","Yes","No"))</f>
        <v/>
      </c>
      <c r="AL52">
        <f>IF(A52="","",'01_Master_Data'!T52)</f>
        <v/>
      </c>
      <c r="AM52">
        <f>IF(A52="","",'01_Master_Data'!S52)</f>
        <v/>
      </c>
      <c r="AN52">
        <f>IF(A52="","",'01_Master_Data'!I52)</f>
        <v/>
      </c>
      <c r="AO52">
        <f>IF(A52="","",'01_Master_Data'!M52)</f>
        <v/>
      </c>
      <c r="AP52">
        <f>IF(A52="","",IF(ISNUMBER(SEARCH("Icici",W52&amp;"")),1,0))</f>
        <v/>
      </c>
      <c r="AQ52">
        <f>IF(A52="","",IF(ISNUMBER(SEARCH("Propelld",W52&amp;"")),1,0))</f>
        <v/>
      </c>
      <c r="AR52">
        <f>IF(A52="","",IF(ISNUMBER(SEARCH("GyanDhan",W52&amp;"")),1,0))</f>
        <v/>
      </c>
      <c r="AS52">
        <f>IF(A52="","",IF(ISNUMBER(SEARCH("vidyalakshmi",LOWER(W52&amp;""))),1,0))</f>
        <v/>
      </c>
      <c r="AT52">
        <f>IF(A52="","",IF(ISNUMBER(SEARCH("other bank",LOWER(W52&amp;""))),1,0))</f>
        <v/>
      </c>
      <c r="AU52">
        <f>IF(A52="","",IF(ISNUMBER(SEARCH("sanctioned",LOWER(W52&amp;""))),1,0))</f>
        <v/>
      </c>
      <c r="AV52">
        <f>IF(A52="","",IF(ISNUMBER(SEARCH("Docs Pending",W52&amp;"")),1,0))</f>
        <v/>
      </c>
      <c r="AW52">
        <f>IF(A52="","",IF(OR(X52="Rejected",ISNUMBER(SEARCH("Not eligbile",W52&amp;""))),1,0))</f>
        <v/>
      </c>
    </row>
    <row r="53">
      <c r="A53">
        <f>IF('01_Master_Data'!B53="","",52)</f>
        <v/>
      </c>
      <c r="B53">
        <f>IF('01_Master_Data'!B53="","",IF('01_Master_Data'!C53&lt;&gt;"","MOB|"&amp;TEXT('01_Master_Data'!C53,"0"),IF('01_Master_Data'!D53&lt;&gt;"","PID|"&amp;TRIM('01_Master_Data'!D53&amp;""),"")))</f>
        <v/>
      </c>
      <c r="C53">
        <f>IF('01_Master_Data'!B53="","",'01_Master_Data'!B53)</f>
        <v/>
      </c>
      <c r="D53">
        <f>IF('01_Master_Data'!B53="","",'01_Master_Data'!C53)</f>
        <v/>
      </c>
      <c r="E53">
        <f>IF('01_Master_Data'!B53="","",'01_Master_Data'!D53)</f>
        <v/>
      </c>
      <c r="F53">
        <f>IF('01_Master_Data'!B53="","",'01_Master_Data'!E53)</f>
        <v/>
      </c>
      <c r="G53">
        <f>IF('01_Master_Data'!B53="","",IFERROR(VLOOKUP(TRIM('01_Master_Data'!E53&amp;""),'02_Configuration'!$A$40:$B$44,2,FALSE),UPPER(TRIM('01_Master_Data'!E53&amp;""))))</f>
        <v/>
      </c>
      <c r="H53">
        <f>IF('01_Master_Data'!B53="","",IF('01_Master_Data'!U53="","",TRIM('01_Master_Data'!U53&amp;"")))</f>
        <v/>
      </c>
      <c r="I53">
        <f>IF('01_Master_Data'!B53="","",TRIM('01_Master_Data'!F53&amp;""))</f>
        <v/>
      </c>
      <c r="J53">
        <f>IF('01_Master_Data'!B53="","",TRIM('01_Master_Data'!G53&amp;""))</f>
        <v/>
      </c>
      <c r="K53">
        <f>IF('01_Master_Data'!B53="","",'01_Master_Data'!H53)</f>
        <v/>
      </c>
      <c r="L53">
        <f>IF('01_Master_Data'!B53="","",IF(LOWER(TRIM('01_Master_Data'!V53&amp;""))="yes",1,0))</f>
        <v/>
      </c>
      <c r="M53">
        <f>IF('01_Master_Data'!B53="","",IF(LOWER(TRIM('01_Master_Data'!W53&amp;""))="yes",1,0))</f>
        <v/>
      </c>
      <c r="N53">
        <f>IF('01_Master_Data'!B53="","",IF(LOWER(TRIM('01_Master_Data'!X53&amp;""))="yes",1,0))</f>
        <v/>
      </c>
      <c r="O53">
        <f>IF('01_Master_Data'!B53="","",IF(LOWER(TRIM('01_Master_Data'!Y53&amp;""))="yes",1,0))</f>
        <v/>
      </c>
      <c r="P53">
        <f>IF('01_Master_Data'!B53="","",IF(LOWER(TRIM('01_Master_Data'!Z53&amp;""))="yes",1,0))</f>
        <v/>
      </c>
      <c r="Q53">
        <f>IF(A53="","",L53+M53+N53+O53+P53)</f>
        <v/>
      </c>
      <c r="R53">
        <f>IF(A53="","",IF(Q53&gt;1,"Yes","No"))</f>
        <v/>
      </c>
      <c r="S53">
        <f>IF(A53="","",TEXTJOIN(", ",TRUE,IF(L53=1,"ICICI",""),IF(M53=1,"Propelld",""),IF(N53=1,"Study4Buddy",""),IF(O53=1,"Poonawala Fincorp",""),IF(P53=1,"GyanDhan","")))</f>
        <v/>
      </c>
      <c r="T53">
        <f>IF(A53="","",IF(L53=1,"ICICI",IF(M53=1,"Propelld",IF(P53=1,"GyanDhan",IF(N53=1,"Study4Buddy",IF(O53=1,"Poonawala Fincorp",IF(ISNUMBER(SEARCH("GyanDhan",W53&amp;"")),"GyanDhan",IF(ISNUMBER(SEARCH("Icici",W53&amp;"")),"ICICI",IF(ISNUMBER(SEARCH("Propelld",W53&amp;"")),"Propelld",IF(ISNUMBER(SEARCH("vidyalakshmi",LOWER(W53&amp;"")),"PM Vidyalakshmi","—"))))))))))</f>
        <v/>
      </c>
      <c r="U53">
        <f>IF(A53="","",TRIM('01_Master_Data'!AA53&amp;""))</f>
        <v/>
      </c>
      <c r="V53">
        <f>IF(A53="","",TRIM('01_Master_Data'!AG53&amp;""))</f>
        <v/>
      </c>
      <c r="W53">
        <f>IF(A53="","",TRIM('01_Master_Data'!AH53&amp;""))</f>
        <v/>
      </c>
      <c r="X53">
        <f>IF(A53="","",IF(OR(LOWER(H53)="refund",LOWER(U53)="refund case"),"Refund",IF(OR(LOWER(H53)="dnp",LOWER(U53)="dnp"),"DNP",IF(OR(LOWER(V53)="disbursed",ISNUMBER(SEARCH("Disbursed",W53&amp;""))),"Disbursed",IF(OR(LOWER(V53)="loan proccessed/accepted",ISNUMBER(SEARCH("sanctioned",LOWER(W53&amp;"")))),"Sanctioned",IF(OR(LOWER(V53)="rejected",ISNUMBER(SEARCH("Not eligbile",W53&amp;"")),ISNUMBER(SEARCH("Not eligible",W53&amp;""))),"Rejected",IF(ISNUMBER(SEARCH("Docs Pending",W53&amp;"")),"Documents Pending",IF(AND(LOWER(H53)="yes",LOWER(V53)="ongoing"),"Processing",IF(AND(LOWER(H53)="yes",Q53&gt;0,OR(V53="",LOWER(V53)="not even started")),"Vendor Assigned",IF(AND(LOWER(H53)="yes",LOWER(V53)="not even started"),"Need Loan",IF(LOWER(H53)="yes","Loan Started",IF(LOWER(H53)="not sure","Interested",IF(OR(LOWER(H53)="no",LOWER(V53)="not required"),"Not Required","Unclassified")))))))))))))</f>
        <v/>
      </c>
      <c r="Y53">
        <f>IF(A53="","",IF(OR(X53="Sanctioned",X53="Disbursed",X53="Approved"),"Approved",IF(X53="Rejected","Rejected",IF(OR(X53="Processing",X53="Documents Pending",X53="Vendor Assigned"),"In Progress",IF(X53="Need Loan","Pending Start","—"))))</f>
        <v/>
      </c>
      <c r="Z53">
        <f>IF(A53="","",IF(X53="Disbursed","Disbursed",IF(X53="Sanctioned","Sanctioned - Awaiting Disbursement","Not Disbursed")))</f>
        <v/>
      </c>
      <c r="AA53">
        <f>IF(A53="","",IF(LOWER(TRIM('01_Master_Data'!AI53&amp;""))="yes","Need FLDG",IF(LOWER(TRIM('01_Master_Data'!AK53&amp;""))="yes","Need Vidyalakshmi",IF(LOWER(TRIM('01_Master_Data'!AJ53&amp;""))="yes","Need Review",IF(LOWER(J53)="critical","Critical",IF(LOWER(U53)="risk","Risk Case",IF(X53="Refund","Refund","Normal")))))))</f>
        <v/>
      </c>
      <c r="AB53">
        <f>IF(A53="","",IF(OR(LOWER(J53)="critical",LOWER(TRIM('01_Master_Data'!AI53&amp;""))="yes",LOWER(TRIM('01_Master_Data'!AK53&amp;""))="yes",LOWER(U53)="risk"),"Yes","No"))</f>
        <v/>
      </c>
      <c r="AC53">
        <f>IF(A53="","",IF(LOWER(TRIM('01_Master_Data'!AI53&amp;""))="yes","Yes","No"))</f>
        <v/>
      </c>
      <c r="AD53">
        <f>IF(A53="","",IF(LOWER(TRIM('01_Master_Data'!AK53&amp;""))="yes","Yes","No"))</f>
        <v/>
      </c>
      <c r="AE53">
        <f>IF(A53="","",IF(LOWER(TRIM('01_Master_Data'!AJ53&amp;""))="yes","Yes","No"))</f>
        <v/>
      </c>
      <c r="AF53">
        <f>IF(A53="","",TRIM('01_Master_Data'!AL53&amp;""))</f>
        <v/>
      </c>
      <c r="AG53">
        <f>IF(A53="","",IF(AF53="","—",IF(ISNUMBER(SEARCH("DNP",AF53)),"Unreachable / DNP",IF(ISNUMBER(SEARCH("interest",LOWER(AF53))),"High Interest / Terms",IF(OR(ISNUMBER(SEARCH("eligib",LOWER(AF53))),ISNUMBER(SEARCH("income",LOWER(AF53)))),"Eligibility / Income",IF(OR(ISNUMBER(SEARCH("start",LOWER(AF53))),ISNUMBER(SEARCH("Newer",AF53)),ISNUMBER(SEARCH("Will start",AF53))),"Process Yet to Start",IF(ISNUMBER(SEARCH("sure",LOWER(AF53))),"Undecided",IF(OR(ISNUMBER(SEARCH("reject",LOWER(AF53))),ISNUMBER(SEARCH("SBI",AF53))),"Rejected Elsewhere",IF(ISNUMBER(SEARCH("call",LOWER(AF53))),"Bank Communication",IF(OR(ISNUMBER(SEARCH("father",LOWER(AF53))),ISNUMBER(SEARCH("sister",LOWER(AF53)))),"Family / Dependency","Other"))))))))))</f>
        <v/>
      </c>
      <c r="AH53">
        <f>IF(A53="","",'01_Master_Data'!AC53)</f>
        <v/>
      </c>
      <c r="AI53">
        <f>IF(A53="","",IF(OR(AH53="",NOT(ISNUMBER(AH53))),"",MAX(0,'02_Configuration'!$B$82-AH53)))</f>
        <v/>
      </c>
      <c r="AJ53">
        <f>IF(A53="","",IF(AI53="","Unknown",IF(AI53&lt;=3,"0–3 Days",IF(AI53&lt;=7,"4–7 Days",IF(AI53&lt;=15,"8–15 Days",IF(AI53&lt;=30,"16–30 Days","30+ Days"))))))</f>
        <v/>
      </c>
      <c r="AK53">
        <f>IF(A53="","",IF(LOWER(H53)="yes","Yes","No"))</f>
        <v/>
      </c>
      <c r="AL53">
        <f>IF(A53="","",'01_Master_Data'!T53)</f>
        <v/>
      </c>
      <c r="AM53">
        <f>IF(A53="","",'01_Master_Data'!S53)</f>
        <v/>
      </c>
      <c r="AN53">
        <f>IF(A53="","",'01_Master_Data'!I53)</f>
        <v/>
      </c>
      <c r="AO53">
        <f>IF(A53="","",'01_Master_Data'!M53)</f>
        <v/>
      </c>
      <c r="AP53">
        <f>IF(A53="","",IF(ISNUMBER(SEARCH("Icici",W53&amp;"")),1,0))</f>
        <v/>
      </c>
      <c r="AQ53">
        <f>IF(A53="","",IF(ISNUMBER(SEARCH("Propelld",W53&amp;"")),1,0))</f>
        <v/>
      </c>
      <c r="AR53">
        <f>IF(A53="","",IF(ISNUMBER(SEARCH("GyanDhan",W53&amp;"")),1,0))</f>
        <v/>
      </c>
      <c r="AS53">
        <f>IF(A53="","",IF(ISNUMBER(SEARCH("vidyalakshmi",LOWER(W53&amp;""))),1,0))</f>
        <v/>
      </c>
      <c r="AT53">
        <f>IF(A53="","",IF(ISNUMBER(SEARCH("other bank",LOWER(W53&amp;""))),1,0))</f>
        <v/>
      </c>
      <c r="AU53">
        <f>IF(A53="","",IF(ISNUMBER(SEARCH("sanctioned",LOWER(W53&amp;""))),1,0))</f>
        <v/>
      </c>
      <c r="AV53">
        <f>IF(A53="","",IF(ISNUMBER(SEARCH("Docs Pending",W53&amp;"")),1,0))</f>
        <v/>
      </c>
      <c r="AW53">
        <f>IF(A53="","",IF(OR(X53="Rejected",ISNUMBER(SEARCH("Not eligbile",W53&amp;""))),1,0))</f>
        <v/>
      </c>
    </row>
    <row r="54">
      <c r="A54">
        <f>IF('01_Master_Data'!B54="","",53)</f>
        <v/>
      </c>
      <c r="B54">
        <f>IF('01_Master_Data'!B54="","",IF('01_Master_Data'!C54&lt;&gt;"","MOB|"&amp;TEXT('01_Master_Data'!C54,"0"),IF('01_Master_Data'!D54&lt;&gt;"","PID|"&amp;TRIM('01_Master_Data'!D54&amp;""),"")))</f>
        <v/>
      </c>
      <c r="C54">
        <f>IF('01_Master_Data'!B54="","",'01_Master_Data'!B54)</f>
        <v/>
      </c>
      <c r="D54">
        <f>IF('01_Master_Data'!B54="","",'01_Master_Data'!C54)</f>
        <v/>
      </c>
      <c r="E54">
        <f>IF('01_Master_Data'!B54="","",'01_Master_Data'!D54)</f>
        <v/>
      </c>
      <c r="F54">
        <f>IF('01_Master_Data'!B54="","",'01_Master_Data'!E54)</f>
        <v/>
      </c>
      <c r="G54">
        <f>IF('01_Master_Data'!B54="","",IFERROR(VLOOKUP(TRIM('01_Master_Data'!E54&amp;""),'02_Configuration'!$A$40:$B$44,2,FALSE),UPPER(TRIM('01_Master_Data'!E54&amp;""))))</f>
        <v/>
      </c>
      <c r="H54">
        <f>IF('01_Master_Data'!B54="","",IF('01_Master_Data'!U54="","",TRIM('01_Master_Data'!U54&amp;"")))</f>
        <v/>
      </c>
      <c r="I54">
        <f>IF('01_Master_Data'!B54="","",TRIM('01_Master_Data'!F54&amp;""))</f>
        <v/>
      </c>
      <c r="J54">
        <f>IF('01_Master_Data'!B54="","",TRIM('01_Master_Data'!G54&amp;""))</f>
        <v/>
      </c>
      <c r="K54">
        <f>IF('01_Master_Data'!B54="","",'01_Master_Data'!H54)</f>
        <v/>
      </c>
      <c r="L54">
        <f>IF('01_Master_Data'!B54="","",IF(LOWER(TRIM('01_Master_Data'!V54&amp;""))="yes",1,0))</f>
        <v/>
      </c>
      <c r="M54">
        <f>IF('01_Master_Data'!B54="","",IF(LOWER(TRIM('01_Master_Data'!W54&amp;""))="yes",1,0))</f>
        <v/>
      </c>
      <c r="N54">
        <f>IF('01_Master_Data'!B54="","",IF(LOWER(TRIM('01_Master_Data'!X54&amp;""))="yes",1,0))</f>
        <v/>
      </c>
      <c r="O54">
        <f>IF('01_Master_Data'!B54="","",IF(LOWER(TRIM('01_Master_Data'!Y54&amp;""))="yes",1,0))</f>
        <v/>
      </c>
      <c r="P54">
        <f>IF('01_Master_Data'!B54="","",IF(LOWER(TRIM('01_Master_Data'!Z54&amp;""))="yes",1,0))</f>
        <v/>
      </c>
      <c r="Q54">
        <f>IF(A54="","",L54+M54+N54+O54+P54)</f>
        <v/>
      </c>
      <c r="R54">
        <f>IF(A54="","",IF(Q54&gt;1,"Yes","No"))</f>
        <v/>
      </c>
      <c r="S54">
        <f>IF(A54="","",TEXTJOIN(", ",TRUE,IF(L54=1,"ICICI",""),IF(M54=1,"Propelld",""),IF(N54=1,"Study4Buddy",""),IF(O54=1,"Poonawala Fincorp",""),IF(P54=1,"GyanDhan","")))</f>
        <v/>
      </c>
      <c r="T54">
        <f>IF(A54="","",IF(L54=1,"ICICI",IF(M54=1,"Propelld",IF(P54=1,"GyanDhan",IF(N54=1,"Study4Buddy",IF(O54=1,"Poonawala Fincorp",IF(ISNUMBER(SEARCH("GyanDhan",W54&amp;"")),"GyanDhan",IF(ISNUMBER(SEARCH("Icici",W54&amp;"")),"ICICI",IF(ISNUMBER(SEARCH("Propelld",W54&amp;"")),"Propelld",IF(ISNUMBER(SEARCH("vidyalakshmi",LOWER(W54&amp;"")),"PM Vidyalakshmi","—"))))))))))</f>
        <v/>
      </c>
      <c r="U54">
        <f>IF(A54="","",TRIM('01_Master_Data'!AA54&amp;""))</f>
        <v/>
      </c>
      <c r="V54">
        <f>IF(A54="","",TRIM('01_Master_Data'!AG54&amp;""))</f>
        <v/>
      </c>
      <c r="W54">
        <f>IF(A54="","",TRIM('01_Master_Data'!AH54&amp;""))</f>
        <v/>
      </c>
      <c r="X54">
        <f>IF(A54="","",IF(OR(LOWER(H54)="refund",LOWER(U54)="refund case"),"Refund",IF(OR(LOWER(H54)="dnp",LOWER(U54)="dnp"),"DNP",IF(OR(LOWER(V54)="disbursed",ISNUMBER(SEARCH("Disbursed",W54&amp;""))),"Disbursed",IF(OR(LOWER(V54)="loan proccessed/accepted",ISNUMBER(SEARCH("sanctioned",LOWER(W54&amp;"")))),"Sanctioned",IF(OR(LOWER(V54)="rejected",ISNUMBER(SEARCH("Not eligbile",W54&amp;"")),ISNUMBER(SEARCH("Not eligible",W54&amp;""))),"Rejected",IF(ISNUMBER(SEARCH("Docs Pending",W54&amp;"")),"Documents Pending",IF(AND(LOWER(H54)="yes",LOWER(V54)="ongoing"),"Processing",IF(AND(LOWER(H54)="yes",Q54&gt;0,OR(V54="",LOWER(V54)="not even started")),"Vendor Assigned",IF(AND(LOWER(H54)="yes",LOWER(V54)="not even started"),"Need Loan",IF(LOWER(H54)="yes","Loan Started",IF(LOWER(H54)="not sure","Interested",IF(OR(LOWER(H54)="no",LOWER(V54)="not required"),"Not Required","Unclassified")))))))))))))</f>
        <v/>
      </c>
      <c r="Y54">
        <f>IF(A54="","",IF(OR(X54="Sanctioned",X54="Disbursed",X54="Approved"),"Approved",IF(X54="Rejected","Rejected",IF(OR(X54="Processing",X54="Documents Pending",X54="Vendor Assigned"),"In Progress",IF(X54="Need Loan","Pending Start","—"))))</f>
        <v/>
      </c>
      <c r="Z54">
        <f>IF(A54="","",IF(X54="Disbursed","Disbursed",IF(X54="Sanctioned","Sanctioned - Awaiting Disbursement","Not Disbursed")))</f>
        <v/>
      </c>
      <c r="AA54">
        <f>IF(A54="","",IF(LOWER(TRIM('01_Master_Data'!AI54&amp;""))="yes","Need FLDG",IF(LOWER(TRIM('01_Master_Data'!AK54&amp;""))="yes","Need Vidyalakshmi",IF(LOWER(TRIM('01_Master_Data'!AJ54&amp;""))="yes","Need Review",IF(LOWER(J54)="critical","Critical",IF(LOWER(U54)="risk","Risk Case",IF(X54="Refund","Refund","Normal")))))))</f>
        <v/>
      </c>
      <c r="AB54">
        <f>IF(A54="","",IF(OR(LOWER(J54)="critical",LOWER(TRIM('01_Master_Data'!AI54&amp;""))="yes",LOWER(TRIM('01_Master_Data'!AK54&amp;""))="yes",LOWER(U54)="risk"),"Yes","No"))</f>
        <v/>
      </c>
      <c r="AC54">
        <f>IF(A54="","",IF(LOWER(TRIM('01_Master_Data'!AI54&amp;""))="yes","Yes","No"))</f>
        <v/>
      </c>
      <c r="AD54">
        <f>IF(A54="","",IF(LOWER(TRIM('01_Master_Data'!AK54&amp;""))="yes","Yes","No"))</f>
        <v/>
      </c>
      <c r="AE54">
        <f>IF(A54="","",IF(LOWER(TRIM('01_Master_Data'!AJ54&amp;""))="yes","Yes","No"))</f>
        <v/>
      </c>
      <c r="AF54">
        <f>IF(A54="","",TRIM('01_Master_Data'!AL54&amp;""))</f>
        <v/>
      </c>
      <c r="AG54">
        <f>IF(A54="","",IF(AF54="","—",IF(ISNUMBER(SEARCH("DNP",AF54)),"Unreachable / DNP",IF(ISNUMBER(SEARCH("interest",LOWER(AF54))),"High Interest / Terms",IF(OR(ISNUMBER(SEARCH("eligib",LOWER(AF54))),ISNUMBER(SEARCH("income",LOWER(AF54)))),"Eligibility / Income",IF(OR(ISNUMBER(SEARCH("start",LOWER(AF54))),ISNUMBER(SEARCH("Newer",AF54)),ISNUMBER(SEARCH("Will start",AF54))),"Process Yet to Start",IF(ISNUMBER(SEARCH("sure",LOWER(AF54))),"Undecided",IF(OR(ISNUMBER(SEARCH("reject",LOWER(AF54))),ISNUMBER(SEARCH("SBI",AF54))),"Rejected Elsewhere",IF(ISNUMBER(SEARCH("call",LOWER(AF54))),"Bank Communication",IF(OR(ISNUMBER(SEARCH("father",LOWER(AF54))),ISNUMBER(SEARCH("sister",LOWER(AF54)))),"Family / Dependency","Other"))))))))))</f>
        <v/>
      </c>
      <c r="AH54">
        <f>IF(A54="","",'01_Master_Data'!AC54)</f>
        <v/>
      </c>
      <c r="AI54">
        <f>IF(A54="","",IF(OR(AH54="",NOT(ISNUMBER(AH54))),"",MAX(0,'02_Configuration'!$B$82-AH54)))</f>
        <v/>
      </c>
      <c r="AJ54">
        <f>IF(A54="","",IF(AI54="","Unknown",IF(AI54&lt;=3,"0–3 Days",IF(AI54&lt;=7,"4–7 Days",IF(AI54&lt;=15,"8–15 Days",IF(AI54&lt;=30,"16–30 Days","30+ Days"))))))</f>
        <v/>
      </c>
      <c r="AK54">
        <f>IF(A54="","",IF(LOWER(H54)="yes","Yes","No"))</f>
        <v/>
      </c>
      <c r="AL54">
        <f>IF(A54="","",'01_Master_Data'!T54)</f>
        <v/>
      </c>
      <c r="AM54">
        <f>IF(A54="","",'01_Master_Data'!S54)</f>
        <v/>
      </c>
      <c r="AN54">
        <f>IF(A54="","",'01_Master_Data'!I54)</f>
        <v/>
      </c>
      <c r="AO54">
        <f>IF(A54="","",'01_Master_Data'!M54)</f>
        <v/>
      </c>
      <c r="AP54">
        <f>IF(A54="","",IF(ISNUMBER(SEARCH("Icici",W54&amp;"")),1,0))</f>
        <v/>
      </c>
      <c r="AQ54">
        <f>IF(A54="","",IF(ISNUMBER(SEARCH("Propelld",W54&amp;"")),1,0))</f>
        <v/>
      </c>
      <c r="AR54">
        <f>IF(A54="","",IF(ISNUMBER(SEARCH("GyanDhan",W54&amp;"")),1,0))</f>
        <v/>
      </c>
      <c r="AS54">
        <f>IF(A54="","",IF(ISNUMBER(SEARCH("vidyalakshmi",LOWER(W54&amp;""))),1,0))</f>
        <v/>
      </c>
      <c r="AT54">
        <f>IF(A54="","",IF(ISNUMBER(SEARCH("other bank",LOWER(W54&amp;""))),1,0))</f>
        <v/>
      </c>
      <c r="AU54">
        <f>IF(A54="","",IF(ISNUMBER(SEARCH("sanctioned",LOWER(W54&amp;""))),1,0))</f>
        <v/>
      </c>
      <c r="AV54">
        <f>IF(A54="","",IF(ISNUMBER(SEARCH("Docs Pending",W54&amp;"")),1,0))</f>
        <v/>
      </c>
      <c r="AW54">
        <f>IF(A54="","",IF(OR(X54="Rejected",ISNUMBER(SEARCH("Not eligbile",W54&amp;""))),1,0))</f>
        <v/>
      </c>
    </row>
    <row r="55">
      <c r="A55">
        <f>IF('01_Master_Data'!B55="","",54)</f>
        <v/>
      </c>
      <c r="B55">
        <f>IF('01_Master_Data'!B55="","",IF('01_Master_Data'!C55&lt;&gt;"","MOB|"&amp;TEXT('01_Master_Data'!C55,"0"),IF('01_Master_Data'!D55&lt;&gt;"","PID|"&amp;TRIM('01_Master_Data'!D55&amp;""),"")))</f>
        <v/>
      </c>
      <c r="C55">
        <f>IF('01_Master_Data'!B55="","",'01_Master_Data'!B55)</f>
        <v/>
      </c>
      <c r="D55">
        <f>IF('01_Master_Data'!B55="","",'01_Master_Data'!C55)</f>
        <v/>
      </c>
      <c r="E55">
        <f>IF('01_Master_Data'!B55="","",'01_Master_Data'!D55)</f>
        <v/>
      </c>
      <c r="F55">
        <f>IF('01_Master_Data'!B55="","",'01_Master_Data'!E55)</f>
        <v/>
      </c>
      <c r="G55">
        <f>IF('01_Master_Data'!B55="","",IFERROR(VLOOKUP(TRIM('01_Master_Data'!E55&amp;""),'02_Configuration'!$A$40:$B$44,2,FALSE),UPPER(TRIM('01_Master_Data'!E55&amp;""))))</f>
        <v/>
      </c>
      <c r="H55">
        <f>IF('01_Master_Data'!B55="","",IF('01_Master_Data'!U55="","",TRIM('01_Master_Data'!U55&amp;"")))</f>
        <v/>
      </c>
      <c r="I55">
        <f>IF('01_Master_Data'!B55="","",TRIM('01_Master_Data'!F55&amp;""))</f>
        <v/>
      </c>
      <c r="J55">
        <f>IF('01_Master_Data'!B55="","",TRIM('01_Master_Data'!G55&amp;""))</f>
        <v/>
      </c>
      <c r="K55">
        <f>IF('01_Master_Data'!B55="","",'01_Master_Data'!H55)</f>
        <v/>
      </c>
      <c r="L55">
        <f>IF('01_Master_Data'!B55="","",IF(LOWER(TRIM('01_Master_Data'!V55&amp;""))="yes",1,0))</f>
        <v/>
      </c>
      <c r="M55">
        <f>IF('01_Master_Data'!B55="","",IF(LOWER(TRIM('01_Master_Data'!W55&amp;""))="yes",1,0))</f>
        <v/>
      </c>
      <c r="N55">
        <f>IF('01_Master_Data'!B55="","",IF(LOWER(TRIM('01_Master_Data'!X55&amp;""))="yes",1,0))</f>
        <v/>
      </c>
      <c r="O55">
        <f>IF('01_Master_Data'!B55="","",IF(LOWER(TRIM('01_Master_Data'!Y55&amp;""))="yes",1,0))</f>
        <v/>
      </c>
      <c r="P55">
        <f>IF('01_Master_Data'!B55="","",IF(LOWER(TRIM('01_Master_Data'!Z55&amp;""))="yes",1,0))</f>
        <v/>
      </c>
      <c r="Q55">
        <f>IF(A55="","",L55+M55+N55+O55+P55)</f>
        <v/>
      </c>
      <c r="R55">
        <f>IF(A55="","",IF(Q55&gt;1,"Yes","No"))</f>
        <v/>
      </c>
      <c r="S55">
        <f>IF(A55="","",TEXTJOIN(", ",TRUE,IF(L55=1,"ICICI",""),IF(M55=1,"Propelld",""),IF(N55=1,"Study4Buddy",""),IF(O55=1,"Poonawala Fincorp",""),IF(P55=1,"GyanDhan","")))</f>
        <v/>
      </c>
      <c r="T55">
        <f>IF(A55="","",IF(L55=1,"ICICI",IF(M55=1,"Propelld",IF(P55=1,"GyanDhan",IF(N55=1,"Study4Buddy",IF(O55=1,"Poonawala Fincorp",IF(ISNUMBER(SEARCH("GyanDhan",W55&amp;"")),"GyanDhan",IF(ISNUMBER(SEARCH("Icici",W55&amp;"")),"ICICI",IF(ISNUMBER(SEARCH("Propelld",W55&amp;"")),"Propelld",IF(ISNUMBER(SEARCH("vidyalakshmi",LOWER(W55&amp;"")),"PM Vidyalakshmi","—"))))))))))</f>
        <v/>
      </c>
      <c r="U55">
        <f>IF(A55="","",TRIM('01_Master_Data'!AA55&amp;""))</f>
        <v/>
      </c>
      <c r="V55">
        <f>IF(A55="","",TRIM('01_Master_Data'!AG55&amp;""))</f>
        <v/>
      </c>
      <c r="W55">
        <f>IF(A55="","",TRIM('01_Master_Data'!AH55&amp;""))</f>
        <v/>
      </c>
      <c r="X55">
        <f>IF(A55="","",IF(OR(LOWER(H55)="refund",LOWER(U55)="refund case"),"Refund",IF(OR(LOWER(H55)="dnp",LOWER(U55)="dnp"),"DNP",IF(OR(LOWER(V55)="disbursed",ISNUMBER(SEARCH("Disbursed",W55&amp;""))),"Disbursed",IF(OR(LOWER(V55)="loan proccessed/accepted",ISNUMBER(SEARCH("sanctioned",LOWER(W55&amp;"")))),"Sanctioned",IF(OR(LOWER(V55)="rejected",ISNUMBER(SEARCH("Not eligbile",W55&amp;"")),ISNUMBER(SEARCH("Not eligible",W55&amp;""))),"Rejected",IF(ISNUMBER(SEARCH("Docs Pending",W55&amp;"")),"Documents Pending",IF(AND(LOWER(H55)="yes",LOWER(V55)="ongoing"),"Processing",IF(AND(LOWER(H55)="yes",Q55&gt;0,OR(V55="",LOWER(V55)="not even started")),"Vendor Assigned",IF(AND(LOWER(H55)="yes",LOWER(V55)="not even started"),"Need Loan",IF(LOWER(H55)="yes","Loan Started",IF(LOWER(H55)="not sure","Interested",IF(OR(LOWER(H55)="no",LOWER(V55)="not required"),"Not Required","Unclassified")))))))))))))</f>
        <v/>
      </c>
      <c r="Y55">
        <f>IF(A55="","",IF(OR(X55="Sanctioned",X55="Disbursed",X55="Approved"),"Approved",IF(X55="Rejected","Rejected",IF(OR(X55="Processing",X55="Documents Pending",X55="Vendor Assigned"),"In Progress",IF(X55="Need Loan","Pending Start","—"))))</f>
        <v/>
      </c>
      <c r="Z55">
        <f>IF(A55="","",IF(X55="Disbursed","Disbursed",IF(X55="Sanctioned","Sanctioned - Awaiting Disbursement","Not Disbursed")))</f>
        <v/>
      </c>
      <c r="AA55">
        <f>IF(A55="","",IF(LOWER(TRIM('01_Master_Data'!AI55&amp;""))="yes","Need FLDG",IF(LOWER(TRIM('01_Master_Data'!AK55&amp;""))="yes","Need Vidyalakshmi",IF(LOWER(TRIM('01_Master_Data'!AJ55&amp;""))="yes","Need Review",IF(LOWER(J55)="critical","Critical",IF(LOWER(U55)="risk","Risk Case",IF(X55="Refund","Refund","Normal")))))))</f>
        <v/>
      </c>
      <c r="AB55">
        <f>IF(A55="","",IF(OR(LOWER(J55)="critical",LOWER(TRIM('01_Master_Data'!AI55&amp;""))="yes",LOWER(TRIM('01_Master_Data'!AK55&amp;""))="yes",LOWER(U55)="risk"),"Yes","No"))</f>
        <v/>
      </c>
      <c r="AC55">
        <f>IF(A55="","",IF(LOWER(TRIM('01_Master_Data'!AI55&amp;""))="yes","Yes","No"))</f>
        <v/>
      </c>
      <c r="AD55">
        <f>IF(A55="","",IF(LOWER(TRIM('01_Master_Data'!AK55&amp;""))="yes","Yes","No"))</f>
        <v/>
      </c>
      <c r="AE55">
        <f>IF(A55="","",IF(LOWER(TRIM('01_Master_Data'!AJ55&amp;""))="yes","Yes","No"))</f>
        <v/>
      </c>
      <c r="AF55">
        <f>IF(A55="","",TRIM('01_Master_Data'!AL55&amp;""))</f>
        <v/>
      </c>
      <c r="AG55">
        <f>IF(A55="","",IF(AF55="","—",IF(ISNUMBER(SEARCH("DNP",AF55)),"Unreachable / DNP",IF(ISNUMBER(SEARCH("interest",LOWER(AF55))),"High Interest / Terms",IF(OR(ISNUMBER(SEARCH("eligib",LOWER(AF55))),ISNUMBER(SEARCH("income",LOWER(AF55)))),"Eligibility / Income",IF(OR(ISNUMBER(SEARCH("start",LOWER(AF55))),ISNUMBER(SEARCH("Newer",AF55)),ISNUMBER(SEARCH("Will start",AF55))),"Process Yet to Start",IF(ISNUMBER(SEARCH("sure",LOWER(AF55))),"Undecided",IF(OR(ISNUMBER(SEARCH("reject",LOWER(AF55))),ISNUMBER(SEARCH("SBI",AF55))),"Rejected Elsewhere",IF(ISNUMBER(SEARCH("call",LOWER(AF55))),"Bank Communication",IF(OR(ISNUMBER(SEARCH("father",LOWER(AF55))),ISNUMBER(SEARCH("sister",LOWER(AF55)))),"Family / Dependency","Other"))))))))))</f>
        <v/>
      </c>
      <c r="AH55">
        <f>IF(A55="","",'01_Master_Data'!AC55)</f>
        <v/>
      </c>
      <c r="AI55">
        <f>IF(A55="","",IF(OR(AH55="",NOT(ISNUMBER(AH55))),"",MAX(0,'02_Configuration'!$B$82-AH55)))</f>
        <v/>
      </c>
      <c r="AJ55">
        <f>IF(A55="","",IF(AI55="","Unknown",IF(AI55&lt;=3,"0–3 Days",IF(AI55&lt;=7,"4–7 Days",IF(AI55&lt;=15,"8–15 Days",IF(AI55&lt;=30,"16–30 Days","30+ Days"))))))</f>
        <v/>
      </c>
      <c r="AK55">
        <f>IF(A55="","",IF(LOWER(H55)="yes","Yes","No"))</f>
        <v/>
      </c>
      <c r="AL55">
        <f>IF(A55="","",'01_Master_Data'!T55)</f>
        <v/>
      </c>
      <c r="AM55">
        <f>IF(A55="","",'01_Master_Data'!S55)</f>
        <v/>
      </c>
      <c r="AN55">
        <f>IF(A55="","",'01_Master_Data'!I55)</f>
        <v/>
      </c>
      <c r="AO55">
        <f>IF(A55="","",'01_Master_Data'!M55)</f>
        <v/>
      </c>
      <c r="AP55">
        <f>IF(A55="","",IF(ISNUMBER(SEARCH("Icici",W55&amp;"")),1,0))</f>
        <v/>
      </c>
      <c r="AQ55">
        <f>IF(A55="","",IF(ISNUMBER(SEARCH("Propelld",W55&amp;"")),1,0))</f>
        <v/>
      </c>
      <c r="AR55">
        <f>IF(A55="","",IF(ISNUMBER(SEARCH("GyanDhan",W55&amp;"")),1,0))</f>
        <v/>
      </c>
      <c r="AS55">
        <f>IF(A55="","",IF(ISNUMBER(SEARCH("vidyalakshmi",LOWER(W55&amp;""))),1,0))</f>
        <v/>
      </c>
      <c r="AT55">
        <f>IF(A55="","",IF(ISNUMBER(SEARCH("other bank",LOWER(W55&amp;""))),1,0))</f>
        <v/>
      </c>
      <c r="AU55">
        <f>IF(A55="","",IF(ISNUMBER(SEARCH("sanctioned",LOWER(W55&amp;""))),1,0))</f>
        <v/>
      </c>
      <c r="AV55">
        <f>IF(A55="","",IF(ISNUMBER(SEARCH("Docs Pending",W55&amp;"")),1,0))</f>
        <v/>
      </c>
      <c r="AW55">
        <f>IF(A55="","",IF(OR(X55="Rejected",ISNUMBER(SEARCH("Not eligbile",W55&amp;""))),1,0))</f>
        <v/>
      </c>
    </row>
    <row r="56">
      <c r="A56">
        <f>IF('01_Master_Data'!B56="","",55)</f>
        <v/>
      </c>
      <c r="B56">
        <f>IF('01_Master_Data'!B56="","",IF('01_Master_Data'!C56&lt;&gt;"","MOB|"&amp;TEXT('01_Master_Data'!C56,"0"),IF('01_Master_Data'!D56&lt;&gt;"","PID|"&amp;TRIM('01_Master_Data'!D56&amp;""),"")))</f>
        <v/>
      </c>
      <c r="C56">
        <f>IF('01_Master_Data'!B56="","",'01_Master_Data'!B56)</f>
        <v/>
      </c>
      <c r="D56">
        <f>IF('01_Master_Data'!B56="","",'01_Master_Data'!C56)</f>
        <v/>
      </c>
      <c r="E56">
        <f>IF('01_Master_Data'!B56="","",'01_Master_Data'!D56)</f>
        <v/>
      </c>
      <c r="F56">
        <f>IF('01_Master_Data'!B56="","",'01_Master_Data'!E56)</f>
        <v/>
      </c>
      <c r="G56">
        <f>IF('01_Master_Data'!B56="","",IFERROR(VLOOKUP(TRIM('01_Master_Data'!E56&amp;""),'02_Configuration'!$A$40:$B$44,2,FALSE),UPPER(TRIM('01_Master_Data'!E56&amp;""))))</f>
        <v/>
      </c>
      <c r="H56">
        <f>IF('01_Master_Data'!B56="","",IF('01_Master_Data'!U56="","",TRIM('01_Master_Data'!U56&amp;"")))</f>
        <v/>
      </c>
      <c r="I56">
        <f>IF('01_Master_Data'!B56="","",TRIM('01_Master_Data'!F56&amp;""))</f>
        <v/>
      </c>
      <c r="J56">
        <f>IF('01_Master_Data'!B56="","",TRIM('01_Master_Data'!G56&amp;""))</f>
        <v/>
      </c>
      <c r="K56">
        <f>IF('01_Master_Data'!B56="","",'01_Master_Data'!H56)</f>
        <v/>
      </c>
      <c r="L56">
        <f>IF('01_Master_Data'!B56="","",IF(LOWER(TRIM('01_Master_Data'!V56&amp;""))="yes",1,0))</f>
        <v/>
      </c>
      <c r="M56">
        <f>IF('01_Master_Data'!B56="","",IF(LOWER(TRIM('01_Master_Data'!W56&amp;""))="yes",1,0))</f>
        <v/>
      </c>
      <c r="N56">
        <f>IF('01_Master_Data'!B56="","",IF(LOWER(TRIM('01_Master_Data'!X56&amp;""))="yes",1,0))</f>
        <v/>
      </c>
      <c r="O56">
        <f>IF('01_Master_Data'!B56="","",IF(LOWER(TRIM('01_Master_Data'!Y56&amp;""))="yes",1,0))</f>
        <v/>
      </c>
      <c r="P56">
        <f>IF('01_Master_Data'!B56="","",IF(LOWER(TRIM('01_Master_Data'!Z56&amp;""))="yes",1,0))</f>
        <v/>
      </c>
      <c r="Q56">
        <f>IF(A56="","",L56+M56+N56+O56+P56)</f>
        <v/>
      </c>
      <c r="R56">
        <f>IF(A56="","",IF(Q56&gt;1,"Yes","No"))</f>
        <v/>
      </c>
      <c r="S56">
        <f>IF(A56="","",TEXTJOIN(", ",TRUE,IF(L56=1,"ICICI",""),IF(M56=1,"Propelld",""),IF(N56=1,"Study4Buddy",""),IF(O56=1,"Poonawala Fincorp",""),IF(P56=1,"GyanDhan","")))</f>
        <v/>
      </c>
      <c r="T56">
        <f>IF(A56="","",IF(L56=1,"ICICI",IF(M56=1,"Propelld",IF(P56=1,"GyanDhan",IF(N56=1,"Study4Buddy",IF(O56=1,"Poonawala Fincorp",IF(ISNUMBER(SEARCH("GyanDhan",W56&amp;"")),"GyanDhan",IF(ISNUMBER(SEARCH("Icici",W56&amp;"")),"ICICI",IF(ISNUMBER(SEARCH("Propelld",W56&amp;"")),"Propelld",IF(ISNUMBER(SEARCH("vidyalakshmi",LOWER(W56&amp;"")),"PM Vidyalakshmi","—"))))))))))</f>
        <v/>
      </c>
      <c r="U56">
        <f>IF(A56="","",TRIM('01_Master_Data'!AA56&amp;""))</f>
        <v/>
      </c>
      <c r="V56">
        <f>IF(A56="","",TRIM('01_Master_Data'!AG56&amp;""))</f>
        <v/>
      </c>
      <c r="W56">
        <f>IF(A56="","",TRIM('01_Master_Data'!AH56&amp;""))</f>
        <v/>
      </c>
      <c r="X56">
        <f>IF(A56="","",IF(OR(LOWER(H56)="refund",LOWER(U56)="refund case"),"Refund",IF(OR(LOWER(H56)="dnp",LOWER(U56)="dnp"),"DNP",IF(OR(LOWER(V56)="disbursed",ISNUMBER(SEARCH("Disbursed",W56&amp;""))),"Disbursed",IF(OR(LOWER(V56)="loan proccessed/accepted",ISNUMBER(SEARCH("sanctioned",LOWER(W56&amp;"")))),"Sanctioned",IF(OR(LOWER(V56)="rejected",ISNUMBER(SEARCH("Not eligbile",W56&amp;"")),ISNUMBER(SEARCH("Not eligible",W56&amp;""))),"Rejected",IF(ISNUMBER(SEARCH("Docs Pending",W56&amp;"")),"Documents Pending",IF(AND(LOWER(H56)="yes",LOWER(V56)="ongoing"),"Processing",IF(AND(LOWER(H56)="yes",Q56&gt;0,OR(V56="",LOWER(V56)="not even started")),"Vendor Assigned",IF(AND(LOWER(H56)="yes",LOWER(V56)="not even started"),"Need Loan",IF(LOWER(H56)="yes","Loan Started",IF(LOWER(H56)="not sure","Interested",IF(OR(LOWER(H56)="no",LOWER(V56)="not required"),"Not Required","Unclassified")))))))))))))</f>
        <v/>
      </c>
      <c r="Y56">
        <f>IF(A56="","",IF(OR(X56="Sanctioned",X56="Disbursed",X56="Approved"),"Approved",IF(X56="Rejected","Rejected",IF(OR(X56="Processing",X56="Documents Pending",X56="Vendor Assigned"),"In Progress",IF(X56="Need Loan","Pending Start","—"))))</f>
        <v/>
      </c>
      <c r="Z56">
        <f>IF(A56="","",IF(X56="Disbursed","Disbursed",IF(X56="Sanctioned","Sanctioned - Awaiting Disbursement","Not Disbursed")))</f>
        <v/>
      </c>
      <c r="AA56">
        <f>IF(A56="","",IF(LOWER(TRIM('01_Master_Data'!AI56&amp;""))="yes","Need FLDG",IF(LOWER(TRIM('01_Master_Data'!AK56&amp;""))="yes","Need Vidyalakshmi",IF(LOWER(TRIM('01_Master_Data'!AJ56&amp;""))="yes","Need Review",IF(LOWER(J56)="critical","Critical",IF(LOWER(U56)="risk","Risk Case",IF(X56="Refund","Refund","Normal")))))))</f>
        <v/>
      </c>
      <c r="AB56">
        <f>IF(A56="","",IF(OR(LOWER(J56)="critical",LOWER(TRIM('01_Master_Data'!AI56&amp;""))="yes",LOWER(TRIM('01_Master_Data'!AK56&amp;""))="yes",LOWER(U56)="risk"),"Yes","No"))</f>
        <v/>
      </c>
      <c r="AC56">
        <f>IF(A56="","",IF(LOWER(TRIM('01_Master_Data'!AI56&amp;""))="yes","Yes","No"))</f>
        <v/>
      </c>
      <c r="AD56">
        <f>IF(A56="","",IF(LOWER(TRIM('01_Master_Data'!AK56&amp;""))="yes","Yes","No"))</f>
        <v/>
      </c>
      <c r="AE56">
        <f>IF(A56="","",IF(LOWER(TRIM('01_Master_Data'!AJ56&amp;""))="yes","Yes","No"))</f>
        <v/>
      </c>
      <c r="AF56">
        <f>IF(A56="","",TRIM('01_Master_Data'!AL56&amp;""))</f>
        <v/>
      </c>
      <c r="AG56">
        <f>IF(A56="","",IF(AF56="","—",IF(ISNUMBER(SEARCH("DNP",AF56)),"Unreachable / DNP",IF(ISNUMBER(SEARCH("interest",LOWER(AF56))),"High Interest / Terms",IF(OR(ISNUMBER(SEARCH("eligib",LOWER(AF56))),ISNUMBER(SEARCH("income",LOWER(AF56)))),"Eligibility / Income",IF(OR(ISNUMBER(SEARCH("start",LOWER(AF56))),ISNUMBER(SEARCH("Newer",AF56)),ISNUMBER(SEARCH("Will start",AF56))),"Process Yet to Start",IF(ISNUMBER(SEARCH("sure",LOWER(AF56))),"Undecided",IF(OR(ISNUMBER(SEARCH("reject",LOWER(AF56))),ISNUMBER(SEARCH("SBI",AF56))),"Rejected Elsewhere",IF(ISNUMBER(SEARCH("call",LOWER(AF56))),"Bank Communication",IF(OR(ISNUMBER(SEARCH("father",LOWER(AF56))),ISNUMBER(SEARCH("sister",LOWER(AF56)))),"Family / Dependency","Other"))))))))))</f>
        <v/>
      </c>
      <c r="AH56">
        <f>IF(A56="","",'01_Master_Data'!AC56)</f>
        <v/>
      </c>
      <c r="AI56">
        <f>IF(A56="","",IF(OR(AH56="",NOT(ISNUMBER(AH56))),"",MAX(0,'02_Configuration'!$B$82-AH56)))</f>
        <v/>
      </c>
      <c r="AJ56">
        <f>IF(A56="","",IF(AI56="","Unknown",IF(AI56&lt;=3,"0–3 Days",IF(AI56&lt;=7,"4–7 Days",IF(AI56&lt;=15,"8–15 Days",IF(AI56&lt;=30,"16–30 Days","30+ Days"))))))</f>
        <v/>
      </c>
      <c r="AK56">
        <f>IF(A56="","",IF(LOWER(H56)="yes","Yes","No"))</f>
        <v/>
      </c>
      <c r="AL56">
        <f>IF(A56="","",'01_Master_Data'!T56)</f>
        <v/>
      </c>
      <c r="AM56">
        <f>IF(A56="","",'01_Master_Data'!S56)</f>
        <v/>
      </c>
      <c r="AN56">
        <f>IF(A56="","",'01_Master_Data'!I56)</f>
        <v/>
      </c>
      <c r="AO56">
        <f>IF(A56="","",'01_Master_Data'!M56)</f>
        <v/>
      </c>
      <c r="AP56">
        <f>IF(A56="","",IF(ISNUMBER(SEARCH("Icici",W56&amp;"")),1,0))</f>
        <v/>
      </c>
      <c r="AQ56">
        <f>IF(A56="","",IF(ISNUMBER(SEARCH("Propelld",W56&amp;"")),1,0))</f>
        <v/>
      </c>
      <c r="AR56">
        <f>IF(A56="","",IF(ISNUMBER(SEARCH("GyanDhan",W56&amp;"")),1,0))</f>
        <v/>
      </c>
      <c r="AS56">
        <f>IF(A56="","",IF(ISNUMBER(SEARCH("vidyalakshmi",LOWER(W56&amp;""))),1,0))</f>
        <v/>
      </c>
      <c r="AT56">
        <f>IF(A56="","",IF(ISNUMBER(SEARCH("other bank",LOWER(W56&amp;""))),1,0))</f>
        <v/>
      </c>
      <c r="AU56">
        <f>IF(A56="","",IF(ISNUMBER(SEARCH("sanctioned",LOWER(W56&amp;""))),1,0))</f>
        <v/>
      </c>
      <c r="AV56">
        <f>IF(A56="","",IF(ISNUMBER(SEARCH("Docs Pending",W56&amp;"")),1,0))</f>
        <v/>
      </c>
      <c r="AW56">
        <f>IF(A56="","",IF(OR(X56="Rejected",ISNUMBER(SEARCH("Not eligbile",W56&amp;""))),1,0))</f>
        <v/>
      </c>
    </row>
    <row r="57">
      <c r="A57">
        <f>IF('01_Master_Data'!B57="","",56)</f>
        <v/>
      </c>
      <c r="B57">
        <f>IF('01_Master_Data'!B57="","",IF('01_Master_Data'!C57&lt;&gt;"","MOB|"&amp;TEXT('01_Master_Data'!C57,"0"),IF('01_Master_Data'!D57&lt;&gt;"","PID|"&amp;TRIM('01_Master_Data'!D57&amp;""),"")))</f>
        <v/>
      </c>
      <c r="C57">
        <f>IF('01_Master_Data'!B57="","",'01_Master_Data'!B57)</f>
        <v/>
      </c>
      <c r="D57">
        <f>IF('01_Master_Data'!B57="","",'01_Master_Data'!C57)</f>
        <v/>
      </c>
      <c r="E57">
        <f>IF('01_Master_Data'!B57="","",'01_Master_Data'!D57)</f>
        <v/>
      </c>
      <c r="F57">
        <f>IF('01_Master_Data'!B57="","",'01_Master_Data'!E57)</f>
        <v/>
      </c>
      <c r="G57">
        <f>IF('01_Master_Data'!B57="","",IFERROR(VLOOKUP(TRIM('01_Master_Data'!E57&amp;""),'02_Configuration'!$A$40:$B$44,2,FALSE),UPPER(TRIM('01_Master_Data'!E57&amp;""))))</f>
        <v/>
      </c>
      <c r="H57">
        <f>IF('01_Master_Data'!B57="","",IF('01_Master_Data'!U57="","",TRIM('01_Master_Data'!U57&amp;"")))</f>
        <v/>
      </c>
      <c r="I57">
        <f>IF('01_Master_Data'!B57="","",TRIM('01_Master_Data'!F57&amp;""))</f>
        <v/>
      </c>
      <c r="J57">
        <f>IF('01_Master_Data'!B57="","",TRIM('01_Master_Data'!G57&amp;""))</f>
        <v/>
      </c>
      <c r="K57">
        <f>IF('01_Master_Data'!B57="","",'01_Master_Data'!H57)</f>
        <v/>
      </c>
      <c r="L57">
        <f>IF('01_Master_Data'!B57="","",IF(LOWER(TRIM('01_Master_Data'!V57&amp;""))="yes",1,0))</f>
        <v/>
      </c>
      <c r="M57">
        <f>IF('01_Master_Data'!B57="","",IF(LOWER(TRIM('01_Master_Data'!W57&amp;""))="yes",1,0))</f>
        <v/>
      </c>
      <c r="N57">
        <f>IF('01_Master_Data'!B57="","",IF(LOWER(TRIM('01_Master_Data'!X57&amp;""))="yes",1,0))</f>
        <v/>
      </c>
      <c r="O57">
        <f>IF('01_Master_Data'!B57="","",IF(LOWER(TRIM('01_Master_Data'!Y57&amp;""))="yes",1,0))</f>
        <v/>
      </c>
      <c r="P57">
        <f>IF('01_Master_Data'!B57="","",IF(LOWER(TRIM('01_Master_Data'!Z57&amp;""))="yes",1,0))</f>
        <v/>
      </c>
      <c r="Q57">
        <f>IF(A57="","",L57+M57+N57+O57+P57)</f>
        <v/>
      </c>
      <c r="R57">
        <f>IF(A57="","",IF(Q57&gt;1,"Yes","No"))</f>
        <v/>
      </c>
      <c r="S57">
        <f>IF(A57="","",TEXTJOIN(", ",TRUE,IF(L57=1,"ICICI",""),IF(M57=1,"Propelld",""),IF(N57=1,"Study4Buddy",""),IF(O57=1,"Poonawala Fincorp",""),IF(P57=1,"GyanDhan","")))</f>
        <v/>
      </c>
      <c r="T57">
        <f>IF(A57="","",IF(L57=1,"ICICI",IF(M57=1,"Propelld",IF(P57=1,"GyanDhan",IF(N57=1,"Study4Buddy",IF(O57=1,"Poonawala Fincorp",IF(ISNUMBER(SEARCH("GyanDhan",W57&amp;"")),"GyanDhan",IF(ISNUMBER(SEARCH("Icici",W57&amp;"")),"ICICI",IF(ISNUMBER(SEARCH("Propelld",W57&amp;"")),"Propelld",IF(ISNUMBER(SEARCH("vidyalakshmi",LOWER(W57&amp;"")),"PM Vidyalakshmi","—"))))))))))</f>
        <v/>
      </c>
      <c r="U57">
        <f>IF(A57="","",TRIM('01_Master_Data'!AA57&amp;""))</f>
        <v/>
      </c>
      <c r="V57">
        <f>IF(A57="","",TRIM('01_Master_Data'!AG57&amp;""))</f>
        <v/>
      </c>
      <c r="W57">
        <f>IF(A57="","",TRIM('01_Master_Data'!AH57&amp;""))</f>
        <v/>
      </c>
      <c r="X57">
        <f>IF(A57="","",IF(OR(LOWER(H57)="refund",LOWER(U57)="refund case"),"Refund",IF(OR(LOWER(H57)="dnp",LOWER(U57)="dnp"),"DNP",IF(OR(LOWER(V57)="disbursed",ISNUMBER(SEARCH("Disbursed",W57&amp;""))),"Disbursed",IF(OR(LOWER(V57)="loan proccessed/accepted",ISNUMBER(SEARCH("sanctioned",LOWER(W57&amp;"")))),"Sanctioned",IF(OR(LOWER(V57)="rejected",ISNUMBER(SEARCH("Not eligbile",W57&amp;"")),ISNUMBER(SEARCH("Not eligible",W57&amp;""))),"Rejected",IF(ISNUMBER(SEARCH("Docs Pending",W57&amp;"")),"Documents Pending",IF(AND(LOWER(H57)="yes",LOWER(V57)="ongoing"),"Processing",IF(AND(LOWER(H57)="yes",Q57&gt;0,OR(V57="",LOWER(V57)="not even started")),"Vendor Assigned",IF(AND(LOWER(H57)="yes",LOWER(V57)="not even started"),"Need Loan",IF(LOWER(H57)="yes","Loan Started",IF(LOWER(H57)="not sure","Interested",IF(OR(LOWER(H57)="no",LOWER(V57)="not required"),"Not Required","Unclassified")))))))))))))</f>
        <v/>
      </c>
      <c r="Y57">
        <f>IF(A57="","",IF(OR(X57="Sanctioned",X57="Disbursed",X57="Approved"),"Approved",IF(X57="Rejected","Rejected",IF(OR(X57="Processing",X57="Documents Pending",X57="Vendor Assigned"),"In Progress",IF(X57="Need Loan","Pending Start","—"))))</f>
        <v/>
      </c>
      <c r="Z57">
        <f>IF(A57="","",IF(X57="Disbursed","Disbursed",IF(X57="Sanctioned","Sanctioned - Awaiting Disbursement","Not Disbursed")))</f>
        <v/>
      </c>
      <c r="AA57">
        <f>IF(A57="","",IF(LOWER(TRIM('01_Master_Data'!AI57&amp;""))="yes","Need FLDG",IF(LOWER(TRIM('01_Master_Data'!AK57&amp;""))="yes","Need Vidyalakshmi",IF(LOWER(TRIM('01_Master_Data'!AJ57&amp;""))="yes","Need Review",IF(LOWER(J57)="critical","Critical",IF(LOWER(U57)="risk","Risk Case",IF(X57="Refund","Refund","Normal")))))))</f>
        <v/>
      </c>
      <c r="AB57">
        <f>IF(A57="","",IF(OR(LOWER(J57)="critical",LOWER(TRIM('01_Master_Data'!AI57&amp;""))="yes",LOWER(TRIM('01_Master_Data'!AK57&amp;""))="yes",LOWER(U57)="risk"),"Yes","No"))</f>
        <v/>
      </c>
      <c r="AC57">
        <f>IF(A57="","",IF(LOWER(TRIM('01_Master_Data'!AI57&amp;""))="yes","Yes","No"))</f>
        <v/>
      </c>
      <c r="AD57">
        <f>IF(A57="","",IF(LOWER(TRIM('01_Master_Data'!AK57&amp;""))="yes","Yes","No"))</f>
        <v/>
      </c>
      <c r="AE57">
        <f>IF(A57="","",IF(LOWER(TRIM('01_Master_Data'!AJ57&amp;""))="yes","Yes","No"))</f>
        <v/>
      </c>
      <c r="AF57">
        <f>IF(A57="","",TRIM('01_Master_Data'!AL57&amp;""))</f>
        <v/>
      </c>
      <c r="AG57">
        <f>IF(A57="","",IF(AF57="","—",IF(ISNUMBER(SEARCH("DNP",AF57)),"Unreachable / DNP",IF(ISNUMBER(SEARCH("interest",LOWER(AF57))),"High Interest / Terms",IF(OR(ISNUMBER(SEARCH("eligib",LOWER(AF57))),ISNUMBER(SEARCH("income",LOWER(AF57)))),"Eligibility / Income",IF(OR(ISNUMBER(SEARCH("start",LOWER(AF57))),ISNUMBER(SEARCH("Newer",AF57)),ISNUMBER(SEARCH("Will start",AF57))),"Process Yet to Start",IF(ISNUMBER(SEARCH("sure",LOWER(AF57))),"Undecided",IF(OR(ISNUMBER(SEARCH("reject",LOWER(AF57))),ISNUMBER(SEARCH("SBI",AF57))),"Rejected Elsewhere",IF(ISNUMBER(SEARCH("call",LOWER(AF57))),"Bank Communication",IF(OR(ISNUMBER(SEARCH("father",LOWER(AF57))),ISNUMBER(SEARCH("sister",LOWER(AF57)))),"Family / Dependency","Other"))))))))))</f>
        <v/>
      </c>
      <c r="AH57">
        <f>IF(A57="","",'01_Master_Data'!AC57)</f>
        <v/>
      </c>
      <c r="AI57">
        <f>IF(A57="","",IF(OR(AH57="",NOT(ISNUMBER(AH57))),"",MAX(0,'02_Configuration'!$B$82-AH57)))</f>
        <v/>
      </c>
      <c r="AJ57">
        <f>IF(A57="","",IF(AI57="","Unknown",IF(AI57&lt;=3,"0–3 Days",IF(AI57&lt;=7,"4–7 Days",IF(AI57&lt;=15,"8–15 Days",IF(AI57&lt;=30,"16–30 Days","30+ Days"))))))</f>
        <v/>
      </c>
      <c r="AK57">
        <f>IF(A57="","",IF(LOWER(H57)="yes","Yes","No"))</f>
        <v/>
      </c>
      <c r="AL57">
        <f>IF(A57="","",'01_Master_Data'!T57)</f>
        <v/>
      </c>
      <c r="AM57">
        <f>IF(A57="","",'01_Master_Data'!S57)</f>
        <v/>
      </c>
      <c r="AN57">
        <f>IF(A57="","",'01_Master_Data'!I57)</f>
        <v/>
      </c>
      <c r="AO57">
        <f>IF(A57="","",'01_Master_Data'!M57)</f>
        <v/>
      </c>
      <c r="AP57">
        <f>IF(A57="","",IF(ISNUMBER(SEARCH("Icici",W57&amp;"")),1,0))</f>
        <v/>
      </c>
      <c r="AQ57">
        <f>IF(A57="","",IF(ISNUMBER(SEARCH("Propelld",W57&amp;"")),1,0))</f>
        <v/>
      </c>
      <c r="AR57">
        <f>IF(A57="","",IF(ISNUMBER(SEARCH("GyanDhan",W57&amp;"")),1,0))</f>
        <v/>
      </c>
      <c r="AS57">
        <f>IF(A57="","",IF(ISNUMBER(SEARCH("vidyalakshmi",LOWER(W57&amp;""))),1,0))</f>
        <v/>
      </c>
      <c r="AT57">
        <f>IF(A57="","",IF(ISNUMBER(SEARCH("other bank",LOWER(W57&amp;""))),1,0))</f>
        <v/>
      </c>
      <c r="AU57">
        <f>IF(A57="","",IF(ISNUMBER(SEARCH("sanctioned",LOWER(W57&amp;""))),1,0))</f>
        <v/>
      </c>
      <c r="AV57">
        <f>IF(A57="","",IF(ISNUMBER(SEARCH("Docs Pending",W57&amp;"")),1,0))</f>
        <v/>
      </c>
      <c r="AW57">
        <f>IF(A57="","",IF(OR(X57="Rejected",ISNUMBER(SEARCH("Not eligbile",W57&amp;""))),1,0))</f>
        <v/>
      </c>
    </row>
    <row r="58">
      <c r="A58">
        <f>IF('01_Master_Data'!B58="","",57)</f>
        <v/>
      </c>
      <c r="B58">
        <f>IF('01_Master_Data'!B58="","",IF('01_Master_Data'!C58&lt;&gt;"","MOB|"&amp;TEXT('01_Master_Data'!C58,"0"),IF('01_Master_Data'!D58&lt;&gt;"","PID|"&amp;TRIM('01_Master_Data'!D58&amp;""),"")))</f>
        <v/>
      </c>
      <c r="C58">
        <f>IF('01_Master_Data'!B58="","",'01_Master_Data'!B58)</f>
        <v/>
      </c>
      <c r="D58">
        <f>IF('01_Master_Data'!B58="","",'01_Master_Data'!C58)</f>
        <v/>
      </c>
      <c r="E58">
        <f>IF('01_Master_Data'!B58="","",'01_Master_Data'!D58)</f>
        <v/>
      </c>
      <c r="F58">
        <f>IF('01_Master_Data'!B58="","",'01_Master_Data'!E58)</f>
        <v/>
      </c>
      <c r="G58">
        <f>IF('01_Master_Data'!B58="","",IFERROR(VLOOKUP(TRIM('01_Master_Data'!E58&amp;""),'02_Configuration'!$A$40:$B$44,2,FALSE),UPPER(TRIM('01_Master_Data'!E58&amp;""))))</f>
        <v/>
      </c>
      <c r="H58">
        <f>IF('01_Master_Data'!B58="","",IF('01_Master_Data'!U58="","",TRIM('01_Master_Data'!U58&amp;"")))</f>
        <v/>
      </c>
      <c r="I58">
        <f>IF('01_Master_Data'!B58="","",TRIM('01_Master_Data'!F58&amp;""))</f>
        <v/>
      </c>
      <c r="J58">
        <f>IF('01_Master_Data'!B58="","",TRIM('01_Master_Data'!G58&amp;""))</f>
        <v/>
      </c>
      <c r="K58">
        <f>IF('01_Master_Data'!B58="","",'01_Master_Data'!H58)</f>
        <v/>
      </c>
      <c r="L58">
        <f>IF('01_Master_Data'!B58="","",IF(LOWER(TRIM('01_Master_Data'!V58&amp;""))="yes",1,0))</f>
        <v/>
      </c>
      <c r="M58">
        <f>IF('01_Master_Data'!B58="","",IF(LOWER(TRIM('01_Master_Data'!W58&amp;""))="yes",1,0))</f>
        <v/>
      </c>
      <c r="N58">
        <f>IF('01_Master_Data'!B58="","",IF(LOWER(TRIM('01_Master_Data'!X58&amp;""))="yes",1,0))</f>
        <v/>
      </c>
      <c r="O58">
        <f>IF('01_Master_Data'!B58="","",IF(LOWER(TRIM('01_Master_Data'!Y58&amp;""))="yes",1,0))</f>
        <v/>
      </c>
      <c r="P58">
        <f>IF('01_Master_Data'!B58="","",IF(LOWER(TRIM('01_Master_Data'!Z58&amp;""))="yes",1,0))</f>
        <v/>
      </c>
      <c r="Q58">
        <f>IF(A58="","",L58+M58+N58+O58+P58)</f>
        <v/>
      </c>
      <c r="R58">
        <f>IF(A58="","",IF(Q58&gt;1,"Yes","No"))</f>
        <v/>
      </c>
      <c r="S58">
        <f>IF(A58="","",TEXTJOIN(", ",TRUE,IF(L58=1,"ICICI",""),IF(M58=1,"Propelld",""),IF(N58=1,"Study4Buddy",""),IF(O58=1,"Poonawala Fincorp",""),IF(P58=1,"GyanDhan","")))</f>
        <v/>
      </c>
      <c r="T58">
        <f>IF(A58="","",IF(L58=1,"ICICI",IF(M58=1,"Propelld",IF(P58=1,"GyanDhan",IF(N58=1,"Study4Buddy",IF(O58=1,"Poonawala Fincorp",IF(ISNUMBER(SEARCH("GyanDhan",W58&amp;"")),"GyanDhan",IF(ISNUMBER(SEARCH("Icici",W58&amp;"")),"ICICI",IF(ISNUMBER(SEARCH("Propelld",W58&amp;"")),"Propelld",IF(ISNUMBER(SEARCH("vidyalakshmi",LOWER(W58&amp;"")),"PM Vidyalakshmi","—"))))))))))</f>
        <v/>
      </c>
      <c r="U58">
        <f>IF(A58="","",TRIM('01_Master_Data'!AA58&amp;""))</f>
        <v/>
      </c>
      <c r="V58">
        <f>IF(A58="","",TRIM('01_Master_Data'!AG58&amp;""))</f>
        <v/>
      </c>
      <c r="W58">
        <f>IF(A58="","",TRIM('01_Master_Data'!AH58&amp;""))</f>
        <v/>
      </c>
      <c r="X58">
        <f>IF(A58="","",IF(OR(LOWER(H58)="refund",LOWER(U58)="refund case"),"Refund",IF(OR(LOWER(H58)="dnp",LOWER(U58)="dnp"),"DNP",IF(OR(LOWER(V58)="disbursed",ISNUMBER(SEARCH("Disbursed",W58&amp;""))),"Disbursed",IF(OR(LOWER(V58)="loan proccessed/accepted",ISNUMBER(SEARCH("sanctioned",LOWER(W58&amp;"")))),"Sanctioned",IF(OR(LOWER(V58)="rejected",ISNUMBER(SEARCH("Not eligbile",W58&amp;"")),ISNUMBER(SEARCH("Not eligible",W58&amp;""))),"Rejected",IF(ISNUMBER(SEARCH("Docs Pending",W58&amp;"")),"Documents Pending",IF(AND(LOWER(H58)="yes",LOWER(V58)="ongoing"),"Processing",IF(AND(LOWER(H58)="yes",Q58&gt;0,OR(V58="",LOWER(V58)="not even started")),"Vendor Assigned",IF(AND(LOWER(H58)="yes",LOWER(V58)="not even started"),"Need Loan",IF(LOWER(H58)="yes","Loan Started",IF(LOWER(H58)="not sure","Interested",IF(OR(LOWER(H58)="no",LOWER(V58)="not required"),"Not Required","Unclassified")))))))))))))</f>
        <v/>
      </c>
      <c r="Y58">
        <f>IF(A58="","",IF(OR(X58="Sanctioned",X58="Disbursed",X58="Approved"),"Approved",IF(X58="Rejected","Rejected",IF(OR(X58="Processing",X58="Documents Pending",X58="Vendor Assigned"),"In Progress",IF(X58="Need Loan","Pending Start","—"))))</f>
        <v/>
      </c>
      <c r="Z58">
        <f>IF(A58="","",IF(X58="Disbursed","Disbursed",IF(X58="Sanctioned","Sanctioned - Awaiting Disbursement","Not Disbursed")))</f>
        <v/>
      </c>
      <c r="AA58">
        <f>IF(A58="","",IF(LOWER(TRIM('01_Master_Data'!AI58&amp;""))="yes","Need FLDG",IF(LOWER(TRIM('01_Master_Data'!AK58&amp;""))="yes","Need Vidyalakshmi",IF(LOWER(TRIM('01_Master_Data'!AJ58&amp;""))="yes","Need Review",IF(LOWER(J58)="critical","Critical",IF(LOWER(U58)="risk","Risk Case",IF(X58="Refund","Refund","Normal")))))))</f>
        <v/>
      </c>
      <c r="AB58">
        <f>IF(A58="","",IF(OR(LOWER(J58)="critical",LOWER(TRIM('01_Master_Data'!AI58&amp;""))="yes",LOWER(TRIM('01_Master_Data'!AK58&amp;""))="yes",LOWER(U58)="risk"),"Yes","No"))</f>
        <v/>
      </c>
      <c r="AC58">
        <f>IF(A58="","",IF(LOWER(TRIM('01_Master_Data'!AI58&amp;""))="yes","Yes","No"))</f>
        <v/>
      </c>
      <c r="AD58">
        <f>IF(A58="","",IF(LOWER(TRIM('01_Master_Data'!AK58&amp;""))="yes","Yes","No"))</f>
        <v/>
      </c>
      <c r="AE58">
        <f>IF(A58="","",IF(LOWER(TRIM('01_Master_Data'!AJ58&amp;""))="yes","Yes","No"))</f>
        <v/>
      </c>
      <c r="AF58">
        <f>IF(A58="","",TRIM('01_Master_Data'!AL58&amp;""))</f>
        <v/>
      </c>
      <c r="AG58">
        <f>IF(A58="","",IF(AF58="","—",IF(ISNUMBER(SEARCH("DNP",AF58)),"Unreachable / DNP",IF(ISNUMBER(SEARCH("interest",LOWER(AF58))),"High Interest / Terms",IF(OR(ISNUMBER(SEARCH("eligib",LOWER(AF58))),ISNUMBER(SEARCH("income",LOWER(AF58)))),"Eligibility / Income",IF(OR(ISNUMBER(SEARCH("start",LOWER(AF58))),ISNUMBER(SEARCH("Newer",AF58)),ISNUMBER(SEARCH("Will start",AF58))),"Process Yet to Start",IF(ISNUMBER(SEARCH("sure",LOWER(AF58))),"Undecided",IF(OR(ISNUMBER(SEARCH("reject",LOWER(AF58))),ISNUMBER(SEARCH("SBI",AF58))),"Rejected Elsewhere",IF(ISNUMBER(SEARCH("call",LOWER(AF58))),"Bank Communication",IF(OR(ISNUMBER(SEARCH("father",LOWER(AF58))),ISNUMBER(SEARCH("sister",LOWER(AF58)))),"Family / Dependency","Other"))))))))))</f>
        <v/>
      </c>
      <c r="AH58">
        <f>IF(A58="","",'01_Master_Data'!AC58)</f>
        <v/>
      </c>
      <c r="AI58">
        <f>IF(A58="","",IF(OR(AH58="",NOT(ISNUMBER(AH58))),"",MAX(0,'02_Configuration'!$B$82-AH58)))</f>
        <v/>
      </c>
      <c r="AJ58">
        <f>IF(A58="","",IF(AI58="","Unknown",IF(AI58&lt;=3,"0–3 Days",IF(AI58&lt;=7,"4–7 Days",IF(AI58&lt;=15,"8–15 Days",IF(AI58&lt;=30,"16–30 Days","30+ Days"))))))</f>
        <v/>
      </c>
      <c r="AK58">
        <f>IF(A58="","",IF(LOWER(H58)="yes","Yes","No"))</f>
        <v/>
      </c>
      <c r="AL58">
        <f>IF(A58="","",'01_Master_Data'!T58)</f>
        <v/>
      </c>
      <c r="AM58">
        <f>IF(A58="","",'01_Master_Data'!S58)</f>
        <v/>
      </c>
      <c r="AN58">
        <f>IF(A58="","",'01_Master_Data'!I58)</f>
        <v/>
      </c>
      <c r="AO58">
        <f>IF(A58="","",'01_Master_Data'!M58)</f>
        <v/>
      </c>
      <c r="AP58">
        <f>IF(A58="","",IF(ISNUMBER(SEARCH("Icici",W58&amp;"")),1,0))</f>
        <v/>
      </c>
      <c r="AQ58">
        <f>IF(A58="","",IF(ISNUMBER(SEARCH("Propelld",W58&amp;"")),1,0))</f>
        <v/>
      </c>
      <c r="AR58">
        <f>IF(A58="","",IF(ISNUMBER(SEARCH("GyanDhan",W58&amp;"")),1,0))</f>
        <v/>
      </c>
      <c r="AS58">
        <f>IF(A58="","",IF(ISNUMBER(SEARCH("vidyalakshmi",LOWER(W58&amp;""))),1,0))</f>
        <v/>
      </c>
      <c r="AT58">
        <f>IF(A58="","",IF(ISNUMBER(SEARCH("other bank",LOWER(W58&amp;""))),1,0))</f>
        <v/>
      </c>
      <c r="AU58">
        <f>IF(A58="","",IF(ISNUMBER(SEARCH("sanctioned",LOWER(W58&amp;""))),1,0))</f>
        <v/>
      </c>
      <c r="AV58">
        <f>IF(A58="","",IF(ISNUMBER(SEARCH("Docs Pending",W58&amp;"")),1,0))</f>
        <v/>
      </c>
      <c r="AW58">
        <f>IF(A58="","",IF(OR(X58="Rejected",ISNUMBER(SEARCH("Not eligbile",W58&amp;""))),1,0))</f>
        <v/>
      </c>
    </row>
    <row r="59">
      <c r="A59">
        <f>IF('01_Master_Data'!B59="","",58)</f>
        <v/>
      </c>
      <c r="B59">
        <f>IF('01_Master_Data'!B59="","",IF('01_Master_Data'!C59&lt;&gt;"","MOB|"&amp;TEXT('01_Master_Data'!C59,"0"),IF('01_Master_Data'!D59&lt;&gt;"","PID|"&amp;TRIM('01_Master_Data'!D59&amp;""),"")))</f>
        <v/>
      </c>
      <c r="C59">
        <f>IF('01_Master_Data'!B59="","",'01_Master_Data'!B59)</f>
        <v/>
      </c>
      <c r="D59">
        <f>IF('01_Master_Data'!B59="","",'01_Master_Data'!C59)</f>
        <v/>
      </c>
      <c r="E59">
        <f>IF('01_Master_Data'!B59="","",'01_Master_Data'!D59)</f>
        <v/>
      </c>
      <c r="F59">
        <f>IF('01_Master_Data'!B59="","",'01_Master_Data'!E59)</f>
        <v/>
      </c>
      <c r="G59">
        <f>IF('01_Master_Data'!B59="","",IFERROR(VLOOKUP(TRIM('01_Master_Data'!E59&amp;""),'02_Configuration'!$A$40:$B$44,2,FALSE),UPPER(TRIM('01_Master_Data'!E59&amp;""))))</f>
        <v/>
      </c>
      <c r="H59">
        <f>IF('01_Master_Data'!B59="","",IF('01_Master_Data'!U59="","",TRIM('01_Master_Data'!U59&amp;"")))</f>
        <v/>
      </c>
      <c r="I59">
        <f>IF('01_Master_Data'!B59="","",TRIM('01_Master_Data'!F59&amp;""))</f>
        <v/>
      </c>
      <c r="J59">
        <f>IF('01_Master_Data'!B59="","",TRIM('01_Master_Data'!G59&amp;""))</f>
        <v/>
      </c>
      <c r="K59">
        <f>IF('01_Master_Data'!B59="","",'01_Master_Data'!H59)</f>
        <v/>
      </c>
      <c r="L59">
        <f>IF('01_Master_Data'!B59="","",IF(LOWER(TRIM('01_Master_Data'!V59&amp;""))="yes",1,0))</f>
        <v/>
      </c>
      <c r="M59">
        <f>IF('01_Master_Data'!B59="","",IF(LOWER(TRIM('01_Master_Data'!W59&amp;""))="yes",1,0))</f>
        <v/>
      </c>
      <c r="N59">
        <f>IF('01_Master_Data'!B59="","",IF(LOWER(TRIM('01_Master_Data'!X59&amp;""))="yes",1,0))</f>
        <v/>
      </c>
      <c r="O59">
        <f>IF('01_Master_Data'!B59="","",IF(LOWER(TRIM('01_Master_Data'!Y59&amp;""))="yes",1,0))</f>
        <v/>
      </c>
      <c r="P59">
        <f>IF('01_Master_Data'!B59="","",IF(LOWER(TRIM('01_Master_Data'!Z59&amp;""))="yes",1,0))</f>
        <v/>
      </c>
      <c r="Q59">
        <f>IF(A59="","",L59+M59+N59+O59+P59)</f>
        <v/>
      </c>
      <c r="R59">
        <f>IF(A59="","",IF(Q59&gt;1,"Yes","No"))</f>
        <v/>
      </c>
      <c r="S59">
        <f>IF(A59="","",TEXTJOIN(", ",TRUE,IF(L59=1,"ICICI",""),IF(M59=1,"Propelld",""),IF(N59=1,"Study4Buddy",""),IF(O59=1,"Poonawala Fincorp",""),IF(P59=1,"GyanDhan","")))</f>
        <v/>
      </c>
      <c r="T59">
        <f>IF(A59="","",IF(L59=1,"ICICI",IF(M59=1,"Propelld",IF(P59=1,"GyanDhan",IF(N59=1,"Study4Buddy",IF(O59=1,"Poonawala Fincorp",IF(ISNUMBER(SEARCH("GyanDhan",W59&amp;"")),"GyanDhan",IF(ISNUMBER(SEARCH("Icici",W59&amp;"")),"ICICI",IF(ISNUMBER(SEARCH("Propelld",W59&amp;"")),"Propelld",IF(ISNUMBER(SEARCH("vidyalakshmi",LOWER(W59&amp;"")),"PM Vidyalakshmi","—"))))))))))</f>
        <v/>
      </c>
      <c r="U59">
        <f>IF(A59="","",TRIM('01_Master_Data'!AA59&amp;""))</f>
        <v/>
      </c>
      <c r="V59">
        <f>IF(A59="","",TRIM('01_Master_Data'!AG59&amp;""))</f>
        <v/>
      </c>
      <c r="W59">
        <f>IF(A59="","",TRIM('01_Master_Data'!AH59&amp;""))</f>
        <v/>
      </c>
      <c r="X59">
        <f>IF(A59="","",IF(OR(LOWER(H59)="refund",LOWER(U59)="refund case"),"Refund",IF(OR(LOWER(H59)="dnp",LOWER(U59)="dnp"),"DNP",IF(OR(LOWER(V59)="disbursed",ISNUMBER(SEARCH("Disbursed",W59&amp;""))),"Disbursed",IF(OR(LOWER(V59)="loan proccessed/accepted",ISNUMBER(SEARCH("sanctioned",LOWER(W59&amp;"")))),"Sanctioned",IF(OR(LOWER(V59)="rejected",ISNUMBER(SEARCH("Not eligbile",W59&amp;"")),ISNUMBER(SEARCH("Not eligible",W59&amp;""))),"Rejected",IF(ISNUMBER(SEARCH("Docs Pending",W59&amp;"")),"Documents Pending",IF(AND(LOWER(H59)="yes",LOWER(V59)="ongoing"),"Processing",IF(AND(LOWER(H59)="yes",Q59&gt;0,OR(V59="",LOWER(V59)="not even started")),"Vendor Assigned",IF(AND(LOWER(H59)="yes",LOWER(V59)="not even started"),"Need Loan",IF(LOWER(H59)="yes","Loan Started",IF(LOWER(H59)="not sure","Interested",IF(OR(LOWER(H59)="no",LOWER(V59)="not required"),"Not Required","Unclassified")))))))))))))</f>
        <v/>
      </c>
      <c r="Y59">
        <f>IF(A59="","",IF(OR(X59="Sanctioned",X59="Disbursed",X59="Approved"),"Approved",IF(X59="Rejected","Rejected",IF(OR(X59="Processing",X59="Documents Pending",X59="Vendor Assigned"),"In Progress",IF(X59="Need Loan","Pending Start","—"))))</f>
        <v/>
      </c>
      <c r="Z59">
        <f>IF(A59="","",IF(X59="Disbursed","Disbursed",IF(X59="Sanctioned","Sanctioned - Awaiting Disbursement","Not Disbursed")))</f>
        <v/>
      </c>
      <c r="AA59">
        <f>IF(A59="","",IF(LOWER(TRIM('01_Master_Data'!AI59&amp;""))="yes","Need FLDG",IF(LOWER(TRIM('01_Master_Data'!AK59&amp;""))="yes","Need Vidyalakshmi",IF(LOWER(TRIM('01_Master_Data'!AJ59&amp;""))="yes","Need Review",IF(LOWER(J59)="critical","Critical",IF(LOWER(U59)="risk","Risk Case",IF(X59="Refund","Refund","Normal")))))))</f>
        <v/>
      </c>
      <c r="AB59">
        <f>IF(A59="","",IF(OR(LOWER(J59)="critical",LOWER(TRIM('01_Master_Data'!AI59&amp;""))="yes",LOWER(TRIM('01_Master_Data'!AK59&amp;""))="yes",LOWER(U59)="risk"),"Yes","No"))</f>
        <v/>
      </c>
      <c r="AC59">
        <f>IF(A59="","",IF(LOWER(TRIM('01_Master_Data'!AI59&amp;""))="yes","Yes","No"))</f>
        <v/>
      </c>
      <c r="AD59">
        <f>IF(A59="","",IF(LOWER(TRIM('01_Master_Data'!AK59&amp;""))="yes","Yes","No"))</f>
        <v/>
      </c>
      <c r="AE59">
        <f>IF(A59="","",IF(LOWER(TRIM('01_Master_Data'!AJ59&amp;""))="yes","Yes","No"))</f>
        <v/>
      </c>
      <c r="AF59">
        <f>IF(A59="","",TRIM('01_Master_Data'!AL59&amp;""))</f>
        <v/>
      </c>
      <c r="AG59">
        <f>IF(A59="","",IF(AF59="","—",IF(ISNUMBER(SEARCH("DNP",AF59)),"Unreachable / DNP",IF(ISNUMBER(SEARCH("interest",LOWER(AF59))),"High Interest / Terms",IF(OR(ISNUMBER(SEARCH("eligib",LOWER(AF59))),ISNUMBER(SEARCH("income",LOWER(AF59)))),"Eligibility / Income",IF(OR(ISNUMBER(SEARCH("start",LOWER(AF59))),ISNUMBER(SEARCH("Newer",AF59)),ISNUMBER(SEARCH("Will start",AF59))),"Process Yet to Start",IF(ISNUMBER(SEARCH("sure",LOWER(AF59))),"Undecided",IF(OR(ISNUMBER(SEARCH("reject",LOWER(AF59))),ISNUMBER(SEARCH("SBI",AF59))),"Rejected Elsewhere",IF(ISNUMBER(SEARCH("call",LOWER(AF59))),"Bank Communication",IF(OR(ISNUMBER(SEARCH("father",LOWER(AF59))),ISNUMBER(SEARCH("sister",LOWER(AF59)))),"Family / Dependency","Other"))))))))))</f>
        <v/>
      </c>
      <c r="AH59">
        <f>IF(A59="","",'01_Master_Data'!AC59)</f>
        <v/>
      </c>
      <c r="AI59">
        <f>IF(A59="","",IF(OR(AH59="",NOT(ISNUMBER(AH59))),"",MAX(0,'02_Configuration'!$B$82-AH59)))</f>
        <v/>
      </c>
      <c r="AJ59">
        <f>IF(A59="","",IF(AI59="","Unknown",IF(AI59&lt;=3,"0–3 Days",IF(AI59&lt;=7,"4–7 Days",IF(AI59&lt;=15,"8–15 Days",IF(AI59&lt;=30,"16–30 Days","30+ Days"))))))</f>
        <v/>
      </c>
      <c r="AK59">
        <f>IF(A59="","",IF(LOWER(H59)="yes","Yes","No"))</f>
        <v/>
      </c>
      <c r="AL59">
        <f>IF(A59="","",'01_Master_Data'!T59)</f>
        <v/>
      </c>
      <c r="AM59">
        <f>IF(A59="","",'01_Master_Data'!S59)</f>
        <v/>
      </c>
      <c r="AN59">
        <f>IF(A59="","",'01_Master_Data'!I59)</f>
        <v/>
      </c>
      <c r="AO59">
        <f>IF(A59="","",'01_Master_Data'!M59)</f>
        <v/>
      </c>
      <c r="AP59">
        <f>IF(A59="","",IF(ISNUMBER(SEARCH("Icici",W59&amp;"")),1,0))</f>
        <v/>
      </c>
      <c r="AQ59">
        <f>IF(A59="","",IF(ISNUMBER(SEARCH("Propelld",W59&amp;"")),1,0))</f>
        <v/>
      </c>
      <c r="AR59">
        <f>IF(A59="","",IF(ISNUMBER(SEARCH("GyanDhan",W59&amp;"")),1,0))</f>
        <v/>
      </c>
      <c r="AS59">
        <f>IF(A59="","",IF(ISNUMBER(SEARCH("vidyalakshmi",LOWER(W59&amp;""))),1,0))</f>
        <v/>
      </c>
      <c r="AT59">
        <f>IF(A59="","",IF(ISNUMBER(SEARCH("other bank",LOWER(W59&amp;""))),1,0))</f>
        <v/>
      </c>
      <c r="AU59">
        <f>IF(A59="","",IF(ISNUMBER(SEARCH("sanctioned",LOWER(W59&amp;""))),1,0))</f>
        <v/>
      </c>
      <c r="AV59">
        <f>IF(A59="","",IF(ISNUMBER(SEARCH("Docs Pending",W59&amp;"")),1,0))</f>
        <v/>
      </c>
      <c r="AW59">
        <f>IF(A59="","",IF(OR(X59="Rejected",ISNUMBER(SEARCH("Not eligbile",W59&amp;""))),1,0))</f>
        <v/>
      </c>
    </row>
    <row r="60">
      <c r="A60">
        <f>IF('01_Master_Data'!B60="","",59)</f>
        <v/>
      </c>
      <c r="B60">
        <f>IF('01_Master_Data'!B60="","",IF('01_Master_Data'!C60&lt;&gt;"","MOB|"&amp;TEXT('01_Master_Data'!C60,"0"),IF('01_Master_Data'!D60&lt;&gt;"","PID|"&amp;TRIM('01_Master_Data'!D60&amp;""),"")))</f>
        <v/>
      </c>
      <c r="C60">
        <f>IF('01_Master_Data'!B60="","",'01_Master_Data'!B60)</f>
        <v/>
      </c>
      <c r="D60">
        <f>IF('01_Master_Data'!B60="","",'01_Master_Data'!C60)</f>
        <v/>
      </c>
      <c r="E60">
        <f>IF('01_Master_Data'!B60="","",'01_Master_Data'!D60)</f>
        <v/>
      </c>
      <c r="F60">
        <f>IF('01_Master_Data'!B60="","",'01_Master_Data'!E60)</f>
        <v/>
      </c>
      <c r="G60">
        <f>IF('01_Master_Data'!B60="","",IFERROR(VLOOKUP(TRIM('01_Master_Data'!E60&amp;""),'02_Configuration'!$A$40:$B$44,2,FALSE),UPPER(TRIM('01_Master_Data'!E60&amp;""))))</f>
        <v/>
      </c>
      <c r="H60">
        <f>IF('01_Master_Data'!B60="","",IF('01_Master_Data'!U60="","",TRIM('01_Master_Data'!U60&amp;"")))</f>
        <v/>
      </c>
      <c r="I60">
        <f>IF('01_Master_Data'!B60="","",TRIM('01_Master_Data'!F60&amp;""))</f>
        <v/>
      </c>
      <c r="J60">
        <f>IF('01_Master_Data'!B60="","",TRIM('01_Master_Data'!G60&amp;""))</f>
        <v/>
      </c>
      <c r="K60">
        <f>IF('01_Master_Data'!B60="","",'01_Master_Data'!H60)</f>
        <v/>
      </c>
      <c r="L60">
        <f>IF('01_Master_Data'!B60="","",IF(LOWER(TRIM('01_Master_Data'!V60&amp;""))="yes",1,0))</f>
        <v/>
      </c>
      <c r="M60">
        <f>IF('01_Master_Data'!B60="","",IF(LOWER(TRIM('01_Master_Data'!W60&amp;""))="yes",1,0))</f>
        <v/>
      </c>
      <c r="N60">
        <f>IF('01_Master_Data'!B60="","",IF(LOWER(TRIM('01_Master_Data'!X60&amp;""))="yes",1,0))</f>
        <v/>
      </c>
      <c r="O60">
        <f>IF('01_Master_Data'!B60="","",IF(LOWER(TRIM('01_Master_Data'!Y60&amp;""))="yes",1,0))</f>
        <v/>
      </c>
      <c r="P60">
        <f>IF('01_Master_Data'!B60="","",IF(LOWER(TRIM('01_Master_Data'!Z60&amp;""))="yes",1,0))</f>
        <v/>
      </c>
      <c r="Q60">
        <f>IF(A60="","",L60+M60+N60+O60+P60)</f>
        <v/>
      </c>
      <c r="R60">
        <f>IF(A60="","",IF(Q60&gt;1,"Yes","No"))</f>
        <v/>
      </c>
      <c r="S60">
        <f>IF(A60="","",TEXTJOIN(", ",TRUE,IF(L60=1,"ICICI",""),IF(M60=1,"Propelld",""),IF(N60=1,"Study4Buddy",""),IF(O60=1,"Poonawala Fincorp",""),IF(P60=1,"GyanDhan","")))</f>
        <v/>
      </c>
      <c r="T60">
        <f>IF(A60="","",IF(L60=1,"ICICI",IF(M60=1,"Propelld",IF(P60=1,"GyanDhan",IF(N60=1,"Study4Buddy",IF(O60=1,"Poonawala Fincorp",IF(ISNUMBER(SEARCH("GyanDhan",W60&amp;"")),"GyanDhan",IF(ISNUMBER(SEARCH("Icici",W60&amp;"")),"ICICI",IF(ISNUMBER(SEARCH("Propelld",W60&amp;"")),"Propelld",IF(ISNUMBER(SEARCH("vidyalakshmi",LOWER(W60&amp;"")),"PM Vidyalakshmi","—"))))))))))</f>
        <v/>
      </c>
      <c r="U60">
        <f>IF(A60="","",TRIM('01_Master_Data'!AA60&amp;""))</f>
        <v/>
      </c>
      <c r="V60">
        <f>IF(A60="","",TRIM('01_Master_Data'!AG60&amp;""))</f>
        <v/>
      </c>
      <c r="W60">
        <f>IF(A60="","",TRIM('01_Master_Data'!AH60&amp;""))</f>
        <v/>
      </c>
      <c r="X60">
        <f>IF(A60="","",IF(OR(LOWER(H60)="refund",LOWER(U60)="refund case"),"Refund",IF(OR(LOWER(H60)="dnp",LOWER(U60)="dnp"),"DNP",IF(OR(LOWER(V60)="disbursed",ISNUMBER(SEARCH("Disbursed",W60&amp;""))),"Disbursed",IF(OR(LOWER(V60)="loan proccessed/accepted",ISNUMBER(SEARCH("sanctioned",LOWER(W60&amp;"")))),"Sanctioned",IF(OR(LOWER(V60)="rejected",ISNUMBER(SEARCH("Not eligbile",W60&amp;"")),ISNUMBER(SEARCH("Not eligible",W60&amp;""))),"Rejected",IF(ISNUMBER(SEARCH("Docs Pending",W60&amp;"")),"Documents Pending",IF(AND(LOWER(H60)="yes",LOWER(V60)="ongoing"),"Processing",IF(AND(LOWER(H60)="yes",Q60&gt;0,OR(V60="",LOWER(V60)="not even started")),"Vendor Assigned",IF(AND(LOWER(H60)="yes",LOWER(V60)="not even started"),"Need Loan",IF(LOWER(H60)="yes","Loan Started",IF(LOWER(H60)="not sure","Interested",IF(OR(LOWER(H60)="no",LOWER(V60)="not required"),"Not Required","Unclassified")))))))))))))</f>
        <v/>
      </c>
      <c r="Y60">
        <f>IF(A60="","",IF(OR(X60="Sanctioned",X60="Disbursed",X60="Approved"),"Approved",IF(X60="Rejected","Rejected",IF(OR(X60="Processing",X60="Documents Pending",X60="Vendor Assigned"),"In Progress",IF(X60="Need Loan","Pending Start","—"))))</f>
        <v/>
      </c>
      <c r="Z60">
        <f>IF(A60="","",IF(X60="Disbursed","Disbursed",IF(X60="Sanctioned","Sanctioned - Awaiting Disbursement","Not Disbursed")))</f>
        <v/>
      </c>
      <c r="AA60">
        <f>IF(A60="","",IF(LOWER(TRIM('01_Master_Data'!AI60&amp;""))="yes","Need FLDG",IF(LOWER(TRIM('01_Master_Data'!AK60&amp;""))="yes","Need Vidyalakshmi",IF(LOWER(TRIM('01_Master_Data'!AJ60&amp;""))="yes","Need Review",IF(LOWER(J60)="critical","Critical",IF(LOWER(U60)="risk","Risk Case",IF(X60="Refund","Refund","Normal")))))))</f>
        <v/>
      </c>
      <c r="AB60">
        <f>IF(A60="","",IF(OR(LOWER(J60)="critical",LOWER(TRIM('01_Master_Data'!AI60&amp;""))="yes",LOWER(TRIM('01_Master_Data'!AK60&amp;""))="yes",LOWER(U60)="risk"),"Yes","No"))</f>
        <v/>
      </c>
      <c r="AC60">
        <f>IF(A60="","",IF(LOWER(TRIM('01_Master_Data'!AI60&amp;""))="yes","Yes","No"))</f>
        <v/>
      </c>
      <c r="AD60">
        <f>IF(A60="","",IF(LOWER(TRIM('01_Master_Data'!AK60&amp;""))="yes","Yes","No"))</f>
        <v/>
      </c>
      <c r="AE60">
        <f>IF(A60="","",IF(LOWER(TRIM('01_Master_Data'!AJ60&amp;""))="yes","Yes","No"))</f>
        <v/>
      </c>
      <c r="AF60">
        <f>IF(A60="","",TRIM('01_Master_Data'!AL60&amp;""))</f>
        <v/>
      </c>
      <c r="AG60">
        <f>IF(A60="","",IF(AF60="","—",IF(ISNUMBER(SEARCH("DNP",AF60)),"Unreachable / DNP",IF(ISNUMBER(SEARCH("interest",LOWER(AF60))),"High Interest / Terms",IF(OR(ISNUMBER(SEARCH("eligib",LOWER(AF60))),ISNUMBER(SEARCH("income",LOWER(AF60)))),"Eligibility / Income",IF(OR(ISNUMBER(SEARCH("start",LOWER(AF60))),ISNUMBER(SEARCH("Newer",AF60)),ISNUMBER(SEARCH("Will start",AF60))),"Process Yet to Start",IF(ISNUMBER(SEARCH("sure",LOWER(AF60))),"Undecided",IF(OR(ISNUMBER(SEARCH("reject",LOWER(AF60))),ISNUMBER(SEARCH("SBI",AF60))),"Rejected Elsewhere",IF(ISNUMBER(SEARCH("call",LOWER(AF60))),"Bank Communication",IF(OR(ISNUMBER(SEARCH("father",LOWER(AF60))),ISNUMBER(SEARCH("sister",LOWER(AF60)))),"Family / Dependency","Other"))))))))))</f>
        <v/>
      </c>
      <c r="AH60">
        <f>IF(A60="","",'01_Master_Data'!AC60)</f>
        <v/>
      </c>
      <c r="AI60">
        <f>IF(A60="","",IF(OR(AH60="",NOT(ISNUMBER(AH60))),"",MAX(0,'02_Configuration'!$B$82-AH60)))</f>
        <v/>
      </c>
      <c r="AJ60">
        <f>IF(A60="","",IF(AI60="","Unknown",IF(AI60&lt;=3,"0–3 Days",IF(AI60&lt;=7,"4–7 Days",IF(AI60&lt;=15,"8–15 Days",IF(AI60&lt;=30,"16–30 Days","30+ Days"))))))</f>
        <v/>
      </c>
      <c r="AK60">
        <f>IF(A60="","",IF(LOWER(H60)="yes","Yes","No"))</f>
        <v/>
      </c>
      <c r="AL60">
        <f>IF(A60="","",'01_Master_Data'!T60)</f>
        <v/>
      </c>
      <c r="AM60">
        <f>IF(A60="","",'01_Master_Data'!S60)</f>
        <v/>
      </c>
      <c r="AN60">
        <f>IF(A60="","",'01_Master_Data'!I60)</f>
        <v/>
      </c>
      <c r="AO60">
        <f>IF(A60="","",'01_Master_Data'!M60)</f>
        <v/>
      </c>
      <c r="AP60">
        <f>IF(A60="","",IF(ISNUMBER(SEARCH("Icici",W60&amp;"")),1,0))</f>
        <v/>
      </c>
      <c r="AQ60">
        <f>IF(A60="","",IF(ISNUMBER(SEARCH("Propelld",W60&amp;"")),1,0))</f>
        <v/>
      </c>
      <c r="AR60">
        <f>IF(A60="","",IF(ISNUMBER(SEARCH("GyanDhan",W60&amp;"")),1,0))</f>
        <v/>
      </c>
      <c r="AS60">
        <f>IF(A60="","",IF(ISNUMBER(SEARCH("vidyalakshmi",LOWER(W60&amp;""))),1,0))</f>
        <v/>
      </c>
      <c r="AT60">
        <f>IF(A60="","",IF(ISNUMBER(SEARCH("other bank",LOWER(W60&amp;""))),1,0))</f>
        <v/>
      </c>
      <c r="AU60">
        <f>IF(A60="","",IF(ISNUMBER(SEARCH("sanctioned",LOWER(W60&amp;""))),1,0))</f>
        <v/>
      </c>
      <c r="AV60">
        <f>IF(A60="","",IF(ISNUMBER(SEARCH("Docs Pending",W60&amp;"")),1,0))</f>
        <v/>
      </c>
      <c r="AW60">
        <f>IF(A60="","",IF(OR(X60="Rejected",ISNUMBER(SEARCH("Not eligbile",W60&amp;""))),1,0))</f>
        <v/>
      </c>
    </row>
    <row r="61">
      <c r="A61">
        <f>IF('01_Master_Data'!B61="","",60)</f>
        <v/>
      </c>
      <c r="B61">
        <f>IF('01_Master_Data'!B61="","",IF('01_Master_Data'!C61&lt;&gt;"","MOB|"&amp;TEXT('01_Master_Data'!C61,"0"),IF('01_Master_Data'!D61&lt;&gt;"","PID|"&amp;TRIM('01_Master_Data'!D61&amp;""),"")))</f>
        <v/>
      </c>
      <c r="C61">
        <f>IF('01_Master_Data'!B61="","",'01_Master_Data'!B61)</f>
        <v/>
      </c>
      <c r="D61">
        <f>IF('01_Master_Data'!B61="","",'01_Master_Data'!C61)</f>
        <v/>
      </c>
      <c r="E61">
        <f>IF('01_Master_Data'!B61="","",'01_Master_Data'!D61)</f>
        <v/>
      </c>
      <c r="F61">
        <f>IF('01_Master_Data'!B61="","",'01_Master_Data'!E61)</f>
        <v/>
      </c>
      <c r="G61">
        <f>IF('01_Master_Data'!B61="","",IFERROR(VLOOKUP(TRIM('01_Master_Data'!E61&amp;""),'02_Configuration'!$A$40:$B$44,2,FALSE),UPPER(TRIM('01_Master_Data'!E61&amp;""))))</f>
        <v/>
      </c>
      <c r="H61">
        <f>IF('01_Master_Data'!B61="","",IF('01_Master_Data'!U61="","",TRIM('01_Master_Data'!U61&amp;"")))</f>
        <v/>
      </c>
      <c r="I61">
        <f>IF('01_Master_Data'!B61="","",TRIM('01_Master_Data'!F61&amp;""))</f>
        <v/>
      </c>
      <c r="J61">
        <f>IF('01_Master_Data'!B61="","",TRIM('01_Master_Data'!G61&amp;""))</f>
        <v/>
      </c>
      <c r="K61">
        <f>IF('01_Master_Data'!B61="","",'01_Master_Data'!H61)</f>
        <v/>
      </c>
      <c r="L61">
        <f>IF('01_Master_Data'!B61="","",IF(LOWER(TRIM('01_Master_Data'!V61&amp;""))="yes",1,0))</f>
        <v/>
      </c>
      <c r="M61">
        <f>IF('01_Master_Data'!B61="","",IF(LOWER(TRIM('01_Master_Data'!W61&amp;""))="yes",1,0))</f>
        <v/>
      </c>
      <c r="N61">
        <f>IF('01_Master_Data'!B61="","",IF(LOWER(TRIM('01_Master_Data'!X61&amp;""))="yes",1,0))</f>
        <v/>
      </c>
      <c r="O61">
        <f>IF('01_Master_Data'!B61="","",IF(LOWER(TRIM('01_Master_Data'!Y61&amp;""))="yes",1,0))</f>
        <v/>
      </c>
      <c r="P61">
        <f>IF('01_Master_Data'!B61="","",IF(LOWER(TRIM('01_Master_Data'!Z61&amp;""))="yes",1,0))</f>
        <v/>
      </c>
      <c r="Q61">
        <f>IF(A61="","",L61+M61+N61+O61+P61)</f>
        <v/>
      </c>
      <c r="R61">
        <f>IF(A61="","",IF(Q61&gt;1,"Yes","No"))</f>
        <v/>
      </c>
      <c r="S61">
        <f>IF(A61="","",TEXTJOIN(", ",TRUE,IF(L61=1,"ICICI",""),IF(M61=1,"Propelld",""),IF(N61=1,"Study4Buddy",""),IF(O61=1,"Poonawala Fincorp",""),IF(P61=1,"GyanDhan","")))</f>
        <v/>
      </c>
      <c r="T61">
        <f>IF(A61="","",IF(L61=1,"ICICI",IF(M61=1,"Propelld",IF(P61=1,"GyanDhan",IF(N61=1,"Study4Buddy",IF(O61=1,"Poonawala Fincorp",IF(ISNUMBER(SEARCH("GyanDhan",W61&amp;"")),"GyanDhan",IF(ISNUMBER(SEARCH("Icici",W61&amp;"")),"ICICI",IF(ISNUMBER(SEARCH("Propelld",W61&amp;"")),"Propelld",IF(ISNUMBER(SEARCH("vidyalakshmi",LOWER(W61&amp;"")),"PM Vidyalakshmi","—"))))))))))</f>
        <v/>
      </c>
      <c r="U61">
        <f>IF(A61="","",TRIM('01_Master_Data'!AA61&amp;""))</f>
        <v/>
      </c>
      <c r="V61">
        <f>IF(A61="","",TRIM('01_Master_Data'!AG61&amp;""))</f>
        <v/>
      </c>
      <c r="W61">
        <f>IF(A61="","",TRIM('01_Master_Data'!AH61&amp;""))</f>
        <v/>
      </c>
      <c r="X61">
        <f>IF(A61="","",IF(OR(LOWER(H61)="refund",LOWER(U61)="refund case"),"Refund",IF(OR(LOWER(H61)="dnp",LOWER(U61)="dnp"),"DNP",IF(OR(LOWER(V61)="disbursed",ISNUMBER(SEARCH("Disbursed",W61&amp;""))),"Disbursed",IF(OR(LOWER(V61)="loan proccessed/accepted",ISNUMBER(SEARCH("sanctioned",LOWER(W61&amp;"")))),"Sanctioned",IF(OR(LOWER(V61)="rejected",ISNUMBER(SEARCH("Not eligbile",W61&amp;"")),ISNUMBER(SEARCH("Not eligible",W61&amp;""))),"Rejected",IF(ISNUMBER(SEARCH("Docs Pending",W61&amp;"")),"Documents Pending",IF(AND(LOWER(H61)="yes",LOWER(V61)="ongoing"),"Processing",IF(AND(LOWER(H61)="yes",Q61&gt;0,OR(V61="",LOWER(V61)="not even started")),"Vendor Assigned",IF(AND(LOWER(H61)="yes",LOWER(V61)="not even started"),"Need Loan",IF(LOWER(H61)="yes","Loan Started",IF(LOWER(H61)="not sure","Interested",IF(OR(LOWER(H61)="no",LOWER(V61)="not required"),"Not Required","Unclassified")))))))))))))</f>
        <v/>
      </c>
      <c r="Y61">
        <f>IF(A61="","",IF(OR(X61="Sanctioned",X61="Disbursed",X61="Approved"),"Approved",IF(X61="Rejected","Rejected",IF(OR(X61="Processing",X61="Documents Pending",X61="Vendor Assigned"),"In Progress",IF(X61="Need Loan","Pending Start","—"))))</f>
        <v/>
      </c>
      <c r="Z61">
        <f>IF(A61="","",IF(X61="Disbursed","Disbursed",IF(X61="Sanctioned","Sanctioned - Awaiting Disbursement","Not Disbursed")))</f>
        <v/>
      </c>
      <c r="AA61">
        <f>IF(A61="","",IF(LOWER(TRIM('01_Master_Data'!AI61&amp;""))="yes","Need FLDG",IF(LOWER(TRIM('01_Master_Data'!AK61&amp;""))="yes","Need Vidyalakshmi",IF(LOWER(TRIM('01_Master_Data'!AJ61&amp;""))="yes","Need Review",IF(LOWER(J61)="critical","Critical",IF(LOWER(U61)="risk","Risk Case",IF(X61="Refund","Refund","Normal")))))))</f>
        <v/>
      </c>
      <c r="AB61">
        <f>IF(A61="","",IF(OR(LOWER(J61)="critical",LOWER(TRIM('01_Master_Data'!AI61&amp;""))="yes",LOWER(TRIM('01_Master_Data'!AK61&amp;""))="yes",LOWER(U61)="risk"),"Yes","No"))</f>
        <v/>
      </c>
      <c r="AC61">
        <f>IF(A61="","",IF(LOWER(TRIM('01_Master_Data'!AI61&amp;""))="yes","Yes","No"))</f>
        <v/>
      </c>
      <c r="AD61">
        <f>IF(A61="","",IF(LOWER(TRIM('01_Master_Data'!AK61&amp;""))="yes","Yes","No"))</f>
        <v/>
      </c>
      <c r="AE61">
        <f>IF(A61="","",IF(LOWER(TRIM('01_Master_Data'!AJ61&amp;""))="yes","Yes","No"))</f>
        <v/>
      </c>
      <c r="AF61">
        <f>IF(A61="","",TRIM('01_Master_Data'!AL61&amp;""))</f>
        <v/>
      </c>
      <c r="AG61">
        <f>IF(A61="","",IF(AF61="","—",IF(ISNUMBER(SEARCH("DNP",AF61)),"Unreachable / DNP",IF(ISNUMBER(SEARCH("interest",LOWER(AF61))),"High Interest / Terms",IF(OR(ISNUMBER(SEARCH("eligib",LOWER(AF61))),ISNUMBER(SEARCH("income",LOWER(AF61)))),"Eligibility / Income",IF(OR(ISNUMBER(SEARCH("start",LOWER(AF61))),ISNUMBER(SEARCH("Newer",AF61)),ISNUMBER(SEARCH("Will start",AF61))),"Process Yet to Start",IF(ISNUMBER(SEARCH("sure",LOWER(AF61))),"Undecided",IF(OR(ISNUMBER(SEARCH("reject",LOWER(AF61))),ISNUMBER(SEARCH("SBI",AF61))),"Rejected Elsewhere",IF(ISNUMBER(SEARCH("call",LOWER(AF61))),"Bank Communication",IF(OR(ISNUMBER(SEARCH("father",LOWER(AF61))),ISNUMBER(SEARCH("sister",LOWER(AF61)))),"Family / Dependency","Other"))))))))))</f>
        <v/>
      </c>
      <c r="AH61">
        <f>IF(A61="","",'01_Master_Data'!AC61)</f>
        <v/>
      </c>
      <c r="AI61">
        <f>IF(A61="","",IF(OR(AH61="",NOT(ISNUMBER(AH61))),"",MAX(0,'02_Configuration'!$B$82-AH61)))</f>
        <v/>
      </c>
      <c r="AJ61">
        <f>IF(A61="","",IF(AI61="","Unknown",IF(AI61&lt;=3,"0–3 Days",IF(AI61&lt;=7,"4–7 Days",IF(AI61&lt;=15,"8–15 Days",IF(AI61&lt;=30,"16–30 Days","30+ Days"))))))</f>
        <v/>
      </c>
      <c r="AK61">
        <f>IF(A61="","",IF(LOWER(H61)="yes","Yes","No"))</f>
        <v/>
      </c>
      <c r="AL61">
        <f>IF(A61="","",'01_Master_Data'!T61)</f>
        <v/>
      </c>
      <c r="AM61">
        <f>IF(A61="","",'01_Master_Data'!S61)</f>
        <v/>
      </c>
      <c r="AN61">
        <f>IF(A61="","",'01_Master_Data'!I61)</f>
        <v/>
      </c>
      <c r="AO61">
        <f>IF(A61="","",'01_Master_Data'!M61)</f>
        <v/>
      </c>
      <c r="AP61">
        <f>IF(A61="","",IF(ISNUMBER(SEARCH("Icici",W61&amp;"")),1,0))</f>
        <v/>
      </c>
      <c r="AQ61">
        <f>IF(A61="","",IF(ISNUMBER(SEARCH("Propelld",W61&amp;"")),1,0))</f>
        <v/>
      </c>
      <c r="AR61">
        <f>IF(A61="","",IF(ISNUMBER(SEARCH("GyanDhan",W61&amp;"")),1,0))</f>
        <v/>
      </c>
      <c r="AS61">
        <f>IF(A61="","",IF(ISNUMBER(SEARCH("vidyalakshmi",LOWER(W61&amp;""))),1,0))</f>
        <v/>
      </c>
      <c r="AT61">
        <f>IF(A61="","",IF(ISNUMBER(SEARCH("other bank",LOWER(W61&amp;""))),1,0))</f>
        <v/>
      </c>
      <c r="AU61">
        <f>IF(A61="","",IF(ISNUMBER(SEARCH("sanctioned",LOWER(W61&amp;""))),1,0))</f>
        <v/>
      </c>
      <c r="AV61">
        <f>IF(A61="","",IF(ISNUMBER(SEARCH("Docs Pending",W61&amp;"")),1,0))</f>
        <v/>
      </c>
      <c r="AW61">
        <f>IF(A61="","",IF(OR(X61="Rejected",ISNUMBER(SEARCH("Not eligbile",W61&amp;""))),1,0))</f>
        <v/>
      </c>
    </row>
    <row r="62">
      <c r="A62">
        <f>IF('01_Master_Data'!B62="","",61)</f>
        <v/>
      </c>
      <c r="B62">
        <f>IF('01_Master_Data'!B62="","",IF('01_Master_Data'!C62&lt;&gt;"","MOB|"&amp;TEXT('01_Master_Data'!C62,"0"),IF('01_Master_Data'!D62&lt;&gt;"","PID|"&amp;TRIM('01_Master_Data'!D62&amp;""),"")))</f>
        <v/>
      </c>
      <c r="C62">
        <f>IF('01_Master_Data'!B62="","",'01_Master_Data'!B62)</f>
        <v/>
      </c>
      <c r="D62">
        <f>IF('01_Master_Data'!B62="","",'01_Master_Data'!C62)</f>
        <v/>
      </c>
      <c r="E62">
        <f>IF('01_Master_Data'!B62="","",'01_Master_Data'!D62)</f>
        <v/>
      </c>
      <c r="F62">
        <f>IF('01_Master_Data'!B62="","",'01_Master_Data'!E62)</f>
        <v/>
      </c>
      <c r="G62">
        <f>IF('01_Master_Data'!B62="","",IFERROR(VLOOKUP(TRIM('01_Master_Data'!E62&amp;""),'02_Configuration'!$A$40:$B$44,2,FALSE),UPPER(TRIM('01_Master_Data'!E62&amp;""))))</f>
        <v/>
      </c>
      <c r="H62">
        <f>IF('01_Master_Data'!B62="","",IF('01_Master_Data'!U62="","",TRIM('01_Master_Data'!U62&amp;"")))</f>
        <v/>
      </c>
      <c r="I62">
        <f>IF('01_Master_Data'!B62="","",TRIM('01_Master_Data'!F62&amp;""))</f>
        <v/>
      </c>
      <c r="J62">
        <f>IF('01_Master_Data'!B62="","",TRIM('01_Master_Data'!G62&amp;""))</f>
        <v/>
      </c>
      <c r="K62">
        <f>IF('01_Master_Data'!B62="","",'01_Master_Data'!H62)</f>
        <v/>
      </c>
      <c r="L62">
        <f>IF('01_Master_Data'!B62="","",IF(LOWER(TRIM('01_Master_Data'!V62&amp;""))="yes",1,0))</f>
        <v/>
      </c>
      <c r="M62">
        <f>IF('01_Master_Data'!B62="","",IF(LOWER(TRIM('01_Master_Data'!W62&amp;""))="yes",1,0))</f>
        <v/>
      </c>
      <c r="N62">
        <f>IF('01_Master_Data'!B62="","",IF(LOWER(TRIM('01_Master_Data'!X62&amp;""))="yes",1,0))</f>
        <v/>
      </c>
      <c r="O62">
        <f>IF('01_Master_Data'!B62="","",IF(LOWER(TRIM('01_Master_Data'!Y62&amp;""))="yes",1,0))</f>
        <v/>
      </c>
      <c r="P62">
        <f>IF('01_Master_Data'!B62="","",IF(LOWER(TRIM('01_Master_Data'!Z62&amp;""))="yes",1,0))</f>
        <v/>
      </c>
      <c r="Q62">
        <f>IF(A62="","",L62+M62+N62+O62+P62)</f>
        <v/>
      </c>
      <c r="R62">
        <f>IF(A62="","",IF(Q62&gt;1,"Yes","No"))</f>
        <v/>
      </c>
      <c r="S62">
        <f>IF(A62="","",TEXTJOIN(", ",TRUE,IF(L62=1,"ICICI",""),IF(M62=1,"Propelld",""),IF(N62=1,"Study4Buddy",""),IF(O62=1,"Poonawala Fincorp",""),IF(P62=1,"GyanDhan","")))</f>
        <v/>
      </c>
      <c r="T62">
        <f>IF(A62="","",IF(L62=1,"ICICI",IF(M62=1,"Propelld",IF(P62=1,"GyanDhan",IF(N62=1,"Study4Buddy",IF(O62=1,"Poonawala Fincorp",IF(ISNUMBER(SEARCH("GyanDhan",W62&amp;"")),"GyanDhan",IF(ISNUMBER(SEARCH("Icici",W62&amp;"")),"ICICI",IF(ISNUMBER(SEARCH("Propelld",W62&amp;"")),"Propelld",IF(ISNUMBER(SEARCH("vidyalakshmi",LOWER(W62&amp;"")),"PM Vidyalakshmi","—"))))))))))</f>
        <v/>
      </c>
      <c r="U62">
        <f>IF(A62="","",TRIM('01_Master_Data'!AA62&amp;""))</f>
        <v/>
      </c>
      <c r="V62">
        <f>IF(A62="","",TRIM('01_Master_Data'!AG62&amp;""))</f>
        <v/>
      </c>
      <c r="W62">
        <f>IF(A62="","",TRIM('01_Master_Data'!AH62&amp;""))</f>
        <v/>
      </c>
      <c r="X62">
        <f>IF(A62="","",IF(OR(LOWER(H62)="refund",LOWER(U62)="refund case"),"Refund",IF(OR(LOWER(H62)="dnp",LOWER(U62)="dnp"),"DNP",IF(OR(LOWER(V62)="disbursed",ISNUMBER(SEARCH("Disbursed",W62&amp;""))),"Disbursed",IF(OR(LOWER(V62)="loan proccessed/accepted",ISNUMBER(SEARCH("sanctioned",LOWER(W62&amp;"")))),"Sanctioned",IF(OR(LOWER(V62)="rejected",ISNUMBER(SEARCH("Not eligbile",W62&amp;"")),ISNUMBER(SEARCH("Not eligible",W62&amp;""))),"Rejected",IF(ISNUMBER(SEARCH("Docs Pending",W62&amp;"")),"Documents Pending",IF(AND(LOWER(H62)="yes",LOWER(V62)="ongoing"),"Processing",IF(AND(LOWER(H62)="yes",Q62&gt;0,OR(V62="",LOWER(V62)="not even started")),"Vendor Assigned",IF(AND(LOWER(H62)="yes",LOWER(V62)="not even started"),"Need Loan",IF(LOWER(H62)="yes","Loan Started",IF(LOWER(H62)="not sure","Interested",IF(OR(LOWER(H62)="no",LOWER(V62)="not required"),"Not Required","Unclassified")))))))))))))</f>
        <v/>
      </c>
      <c r="Y62">
        <f>IF(A62="","",IF(OR(X62="Sanctioned",X62="Disbursed",X62="Approved"),"Approved",IF(X62="Rejected","Rejected",IF(OR(X62="Processing",X62="Documents Pending",X62="Vendor Assigned"),"In Progress",IF(X62="Need Loan","Pending Start","—"))))</f>
        <v/>
      </c>
      <c r="Z62">
        <f>IF(A62="","",IF(X62="Disbursed","Disbursed",IF(X62="Sanctioned","Sanctioned - Awaiting Disbursement","Not Disbursed")))</f>
        <v/>
      </c>
      <c r="AA62">
        <f>IF(A62="","",IF(LOWER(TRIM('01_Master_Data'!AI62&amp;""))="yes","Need FLDG",IF(LOWER(TRIM('01_Master_Data'!AK62&amp;""))="yes","Need Vidyalakshmi",IF(LOWER(TRIM('01_Master_Data'!AJ62&amp;""))="yes","Need Review",IF(LOWER(J62)="critical","Critical",IF(LOWER(U62)="risk","Risk Case",IF(X62="Refund","Refund","Normal")))))))</f>
        <v/>
      </c>
      <c r="AB62">
        <f>IF(A62="","",IF(OR(LOWER(J62)="critical",LOWER(TRIM('01_Master_Data'!AI62&amp;""))="yes",LOWER(TRIM('01_Master_Data'!AK62&amp;""))="yes",LOWER(U62)="risk"),"Yes","No"))</f>
        <v/>
      </c>
      <c r="AC62">
        <f>IF(A62="","",IF(LOWER(TRIM('01_Master_Data'!AI62&amp;""))="yes","Yes","No"))</f>
        <v/>
      </c>
      <c r="AD62">
        <f>IF(A62="","",IF(LOWER(TRIM('01_Master_Data'!AK62&amp;""))="yes","Yes","No"))</f>
        <v/>
      </c>
      <c r="AE62">
        <f>IF(A62="","",IF(LOWER(TRIM('01_Master_Data'!AJ62&amp;""))="yes","Yes","No"))</f>
        <v/>
      </c>
      <c r="AF62">
        <f>IF(A62="","",TRIM('01_Master_Data'!AL62&amp;""))</f>
        <v/>
      </c>
      <c r="AG62">
        <f>IF(A62="","",IF(AF62="","—",IF(ISNUMBER(SEARCH("DNP",AF62)),"Unreachable / DNP",IF(ISNUMBER(SEARCH("interest",LOWER(AF62))),"High Interest / Terms",IF(OR(ISNUMBER(SEARCH("eligib",LOWER(AF62))),ISNUMBER(SEARCH("income",LOWER(AF62)))),"Eligibility / Income",IF(OR(ISNUMBER(SEARCH("start",LOWER(AF62))),ISNUMBER(SEARCH("Newer",AF62)),ISNUMBER(SEARCH("Will start",AF62))),"Process Yet to Start",IF(ISNUMBER(SEARCH("sure",LOWER(AF62))),"Undecided",IF(OR(ISNUMBER(SEARCH("reject",LOWER(AF62))),ISNUMBER(SEARCH("SBI",AF62))),"Rejected Elsewhere",IF(ISNUMBER(SEARCH("call",LOWER(AF62))),"Bank Communication",IF(OR(ISNUMBER(SEARCH("father",LOWER(AF62))),ISNUMBER(SEARCH("sister",LOWER(AF62)))),"Family / Dependency","Other"))))))))))</f>
        <v/>
      </c>
      <c r="AH62">
        <f>IF(A62="","",'01_Master_Data'!AC62)</f>
        <v/>
      </c>
      <c r="AI62">
        <f>IF(A62="","",IF(OR(AH62="",NOT(ISNUMBER(AH62))),"",MAX(0,'02_Configuration'!$B$82-AH62)))</f>
        <v/>
      </c>
      <c r="AJ62">
        <f>IF(A62="","",IF(AI62="","Unknown",IF(AI62&lt;=3,"0–3 Days",IF(AI62&lt;=7,"4–7 Days",IF(AI62&lt;=15,"8–15 Days",IF(AI62&lt;=30,"16–30 Days","30+ Days"))))))</f>
        <v/>
      </c>
      <c r="AK62">
        <f>IF(A62="","",IF(LOWER(H62)="yes","Yes","No"))</f>
        <v/>
      </c>
      <c r="AL62">
        <f>IF(A62="","",'01_Master_Data'!T62)</f>
        <v/>
      </c>
      <c r="AM62">
        <f>IF(A62="","",'01_Master_Data'!S62)</f>
        <v/>
      </c>
      <c r="AN62">
        <f>IF(A62="","",'01_Master_Data'!I62)</f>
        <v/>
      </c>
      <c r="AO62">
        <f>IF(A62="","",'01_Master_Data'!M62)</f>
        <v/>
      </c>
      <c r="AP62">
        <f>IF(A62="","",IF(ISNUMBER(SEARCH("Icici",W62&amp;"")),1,0))</f>
        <v/>
      </c>
      <c r="AQ62">
        <f>IF(A62="","",IF(ISNUMBER(SEARCH("Propelld",W62&amp;"")),1,0))</f>
        <v/>
      </c>
      <c r="AR62">
        <f>IF(A62="","",IF(ISNUMBER(SEARCH("GyanDhan",W62&amp;"")),1,0))</f>
        <v/>
      </c>
      <c r="AS62">
        <f>IF(A62="","",IF(ISNUMBER(SEARCH("vidyalakshmi",LOWER(W62&amp;""))),1,0))</f>
        <v/>
      </c>
      <c r="AT62">
        <f>IF(A62="","",IF(ISNUMBER(SEARCH("other bank",LOWER(W62&amp;""))),1,0))</f>
        <v/>
      </c>
      <c r="AU62">
        <f>IF(A62="","",IF(ISNUMBER(SEARCH("sanctioned",LOWER(W62&amp;""))),1,0))</f>
        <v/>
      </c>
      <c r="AV62">
        <f>IF(A62="","",IF(ISNUMBER(SEARCH("Docs Pending",W62&amp;"")),1,0))</f>
        <v/>
      </c>
      <c r="AW62">
        <f>IF(A62="","",IF(OR(X62="Rejected",ISNUMBER(SEARCH("Not eligbile",W62&amp;""))),1,0))</f>
        <v/>
      </c>
    </row>
    <row r="63">
      <c r="A63">
        <f>IF('01_Master_Data'!B63="","",62)</f>
        <v/>
      </c>
      <c r="B63">
        <f>IF('01_Master_Data'!B63="","",IF('01_Master_Data'!C63&lt;&gt;"","MOB|"&amp;TEXT('01_Master_Data'!C63,"0"),IF('01_Master_Data'!D63&lt;&gt;"","PID|"&amp;TRIM('01_Master_Data'!D63&amp;""),"")))</f>
        <v/>
      </c>
      <c r="C63">
        <f>IF('01_Master_Data'!B63="","",'01_Master_Data'!B63)</f>
        <v/>
      </c>
      <c r="D63">
        <f>IF('01_Master_Data'!B63="","",'01_Master_Data'!C63)</f>
        <v/>
      </c>
      <c r="E63">
        <f>IF('01_Master_Data'!B63="","",'01_Master_Data'!D63)</f>
        <v/>
      </c>
      <c r="F63">
        <f>IF('01_Master_Data'!B63="","",'01_Master_Data'!E63)</f>
        <v/>
      </c>
      <c r="G63">
        <f>IF('01_Master_Data'!B63="","",IFERROR(VLOOKUP(TRIM('01_Master_Data'!E63&amp;""),'02_Configuration'!$A$40:$B$44,2,FALSE),UPPER(TRIM('01_Master_Data'!E63&amp;""))))</f>
        <v/>
      </c>
      <c r="H63">
        <f>IF('01_Master_Data'!B63="","",IF('01_Master_Data'!U63="","",TRIM('01_Master_Data'!U63&amp;"")))</f>
        <v/>
      </c>
      <c r="I63">
        <f>IF('01_Master_Data'!B63="","",TRIM('01_Master_Data'!F63&amp;""))</f>
        <v/>
      </c>
      <c r="J63">
        <f>IF('01_Master_Data'!B63="","",TRIM('01_Master_Data'!G63&amp;""))</f>
        <v/>
      </c>
      <c r="K63">
        <f>IF('01_Master_Data'!B63="","",'01_Master_Data'!H63)</f>
        <v/>
      </c>
      <c r="L63">
        <f>IF('01_Master_Data'!B63="","",IF(LOWER(TRIM('01_Master_Data'!V63&amp;""))="yes",1,0))</f>
        <v/>
      </c>
      <c r="M63">
        <f>IF('01_Master_Data'!B63="","",IF(LOWER(TRIM('01_Master_Data'!W63&amp;""))="yes",1,0))</f>
        <v/>
      </c>
      <c r="N63">
        <f>IF('01_Master_Data'!B63="","",IF(LOWER(TRIM('01_Master_Data'!X63&amp;""))="yes",1,0))</f>
        <v/>
      </c>
      <c r="O63">
        <f>IF('01_Master_Data'!B63="","",IF(LOWER(TRIM('01_Master_Data'!Y63&amp;""))="yes",1,0))</f>
        <v/>
      </c>
      <c r="P63">
        <f>IF('01_Master_Data'!B63="","",IF(LOWER(TRIM('01_Master_Data'!Z63&amp;""))="yes",1,0))</f>
        <v/>
      </c>
      <c r="Q63">
        <f>IF(A63="","",L63+M63+N63+O63+P63)</f>
        <v/>
      </c>
      <c r="R63">
        <f>IF(A63="","",IF(Q63&gt;1,"Yes","No"))</f>
        <v/>
      </c>
      <c r="S63">
        <f>IF(A63="","",TEXTJOIN(", ",TRUE,IF(L63=1,"ICICI",""),IF(M63=1,"Propelld",""),IF(N63=1,"Study4Buddy",""),IF(O63=1,"Poonawala Fincorp",""),IF(P63=1,"GyanDhan","")))</f>
        <v/>
      </c>
      <c r="T63">
        <f>IF(A63="","",IF(L63=1,"ICICI",IF(M63=1,"Propelld",IF(P63=1,"GyanDhan",IF(N63=1,"Study4Buddy",IF(O63=1,"Poonawala Fincorp",IF(ISNUMBER(SEARCH("GyanDhan",W63&amp;"")),"GyanDhan",IF(ISNUMBER(SEARCH("Icici",W63&amp;"")),"ICICI",IF(ISNUMBER(SEARCH("Propelld",W63&amp;"")),"Propelld",IF(ISNUMBER(SEARCH("vidyalakshmi",LOWER(W63&amp;"")),"PM Vidyalakshmi","—"))))))))))</f>
        <v/>
      </c>
      <c r="U63">
        <f>IF(A63="","",TRIM('01_Master_Data'!AA63&amp;""))</f>
        <v/>
      </c>
      <c r="V63">
        <f>IF(A63="","",TRIM('01_Master_Data'!AG63&amp;""))</f>
        <v/>
      </c>
      <c r="W63">
        <f>IF(A63="","",TRIM('01_Master_Data'!AH63&amp;""))</f>
        <v/>
      </c>
      <c r="X63">
        <f>IF(A63="","",IF(OR(LOWER(H63)="refund",LOWER(U63)="refund case"),"Refund",IF(OR(LOWER(H63)="dnp",LOWER(U63)="dnp"),"DNP",IF(OR(LOWER(V63)="disbursed",ISNUMBER(SEARCH("Disbursed",W63&amp;""))),"Disbursed",IF(OR(LOWER(V63)="loan proccessed/accepted",ISNUMBER(SEARCH("sanctioned",LOWER(W63&amp;"")))),"Sanctioned",IF(OR(LOWER(V63)="rejected",ISNUMBER(SEARCH("Not eligbile",W63&amp;"")),ISNUMBER(SEARCH("Not eligible",W63&amp;""))),"Rejected",IF(ISNUMBER(SEARCH("Docs Pending",W63&amp;"")),"Documents Pending",IF(AND(LOWER(H63)="yes",LOWER(V63)="ongoing"),"Processing",IF(AND(LOWER(H63)="yes",Q63&gt;0,OR(V63="",LOWER(V63)="not even started")),"Vendor Assigned",IF(AND(LOWER(H63)="yes",LOWER(V63)="not even started"),"Need Loan",IF(LOWER(H63)="yes","Loan Started",IF(LOWER(H63)="not sure","Interested",IF(OR(LOWER(H63)="no",LOWER(V63)="not required"),"Not Required","Unclassified")))))))))))))</f>
        <v/>
      </c>
      <c r="Y63">
        <f>IF(A63="","",IF(OR(X63="Sanctioned",X63="Disbursed",X63="Approved"),"Approved",IF(X63="Rejected","Rejected",IF(OR(X63="Processing",X63="Documents Pending",X63="Vendor Assigned"),"In Progress",IF(X63="Need Loan","Pending Start","—"))))</f>
        <v/>
      </c>
      <c r="Z63">
        <f>IF(A63="","",IF(X63="Disbursed","Disbursed",IF(X63="Sanctioned","Sanctioned - Awaiting Disbursement","Not Disbursed")))</f>
        <v/>
      </c>
      <c r="AA63">
        <f>IF(A63="","",IF(LOWER(TRIM('01_Master_Data'!AI63&amp;""))="yes","Need FLDG",IF(LOWER(TRIM('01_Master_Data'!AK63&amp;""))="yes","Need Vidyalakshmi",IF(LOWER(TRIM('01_Master_Data'!AJ63&amp;""))="yes","Need Review",IF(LOWER(J63)="critical","Critical",IF(LOWER(U63)="risk","Risk Case",IF(X63="Refund","Refund","Normal")))))))</f>
        <v/>
      </c>
      <c r="AB63">
        <f>IF(A63="","",IF(OR(LOWER(J63)="critical",LOWER(TRIM('01_Master_Data'!AI63&amp;""))="yes",LOWER(TRIM('01_Master_Data'!AK63&amp;""))="yes",LOWER(U63)="risk"),"Yes","No"))</f>
        <v/>
      </c>
      <c r="AC63">
        <f>IF(A63="","",IF(LOWER(TRIM('01_Master_Data'!AI63&amp;""))="yes","Yes","No"))</f>
        <v/>
      </c>
      <c r="AD63">
        <f>IF(A63="","",IF(LOWER(TRIM('01_Master_Data'!AK63&amp;""))="yes","Yes","No"))</f>
        <v/>
      </c>
      <c r="AE63">
        <f>IF(A63="","",IF(LOWER(TRIM('01_Master_Data'!AJ63&amp;""))="yes","Yes","No"))</f>
        <v/>
      </c>
      <c r="AF63">
        <f>IF(A63="","",TRIM('01_Master_Data'!AL63&amp;""))</f>
        <v/>
      </c>
      <c r="AG63">
        <f>IF(A63="","",IF(AF63="","—",IF(ISNUMBER(SEARCH("DNP",AF63)),"Unreachable / DNP",IF(ISNUMBER(SEARCH("interest",LOWER(AF63))),"High Interest / Terms",IF(OR(ISNUMBER(SEARCH("eligib",LOWER(AF63))),ISNUMBER(SEARCH("income",LOWER(AF63)))),"Eligibility / Income",IF(OR(ISNUMBER(SEARCH("start",LOWER(AF63))),ISNUMBER(SEARCH("Newer",AF63)),ISNUMBER(SEARCH("Will start",AF63))),"Process Yet to Start",IF(ISNUMBER(SEARCH("sure",LOWER(AF63))),"Undecided",IF(OR(ISNUMBER(SEARCH("reject",LOWER(AF63))),ISNUMBER(SEARCH("SBI",AF63))),"Rejected Elsewhere",IF(ISNUMBER(SEARCH("call",LOWER(AF63))),"Bank Communication",IF(OR(ISNUMBER(SEARCH("father",LOWER(AF63))),ISNUMBER(SEARCH("sister",LOWER(AF63)))),"Family / Dependency","Other"))))))))))</f>
        <v/>
      </c>
      <c r="AH63">
        <f>IF(A63="","",'01_Master_Data'!AC63)</f>
        <v/>
      </c>
      <c r="AI63">
        <f>IF(A63="","",IF(OR(AH63="",NOT(ISNUMBER(AH63))),"",MAX(0,'02_Configuration'!$B$82-AH63)))</f>
        <v/>
      </c>
      <c r="AJ63">
        <f>IF(A63="","",IF(AI63="","Unknown",IF(AI63&lt;=3,"0–3 Days",IF(AI63&lt;=7,"4–7 Days",IF(AI63&lt;=15,"8–15 Days",IF(AI63&lt;=30,"16–30 Days","30+ Days"))))))</f>
        <v/>
      </c>
      <c r="AK63">
        <f>IF(A63="","",IF(LOWER(H63)="yes","Yes","No"))</f>
        <v/>
      </c>
      <c r="AL63">
        <f>IF(A63="","",'01_Master_Data'!T63)</f>
        <v/>
      </c>
      <c r="AM63">
        <f>IF(A63="","",'01_Master_Data'!S63)</f>
        <v/>
      </c>
      <c r="AN63">
        <f>IF(A63="","",'01_Master_Data'!I63)</f>
        <v/>
      </c>
      <c r="AO63">
        <f>IF(A63="","",'01_Master_Data'!M63)</f>
        <v/>
      </c>
      <c r="AP63">
        <f>IF(A63="","",IF(ISNUMBER(SEARCH("Icici",W63&amp;"")),1,0))</f>
        <v/>
      </c>
      <c r="AQ63">
        <f>IF(A63="","",IF(ISNUMBER(SEARCH("Propelld",W63&amp;"")),1,0))</f>
        <v/>
      </c>
      <c r="AR63">
        <f>IF(A63="","",IF(ISNUMBER(SEARCH("GyanDhan",W63&amp;"")),1,0))</f>
        <v/>
      </c>
      <c r="AS63">
        <f>IF(A63="","",IF(ISNUMBER(SEARCH("vidyalakshmi",LOWER(W63&amp;""))),1,0))</f>
        <v/>
      </c>
      <c r="AT63">
        <f>IF(A63="","",IF(ISNUMBER(SEARCH("other bank",LOWER(W63&amp;""))),1,0))</f>
        <v/>
      </c>
      <c r="AU63">
        <f>IF(A63="","",IF(ISNUMBER(SEARCH("sanctioned",LOWER(W63&amp;""))),1,0))</f>
        <v/>
      </c>
      <c r="AV63">
        <f>IF(A63="","",IF(ISNUMBER(SEARCH("Docs Pending",W63&amp;"")),1,0))</f>
        <v/>
      </c>
      <c r="AW63">
        <f>IF(A63="","",IF(OR(X63="Rejected",ISNUMBER(SEARCH("Not eligbile",W63&amp;""))),1,0))</f>
        <v/>
      </c>
    </row>
    <row r="64">
      <c r="A64">
        <f>IF('01_Master_Data'!B64="","",63)</f>
        <v/>
      </c>
      <c r="B64">
        <f>IF('01_Master_Data'!B64="","",IF('01_Master_Data'!C64&lt;&gt;"","MOB|"&amp;TEXT('01_Master_Data'!C64,"0"),IF('01_Master_Data'!D64&lt;&gt;"","PID|"&amp;TRIM('01_Master_Data'!D64&amp;""),"")))</f>
        <v/>
      </c>
      <c r="C64">
        <f>IF('01_Master_Data'!B64="","",'01_Master_Data'!B64)</f>
        <v/>
      </c>
      <c r="D64">
        <f>IF('01_Master_Data'!B64="","",'01_Master_Data'!C64)</f>
        <v/>
      </c>
      <c r="E64">
        <f>IF('01_Master_Data'!B64="","",'01_Master_Data'!D64)</f>
        <v/>
      </c>
      <c r="F64">
        <f>IF('01_Master_Data'!B64="","",'01_Master_Data'!E64)</f>
        <v/>
      </c>
      <c r="G64">
        <f>IF('01_Master_Data'!B64="","",IFERROR(VLOOKUP(TRIM('01_Master_Data'!E64&amp;""),'02_Configuration'!$A$40:$B$44,2,FALSE),UPPER(TRIM('01_Master_Data'!E64&amp;""))))</f>
        <v/>
      </c>
      <c r="H64">
        <f>IF('01_Master_Data'!B64="","",IF('01_Master_Data'!U64="","",TRIM('01_Master_Data'!U64&amp;"")))</f>
        <v/>
      </c>
      <c r="I64">
        <f>IF('01_Master_Data'!B64="","",TRIM('01_Master_Data'!F64&amp;""))</f>
        <v/>
      </c>
      <c r="J64">
        <f>IF('01_Master_Data'!B64="","",TRIM('01_Master_Data'!G64&amp;""))</f>
        <v/>
      </c>
      <c r="K64">
        <f>IF('01_Master_Data'!B64="","",'01_Master_Data'!H64)</f>
        <v/>
      </c>
      <c r="L64">
        <f>IF('01_Master_Data'!B64="","",IF(LOWER(TRIM('01_Master_Data'!V64&amp;""))="yes",1,0))</f>
        <v/>
      </c>
      <c r="M64">
        <f>IF('01_Master_Data'!B64="","",IF(LOWER(TRIM('01_Master_Data'!W64&amp;""))="yes",1,0))</f>
        <v/>
      </c>
      <c r="N64">
        <f>IF('01_Master_Data'!B64="","",IF(LOWER(TRIM('01_Master_Data'!X64&amp;""))="yes",1,0))</f>
        <v/>
      </c>
      <c r="O64">
        <f>IF('01_Master_Data'!B64="","",IF(LOWER(TRIM('01_Master_Data'!Y64&amp;""))="yes",1,0))</f>
        <v/>
      </c>
      <c r="P64">
        <f>IF('01_Master_Data'!B64="","",IF(LOWER(TRIM('01_Master_Data'!Z64&amp;""))="yes",1,0))</f>
        <v/>
      </c>
      <c r="Q64">
        <f>IF(A64="","",L64+M64+N64+O64+P64)</f>
        <v/>
      </c>
      <c r="R64">
        <f>IF(A64="","",IF(Q64&gt;1,"Yes","No"))</f>
        <v/>
      </c>
      <c r="S64">
        <f>IF(A64="","",TEXTJOIN(", ",TRUE,IF(L64=1,"ICICI",""),IF(M64=1,"Propelld",""),IF(N64=1,"Study4Buddy",""),IF(O64=1,"Poonawala Fincorp",""),IF(P64=1,"GyanDhan","")))</f>
        <v/>
      </c>
      <c r="T64">
        <f>IF(A64="","",IF(L64=1,"ICICI",IF(M64=1,"Propelld",IF(P64=1,"GyanDhan",IF(N64=1,"Study4Buddy",IF(O64=1,"Poonawala Fincorp",IF(ISNUMBER(SEARCH("GyanDhan",W64&amp;"")),"GyanDhan",IF(ISNUMBER(SEARCH("Icici",W64&amp;"")),"ICICI",IF(ISNUMBER(SEARCH("Propelld",W64&amp;"")),"Propelld",IF(ISNUMBER(SEARCH("vidyalakshmi",LOWER(W64&amp;"")),"PM Vidyalakshmi","—"))))))))))</f>
        <v/>
      </c>
      <c r="U64">
        <f>IF(A64="","",TRIM('01_Master_Data'!AA64&amp;""))</f>
        <v/>
      </c>
      <c r="V64">
        <f>IF(A64="","",TRIM('01_Master_Data'!AG64&amp;""))</f>
        <v/>
      </c>
      <c r="W64">
        <f>IF(A64="","",TRIM('01_Master_Data'!AH64&amp;""))</f>
        <v/>
      </c>
      <c r="X64">
        <f>IF(A64="","",IF(OR(LOWER(H64)="refund",LOWER(U64)="refund case"),"Refund",IF(OR(LOWER(H64)="dnp",LOWER(U64)="dnp"),"DNP",IF(OR(LOWER(V64)="disbursed",ISNUMBER(SEARCH("Disbursed",W64&amp;""))),"Disbursed",IF(OR(LOWER(V64)="loan proccessed/accepted",ISNUMBER(SEARCH("sanctioned",LOWER(W64&amp;"")))),"Sanctioned",IF(OR(LOWER(V64)="rejected",ISNUMBER(SEARCH("Not eligbile",W64&amp;"")),ISNUMBER(SEARCH("Not eligible",W64&amp;""))),"Rejected",IF(ISNUMBER(SEARCH("Docs Pending",W64&amp;"")),"Documents Pending",IF(AND(LOWER(H64)="yes",LOWER(V64)="ongoing"),"Processing",IF(AND(LOWER(H64)="yes",Q64&gt;0,OR(V64="",LOWER(V64)="not even started")),"Vendor Assigned",IF(AND(LOWER(H64)="yes",LOWER(V64)="not even started"),"Need Loan",IF(LOWER(H64)="yes","Loan Started",IF(LOWER(H64)="not sure","Interested",IF(OR(LOWER(H64)="no",LOWER(V64)="not required"),"Not Required","Unclassified")))))))))))))</f>
        <v/>
      </c>
      <c r="Y64">
        <f>IF(A64="","",IF(OR(X64="Sanctioned",X64="Disbursed",X64="Approved"),"Approved",IF(X64="Rejected","Rejected",IF(OR(X64="Processing",X64="Documents Pending",X64="Vendor Assigned"),"In Progress",IF(X64="Need Loan","Pending Start","—"))))</f>
        <v/>
      </c>
      <c r="Z64">
        <f>IF(A64="","",IF(X64="Disbursed","Disbursed",IF(X64="Sanctioned","Sanctioned - Awaiting Disbursement","Not Disbursed")))</f>
        <v/>
      </c>
      <c r="AA64">
        <f>IF(A64="","",IF(LOWER(TRIM('01_Master_Data'!AI64&amp;""))="yes","Need FLDG",IF(LOWER(TRIM('01_Master_Data'!AK64&amp;""))="yes","Need Vidyalakshmi",IF(LOWER(TRIM('01_Master_Data'!AJ64&amp;""))="yes","Need Review",IF(LOWER(J64)="critical","Critical",IF(LOWER(U64)="risk","Risk Case",IF(X64="Refund","Refund","Normal")))))))</f>
        <v/>
      </c>
      <c r="AB64">
        <f>IF(A64="","",IF(OR(LOWER(J64)="critical",LOWER(TRIM('01_Master_Data'!AI64&amp;""))="yes",LOWER(TRIM('01_Master_Data'!AK64&amp;""))="yes",LOWER(U64)="risk"),"Yes","No"))</f>
        <v/>
      </c>
      <c r="AC64">
        <f>IF(A64="","",IF(LOWER(TRIM('01_Master_Data'!AI64&amp;""))="yes","Yes","No"))</f>
        <v/>
      </c>
      <c r="AD64">
        <f>IF(A64="","",IF(LOWER(TRIM('01_Master_Data'!AK64&amp;""))="yes","Yes","No"))</f>
        <v/>
      </c>
      <c r="AE64">
        <f>IF(A64="","",IF(LOWER(TRIM('01_Master_Data'!AJ64&amp;""))="yes","Yes","No"))</f>
        <v/>
      </c>
      <c r="AF64">
        <f>IF(A64="","",TRIM('01_Master_Data'!AL64&amp;""))</f>
        <v/>
      </c>
      <c r="AG64">
        <f>IF(A64="","",IF(AF64="","—",IF(ISNUMBER(SEARCH("DNP",AF64)),"Unreachable / DNP",IF(ISNUMBER(SEARCH("interest",LOWER(AF64))),"High Interest / Terms",IF(OR(ISNUMBER(SEARCH("eligib",LOWER(AF64))),ISNUMBER(SEARCH("income",LOWER(AF64)))),"Eligibility / Income",IF(OR(ISNUMBER(SEARCH("start",LOWER(AF64))),ISNUMBER(SEARCH("Newer",AF64)),ISNUMBER(SEARCH("Will start",AF64))),"Process Yet to Start",IF(ISNUMBER(SEARCH("sure",LOWER(AF64))),"Undecided",IF(OR(ISNUMBER(SEARCH("reject",LOWER(AF64))),ISNUMBER(SEARCH("SBI",AF64))),"Rejected Elsewhere",IF(ISNUMBER(SEARCH("call",LOWER(AF64))),"Bank Communication",IF(OR(ISNUMBER(SEARCH("father",LOWER(AF64))),ISNUMBER(SEARCH("sister",LOWER(AF64)))),"Family / Dependency","Other"))))))))))</f>
        <v/>
      </c>
      <c r="AH64">
        <f>IF(A64="","",'01_Master_Data'!AC64)</f>
        <v/>
      </c>
      <c r="AI64">
        <f>IF(A64="","",IF(OR(AH64="",NOT(ISNUMBER(AH64))),"",MAX(0,'02_Configuration'!$B$82-AH64)))</f>
        <v/>
      </c>
      <c r="AJ64">
        <f>IF(A64="","",IF(AI64="","Unknown",IF(AI64&lt;=3,"0–3 Days",IF(AI64&lt;=7,"4–7 Days",IF(AI64&lt;=15,"8–15 Days",IF(AI64&lt;=30,"16–30 Days","30+ Days"))))))</f>
        <v/>
      </c>
      <c r="AK64">
        <f>IF(A64="","",IF(LOWER(H64)="yes","Yes","No"))</f>
        <v/>
      </c>
      <c r="AL64">
        <f>IF(A64="","",'01_Master_Data'!T64)</f>
        <v/>
      </c>
      <c r="AM64">
        <f>IF(A64="","",'01_Master_Data'!S64)</f>
        <v/>
      </c>
      <c r="AN64">
        <f>IF(A64="","",'01_Master_Data'!I64)</f>
        <v/>
      </c>
      <c r="AO64">
        <f>IF(A64="","",'01_Master_Data'!M64)</f>
        <v/>
      </c>
      <c r="AP64">
        <f>IF(A64="","",IF(ISNUMBER(SEARCH("Icici",W64&amp;"")),1,0))</f>
        <v/>
      </c>
      <c r="AQ64">
        <f>IF(A64="","",IF(ISNUMBER(SEARCH("Propelld",W64&amp;"")),1,0))</f>
        <v/>
      </c>
      <c r="AR64">
        <f>IF(A64="","",IF(ISNUMBER(SEARCH("GyanDhan",W64&amp;"")),1,0))</f>
        <v/>
      </c>
      <c r="AS64">
        <f>IF(A64="","",IF(ISNUMBER(SEARCH("vidyalakshmi",LOWER(W64&amp;""))),1,0))</f>
        <v/>
      </c>
      <c r="AT64">
        <f>IF(A64="","",IF(ISNUMBER(SEARCH("other bank",LOWER(W64&amp;""))),1,0))</f>
        <v/>
      </c>
      <c r="AU64">
        <f>IF(A64="","",IF(ISNUMBER(SEARCH("sanctioned",LOWER(W64&amp;""))),1,0))</f>
        <v/>
      </c>
      <c r="AV64">
        <f>IF(A64="","",IF(ISNUMBER(SEARCH("Docs Pending",W64&amp;"")),1,0))</f>
        <v/>
      </c>
      <c r="AW64">
        <f>IF(A64="","",IF(OR(X64="Rejected",ISNUMBER(SEARCH("Not eligbile",W64&amp;""))),1,0))</f>
        <v/>
      </c>
    </row>
    <row r="65">
      <c r="A65">
        <f>IF('01_Master_Data'!B65="","",64)</f>
        <v/>
      </c>
      <c r="B65">
        <f>IF('01_Master_Data'!B65="","",IF('01_Master_Data'!C65&lt;&gt;"","MOB|"&amp;TEXT('01_Master_Data'!C65,"0"),IF('01_Master_Data'!D65&lt;&gt;"","PID|"&amp;TRIM('01_Master_Data'!D65&amp;""),"")))</f>
        <v/>
      </c>
      <c r="C65">
        <f>IF('01_Master_Data'!B65="","",'01_Master_Data'!B65)</f>
        <v/>
      </c>
      <c r="D65">
        <f>IF('01_Master_Data'!B65="","",'01_Master_Data'!C65)</f>
        <v/>
      </c>
      <c r="E65">
        <f>IF('01_Master_Data'!B65="","",'01_Master_Data'!D65)</f>
        <v/>
      </c>
      <c r="F65">
        <f>IF('01_Master_Data'!B65="","",'01_Master_Data'!E65)</f>
        <v/>
      </c>
      <c r="G65">
        <f>IF('01_Master_Data'!B65="","",IFERROR(VLOOKUP(TRIM('01_Master_Data'!E65&amp;""),'02_Configuration'!$A$40:$B$44,2,FALSE),UPPER(TRIM('01_Master_Data'!E65&amp;""))))</f>
        <v/>
      </c>
      <c r="H65">
        <f>IF('01_Master_Data'!B65="","",IF('01_Master_Data'!U65="","",TRIM('01_Master_Data'!U65&amp;"")))</f>
        <v/>
      </c>
      <c r="I65">
        <f>IF('01_Master_Data'!B65="","",TRIM('01_Master_Data'!F65&amp;""))</f>
        <v/>
      </c>
      <c r="J65">
        <f>IF('01_Master_Data'!B65="","",TRIM('01_Master_Data'!G65&amp;""))</f>
        <v/>
      </c>
      <c r="K65">
        <f>IF('01_Master_Data'!B65="","",'01_Master_Data'!H65)</f>
        <v/>
      </c>
      <c r="L65">
        <f>IF('01_Master_Data'!B65="","",IF(LOWER(TRIM('01_Master_Data'!V65&amp;""))="yes",1,0))</f>
        <v/>
      </c>
      <c r="M65">
        <f>IF('01_Master_Data'!B65="","",IF(LOWER(TRIM('01_Master_Data'!W65&amp;""))="yes",1,0))</f>
        <v/>
      </c>
      <c r="N65">
        <f>IF('01_Master_Data'!B65="","",IF(LOWER(TRIM('01_Master_Data'!X65&amp;""))="yes",1,0))</f>
        <v/>
      </c>
      <c r="O65">
        <f>IF('01_Master_Data'!B65="","",IF(LOWER(TRIM('01_Master_Data'!Y65&amp;""))="yes",1,0))</f>
        <v/>
      </c>
      <c r="P65">
        <f>IF('01_Master_Data'!B65="","",IF(LOWER(TRIM('01_Master_Data'!Z65&amp;""))="yes",1,0))</f>
        <v/>
      </c>
      <c r="Q65">
        <f>IF(A65="","",L65+M65+N65+O65+P65)</f>
        <v/>
      </c>
      <c r="R65">
        <f>IF(A65="","",IF(Q65&gt;1,"Yes","No"))</f>
        <v/>
      </c>
      <c r="S65">
        <f>IF(A65="","",TEXTJOIN(", ",TRUE,IF(L65=1,"ICICI",""),IF(M65=1,"Propelld",""),IF(N65=1,"Study4Buddy",""),IF(O65=1,"Poonawala Fincorp",""),IF(P65=1,"GyanDhan","")))</f>
        <v/>
      </c>
      <c r="T65">
        <f>IF(A65="","",IF(L65=1,"ICICI",IF(M65=1,"Propelld",IF(P65=1,"GyanDhan",IF(N65=1,"Study4Buddy",IF(O65=1,"Poonawala Fincorp",IF(ISNUMBER(SEARCH("GyanDhan",W65&amp;"")),"GyanDhan",IF(ISNUMBER(SEARCH("Icici",W65&amp;"")),"ICICI",IF(ISNUMBER(SEARCH("Propelld",W65&amp;"")),"Propelld",IF(ISNUMBER(SEARCH("vidyalakshmi",LOWER(W65&amp;"")),"PM Vidyalakshmi","—"))))))))))</f>
        <v/>
      </c>
      <c r="U65">
        <f>IF(A65="","",TRIM('01_Master_Data'!AA65&amp;""))</f>
        <v/>
      </c>
      <c r="V65">
        <f>IF(A65="","",TRIM('01_Master_Data'!AG65&amp;""))</f>
        <v/>
      </c>
      <c r="W65">
        <f>IF(A65="","",TRIM('01_Master_Data'!AH65&amp;""))</f>
        <v/>
      </c>
      <c r="X65">
        <f>IF(A65="","",IF(OR(LOWER(H65)="refund",LOWER(U65)="refund case"),"Refund",IF(OR(LOWER(H65)="dnp",LOWER(U65)="dnp"),"DNP",IF(OR(LOWER(V65)="disbursed",ISNUMBER(SEARCH("Disbursed",W65&amp;""))),"Disbursed",IF(OR(LOWER(V65)="loan proccessed/accepted",ISNUMBER(SEARCH("sanctioned",LOWER(W65&amp;"")))),"Sanctioned",IF(OR(LOWER(V65)="rejected",ISNUMBER(SEARCH("Not eligbile",W65&amp;"")),ISNUMBER(SEARCH("Not eligible",W65&amp;""))),"Rejected",IF(ISNUMBER(SEARCH("Docs Pending",W65&amp;"")),"Documents Pending",IF(AND(LOWER(H65)="yes",LOWER(V65)="ongoing"),"Processing",IF(AND(LOWER(H65)="yes",Q65&gt;0,OR(V65="",LOWER(V65)="not even started")),"Vendor Assigned",IF(AND(LOWER(H65)="yes",LOWER(V65)="not even started"),"Need Loan",IF(LOWER(H65)="yes","Loan Started",IF(LOWER(H65)="not sure","Interested",IF(OR(LOWER(H65)="no",LOWER(V65)="not required"),"Not Required","Unclassified")))))))))))))</f>
        <v/>
      </c>
      <c r="Y65">
        <f>IF(A65="","",IF(OR(X65="Sanctioned",X65="Disbursed",X65="Approved"),"Approved",IF(X65="Rejected","Rejected",IF(OR(X65="Processing",X65="Documents Pending",X65="Vendor Assigned"),"In Progress",IF(X65="Need Loan","Pending Start","—"))))</f>
        <v/>
      </c>
      <c r="Z65">
        <f>IF(A65="","",IF(X65="Disbursed","Disbursed",IF(X65="Sanctioned","Sanctioned - Awaiting Disbursement","Not Disbursed")))</f>
        <v/>
      </c>
      <c r="AA65">
        <f>IF(A65="","",IF(LOWER(TRIM('01_Master_Data'!AI65&amp;""))="yes","Need FLDG",IF(LOWER(TRIM('01_Master_Data'!AK65&amp;""))="yes","Need Vidyalakshmi",IF(LOWER(TRIM('01_Master_Data'!AJ65&amp;""))="yes","Need Review",IF(LOWER(J65)="critical","Critical",IF(LOWER(U65)="risk","Risk Case",IF(X65="Refund","Refund","Normal")))))))</f>
        <v/>
      </c>
      <c r="AB65">
        <f>IF(A65="","",IF(OR(LOWER(J65)="critical",LOWER(TRIM('01_Master_Data'!AI65&amp;""))="yes",LOWER(TRIM('01_Master_Data'!AK65&amp;""))="yes",LOWER(U65)="risk"),"Yes","No"))</f>
        <v/>
      </c>
      <c r="AC65">
        <f>IF(A65="","",IF(LOWER(TRIM('01_Master_Data'!AI65&amp;""))="yes","Yes","No"))</f>
        <v/>
      </c>
      <c r="AD65">
        <f>IF(A65="","",IF(LOWER(TRIM('01_Master_Data'!AK65&amp;""))="yes","Yes","No"))</f>
        <v/>
      </c>
      <c r="AE65">
        <f>IF(A65="","",IF(LOWER(TRIM('01_Master_Data'!AJ65&amp;""))="yes","Yes","No"))</f>
        <v/>
      </c>
      <c r="AF65">
        <f>IF(A65="","",TRIM('01_Master_Data'!AL65&amp;""))</f>
        <v/>
      </c>
      <c r="AG65">
        <f>IF(A65="","",IF(AF65="","—",IF(ISNUMBER(SEARCH("DNP",AF65)),"Unreachable / DNP",IF(ISNUMBER(SEARCH("interest",LOWER(AF65))),"High Interest / Terms",IF(OR(ISNUMBER(SEARCH("eligib",LOWER(AF65))),ISNUMBER(SEARCH("income",LOWER(AF65)))),"Eligibility / Income",IF(OR(ISNUMBER(SEARCH("start",LOWER(AF65))),ISNUMBER(SEARCH("Newer",AF65)),ISNUMBER(SEARCH("Will start",AF65))),"Process Yet to Start",IF(ISNUMBER(SEARCH("sure",LOWER(AF65))),"Undecided",IF(OR(ISNUMBER(SEARCH("reject",LOWER(AF65))),ISNUMBER(SEARCH("SBI",AF65))),"Rejected Elsewhere",IF(ISNUMBER(SEARCH("call",LOWER(AF65))),"Bank Communication",IF(OR(ISNUMBER(SEARCH("father",LOWER(AF65))),ISNUMBER(SEARCH("sister",LOWER(AF65)))),"Family / Dependency","Other"))))))))))</f>
        <v/>
      </c>
      <c r="AH65">
        <f>IF(A65="","",'01_Master_Data'!AC65)</f>
        <v/>
      </c>
      <c r="AI65">
        <f>IF(A65="","",IF(OR(AH65="",NOT(ISNUMBER(AH65))),"",MAX(0,'02_Configuration'!$B$82-AH65)))</f>
        <v/>
      </c>
      <c r="AJ65">
        <f>IF(A65="","",IF(AI65="","Unknown",IF(AI65&lt;=3,"0–3 Days",IF(AI65&lt;=7,"4–7 Days",IF(AI65&lt;=15,"8–15 Days",IF(AI65&lt;=30,"16–30 Days","30+ Days"))))))</f>
        <v/>
      </c>
      <c r="AK65">
        <f>IF(A65="","",IF(LOWER(H65)="yes","Yes","No"))</f>
        <v/>
      </c>
      <c r="AL65">
        <f>IF(A65="","",'01_Master_Data'!T65)</f>
        <v/>
      </c>
      <c r="AM65">
        <f>IF(A65="","",'01_Master_Data'!S65)</f>
        <v/>
      </c>
      <c r="AN65">
        <f>IF(A65="","",'01_Master_Data'!I65)</f>
        <v/>
      </c>
      <c r="AO65">
        <f>IF(A65="","",'01_Master_Data'!M65)</f>
        <v/>
      </c>
      <c r="AP65">
        <f>IF(A65="","",IF(ISNUMBER(SEARCH("Icici",W65&amp;"")),1,0))</f>
        <v/>
      </c>
      <c r="AQ65">
        <f>IF(A65="","",IF(ISNUMBER(SEARCH("Propelld",W65&amp;"")),1,0))</f>
        <v/>
      </c>
      <c r="AR65">
        <f>IF(A65="","",IF(ISNUMBER(SEARCH("GyanDhan",W65&amp;"")),1,0))</f>
        <v/>
      </c>
      <c r="AS65">
        <f>IF(A65="","",IF(ISNUMBER(SEARCH("vidyalakshmi",LOWER(W65&amp;""))),1,0))</f>
        <v/>
      </c>
      <c r="AT65">
        <f>IF(A65="","",IF(ISNUMBER(SEARCH("other bank",LOWER(W65&amp;""))),1,0))</f>
        <v/>
      </c>
      <c r="AU65">
        <f>IF(A65="","",IF(ISNUMBER(SEARCH("sanctioned",LOWER(W65&amp;""))),1,0))</f>
        <v/>
      </c>
      <c r="AV65">
        <f>IF(A65="","",IF(ISNUMBER(SEARCH("Docs Pending",W65&amp;"")),1,0))</f>
        <v/>
      </c>
      <c r="AW65">
        <f>IF(A65="","",IF(OR(X65="Rejected",ISNUMBER(SEARCH("Not eligbile",W65&amp;""))),1,0))</f>
        <v/>
      </c>
    </row>
    <row r="66">
      <c r="A66">
        <f>IF('01_Master_Data'!B66="","",65)</f>
        <v/>
      </c>
      <c r="B66">
        <f>IF('01_Master_Data'!B66="","",IF('01_Master_Data'!C66&lt;&gt;"","MOB|"&amp;TEXT('01_Master_Data'!C66,"0"),IF('01_Master_Data'!D66&lt;&gt;"","PID|"&amp;TRIM('01_Master_Data'!D66&amp;""),"")))</f>
        <v/>
      </c>
      <c r="C66">
        <f>IF('01_Master_Data'!B66="","",'01_Master_Data'!B66)</f>
        <v/>
      </c>
      <c r="D66">
        <f>IF('01_Master_Data'!B66="","",'01_Master_Data'!C66)</f>
        <v/>
      </c>
      <c r="E66">
        <f>IF('01_Master_Data'!B66="","",'01_Master_Data'!D66)</f>
        <v/>
      </c>
      <c r="F66">
        <f>IF('01_Master_Data'!B66="","",'01_Master_Data'!E66)</f>
        <v/>
      </c>
      <c r="G66">
        <f>IF('01_Master_Data'!B66="","",IFERROR(VLOOKUP(TRIM('01_Master_Data'!E66&amp;""),'02_Configuration'!$A$40:$B$44,2,FALSE),UPPER(TRIM('01_Master_Data'!E66&amp;""))))</f>
        <v/>
      </c>
      <c r="H66">
        <f>IF('01_Master_Data'!B66="","",IF('01_Master_Data'!U66="","",TRIM('01_Master_Data'!U66&amp;"")))</f>
        <v/>
      </c>
      <c r="I66">
        <f>IF('01_Master_Data'!B66="","",TRIM('01_Master_Data'!F66&amp;""))</f>
        <v/>
      </c>
      <c r="J66">
        <f>IF('01_Master_Data'!B66="","",TRIM('01_Master_Data'!G66&amp;""))</f>
        <v/>
      </c>
      <c r="K66">
        <f>IF('01_Master_Data'!B66="","",'01_Master_Data'!H66)</f>
        <v/>
      </c>
      <c r="L66">
        <f>IF('01_Master_Data'!B66="","",IF(LOWER(TRIM('01_Master_Data'!V66&amp;""))="yes",1,0))</f>
        <v/>
      </c>
      <c r="M66">
        <f>IF('01_Master_Data'!B66="","",IF(LOWER(TRIM('01_Master_Data'!W66&amp;""))="yes",1,0))</f>
        <v/>
      </c>
      <c r="N66">
        <f>IF('01_Master_Data'!B66="","",IF(LOWER(TRIM('01_Master_Data'!X66&amp;""))="yes",1,0))</f>
        <v/>
      </c>
      <c r="O66">
        <f>IF('01_Master_Data'!B66="","",IF(LOWER(TRIM('01_Master_Data'!Y66&amp;""))="yes",1,0))</f>
        <v/>
      </c>
      <c r="P66">
        <f>IF('01_Master_Data'!B66="","",IF(LOWER(TRIM('01_Master_Data'!Z66&amp;""))="yes",1,0))</f>
        <v/>
      </c>
      <c r="Q66">
        <f>IF(A66="","",L66+M66+N66+O66+P66)</f>
        <v/>
      </c>
      <c r="R66">
        <f>IF(A66="","",IF(Q66&gt;1,"Yes","No"))</f>
        <v/>
      </c>
      <c r="S66">
        <f>IF(A66="","",TEXTJOIN(", ",TRUE,IF(L66=1,"ICICI",""),IF(M66=1,"Propelld",""),IF(N66=1,"Study4Buddy",""),IF(O66=1,"Poonawala Fincorp",""),IF(P66=1,"GyanDhan","")))</f>
        <v/>
      </c>
      <c r="T66">
        <f>IF(A66="","",IF(L66=1,"ICICI",IF(M66=1,"Propelld",IF(P66=1,"GyanDhan",IF(N66=1,"Study4Buddy",IF(O66=1,"Poonawala Fincorp",IF(ISNUMBER(SEARCH("GyanDhan",W66&amp;"")),"GyanDhan",IF(ISNUMBER(SEARCH("Icici",W66&amp;"")),"ICICI",IF(ISNUMBER(SEARCH("Propelld",W66&amp;"")),"Propelld",IF(ISNUMBER(SEARCH("vidyalakshmi",LOWER(W66&amp;"")),"PM Vidyalakshmi","—"))))))))))</f>
        <v/>
      </c>
      <c r="U66">
        <f>IF(A66="","",TRIM('01_Master_Data'!AA66&amp;""))</f>
        <v/>
      </c>
      <c r="V66">
        <f>IF(A66="","",TRIM('01_Master_Data'!AG66&amp;""))</f>
        <v/>
      </c>
      <c r="W66">
        <f>IF(A66="","",TRIM('01_Master_Data'!AH66&amp;""))</f>
        <v/>
      </c>
      <c r="X66">
        <f>IF(A66="","",IF(OR(LOWER(H66)="refund",LOWER(U66)="refund case"),"Refund",IF(OR(LOWER(H66)="dnp",LOWER(U66)="dnp"),"DNP",IF(OR(LOWER(V66)="disbursed",ISNUMBER(SEARCH("Disbursed",W66&amp;""))),"Disbursed",IF(OR(LOWER(V66)="loan proccessed/accepted",ISNUMBER(SEARCH("sanctioned",LOWER(W66&amp;"")))),"Sanctioned",IF(OR(LOWER(V66)="rejected",ISNUMBER(SEARCH("Not eligbile",W66&amp;"")),ISNUMBER(SEARCH("Not eligible",W66&amp;""))),"Rejected",IF(ISNUMBER(SEARCH("Docs Pending",W66&amp;"")),"Documents Pending",IF(AND(LOWER(H66)="yes",LOWER(V66)="ongoing"),"Processing",IF(AND(LOWER(H66)="yes",Q66&gt;0,OR(V66="",LOWER(V66)="not even started")),"Vendor Assigned",IF(AND(LOWER(H66)="yes",LOWER(V66)="not even started"),"Need Loan",IF(LOWER(H66)="yes","Loan Started",IF(LOWER(H66)="not sure","Interested",IF(OR(LOWER(H66)="no",LOWER(V66)="not required"),"Not Required","Unclassified")))))))))))))</f>
        <v/>
      </c>
      <c r="Y66">
        <f>IF(A66="","",IF(OR(X66="Sanctioned",X66="Disbursed",X66="Approved"),"Approved",IF(X66="Rejected","Rejected",IF(OR(X66="Processing",X66="Documents Pending",X66="Vendor Assigned"),"In Progress",IF(X66="Need Loan","Pending Start","—"))))</f>
        <v/>
      </c>
      <c r="Z66">
        <f>IF(A66="","",IF(X66="Disbursed","Disbursed",IF(X66="Sanctioned","Sanctioned - Awaiting Disbursement","Not Disbursed")))</f>
        <v/>
      </c>
      <c r="AA66">
        <f>IF(A66="","",IF(LOWER(TRIM('01_Master_Data'!AI66&amp;""))="yes","Need FLDG",IF(LOWER(TRIM('01_Master_Data'!AK66&amp;""))="yes","Need Vidyalakshmi",IF(LOWER(TRIM('01_Master_Data'!AJ66&amp;""))="yes","Need Review",IF(LOWER(J66)="critical","Critical",IF(LOWER(U66)="risk","Risk Case",IF(X66="Refund","Refund","Normal")))))))</f>
        <v/>
      </c>
      <c r="AB66">
        <f>IF(A66="","",IF(OR(LOWER(J66)="critical",LOWER(TRIM('01_Master_Data'!AI66&amp;""))="yes",LOWER(TRIM('01_Master_Data'!AK66&amp;""))="yes",LOWER(U66)="risk"),"Yes","No"))</f>
        <v/>
      </c>
      <c r="AC66">
        <f>IF(A66="","",IF(LOWER(TRIM('01_Master_Data'!AI66&amp;""))="yes","Yes","No"))</f>
        <v/>
      </c>
      <c r="AD66">
        <f>IF(A66="","",IF(LOWER(TRIM('01_Master_Data'!AK66&amp;""))="yes","Yes","No"))</f>
        <v/>
      </c>
      <c r="AE66">
        <f>IF(A66="","",IF(LOWER(TRIM('01_Master_Data'!AJ66&amp;""))="yes","Yes","No"))</f>
        <v/>
      </c>
      <c r="AF66">
        <f>IF(A66="","",TRIM('01_Master_Data'!AL66&amp;""))</f>
        <v/>
      </c>
      <c r="AG66">
        <f>IF(A66="","",IF(AF66="","—",IF(ISNUMBER(SEARCH("DNP",AF66)),"Unreachable / DNP",IF(ISNUMBER(SEARCH("interest",LOWER(AF66))),"High Interest / Terms",IF(OR(ISNUMBER(SEARCH("eligib",LOWER(AF66))),ISNUMBER(SEARCH("income",LOWER(AF66)))),"Eligibility / Income",IF(OR(ISNUMBER(SEARCH("start",LOWER(AF66))),ISNUMBER(SEARCH("Newer",AF66)),ISNUMBER(SEARCH("Will start",AF66))),"Process Yet to Start",IF(ISNUMBER(SEARCH("sure",LOWER(AF66))),"Undecided",IF(OR(ISNUMBER(SEARCH("reject",LOWER(AF66))),ISNUMBER(SEARCH("SBI",AF66))),"Rejected Elsewhere",IF(ISNUMBER(SEARCH("call",LOWER(AF66))),"Bank Communication",IF(OR(ISNUMBER(SEARCH("father",LOWER(AF66))),ISNUMBER(SEARCH("sister",LOWER(AF66)))),"Family / Dependency","Other"))))))))))</f>
        <v/>
      </c>
      <c r="AH66">
        <f>IF(A66="","",'01_Master_Data'!AC66)</f>
        <v/>
      </c>
      <c r="AI66">
        <f>IF(A66="","",IF(OR(AH66="",NOT(ISNUMBER(AH66))),"",MAX(0,'02_Configuration'!$B$82-AH66)))</f>
        <v/>
      </c>
      <c r="AJ66">
        <f>IF(A66="","",IF(AI66="","Unknown",IF(AI66&lt;=3,"0–3 Days",IF(AI66&lt;=7,"4–7 Days",IF(AI66&lt;=15,"8–15 Days",IF(AI66&lt;=30,"16–30 Days","30+ Days"))))))</f>
        <v/>
      </c>
      <c r="AK66">
        <f>IF(A66="","",IF(LOWER(H66)="yes","Yes","No"))</f>
        <v/>
      </c>
      <c r="AL66">
        <f>IF(A66="","",'01_Master_Data'!T66)</f>
        <v/>
      </c>
      <c r="AM66">
        <f>IF(A66="","",'01_Master_Data'!S66)</f>
        <v/>
      </c>
      <c r="AN66">
        <f>IF(A66="","",'01_Master_Data'!I66)</f>
        <v/>
      </c>
      <c r="AO66">
        <f>IF(A66="","",'01_Master_Data'!M66)</f>
        <v/>
      </c>
      <c r="AP66">
        <f>IF(A66="","",IF(ISNUMBER(SEARCH("Icici",W66&amp;"")),1,0))</f>
        <v/>
      </c>
      <c r="AQ66">
        <f>IF(A66="","",IF(ISNUMBER(SEARCH("Propelld",W66&amp;"")),1,0))</f>
        <v/>
      </c>
      <c r="AR66">
        <f>IF(A66="","",IF(ISNUMBER(SEARCH("GyanDhan",W66&amp;"")),1,0))</f>
        <v/>
      </c>
      <c r="AS66">
        <f>IF(A66="","",IF(ISNUMBER(SEARCH("vidyalakshmi",LOWER(W66&amp;""))),1,0))</f>
        <v/>
      </c>
      <c r="AT66">
        <f>IF(A66="","",IF(ISNUMBER(SEARCH("other bank",LOWER(W66&amp;""))),1,0))</f>
        <v/>
      </c>
      <c r="AU66">
        <f>IF(A66="","",IF(ISNUMBER(SEARCH("sanctioned",LOWER(W66&amp;""))),1,0))</f>
        <v/>
      </c>
      <c r="AV66">
        <f>IF(A66="","",IF(ISNUMBER(SEARCH("Docs Pending",W66&amp;"")),1,0))</f>
        <v/>
      </c>
      <c r="AW66">
        <f>IF(A66="","",IF(OR(X66="Rejected",ISNUMBER(SEARCH("Not eligbile",W66&amp;""))),1,0))</f>
        <v/>
      </c>
    </row>
    <row r="67">
      <c r="A67">
        <f>IF('01_Master_Data'!B67="","",66)</f>
        <v/>
      </c>
      <c r="B67">
        <f>IF('01_Master_Data'!B67="","",IF('01_Master_Data'!C67&lt;&gt;"","MOB|"&amp;TEXT('01_Master_Data'!C67,"0"),IF('01_Master_Data'!D67&lt;&gt;"","PID|"&amp;TRIM('01_Master_Data'!D67&amp;""),"")))</f>
        <v/>
      </c>
      <c r="C67">
        <f>IF('01_Master_Data'!B67="","",'01_Master_Data'!B67)</f>
        <v/>
      </c>
      <c r="D67">
        <f>IF('01_Master_Data'!B67="","",'01_Master_Data'!C67)</f>
        <v/>
      </c>
      <c r="E67">
        <f>IF('01_Master_Data'!B67="","",'01_Master_Data'!D67)</f>
        <v/>
      </c>
      <c r="F67">
        <f>IF('01_Master_Data'!B67="","",'01_Master_Data'!E67)</f>
        <v/>
      </c>
      <c r="G67">
        <f>IF('01_Master_Data'!B67="","",IFERROR(VLOOKUP(TRIM('01_Master_Data'!E67&amp;""),'02_Configuration'!$A$40:$B$44,2,FALSE),UPPER(TRIM('01_Master_Data'!E67&amp;""))))</f>
        <v/>
      </c>
      <c r="H67">
        <f>IF('01_Master_Data'!B67="","",IF('01_Master_Data'!U67="","",TRIM('01_Master_Data'!U67&amp;"")))</f>
        <v/>
      </c>
      <c r="I67">
        <f>IF('01_Master_Data'!B67="","",TRIM('01_Master_Data'!F67&amp;""))</f>
        <v/>
      </c>
      <c r="J67">
        <f>IF('01_Master_Data'!B67="","",TRIM('01_Master_Data'!G67&amp;""))</f>
        <v/>
      </c>
      <c r="K67">
        <f>IF('01_Master_Data'!B67="","",'01_Master_Data'!H67)</f>
        <v/>
      </c>
      <c r="L67">
        <f>IF('01_Master_Data'!B67="","",IF(LOWER(TRIM('01_Master_Data'!V67&amp;""))="yes",1,0))</f>
        <v/>
      </c>
      <c r="M67">
        <f>IF('01_Master_Data'!B67="","",IF(LOWER(TRIM('01_Master_Data'!W67&amp;""))="yes",1,0))</f>
        <v/>
      </c>
      <c r="N67">
        <f>IF('01_Master_Data'!B67="","",IF(LOWER(TRIM('01_Master_Data'!X67&amp;""))="yes",1,0))</f>
        <v/>
      </c>
      <c r="O67">
        <f>IF('01_Master_Data'!B67="","",IF(LOWER(TRIM('01_Master_Data'!Y67&amp;""))="yes",1,0))</f>
        <v/>
      </c>
      <c r="P67">
        <f>IF('01_Master_Data'!B67="","",IF(LOWER(TRIM('01_Master_Data'!Z67&amp;""))="yes",1,0))</f>
        <v/>
      </c>
      <c r="Q67">
        <f>IF(A67="","",L67+M67+N67+O67+P67)</f>
        <v/>
      </c>
      <c r="R67">
        <f>IF(A67="","",IF(Q67&gt;1,"Yes","No"))</f>
        <v/>
      </c>
      <c r="S67">
        <f>IF(A67="","",TEXTJOIN(", ",TRUE,IF(L67=1,"ICICI",""),IF(M67=1,"Propelld",""),IF(N67=1,"Study4Buddy",""),IF(O67=1,"Poonawala Fincorp",""),IF(P67=1,"GyanDhan","")))</f>
        <v/>
      </c>
      <c r="T67">
        <f>IF(A67="","",IF(L67=1,"ICICI",IF(M67=1,"Propelld",IF(P67=1,"GyanDhan",IF(N67=1,"Study4Buddy",IF(O67=1,"Poonawala Fincorp",IF(ISNUMBER(SEARCH("GyanDhan",W67&amp;"")),"GyanDhan",IF(ISNUMBER(SEARCH("Icici",W67&amp;"")),"ICICI",IF(ISNUMBER(SEARCH("Propelld",W67&amp;"")),"Propelld",IF(ISNUMBER(SEARCH("vidyalakshmi",LOWER(W67&amp;"")),"PM Vidyalakshmi","—"))))))))))</f>
        <v/>
      </c>
      <c r="U67">
        <f>IF(A67="","",TRIM('01_Master_Data'!AA67&amp;""))</f>
        <v/>
      </c>
      <c r="V67">
        <f>IF(A67="","",TRIM('01_Master_Data'!AG67&amp;""))</f>
        <v/>
      </c>
      <c r="W67">
        <f>IF(A67="","",TRIM('01_Master_Data'!AH67&amp;""))</f>
        <v/>
      </c>
      <c r="X67">
        <f>IF(A67="","",IF(OR(LOWER(H67)="refund",LOWER(U67)="refund case"),"Refund",IF(OR(LOWER(H67)="dnp",LOWER(U67)="dnp"),"DNP",IF(OR(LOWER(V67)="disbursed",ISNUMBER(SEARCH("Disbursed",W67&amp;""))),"Disbursed",IF(OR(LOWER(V67)="loan proccessed/accepted",ISNUMBER(SEARCH("sanctioned",LOWER(W67&amp;"")))),"Sanctioned",IF(OR(LOWER(V67)="rejected",ISNUMBER(SEARCH("Not eligbile",W67&amp;"")),ISNUMBER(SEARCH("Not eligible",W67&amp;""))),"Rejected",IF(ISNUMBER(SEARCH("Docs Pending",W67&amp;"")),"Documents Pending",IF(AND(LOWER(H67)="yes",LOWER(V67)="ongoing"),"Processing",IF(AND(LOWER(H67)="yes",Q67&gt;0,OR(V67="",LOWER(V67)="not even started")),"Vendor Assigned",IF(AND(LOWER(H67)="yes",LOWER(V67)="not even started"),"Need Loan",IF(LOWER(H67)="yes","Loan Started",IF(LOWER(H67)="not sure","Interested",IF(OR(LOWER(H67)="no",LOWER(V67)="not required"),"Not Required","Unclassified")))))))))))))</f>
        <v/>
      </c>
      <c r="Y67">
        <f>IF(A67="","",IF(OR(X67="Sanctioned",X67="Disbursed",X67="Approved"),"Approved",IF(X67="Rejected","Rejected",IF(OR(X67="Processing",X67="Documents Pending",X67="Vendor Assigned"),"In Progress",IF(X67="Need Loan","Pending Start","—"))))</f>
        <v/>
      </c>
      <c r="Z67">
        <f>IF(A67="","",IF(X67="Disbursed","Disbursed",IF(X67="Sanctioned","Sanctioned - Awaiting Disbursement","Not Disbursed")))</f>
        <v/>
      </c>
      <c r="AA67">
        <f>IF(A67="","",IF(LOWER(TRIM('01_Master_Data'!AI67&amp;""))="yes","Need FLDG",IF(LOWER(TRIM('01_Master_Data'!AK67&amp;""))="yes","Need Vidyalakshmi",IF(LOWER(TRIM('01_Master_Data'!AJ67&amp;""))="yes","Need Review",IF(LOWER(J67)="critical","Critical",IF(LOWER(U67)="risk","Risk Case",IF(X67="Refund","Refund","Normal")))))))</f>
        <v/>
      </c>
      <c r="AB67">
        <f>IF(A67="","",IF(OR(LOWER(J67)="critical",LOWER(TRIM('01_Master_Data'!AI67&amp;""))="yes",LOWER(TRIM('01_Master_Data'!AK67&amp;""))="yes",LOWER(U67)="risk"),"Yes","No"))</f>
        <v/>
      </c>
      <c r="AC67">
        <f>IF(A67="","",IF(LOWER(TRIM('01_Master_Data'!AI67&amp;""))="yes","Yes","No"))</f>
        <v/>
      </c>
      <c r="AD67">
        <f>IF(A67="","",IF(LOWER(TRIM('01_Master_Data'!AK67&amp;""))="yes","Yes","No"))</f>
        <v/>
      </c>
      <c r="AE67">
        <f>IF(A67="","",IF(LOWER(TRIM('01_Master_Data'!AJ67&amp;""))="yes","Yes","No"))</f>
        <v/>
      </c>
      <c r="AF67">
        <f>IF(A67="","",TRIM('01_Master_Data'!AL67&amp;""))</f>
        <v/>
      </c>
      <c r="AG67">
        <f>IF(A67="","",IF(AF67="","—",IF(ISNUMBER(SEARCH("DNP",AF67)),"Unreachable / DNP",IF(ISNUMBER(SEARCH("interest",LOWER(AF67))),"High Interest / Terms",IF(OR(ISNUMBER(SEARCH("eligib",LOWER(AF67))),ISNUMBER(SEARCH("income",LOWER(AF67)))),"Eligibility / Income",IF(OR(ISNUMBER(SEARCH("start",LOWER(AF67))),ISNUMBER(SEARCH("Newer",AF67)),ISNUMBER(SEARCH("Will start",AF67))),"Process Yet to Start",IF(ISNUMBER(SEARCH("sure",LOWER(AF67))),"Undecided",IF(OR(ISNUMBER(SEARCH("reject",LOWER(AF67))),ISNUMBER(SEARCH("SBI",AF67))),"Rejected Elsewhere",IF(ISNUMBER(SEARCH("call",LOWER(AF67))),"Bank Communication",IF(OR(ISNUMBER(SEARCH("father",LOWER(AF67))),ISNUMBER(SEARCH("sister",LOWER(AF67)))),"Family / Dependency","Other"))))))))))</f>
        <v/>
      </c>
      <c r="AH67">
        <f>IF(A67="","",'01_Master_Data'!AC67)</f>
        <v/>
      </c>
      <c r="AI67">
        <f>IF(A67="","",IF(OR(AH67="",NOT(ISNUMBER(AH67))),"",MAX(0,'02_Configuration'!$B$82-AH67)))</f>
        <v/>
      </c>
      <c r="AJ67">
        <f>IF(A67="","",IF(AI67="","Unknown",IF(AI67&lt;=3,"0–3 Days",IF(AI67&lt;=7,"4–7 Days",IF(AI67&lt;=15,"8–15 Days",IF(AI67&lt;=30,"16–30 Days","30+ Days"))))))</f>
        <v/>
      </c>
      <c r="AK67">
        <f>IF(A67="","",IF(LOWER(H67)="yes","Yes","No"))</f>
        <v/>
      </c>
      <c r="AL67">
        <f>IF(A67="","",'01_Master_Data'!T67)</f>
        <v/>
      </c>
      <c r="AM67">
        <f>IF(A67="","",'01_Master_Data'!S67)</f>
        <v/>
      </c>
      <c r="AN67">
        <f>IF(A67="","",'01_Master_Data'!I67)</f>
        <v/>
      </c>
      <c r="AO67">
        <f>IF(A67="","",'01_Master_Data'!M67)</f>
        <v/>
      </c>
      <c r="AP67">
        <f>IF(A67="","",IF(ISNUMBER(SEARCH("Icici",W67&amp;"")),1,0))</f>
        <v/>
      </c>
      <c r="AQ67">
        <f>IF(A67="","",IF(ISNUMBER(SEARCH("Propelld",W67&amp;"")),1,0))</f>
        <v/>
      </c>
      <c r="AR67">
        <f>IF(A67="","",IF(ISNUMBER(SEARCH("GyanDhan",W67&amp;"")),1,0))</f>
        <v/>
      </c>
      <c r="AS67">
        <f>IF(A67="","",IF(ISNUMBER(SEARCH("vidyalakshmi",LOWER(W67&amp;""))),1,0))</f>
        <v/>
      </c>
      <c r="AT67">
        <f>IF(A67="","",IF(ISNUMBER(SEARCH("other bank",LOWER(W67&amp;""))),1,0))</f>
        <v/>
      </c>
      <c r="AU67">
        <f>IF(A67="","",IF(ISNUMBER(SEARCH("sanctioned",LOWER(W67&amp;""))),1,0))</f>
        <v/>
      </c>
      <c r="AV67">
        <f>IF(A67="","",IF(ISNUMBER(SEARCH("Docs Pending",W67&amp;"")),1,0))</f>
        <v/>
      </c>
      <c r="AW67">
        <f>IF(A67="","",IF(OR(X67="Rejected",ISNUMBER(SEARCH("Not eligbile",W67&amp;""))),1,0))</f>
        <v/>
      </c>
    </row>
    <row r="68">
      <c r="A68">
        <f>IF('01_Master_Data'!B68="","",67)</f>
        <v/>
      </c>
      <c r="B68">
        <f>IF('01_Master_Data'!B68="","",IF('01_Master_Data'!C68&lt;&gt;"","MOB|"&amp;TEXT('01_Master_Data'!C68,"0"),IF('01_Master_Data'!D68&lt;&gt;"","PID|"&amp;TRIM('01_Master_Data'!D68&amp;""),"")))</f>
        <v/>
      </c>
      <c r="C68">
        <f>IF('01_Master_Data'!B68="","",'01_Master_Data'!B68)</f>
        <v/>
      </c>
      <c r="D68">
        <f>IF('01_Master_Data'!B68="","",'01_Master_Data'!C68)</f>
        <v/>
      </c>
      <c r="E68">
        <f>IF('01_Master_Data'!B68="","",'01_Master_Data'!D68)</f>
        <v/>
      </c>
      <c r="F68">
        <f>IF('01_Master_Data'!B68="","",'01_Master_Data'!E68)</f>
        <v/>
      </c>
      <c r="G68">
        <f>IF('01_Master_Data'!B68="","",IFERROR(VLOOKUP(TRIM('01_Master_Data'!E68&amp;""),'02_Configuration'!$A$40:$B$44,2,FALSE),UPPER(TRIM('01_Master_Data'!E68&amp;""))))</f>
        <v/>
      </c>
      <c r="H68">
        <f>IF('01_Master_Data'!B68="","",IF('01_Master_Data'!U68="","",TRIM('01_Master_Data'!U68&amp;"")))</f>
        <v/>
      </c>
      <c r="I68">
        <f>IF('01_Master_Data'!B68="","",TRIM('01_Master_Data'!F68&amp;""))</f>
        <v/>
      </c>
      <c r="J68">
        <f>IF('01_Master_Data'!B68="","",TRIM('01_Master_Data'!G68&amp;""))</f>
        <v/>
      </c>
      <c r="K68">
        <f>IF('01_Master_Data'!B68="","",'01_Master_Data'!H68)</f>
        <v/>
      </c>
      <c r="L68">
        <f>IF('01_Master_Data'!B68="","",IF(LOWER(TRIM('01_Master_Data'!V68&amp;""))="yes",1,0))</f>
        <v/>
      </c>
      <c r="M68">
        <f>IF('01_Master_Data'!B68="","",IF(LOWER(TRIM('01_Master_Data'!W68&amp;""))="yes",1,0))</f>
        <v/>
      </c>
      <c r="N68">
        <f>IF('01_Master_Data'!B68="","",IF(LOWER(TRIM('01_Master_Data'!X68&amp;""))="yes",1,0))</f>
        <v/>
      </c>
      <c r="O68">
        <f>IF('01_Master_Data'!B68="","",IF(LOWER(TRIM('01_Master_Data'!Y68&amp;""))="yes",1,0))</f>
        <v/>
      </c>
      <c r="P68">
        <f>IF('01_Master_Data'!B68="","",IF(LOWER(TRIM('01_Master_Data'!Z68&amp;""))="yes",1,0))</f>
        <v/>
      </c>
      <c r="Q68">
        <f>IF(A68="","",L68+M68+N68+O68+P68)</f>
        <v/>
      </c>
      <c r="R68">
        <f>IF(A68="","",IF(Q68&gt;1,"Yes","No"))</f>
        <v/>
      </c>
      <c r="S68">
        <f>IF(A68="","",TEXTJOIN(", ",TRUE,IF(L68=1,"ICICI",""),IF(M68=1,"Propelld",""),IF(N68=1,"Study4Buddy",""),IF(O68=1,"Poonawala Fincorp",""),IF(P68=1,"GyanDhan","")))</f>
        <v/>
      </c>
      <c r="T68">
        <f>IF(A68="","",IF(L68=1,"ICICI",IF(M68=1,"Propelld",IF(P68=1,"GyanDhan",IF(N68=1,"Study4Buddy",IF(O68=1,"Poonawala Fincorp",IF(ISNUMBER(SEARCH("GyanDhan",W68&amp;"")),"GyanDhan",IF(ISNUMBER(SEARCH("Icici",W68&amp;"")),"ICICI",IF(ISNUMBER(SEARCH("Propelld",W68&amp;"")),"Propelld",IF(ISNUMBER(SEARCH("vidyalakshmi",LOWER(W68&amp;"")),"PM Vidyalakshmi","—"))))))))))</f>
        <v/>
      </c>
      <c r="U68">
        <f>IF(A68="","",TRIM('01_Master_Data'!AA68&amp;""))</f>
        <v/>
      </c>
      <c r="V68">
        <f>IF(A68="","",TRIM('01_Master_Data'!AG68&amp;""))</f>
        <v/>
      </c>
      <c r="W68">
        <f>IF(A68="","",TRIM('01_Master_Data'!AH68&amp;""))</f>
        <v/>
      </c>
      <c r="X68">
        <f>IF(A68="","",IF(OR(LOWER(H68)="refund",LOWER(U68)="refund case"),"Refund",IF(OR(LOWER(H68)="dnp",LOWER(U68)="dnp"),"DNP",IF(OR(LOWER(V68)="disbursed",ISNUMBER(SEARCH("Disbursed",W68&amp;""))),"Disbursed",IF(OR(LOWER(V68)="loan proccessed/accepted",ISNUMBER(SEARCH("sanctioned",LOWER(W68&amp;"")))),"Sanctioned",IF(OR(LOWER(V68)="rejected",ISNUMBER(SEARCH("Not eligbile",W68&amp;"")),ISNUMBER(SEARCH("Not eligible",W68&amp;""))),"Rejected",IF(ISNUMBER(SEARCH("Docs Pending",W68&amp;"")),"Documents Pending",IF(AND(LOWER(H68)="yes",LOWER(V68)="ongoing"),"Processing",IF(AND(LOWER(H68)="yes",Q68&gt;0,OR(V68="",LOWER(V68)="not even started")),"Vendor Assigned",IF(AND(LOWER(H68)="yes",LOWER(V68)="not even started"),"Need Loan",IF(LOWER(H68)="yes","Loan Started",IF(LOWER(H68)="not sure","Interested",IF(OR(LOWER(H68)="no",LOWER(V68)="not required"),"Not Required","Unclassified")))))))))))))</f>
        <v/>
      </c>
      <c r="Y68">
        <f>IF(A68="","",IF(OR(X68="Sanctioned",X68="Disbursed",X68="Approved"),"Approved",IF(X68="Rejected","Rejected",IF(OR(X68="Processing",X68="Documents Pending",X68="Vendor Assigned"),"In Progress",IF(X68="Need Loan","Pending Start","—"))))</f>
        <v/>
      </c>
      <c r="Z68">
        <f>IF(A68="","",IF(X68="Disbursed","Disbursed",IF(X68="Sanctioned","Sanctioned - Awaiting Disbursement","Not Disbursed")))</f>
        <v/>
      </c>
      <c r="AA68">
        <f>IF(A68="","",IF(LOWER(TRIM('01_Master_Data'!AI68&amp;""))="yes","Need FLDG",IF(LOWER(TRIM('01_Master_Data'!AK68&amp;""))="yes","Need Vidyalakshmi",IF(LOWER(TRIM('01_Master_Data'!AJ68&amp;""))="yes","Need Review",IF(LOWER(J68)="critical","Critical",IF(LOWER(U68)="risk","Risk Case",IF(X68="Refund","Refund","Normal")))))))</f>
        <v/>
      </c>
      <c r="AB68">
        <f>IF(A68="","",IF(OR(LOWER(J68)="critical",LOWER(TRIM('01_Master_Data'!AI68&amp;""))="yes",LOWER(TRIM('01_Master_Data'!AK68&amp;""))="yes",LOWER(U68)="risk"),"Yes","No"))</f>
        <v/>
      </c>
      <c r="AC68">
        <f>IF(A68="","",IF(LOWER(TRIM('01_Master_Data'!AI68&amp;""))="yes","Yes","No"))</f>
        <v/>
      </c>
      <c r="AD68">
        <f>IF(A68="","",IF(LOWER(TRIM('01_Master_Data'!AK68&amp;""))="yes","Yes","No"))</f>
        <v/>
      </c>
      <c r="AE68">
        <f>IF(A68="","",IF(LOWER(TRIM('01_Master_Data'!AJ68&amp;""))="yes","Yes","No"))</f>
        <v/>
      </c>
      <c r="AF68">
        <f>IF(A68="","",TRIM('01_Master_Data'!AL68&amp;""))</f>
        <v/>
      </c>
      <c r="AG68">
        <f>IF(A68="","",IF(AF68="","—",IF(ISNUMBER(SEARCH("DNP",AF68)),"Unreachable / DNP",IF(ISNUMBER(SEARCH("interest",LOWER(AF68))),"High Interest / Terms",IF(OR(ISNUMBER(SEARCH("eligib",LOWER(AF68))),ISNUMBER(SEARCH("income",LOWER(AF68)))),"Eligibility / Income",IF(OR(ISNUMBER(SEARCH("start",LOWER(AF68))),ISNUMBER(SEARCH("Newer",AF68)),ISNUMBER(SEARCH("Will start",AF68))),"Process Yet to Start",IF(ISNUMBER(SEARCH("sure",LOWER(AF68))),"Undecided",IF(OR(ISNUMBER(SEARCH("reject",LOWER(AF68))),ISNUMBER(SEARCH("SBI",AF68))),"Rejected Elsewhere",IF(ISNUMBER(SEARCH("call",LOWER(AF68))),"Bank Communication",IF(OR(ISNUMBER(SEARCH("father",LOWER(AF68))),ISNUMBER(SEARCH("sister",LOWER(AF68)))),"Family / Dependency","Other"))))))))))</f>
        <v/>
      </c>
      <c r="AH68">
        <f>IF(A68="","",'01_Master_Data'!AC68)</f>
        <v/>
      </c>
      <c r="AI68">
        <f>IF(A68="","",IF(OR(AH68="",NOT(ISNUMBER(AH68))),"",MAX(0,'02_Configuration'!$B$82-AH68)))</f>
        <v/>
      </c>
      <c r="AJ68">
        <f>IF(A68="","",IF(AI68="","Unknown",IF(AI68&lt;=3,"0–3 Days",IF(AI68&lt;=7,"4–7 Days",IF(AI68&lt;=15,"8–15 Days",IF(AI68&lt;=30,"16–30 Days","30+ Days"))))))</f>
        <v/>
      </c>
      <c r="AK68">
        <f>IF(A68="","",IF(LOWER(H68)="yes","Yes","No"))</f>
        <v/>
      </c>
      <c r="AL68">
        <f>IF(A68="","",'01_Master_Data'!T68)</f>
        <v/>
      </c>
      <c r="AM68">
        <f>IF(A68="","",'01_Master_Data'!S68)</f>
        <v/>
      </c>
      <c r="AN68">
        <f>IF(A68="","",'01_Master_Data'!I68)</f>
        <v/>
      </c>
      <c r="AO68">
        <f>IF(A68="","",'01_Master_Data'!M68)</f>
        <v/>
      </c>
      <c r="AP68">
        <f>IF(A68="","",IF(ISNUMBER(SEARCH("Icici",W68&amp;"")),1,0))</f>
        <v/>
      </c>
      <c r="AQ68">
        <f>IF(A68="","",IF(ISNUMBER(SEARCH("Propelld",W68&amp;"")),1,0))</f>
        <v/>
      </c>
      <c r="AR68">
        <f>IF(A68="","",IF(ISNUMBER(SEARCH("GyanDhan",W68&amp;"")),1,0))</f>
        <v/>
      </c>
      <c r="AS68">
        <f>IF(A68="","",IF(ISNUMBER(SEARCH("vidyalakshmi",LOWER(W68&amp;""))),1,0))</f>
        <v/>
      </c>
      <c r="AT68">
        <f>IF(A68="","",IF(ISNUMBER(SEARCH("other bank",LOWER(W68&amp;""))),1,0))</f>
        <v/>
      </c>
      <c r="AU68">
        <f>IF(A68="","",IF(ISNUMBER(SEARCH("sanctioned",LOWER(W68&amp;""))),1,0))</f>
        <v/>
      </c>
      <c r="AV68">
        <f>IF(A68="","",IF(ISNUMBER(SEARCH("Docs Pending",W68&amp;"")),1,0))</f>
        <v/>
      </c>
      <c r="AW68">
        <f>IF(A68="","",IF(OR(X68="Rejected",ISNUMBER(SEARCH("Not eligbile",W68&amp;""))),1,0))</f>
        <v/>
      </c>
    </row>
    <row r="69">
      <c r="A69">
        <f>IF('01_Master_Data'!B69="","",68)</f>
        <v/>
      </c>
      <c r="B69">
        <f>IF('01_Master_Data'!B69="","",IF('01_Master_Data'!C69&lt;&gt;"","MOB|"&amp;TEXT('01_Master_Data'!C69,"0"),IF('01_Master_Data'!D69&lt;&gt;"","PID|"&amp;TRIM('01_Master_Data'!D69&amp;""),"")))</f>
        <v/>
      </c>
      <c r="C69">
        <f>IF('01_Master_Data'!B69="","",'01_Master_Data'!B69)</f>
        <v/>
      </c>
      <c r="D69">
        <f>IF('01_Master_Data'!B69="","",'01_Master_Data'!C69)</f>
        <v/>
      </c>
      <c r="E69">
        <f>IF('01_Master_Data'!B69="","",'01_Master_Data'!D69)</f>
        <v/>
      </c>
      <c r="F69">
        <f>IF('01_Master_Data'!B69="","",'01_Master_Data'!E69)</f>
        <v/>
      </c>
      <c r="G69">
        <f>IF('01_Master_Data'!B69="","",IFERROR(VLOOKUP(TRIM('01_Master_Data'!E69&amp;""),'02_Configuration'!$A$40:$B$44,2,FALSE),UPPER(TRIM('01_Master_Data'!E69&amp;""))))</f>
        <v/>
      </c>
      <c r="H69">
        <f>IF('01_Master_Data'!B69="","",IF('01_Master_Data'!U69="","",TRIM('01_Master_Data'!U69&amp;"")))</f>
        <v/>
      </c>
      <c r="I69">
        <f>IF('01_Master_Data'!B69="","",TRIM('01_Master_Data'!F69&amp;""))</f>
        <v/>
      </c>
      <c r="J69">
        <f>IF('01_Master_Data'!B69="","",TRIM('01_Master_Data'!G69&amp;""))</f>
        <v/>
      </c>
      <c r="K69">
        <f>IF('01_Master_Data'!B69="","",'01_Master_Data'!H69)</f>
        <v/>
      </c>
      <c r="L69">
        <f>IF('01_Master_Data'!B69="","",IF(LOWER(TRIM('01_Master_Data'!V69&amp;""))="yes",1,0))</f>
        <v/>
      </c>
      <c r="M69">
        <f>IF('01_Master_Data'!B69="","",IF(LOWER(TRIM('01_Master_Data'!W69&amp;""))="yes",1,0))</f>
        <v/>
      </c>
      <c r="N69">
        <f>IF('01_Master_Data'!B69="","",IF(LOWER(TRIM('01_Master_Data'!X69&amp;""))="yes",1,0))</f>
        <v/>
      </c>
      <c r="O69">
        <f>IF('01_Master_Data'!B69="","",IF(LOWER(TRIM('01_Master_Data'!Y69&amp;""))="yes",1,0))</f>
        <v/>
      </c>
      <c r="P69">
        <f>IF('01_Master_Data'!B69="","",IF(LOWER(TRIM('01_Master_Data'!Z69&amp;""))="yes",1,0))</f>
        <v/>
      </c>
      <c r="Q69">
        <f>IF(A69="","",L69+M69+N69+O69+P69)</f>
        <v/>
      </c>
      <c r="R69">
        <f>IF(A69="","",IF(Q69&gt;1,"Yes","No"))</f>
        <v/>
      </c>
      <c r="S69">
        <f>IF(A69="","",TEXTJOIN(", ",TRUE,IF(L69=1,"ICICI",""),IF(M69=1,"Propelld",""),IF(N69=1,"Study4Buddy",""),IF(O69=1,"Poonawala Fincorp",""),IF(P69=1,"GyanDhan","")))</f>
        <v/>
      </c>
      <c r="T69">
        <f>IF(A69="","",IF(L69=1,"ICICI",IF(M69=1,"Propelld",IF(P69=1,"GyanDhan",IF(N69=1,"Study4Buddy",IF(O69=1,"Poonawala Fincorp",IF(ISNUMBER(SEARCH("GyanDhan",W69&amp;"")),"GyanDhan",IF(ISNUMBER(SEARCH("Icici",W69&amp;"")),"ICICI",IF(ISNUMBER(SEARCH("Propelld",W69&amp;"")),"Propelld",IF(ISNUMBER(SEARCH("vidyalakshmi",LOWER(W69&amp;"")),"PM Vidyalakshmi","—"))))))))))</f>
        <v/>
      </c>
      <c r="U69">
        <f>IF(A69="","",TRIM('01_Master_Data'!AA69&amp;""))</f>
        <v/>
      </c>
      <c r="V69">
        <f>IF(A69="","",TRIM('01_Master_Data'!AG69&amp;""))</f>
        <v/>
      </c>
      <c r="W69">
        <f>IF(A69="","",TRIM('01_Master_Data'!AH69&amp;""))</f>
        <v/>
      </c>
      <c r="X69">
        <f>IF(A69="","",IF(OR(LOWER(H69)="refund",LOWER(U69)="refund case"),"Refund",IF(OR(LOWER(H69)="dnp",LOWER(U69)="dnp"),"DNP",IF(OR(LOWER(V69)="disbursed",ISNUMBER(SEARCH("Disbursed",W69&amp;""))),"Disbursed",IF(OR(LOWER(V69)="loan proccessed/accepted",ISNUMBER(SEARCH("sanctioned",LOWER(W69&amp;"")))),"Sanctioned",IF(OR(LOWER(V69)="rejected",ISNUMBER(SEARCH("Not eligbile",W69&amp;"")),ISNUMBER(SEARCH("Not eligible",W69&amp;""))),"Rejected",IF(ISNUMBER(SEARCH("Docs Pending",W69&amp;"")),"Documents Pending",IF(AND(LOWER(H69)="yes",LOWER(V69)="ongoing"),"Processing",IF(AND(LOWER(H69)="yes",Q69&gt;0,OR(V69="",LOWER(V69)="not even started")),"Vendor Assigned",IF(AND(LOWER(H69)="yes",LOWER(V69)="not even started"),"Need Loan",IF(LOWER(H69)="yes","Loan Started",IF(LOWER(H69)="not sure","Interested",IF(OR(LOWER(H69)="no",LOWER(V69)="not required"),"Not Required","Unclassified")))))))))))))</f>
        <v/>
      </c>
      <c r="Y69">
        <f>IF(A69="","",IF(OR(X69="Sanctioned",X69="Disbursed",X69="Approved"),"Approved",IF(X69="Rejected","Rejected",IF(OR(X69="Processing",X69="Documents Pending",X69="Vendor Assigned"),"In Progress",IF(X69="Need Loan","Pending Start","—"))))</f>
        <v/>
      </c>
      <c r="Z69">
        <f>IF(A69="","",IF(X69="Disbursed","Disbursed",IF(X69="Sanctioned","Sanctioned - Awaiting Disbursement","Not Disbursed")))</f>
        <v/>
      </c>
      <c r="AA69">
        <f>IF(A69="","",IF(LOWER(TRIM('01_Master_Data'!AI69&amp;""))="yes","Need FLDG",IF(LOWER(TRIM('01_Master_Data'!AK69&amp;""))="yes","Need Vidyalakshmi",IF(LOWER(TRIM('01_Master_Data'!AJ69&amp;""))="yes","Need Review",IF(LOWER(J69)="critical","Critical",IF(LOWER(U69)="risk","Risk Case",IF(X69="Refund","Refund","Normal")))))))</f>
        <v/>
      </c>
      <c r="AB69">
        <f>IF(A69="","",IF(OR(LOWER(J69)="critical",LOWER(TRIM('01_Master_Data'!AI69&amp;""))="yes",LOWER(TRIM('01_Master_Data'!AK69&amp;""))="yes",LOWER(U69)="risk"),"Yes","No"))</f>
        <v/>
      </c>
      <c r="AC69">
        <f>IF(A69="","",IF(LOWER(TRIM('01_Master_Data'!AI69&amp;""))="yes","Yes","No"))</f>
        <v/>
      </c>
      <c r="AD69">
        <f>IF(A69="","",IF(LOWER(TRIM('01_Master_Data'!AK69&amp;""))="yes","Yes","No"))</f>
        <v/>
      </c>
      <c r="AE69">
        <f>IF(A69="","",IF(LOWER(TRIM('01_Master_Data'!AJ69&amp;""))="yes","Yes","No"))</f>
        <v/>
      </c>
      <c r="AF69">
        <f>IF(A69="","",TRIM('01_Master_Data'!AL69&amp;""))</f>
        <v/>
      </c>
      <c r="AG69">
        <f>IF(A69="","",IF(AF69="","—",IF(ISNUMBER(SEARCH("DNP",AF69)),"Unreachable / DNP",IF(ISNUMBER(SEARCH("interest",LOWER(AF69))),"High Interest / Terms",IF(OR(ISNUMBER(SEARCH("eligib",LOWER(AF69))),ISNUMBER(SEARCH("income",LOWER(AF69)))),"Eligibility / Income",IF(OR(ISNUMBER(SEARCH("start",LOWER(AF69))),ISNUMBER(SEARCH("Newer",AF69)),ISNUMBER(SEARCH("Will start",AF69))),"Process Yet to Start",IF(ISNUMBER(SEARCH("sure",LOWER(AF69))),"Undecided",IF(OR(ISNUMBER(SEARCH("reject",LOWER(AF69))),ISNUMBER(SEARCH("SBI",AF69))),"Rejected Elsewhere",IF(ISNUMBER(SEARCH("call",LOWER(AF69))),"Bank Communication",IF(OR(ISNUMBER(SEARCH("father",LOWER(AF69))),ISNUMBER(SEARCH("sister",LOWER(AF69)))),"Family / Dependency","Other"))))))))))</f>
        <v/>
      </c>
      <c r="AH69">
        <f>IF(A69="","",'01_Master_Data'!AC69)</f>
        <v/>
      </c>
      <c r="AI69">
        <f>IF(A69="","",IF(OR(AH69="",NOT(ISNUMBER(AH69))),"",MAX(0,'02_Configuration'!$B$82-AH69)))</f>
        <v/>
      </c>
      <c r="AJ69">
        <f>IF(A69="","",IF(AI69="","Unknown",IF(AI69&lt;=3,"0–3 Days",IF(AI69&lt;=7,"4–7 Days",IF(AI69&lt;=15,"8–15 Days",IF(AI69&lt;=30,"16–30 Days","30+ Days"))))))</f>
        <v/>
      </c>
      <c r="AK69">
        <f>IF(A69="","",IF(LOWER(H69)="yes","Yes","No"))</f>
        <v/>
      </c>
      <c r="AL69">
        <f>IF(A69="","",'01_Master_Data'!T69)</f>
        <v/>
      </c>
      <c r="AM69">
        <f>IF(A69="","",'01_Master_Data'!S69)</f>
        <v/>
      </c>
      <c r="AN69">
        <f>IF(A69="","",'01_Master_Data'!I69)</f>
        <v/>
      </c>
      <c r="AO69">
        <f>IF(A69="","",'01_Master_Data'!M69)</f>
        <v/>
      </c>
      <c r="AP69">
        <f>IF(A69="","",IF(ISNUMBER(SEARCH("Icici",W69&amp;"")),1,0))</f>
        <v/>
      </c>
      <c r="AQ69">
        <f>IF(A69="","",IF(ISNUMBER(SEARCH("Propelld",W69&amp;"")),1,0))</f>
        <v/>
      </c>
      <c r="AR69">
        <f>IF(A69="","",IF(ISNUMBER(SEARCH("GyanDhan",W69&amp;"")),1,0))</f>
        <v/>
      </c>
      <c r="AS69">
        <f>IF(A69="","",IF(ISNUMBER(SEARCH("vidyalakshmi",LOWER(W69&amp;""))),1,0))</f>
        <v/>
      </c>
      <c r="AT69">
        <f>IF(A69="","",IF(ISNUMBER(SEARCH("other bank",LOWER(W69&amp;""))),1,0))</f>
        <v/>
      </c>
      <c r="AU69">
        <f>IF(A69="","",IF(ISNUMBER(SEARCH("sanctioned",LOWER(W69&amp;""))),1,0))</f>
        <v/>
      </c>
      <c r="AV69">
        <f>IF(A69="","",IF(ISNUMBER(SEARCH("Docs Pending",W69&amp;"")),1,0))</f>
        <v/>
      </c>
      <c r="AW69">
        <f>IF(A69="","",IF(OR(X69="Rejected",ISNUMBER(SEARCH("Not eligbile",W69&amp;""))),1,0))</f>
        <v/>
      </c>
    </row>
    <row r="70">
      <c r="A70">
        <f>IF('01_Master_Data'!B70="","",69)</f>
        <v/>
      </c>
      <c r="B70">
        <f>IF('01_Master_Data'!B70="","",IF('01_Master_Data'!C70&lt;&gt;"","MOB|"&amp;TEXT('01_Master_Data'!C70,"0"),IF('01_Master_Data'!D70&lt;&gt;"","PID|"&amp;TRIM('01_Master_Data'!D70&amp;""),"")))</f>
        <v/>
      </c>
      <c r="C70">
        <f>IF('01_Master_Data'!B70="","",'01_Master_Data'!B70)</f>
        <v/>
      </c>
      <c r="D70">
        <f>IF('01_Master_Data'!B70="","",'01_Master_Data'!C70)</f>
        <v/>
      </c>
      <c r="E70">
        <f>IF('01_Master_Data'!B70="","",'01_Master_Data'!D70)</f>
        <v/>
      </c>
      <c r="F70">
        <f>IF('01_Master_Data'!B70="","",'01_Master_Data'!E70)</f>
        <v/>
      </c>
      <c r="G70">
        <f>IF('01_Master_Data'!B70="","",IFERROR(VLOOKUP(TRIM('01_Master_Data'!E70&amp;""),'02_Configuration'!$A$40:$B$44,2,FALSE),UPPER(TRIM('01_Master_Data'!E70&amp;""))))</f>
        <v/>
      </c>
      <c r="H70">
        <f>IF('01_Master_Data'!B70="","",IF('01_Master_Data'!U70="","",TRIM('01_Master_Data'!U70&amp;"")))</f>
        <v/>
      </c>
      <c r="I70">
        <f>IF('01_Master_Data'!B70="","",TRIM('01_Master_Data'!F70&amp;""))</f>
        <v/>
      </c>
      <c r="J70">
        <f>IF('01_Master_Data'!B70="","",TRIM('01_Master_Data'!G70&amp;""))</f>
        <v/>
      </c>
      <c r="K70">
        <f>IF('01_Master_Data'!B70="","",'01_Master_Data'!H70)</f>
        <v/>
      </c>
      <c r="L70">
        <f>IF('01_Master_Data'!B70="","",IF(LOWER(TRIM('01_Master_Data'!V70&amp;""))="yes",1,0))</f>
        <v/>
      </c>
      <c r="M70">
        <f>IF('01_Master_Data'!B70="","",IF(LOWER(TRIM('01_Master_Data'!W70&amp;""))="yes",1,0))</f>
        <v/>
      </c>
      <c r="N70">
        <f>IF('01_Master_Data'!B70="","",IF(LOWER(TRIM('01_Master_Data'!X70&amp;""))="yes",1,0))</f>
        <v/>
      </c>
      <c r="O70">
        <f>IF('01_Master_Data'!B70="","",IF(LOWER(TRIM('01_Master_Data'!Y70&amp;""))="yes",1,0))</f>
        <v/>
      </c>
      <c r="P70">
        <f>IF('01_Master_Data'!B70="","",IF(LOWER(TRIM('01_Master_Data'!Z70&amp;""))="yes",1,0))</f>
        <v/>
      </c>
      <c r="Q70">
        <f>IF(A70="","",L70+M70+N70+O70+P70)</f>
        <v/>
      </c>
      <c r="R70">
        <f>IF(A70="","",IF(Q70&gt;1,"Yes","No"))</f>
        <v/>
      </c>
      <c r="S70">
        <f>IF(A70="","",TEXTJOIN(", ",TRUE,IF(L70=1,"ICICI",""),IF(M70=1,"Propelld",""),IF(N70=1,"Study4Buddy",""),IF(O70=1,"Poonawala Fincorp",""),IF(P70=1,"GyanDhan","")))</f>
        <v/>
      </c>
      <c r="T70">
        <f>IF(A70="","",IF(L70=1,"ICICI",IF(M70=1,"Propelld",IF(P70=1,"GyanDhan",IF(N70=1,"Study4Buddy",IF(O70=1,"Poonawala Fincorp",IF(ISNUMBER(SEARCH("GyanDhan",W70&amp;"")),"GyanDhan",IF(ISNUMBER(SEARCH("Icici",W70&amp;"")),"ICICI",IF(ISNUMBER(SEARCH("Propelld",W70&amp;"")),"Propelld",IF(ISNUMBER(SEARCH("vidyalakshmi",LOWER(W70&amp;"")),"PM Vidyalakshmi","—"))))))))))</f>
        <v/>
      </c>
      <c r="U70">
        <f>IF(A70="","",TRIM('01_Master_Data'!AA70&amp;""))</f>
        <v/>
      </c>
      <c r="V70">
        <f>IF(A70="","",TRIM('01_Master_Data'!AG70&amp;""))</f>
        <v/>
      </c>
      <c r="W70">
        <f>IF(A70="","",TRIM('01_Master_Data'!AH70&amp;""))</f>
        <v/>
      </c>
      <c r="X70">
        <f>IF(A70="","",IF(OR(LOWER(H70)="refund",LOWER(U70)="refund case"),"Refund",IF(OR(LOWER(H70)="dnp",LOWER(U70)="dnp"),"DNP",IF(OR(LOWER(V70)="disbursed",ISNUMBER(SEARCH("Disbursed",W70&amp;""))),"Disbursed",IF(OR(LOWER(V70)="loan proccessed/accepted",ISNUMBER(SEARCH("sanctioned",LOWER(W70&amp;"")))),"Sanctioned",IF(OR(LOWER(V70)="rejected",ISNUMBER(SEARCH("Not eligbile",W70&amp;"")),ISNUMBER(SEARCH("Not eligible",W70&amp;""))),"Rejected",IF(ISNUMBER(SEARCH("Docs Pending",W70&amp;"")),"Documents Pending",IF(AND(LOWER(H70)="yes",LOWER(V70)="ongoing"),"Processing",IF(AND(LOWER(H70)="yes",Q70&gt;0,OR(V70="",LOWER(V70)="not even started")),"Vendor Assigned",IF(AND(LOWER(H70)="yes",LOWER(V70)="not even started"),"Need Loan",IF(LOWER(H70)="yes","Loan Started",IF(LOWER(H70)="not sure","Interested",IF(OR(LOWER(H70)="no",LOWER(V70)="not required"),"Not Required","Unclassified")))))))))))))</f>
        <v/>
      </c>
      <c r="Y70">
        <f>IF(A70="","",IF(OR(X70="Sanctioned",X70="Disbursed",X70="Approved"),"Approved",IF(X70="Rejected","Rejected",IF(OR(X70="Processing",X70="Documents Pending",X70="Vendor Assigned"),"In Progress",IF(X70="Need Loan","Pending Start","—"))))</f>
        <v/>
      </c>
      <c r="Z70">
        <f>IF(A70="","",IF(X70="Disbursed","Disbursed",IF(X70="Sanctioned","Sanctioned - Awaiting Disbursement","Not Disbursed")))</f>
        <v/>
      </c>
      <c r="AA70">
        <f>IF(A70="","",IF(LOWER(TRIM('01_Master_Data'!AI70&amp;""))="yes","Need FLDG",IF(LOWER(TRIM('01_Master_Data'!AK70&amp;""))="yes","Need Vidyalakshmi",IF(LOWER(TRIM('01_Master_Data'!AJ70&amp;""))="yes","Need Review",IF(LOWER(J70)="critical","Critical",IF(LOWER(U70)="risk","Risk Case",IF(X70="Refund","Refund","Normal")))))))</f>
        <v/>
      </c>
      <c r="AB70">
        <f>IF(A70="","",IF(OR(LOWER(J70)="critical",LOWER(TRIM('01_Master_Data'!AI70&amp;""))="yes",LOWER(TRIM('01_Master_Data'!AK70&amp;""))="yes",LOWER(U70)="risk"),"Yes","No"))</f>
        <v/>
      </c>
      <c r="AC70">
        <f>IF(A70="","",IF(LOWER(TRIM('01_Master_Data'!AI70&amp;""))="yes","Yes","No"))</f>
        <v/>
      </c>
      <c r="AD70">
        <f>IF(A70="","",IF(LOWER(TRIM('01_Master_Data'!AK70&amp;""))="yes","Yes","No"))</f>
        <v/>
      </c>
      <c r="AE70">
        <f>IF(A70="","",IF(LOWER(TRIM('01_Master_Data'!AJ70&amp;""))="yes","Yes","No"))</f>
        <v/>
      </c>
      <c r="AF70">
        <f>IF(A70="","",TRIM('01_Master_Data'!AL70&amp;""))</f>
        <v/>
      </c>
      <c r="AG70">
        <f>IF(A70="","",IF(AF70="","—",IF(ISNUMBER(SEARCH("DNP",AF70)),"Unreachable / DNP",IF(ISNUMBER(SEARCH("interest",LOWER(AF70))),"High Interest / Terms",IF(OR(ISNUMBER(SEARCH("eligib",LOWER(AF70))),ISNUMBER(SEARCH("income",LOWER(AF70)))),"Eligibility / Income",IF(OR(ISNUMBER(SEARCH("start",LOWER(AF70))),ISNUMBER(SEARCH("Newer",AF70)),ISNUMBER(SEARCH("Will start",AF70))),"Process Yet to Start",IF(ISNUMBER(SEARCH("sure",LOWER(AF70))),"Undecided",IF(OR(ISNUMBER(SEARCH("reject",LOWER(AF70))),ISNUMBER(SEARCH("SBI",AF70))),"Rejected Elsewhere",IF(ISNUMBER(SEARCH("call",LOWER(AF70))),"Bank Communication",IF(OR(ISNUMBER(SEARCH("father",LOWER(AF70))),ISNUMBER(SEARCH("sister",LOWER(AF70)))),"Family / Dependency","Other"))))))))))</f>
        <v/>
      </c>
      <c r="AH70">
        <f>IF(A70="","",'01_Master_Data'!AC70)</f>
        <v/>
      </c>
      <c r="AI70">
        <f>IF(A70="","",IF(OR(AH70="",NOT(ISNUMBER(AH70))),"",MAX(0,'02_Configuration'!$B$82-AH70)))</f>
        <v/>
      </c>
      <c r="AJ70">
        <f>IF(A70="","",IF(AI70="","Unknown",IF(AI70&lt;=3,"0–3 Days",IF(AI70&lt;=7,"4–7 Days",IF(AI70&lt;=15,"8–15 Days",IF(AI70&lt;=30,"16–30 Days","30+ Days"))))))</f>
        <v/>
      </c>
      <c r="AK70">
        <f>IF(A70="","",IF(LOWER(H70)="yes","Yes","No"))</f>
        <v/>
      </c>
      <c r="AL70">
        <f>IF(A70="","",'01_Master_Data'!T70)</f>
        <v/>
      </c>
      <c r="AM70">
        <f>IF(A70="","",'01_Master_Data'!S70)</f>
        <v/>
      </c>
      <c r="AN70">
        <f>IF(A70="","",'01_Master_Data'!I70)</f>
        <v/>
      </c>
      <c r="AO70">
        <f>IF(A70="","",'01_Master_Data'!M70)</f>
        <v/>
      </c>
      <c r="AP70">
        <f>IF(A70="","",IF(ISNUMBER(SEARCH("Icici",W70&amp;"")),1,0))</f>
        <v/>
      </c>
      <c r="AQ70">
        <f>IF(A70="","",IF(ISNUMBER(SEARCH("Propelld",W70&amp;"")),1,0))</f>
        <v/>
      </c>
      <c r="AR70">
        <f>IF(A70="","",IF(ISNUMBER(SEARCH("GyanDhan",W70&amp;"")),1,0))</f>
        <v/>
      </c>
      <c r="AS70">
        <f>IF(A70="","",IF(ISNUMBER(SEARCH("vidyalakshmi",LOWER(W70&amp;""))),1,0))</f>
        <v/>
      </c>
      <c r="AT70">
        <f>IF(A70="","",IF(ISNUMBER(SEARCH("other bank",LOWER(W70&amp;""))),1,0))</f>
        <v/>
      </c>
      <c r="AU70">
        <f>IF(A70="","",IF(ISNUMBER(SEARCH("sanctioned",LOWER(W70&amp;""))),1,0))</f>
        <v/>
      </c>
      <c r="AV70">
        <f>IF(A70="","",IF(ISNUMBER(SEARCH("Docs Pending",W70&amp;"")),1,0))</f>
        <v/>
      </c>
      <c r="AW70">
        <f>IF(A70="","",IF(OR(X70="Rejected",ISNUMBER(SEARCH("Not eligbile",W70&amp;""))),1,0))</f>
        <v/>
      </c>
    </row>
    <row r="71">
      <c r="A71">
        <f>IF('01_Master_Data'!B71="","",70)</f>
        <v/>
      </c>
      <c r="B71">
        <f>IF('01_Master_Data'!B71="","",IF('01_Master_Data'!C71&lt;&gt;"","MOB|"&amp;TEXT('01_Master_Data'!C71,"0"),IF('01_Master_Data'!D71&lt;&gt;"","PID|"&amp;TRIM('01_Master_Data'!D71&amp;""),"")))</f>
        <v/>
      </c>
      <c r="C71">
        <f>IF('01_Master_Data'!B71="","",'01_Master_Data'!B71)</f>
        <v/>
      </c>
      <c r="D71">
        <f>IF('01_Master_Data'!B71="","",'01_Master_Data'!C71)</f>
        <v/>
      </c>
      <c r="E71">
        <f>IF('01_Master_Data'!B71="","",'01_Master_Data'!D71)</f>
        <v/>
      </c>
      <c r="F71">
        <f>IF('01_Master_Data'!B71="","",'01_Master_Data'!E71)</f>
        <v/>
      </c>
      <c r="G71">
        <f>IF('01_Master_Data'!B71="","",IFERROR(VLOOKUP(TRIM('01_Master_Data'!E71&amp;""),'02_Configuration'!$A$40:$B$44,2,FALSE),UPPER(TRIM('01_Master_Data'!E71&amp;""))))</f>
        <v/>
      </c>
      <c r="H71">
        <f>IF('01_Master_Data'!B71="","",IF('01_Master_Data'!U71="","",TRIM('01_Master_Data'!U71&amp;"")))</f>
        <v/>
      </c>
      <c r="I71">
        <f>IF('01_Master_Data'!B71="","",TRIM('01_Master_Data'!F71&amp;""))</f>
        <v/>
      </c>
      <c r="J71">
        <f>IF('01_Master_Data'!B71="","",TRIM('01_Master_Data'!G71&amp;""))</f>
        <v/>
      </c>
      <c r="K71">
        <f>IF('01_Master_Data'!B71="","",'01_Master_Data'!H71)</f>
        <v/>
      </c>
      <c r="L71">
        <f>IF('01_Master_Data'!B71="","",IF(LOWER(TRIM('01_Master_Data'!V71&amp;""))="yes",1,0))</f>
        <v/>
      </c>
      <c r="M71">
        <f>IF('01_Master_Data'!B71="","",IF(LOWER(TRIM('01_Master_Data'!W71&amp;""))="yes",1,0))</f>
        <v/>
      </c>
      <c r="N71">
        <f>IF('01_Master_Data'!B71="","",IF(LOWER(TRIM('01_Master_Data'!X71&amp;""))="yes",1,0))</f>
        <v/>
      </c>
      <c r="O71">
        <f>IF('01_Master_Data'!B71="","",IF(LOWER(TRIM('01_Master_Data'!Y71&amp;""))="yes",1,0))</f>
        <v/>
      </c>
      <c r="P71">
        <f>IF('01_Master_Data'!B71="","",IF(LOWER(TRIM('01_Master_Data'!Z71&amp;""))="yes",1,0))</f>
        <v/>
      </c>
      <c r="Q71">
        <f>IF(A71="","",L71+M71+N71+O71+P71)</f>
        <v/>
      </c>
      <c r="R71">
        <f>IF(A71="","",IF(Q71&gt;1,"Yes","No"))</f>
        <v/>
      </c>
      <c r="S71">
        <f>IF(A71="","",TEXTJOIN(", ",TRUE,IF(L71=1,"ICICI",""),IF(M71=1,"Propelld",""),IF(N71=1,"Study4Buddy",""),IF(O71=1,"Poonawala Fincorp",""),IF(P71=1,"GyanDhan","")))</f>
        <v/>
      </c>
      <c r="T71">
        <f>IF(A71="","",IF(L71=1,"ICICI",IF(M71=1,"Propelld",IF(P71=1,"GyanDhan",IF(N71=1,"Study4Buddy",IF(O71=1,"Poonawala Fincorp",IF(ISNUMBER(SEARCH("GyanDhan",W71&amp;"")),"GyanDhan",IF(ISNUMBER(SEARCH("Icici",W71&amp;"")),"ICICI",IF(ISNUMBER(SEARCH("Propelld",W71&amp;"")),"Propelld",IF(ISNUMBER(SEARCH("vidyalakshmi",LOWER(W71&amp;"")),"PM Vidyalakshmi","—"))))))))))</f>
        <v/>
      </c>
      <c r="U71">
        <f>IF(A71="","",TRIM('01_Master_Data'!AA71&amp;""))</f>
        <v/>
      </c>
      <c r="V71">
        <f>IF(A71="","",TRIM('01_Master_Data'!AG71&amp;""))</f>
        <v/>
      </c>
      <c r="W71">
        <f>IF(A71="","",TRIM('01_Master_Data'!AH71&amp;""))</f>
        <v/>
      </c>
      <c r="X71">
        <f>IF(A71="","",IF(OR(LOWER(H71)="refund",LOWER(U71)="refund case"),"Refund",IF(OR(LOWER(H71)="dnp",LOWER(U71)="dnp"),"DNP",IF(OR(LOWER(V71)="disbursed",ISNUMBER(SEARCH("Disbursed",W71&amp;""))),"Disbursed",IF(OR(LOWER(V71)="loan proccessed/accepted",ISNUMBER(SEARCH("sanctioned",LOWER(W71&amp;"")))),"Sanctioned",IF(OR(LOWER(V71)="rejected",ISNUMBER(SEARCH("Not eligbile",W71&amp;"")),ISNUMBER(SEARCH("Not eligible",W71&amp;""))),"Rejected",IF(ISNUMBER(SEARCH("Docs Pending",W71&amp;"")),"Documents Pending",IF(AND(LOWER(H71)="yes",LOWER(V71)="ongoing"),"Processing",IF(AND(LOWER(H71)="yes",Q71&gt;0,OR(V71="",LOWER(V71)="not even started")),"Vendor Assigned",IF(AND(LOWER(H71)="yes",LOWER(V71)="not even started"),"Need Loan",IF(LOWER(H71)="yes","Loan Started",IF(LOWER(H71)="not sure","Interested",IF(OR(LOWER(H71)="no",LOWER(V71)="not required"),"Not Required","Unclassified")))))))))))))</f>
        <v/>
      </c>
      <c r="Y71">
        <f>IF(A71="","",IF(OR(X71="Sanctioned",X71="Disbursed",X71="Approved"),"Approved",IF(X71="Rejected","Rejected",IF(OR(X71="Processing",X71="Documents Pending",X71="Vendor Assigned"),"In Progress",IF(X71="Need Loan","Pending Start","—"))))</f>
        <v/>
      </c>
      <c r="Z71">
        <f>IF(A71="","",IF(X71="Disbursed","Disbursed",IF(X71="Sanctioned","Sanctioned - Awaiting Disbursement","Not Disbursed")))</f>
        <v/>
      </c>
      <c r="AA71">
        <f>IF(A71="","",IF(LOWER(TRIM('01_Master_Data'!AI71&amp;""))="yes","Need FLDG",IF(LOWER(TRIM('01_Master_Data'!AK71&amp;""))="yes","Need Vidyalakshmi",IF(LOWER(TRIM('01_Master_Data'!AJ71&amp;""))="yes","Need Review",IF(LOWER(J71)="critical","Critical",IF(LOWER(U71)="risk","Risk Case",IF(X71="Refund","Refund","Normal")))))))</f>
        <v/>
      </c>
      <c r="AB71">
        <f>IF(A71="","",IF(OR(LOWER(J71)="critical",LOWER(TRIM('01_Master_Data'!AI71&amp;""))="yes",LOWER(TRIM('01_Master_Data'!AK71&amp;""))="yes",LOWER(U71)="risk"),"Yes","No"))</f>
        <v/>
      </c>
      <c r="AC71">
        <f>IF(A71="","",IF(LOWER(TRIM('01_Master_Data'!AI71&amp;""))="yes","Yes","No"))</f>
        <v/>
      </c>
      <c r="AD71">
        <f>IF(A71="","",IF(LOWER(TRIM('01_Master_Data'!AK71&amp;""))="yes","Yes","No"))</f>
        <v/>
      </c>
      <c r="AE71">
        <f>IF(A71="","",IF(LOWER(TRIM('01_Master_Data'!AJ71&amp;""))="yes","Yes","No"))</f>
        <v/>
      </c>
      <c r="AF71">
        <f>IF(A71="","",TRIM('01_Master_Data'!AL71&amp;""))</f>
        <v/>
      </c>
      <c r="AG71">
        <f>IF(A71="","",IF(AF71="","—",IF(ISNUMBER(SEARCH("DNP",AF71)),"Unreachable / DNP",IF(ISNUMBER(SEARCH("interest",LOWER(AF71))),"High Interest / Terms",IF(OR(ISNUMBER(SEARCH("eligib",LOWER(AF71))),ISNUMBER(SEARCH("income",LOWER(AF71)))),"Eligibility / Income",IF(OR(ISNUMBER(SEARCH("start",LOWER(AF71))),ISNUMBER(SEARCH("Newer",AF71)),ISNUMBER(SEARCH("Will start",AF71))),"Process Yet to Start",IF(ISNUMBER(SEARCH("sure",LOWER(AF71))),"Undecided",IF(OR(ISNUMBER(SEARCH("reject",LOWER(AF71))),ISNUMBER(SEARCH("SBI",AF71))),"Rejected Elsewhere",IF(ISNUMBER(SEARCH("call",LOWER(AF71))),"Bank Communication",IF(OR(ISNUMBER(SEARCH("father",LOWER(AF71))),ISNUMBER(SEARCH("sister",LOWER(AF71)))),"Family / Dependency","Other"))))))))))</f>
        <v/>
      </c>
      <c r="AH71">
        <f>IF(A71="","",'01_Master_Data'!AC71)</f>
        <v/>
      </c>
      <c r="AI71">
        <f>IF(A71="","",IF(OR(AH71="",NOT(ISNUMBER(AH71))),"",MAX(0,'02_Configuration'!$B$82-AH71)))</f>
        <v/>
      </c>
      <c r="AJ71">
        <f>IF(A71="","",IF(AI71="","Unknown",IF(AI71&lt;=3,"0–3 Days",IF(AI71&lt;=7,"4–7 Days",IF(AI71&lt;=15,"8–15 Days",IF(AI71&lt;=30,"16–30 Days","30+ Days"))))))</f>
        <v/>
      </c>
      <c r="AK71">
        <f>IF(A71="","",IF(LOWER(H71)="yes","Yes","No"))</f>
        <v/>
      </c>
      <c r="AL71">
        <f>IF(A71="","",'01_Master_Data'!T71)</f>
        <v/>
      </c>
      <c r="AM71">
        <f>IF(A71="","",'01_Master_Data'!S71)</f>
        <v/>
      </c>
      <c r="AN71">
        <f>IF(A71="","",'01_Master_Data'!I71)</f>
        <v/>
      </c>
      <c r="AO71">
        <f>IF(A71="","",'01_Master_Data'!M71)</f>
        <v/>
      </c>
      <c r="AP71">
        <f>IF(A71="","",IF(ISNUMBER(SEARCH("Icici",W71&amp;"")),1,0))</f>
        <v/>
      </c>
      <c r="AQ71">
        <f>IF(A71="","",IF(ISNUMBER(SEARCH("Propelld",W71&amp;"")),1,0))</f>
        <v/>
      </c>
      <c r="AR71">
        <f>IF(A71="","",IF(ISNUMBER(SEARCH("GyanDhan",W71&amp;"")),1,0))</f>
        <v/>
      </c>
      <c r="AS71">
        <f>IF(A71="","",IF(ISNUMBER(SEARCH("vidyalakshmi",LOWER(W71&amp;""))),1,0))</f>
        <v/>
      </c>
      <c r="AT71">
        <f>IF(A71="","",IF(ISNUMBER(SEARCH("other bank",LOWER(W71&amp;""))),1,0))</f>
        <v/>
      </c>
      <c r="AU71">
        <f>IF(A71="","",IF(ISNUMBER(SEARCH("sanctioned",LOWER(W71&amp;""))),1,0))</f>
        <v/>
      </c>
      <c r="AV71">
        <f>IF(A71="","",IF(ISNUMBER(SEARCH("Docs Pending",W71&amp;"")),1,0))</f>
        <v/>
      </c>
      <c r="AW71">
        <f>IF(A71="","",IF(OR(X71="Rejected",ISNUMBER(SEARCH("Not eligbile",W71&amp;""))),1,0))</f>
        <v/>
      </c>
    </row>
    <row r="72">
      <c r="A72">
        <f>IF('01_Master_Data'!B72="","",71)</f>
        <v/>
      </c>
      <c r="B72">
        <f>IF('01_Master_Data'!B72="","",IF('01_Master_Data'!C72&lt;&gt;"","MOB|"&amp;TEXT('01_Master_Data'!C72,"0"),IF('01_Master_Data'!D72&lt;&gt;"","PID|"&amp;TRIM('01_Master_Data'!D72&amp;""),"")))</f>
        <v/>
      </c>
      <c r="C72">
        <f>IF('01_Master_Data'!B72="","",'01_Master_Data'!B72)</f>
        <v/>
      </c>
      <c r="D72">
        <f>IF('01_Master_Data'!B72="","",'01_Master_Data'!C72)</f>
        <v/>
      </c>
      <c r="E72">
        <f>IF('01_Master_Data'!B72="","",'01_Master_Data'!D72)</f>
        <v/>
      </c>
      <c r="F72">
        <f>IF('01_Master_Data'!B72="","",'01_Master_Data'!E72)</f>
        <v/>
      </c>
      <c r="G72">
        <f>IF('01_Master_Data'!B72="","",IFERROR(VLOOKUP(TRIM('01_Master_Data'!E72&amp;""),'02_Configuration'!$A$40:$B$44,2,FALSE),UPPER(TRIM('01_Master_Data'!E72&amp;""))))</f>
        <v/>
      </c>
      <c r="H72">
        <f>IF('01_Master_Data'!B72="","",IF('01_Master_Data'!U72="","",TRIM('01_Master_Data'!U72&amp;"")))</f>
        <v/>
      </c>
      <c r="I72">
        <f>IF('01_Master_Data'!B72="","",TRIM('01_Master_Data'!F72&amp;""))</f>
        <v/>
      </c>
      <c r="J72">
        <f>IF('01_Master_Data'!B72="","",TRIM('01_Master_Data'!G72&amp;""))</f>
        <v/>
      </c>
      <c r="K72">
        <f>IF('01_Master_Data'!B72="","",'01_Master_Data'!H72)</f>
        <v/>
      </c>
      <c r="L72">
        <f>IF('01_Master_Data'!B72="","",IF(LOWER(TRIM('01_Master_Data'!V72&amp;""))="yes",1,0))</f>
        <v/>
      </c>
      <c r="M72">
        <f>IF('01_Master_Data'!B72="","",IF(LOWER(TRIM('01_Master_Data'!W72&amp;""))="yes",1,0))</f>
        <v/>
      </c>
      <c r="N72">
        <f>IF('01_Master_Data'!B72="","",IF(LOWER(TRIM('01_Master_Data'!X72&amp;""))="yes",1,0))</f>
        <v/>
      </c>
      <c r="O72">
        <f>IF('01_Master_Data'!B72="","",IF(LOWER(TRIM('01_Master_Data'!Y72&amp;""))="yes",1,0))</f>
        <v/>
      </c>
      <c r="P72">
        <f>IF('01_Master_Data'!B72="","",IF(LOWER(TRIM('01_Master_Data'!Z72&amp;""))="yes",1,0))</f>
        <v/>
      </c>
      <c r="Q72">
        <f>IF(A72="","",L72+M72+N72+O72+P72)</f>
        <v/>
      </c>
      <c r="R72">
        <f>IF(A72="","",IF(Q72&gt;1,"Yes","No"))</f>
        <v/>
      </c>
      <c r="S72">
        <f>IF(A72="","",TEXTJOIN(", ",TRUE,IF(L72=1,"ICICI",""),IF(M72=1,"Propelld",""),IF(N72=1,"Study4Buddy",""),IF(O72=1,"Poonawala Fincorp",""),IF(P72=1,"GyanDhan","")))</f>
        <v/>
      </c>
      <c r="T72">
        <f>IF(A72="","",IF(L72=1,"ICICI",IF(M72=1,"Propelld",IF(P72=1,"GyanDhan",IF(N72=1,"Study4Buddy",IF(O72=1,"Poonawala Fincorp",IF(ISNUMBER(SEARCH("GyanDhan",W72&amp;"")),"GyanDhan",IF(ISNUMBER(SEARCH("Icici",W72&amp;"")),"ICICI",IF(ISNUMBER(SEARCH("Propelld",W72&amp;"")),"Propelld",IF(ISNUMBER(SEARCH("vidyalakshmi",LOWER(W72&amp;"")),"PM Vidyalakshmi","—"))))))))))</f>
        <v/>
      </c>
      <c r="U72">
        <f>IF(A72="","",TRIM('01_Master_Data'!AA72&amp;""))</f>
        <v/>
      </c>
      <c r="V72">
        <f>IF(A72="","",TRIM('01_Master_Data'!AG72&amp;""))</f>
        <v/>
      </c>
      <c r="W72">
        <f>IF(A72="","",TRIM('01_Master_Data'!AH72&amp;""))</f>
        <v/>
      </c>
      <c r="X72">
        <f>IF(A72="","",IF(OR(LOWER(H72)="refund",LOWER(U72)="refund case"),"Refund",IF(OR(LOWER(H72)="dnp",LOWER(U72)="dnp"),"DNP",IF(OR(LOWER(V72)="disbursed",ISNUMBER(SEARCH("Disbursed",W72&amp;""))),"Disbursed",IF(OR(LOWER(V72)="loan proccessed/accepted",ISNUMBER(SEARCH("sanctioned",LOWER(W72&amp;"")))),"Sanctioned",IF(OR(LOWER(V72)="rejected",ISNUMBER(SEARCH("Not eligbile",W72&amp;"")),ISNUMBER(SEARCH("Not eligible",W72&amp;""))),"Rejected",IF(ISNUMBER(SEARCH("Docs Pending",W72&amp;"")),"Documents Pending",IF(AND(LOWER(H72)="yes",LOWER(V72)="ongoing"),"Processing",IF(AND(LOWER(H72)="yes",Q72&gt;0,OR(V72="",LOWER(V72)="not even started")),"Vendor Assigned",IF(AND(LOWER(H72)="yes",LOWER(V72)="not even started"),"Need Loan",IF(LOWER(H72)="yes","Loan Started",IF(LOWER(H72)="not sure","Interested",IF(OR(LOWER(H72)="no",LOWER(V72)="not required"),"Not Required","Unclassified")))))))))))))</f>
        <v/>
      </c>
      <c r="Y72">
        <f>IF(A72="","",IF(OR(X72="Sanctioned",X72="Disbursed",X72="Approved"),"Approved",IF(X72="Rejected","Rejected",IF(OR(X72="Processing",X72="Documents Pending",X72="Vendor Assigned"),"In Progress",IF(X72="Need Loan","Pending Start","—"))))</f>
        <v/>
      </c>
      <c r="Z72">
        <f>IF(A72="","",IF(X72="Disbursed","Disbursed",IF(X72="Sanctioned","Sanctioned - Awaiting Disbursement","Not Disbursed")))</f>
        <v/>
      </c>
      <c r="AA72">
        <f>IF(A72="","",IF(LOWER(TRIM('01_Master_Data'!AI72&amp;""))="yes","Need FLDG",IF(LOWER(TRIM('01_Master_Data'!AK72&amp;""))="yes","Need Vidyalakshmi",IF(LOWER(TRIM('01_Master_Data'!AJ72&amp;""))="yes","Need Review",IF(LOWER(J72)="critical","Critical",IF(LOWER(U72)="risk","Risk Case",IF(X72="Refund","Refund","Normal")))))))</f>
        <v/>
      </c>
      <c r="AB72">
        <f>IF(A72="","",IF(OR(LOWER(J72)="critical",LOWER(TRIM('01_Master_Data'!AI72&amp;""))="yes",LOWER(TRIM('01_Master_Data'!AK72&amp;""))="yes",LOWER(U72)="risk"),"Yes","No"))</f>
        <v/>
      </c>
      <c r="AC72">
        <f>IF(A72="","",IF(LOWER(TRIM('01_Master_Data'!AI72&amp;""))="yes","Yes","No"))</f>
        <v/>
      </c>
      <c r="AD72">
        <f>IF(A72="","",IF(LOWER(TRIM('01_Master_Data'!AK72&amp;""))="yes","Yes","No"))</f>
        <v/>
      </c>
      <c r="AE72">
        <f>IF(A72="","",IF(LOWER(TRIM('01_Master_Data'!AJ72&amp;""))="yes","Yes","No"))</f>
        <v/>
      </c>
      <c r="AF72">
        <f>IF(A72="","",TRIM('01_Master_Data'!AL72&amp;""))</f>
        <v/>
      </c>
      <c r="AG72">
        <f>IF(A72="","",IF(AF72="","—",IF(ISNUMBER(SEARCH("DNP",AF72)),"Unreachable / DNP",IF(ISNUMBER(SEARCH("interest",LOWER(AF72))),"High Interest / Terms",IF(OR(ISNUMBER(SEARCH("eligib",LOWER(AF72))),ISNUMBER(SEARCH("income",LOWER(AF72)))),"Eligibility / Income",IF(OR(ISNUMBER(SEARCH("start",LOWER(AF72))),ISNUMBER(SEARCH("Newer",AF72)),ISNUMBER(SEARCH("Will start",AF72))),"Process Yet to Start",IF(ISNUMBER(SEARCH("sure",LOWER(AF72))),"Undecided",IF(OR(ISNUMBER(SEARCH("reject",LOWER(AF72))),ISNUMBER(SEARCH("SBI",AF72))),"Rejected Elsewhere",IF(ISNUMBER(SEARCH("call",LOWER(AF72))),"Bank Communication",IF(OR(ISNUMBER(SEARCH("father",LOWER(AF72))),ISNUMBER(SEARCH("sister",LOWER(AF72)))),"Family / Dependency","Other"))))))))))</f>
        <v/>
      </c>
      <c r="AH72">
        <f>IF(A72="","",'01_Master_Data'!AC72)</f>
        <v/>
      </c>
      <c r="AI72">
        <f>IF(A72="","",IF(OR(AH72="",NOT(ISNUMBER(AH72))),"",MAX(0,'02_Configuration'!$B$82-AH72)))</f>
        <v/>
      </c>
      <c r="AJ72">
        <f>IF(A72="","",IF(AI72="","Unknown",IF(AI72&lt;=3,"0–3 Days",IF(AI72&lt;=7,"4–7 Days",IF(AI72&lt;=15,"8–15 Days",IF(AI72&lt;=30,"16–30 Days","30+ Days"))))))</f>
        <v/>
      </c>
      <c r="AK72">
        <f>IF(A72="","",IF(LOWER(H72)="yes","Yes","No"))</f>
        <v/>
      </c>
      <c r="AL72">
        <f>IF(A72="","",'01_Master_Data'!T72)</f>
        <v/>
      </c>
      <c r="AM72">
        <f>IF(A72="","",'01_Master_Data'!S72)</f>
        <v/>
      </c>
      <c r="AN72">
        <f>IF(A72="","",'01_Master_Data'!I72)</f>
        <v/>
      </c>
      <c r="AO72">
        <f>IF(A72="","",'01_Master_Data'!M72)</f>
        <v/>
      </c>
      <c r="AP72">
        <f>IF(A72="","",IF(ISNUMBER(SEARCH("Icici",W72&amp;"")),1,0))</f>
        <v/>
      </c>
      <c r="AQ72">
        <f>IF(A72="","",IF(ISNUMBER(SEARCH("Propelld",W72&amp;"")),1,0))</f>
        <v/>
      </c>
      <c r="AR72">
        <f>IF(A72="","",IF(ISNUMBER(SEARCH("GyanDhan",W72&amp;"")),1,0))</f>
        <v/>
      </c>
      <c r="AS72">
        <f>IF(A72="","",IF(ISNUMBER(SEARCH("vidyalakshmi",LOWER(W72&amp;""))),1,0))</f>
        <v/>
      </c>
      <c r="AT72">
        <f>IF(A72="","",IF(ISNUMBER(SEARCH("other bank",LOWER(W72&amp;""))),1,0))</f>
        <v/>
      </c>
      <c r="AU72">
        <f>IF(A72="","",IF(ISNUMBER(SEARCH("sanctioned",LOWER(W72&amp;""))),1,0))</f>
        <v/>
      </c>
      <c r="AV72">
        <f>IF(A72="","",IF(ISNUMBER(SEARCH("Docs Pending",W72&amp;"")),1,0))</f>
        <v/>
      </c>
      <c r="AW72">
        <f>IF(A72="","",IF(OR(X72="Rejected",ISNUMBER(SEARCH("Not eligbile",W72&amp;""))),1,0))</f>
        <v/>
      </c>
    </row>
    <row r="73">
      <c r="A73">
        <f>IF('01_Master_Data'!B73="","",72)</f>
        <v/>
      </c>
      <c r="B73">
        <f>IF('01_Master_Data'!B73="","",IF('01_Master_Data'!C73&lt;&gt;"","MOB|"&amp;TEXT('01_Master_Data'!C73,"0"),IF('01_Master_Data'!D73&lt;&gt;"","PID|"&amp;TRIM('01_Master_Data'!D73&amp;""),"")))</f>
        <v/>
      </c>
      <c r="C73">
        <f>IF('01_Master_Data'!B73="","",'01_Master_Data'!B73)</f>
        <v/>
      </c>
      <c r="D73">
        <f>IF('01_Master_Data'!B73="","",'01_Master_Data'!C73)</f>
        <v/>
      </c>
      <c r="E73">
        <f>IF('01_Master_Data'!B73="","",'01_Master_Data'!D73)</f>
        <v/>
      </c>
      <c r="F73">
        <f>IF('01_Master_Data'!B73="","",'01_Master_Data'!E73)</f>
        <v/>
      </c>
      <c r="G73">
        <f>IF('01_Master_Data'!B73="","",IFERROR(VLOOKUP(TRIM('01_Master_Data'!E73&amp;""),'02_Configuration'!$A$40:$B$44,2,FALSE),UPPER(TRIM('01_Master_Data'!E73&amp;""))))</f>
        <v/>
      </c>
      <c r="H73">
        <f>IF('01_Master_Data'!B73="","",IF('01_Master_Data'!U73="","",TRIM('01_Master_Data'!U73&amp;"")))</f>
        <v/>
      </c>
      <c r="I73">
        <f>IF('01_Master_Data'!B73="","",TRIM('01_Master_Data'!F73&amp;""))</f>
        <v/>
      </c>
      <c r="J73">
        <f>IF('01_Master_Data'!B73="","",TRIM('01_Master_Data'!G73&amp;""))</f>
        <v/>
      </c>
      <c r="K73">
        <f>IF('01_Master_Data'!B73="","",'01_Master_Data'!H73)</f>
        <v/>
      </c>
      <c r="L73">
        <f>IF('01_Master_Data'!B73="","",IF(LOWER(TRIM('01_Master_Data'!V73&amp;""))="yes",1,0))</f>
        <v/>
      </c>
      <c r="M73">
        <f>IF('01_Master_Data'!B73="","",IF(LOWER(TRIM('01_Master_Data'!W73&amp;""))="yes",1,0))</f>
        <v/>
      </c>
      <c r="N73">
        <f>IF('01_Master_Data'!B73="","",IF(LOWER(TRIM('01_Master_Data'!X73&amp;""))="yes",1,0))</f>
        <v/>
      </c>
      <c r="O73">
        <f>IF('01_Master_Data'!B73="","",IF(LOWER(TRIM('01_Master_Data'!Y73&amp;""))="yes",1,0))</f>
        <v/>
      </c>
      <c r="P73">
        <f>IF('01_Master_Data'!B73="","",IF(LOWER(TRIM('01_Master_Data'!Z73&amp;""))="yes",1,0))</f>
        <v/>
      </c>
      <c r="Q73">
        <f>IF(A73="","",L73+M73+N73+O73+P73)</f>
        <v/>
      </c>
      <c r="R73">
        <f>IF(A73="","",IF(Q73&gt;1,"Yes","No"))</f>
        <v/>
      </c>
      <c r="S73">
        <f>IF(A73="","",TEXTJOIN(", ",TRUE,IF(L73=1,"ICICI",""),IF(M73=1,"Propelld",""),IF(N73=1,"Study4Buddy",""),IF(O73=1,"Poonawala Fincorp",""),IF(P73=1,"GyanDhan","")))</f>
        <v/>
      </c>
      <c r="T73">
        <f>IF(A73="","",IF(L73=1,"ICICI",IF(M73=1,"Propelld",IF(P73=1,"GyanDhan",IF(N73=1,"Study4Buddy",IF(O73=1,"Poonawala Fincorp",IF(ISNUMBER(SEARCH("GyanDhan",W73&amp;"")),"GyanDhan",IF(ISNUMBER(SEARCH("Icici",W73&amp;"")),"ICICI",IF(ISNUMBER(SEARCH("Propelld",W73&amp;"")),"Propelld",IF(ISNUMBER(SEARCH("vidyalakshmi",LOWER(W73&amp;"")),"PM Vidyalakshmi","—"))))))))))</f>
        <v/>
      </c>
      <c r="U73">
        <f>IF(A73="","",TRIM('01_Master_Data'!AA73&amp;""))</f>
        <v/>
      </c>
      <c r="V73">
        <f>IF(A73="","",TRIM('01_Master_Data'!AG73&amp;""))</f>
        <v/>
      </c>
      <c r="W73">
        <f>IF(A73="","",TRIM('01_Master_Data'!AH73&amp;""))</f>
        <v/>
      </c>
      <c r="X73">
        <f>IF(A73="","",IF(OR(LOWER(H73)="refund",LOWER(U73)="refund case"),"Refund",IF(OR(LOWER(H73)="dnp",LOWER(U73)="dnp"),"DNP",IF(OR(LOWER(V73)="disbursed",ISNUMBER(SEARCH("Disbursed",W73&amp;""))),"Disbursed",IF(OR(LOWER(V73)="loan proccessed/accepted",ISNUMBER(SEARCH("sanctioned",LOWER(W73&amp;"")))),"Sanctioned",IF(OR(LOWER(V73)="rejected",ISNUMBER(SEARCH("Not eligbile",W73&amp;"")),ISNUMBER(SEARCH("Not eligible",W73&amp;""))),"Rejected",IF(ISNUMBER(SEARCH("Docs Pending",W73&amp;"")),"Documents Pending",IF(AND(LOWER(H73)="yes",LOWER(V73)="ongoing"),"Processing",IF(AND(LOWER(H73)="yes",Q73&gt;0,OR(V73="",LOWER(V73)="not even started")),"Vendor Assigned",IF(AND(LOWER(H73)="yes",LOWER(V73)="not even started"),"Need Loan",IF(LOWER(H73)="yes","Loan Started",IF(LOWER(H73)="not sure","Interested",IF(OR(LOWER(H73)="no",LOWER(V73)="not required"),"Not Required","Unclassified")))))))))))))</f>
        <v/>
      </c>
      <c r="Y73">
        <f>IF(A73="","",IF(OR(X73="Sanctioned",X73="Disbursed",X73="Approved"),"Approved",IF(X73="Rejected","Rejected",IF(OR(X73="Processing",X73="Documents Pending",X73="Vendor Assigned"),"In Progress",IF(X73="Need Loan","Pending Start","—"))))</f>
        <v/>
      </c>
      <c r="Z73">
        <f>IF(A73="","",IF(X73="Disbursed","Disbursed",IF(X73="Sanctioned","Sanctioned - Awaiting Disbursement","Not Disbursed")))</f>
        <v/>
      </c>
      <c r="AA73">
        <f>IF(A73="","",IF(LOWER(TRIM('01_Master_Data'!AI73&amp;""))="yes","Need FLDG",IF(LOWER(TRIM('01_Master_Data'!AK73&amp;""))="yes","Need Vidyalakshmi",IF(LOWER(TRIM('01_Master_Data'!AJ73&amp;""))="yes","Need Review",IF(LOWER(J73)="critical","Critical",IF(LOWER(U73)="risk","Risk Case",IF(X73="Refund","Refund","Normal")))))))</f>
        <v/>
      </c>
      <c r="AB73">
        <f>IF(A73="","",IF(OR(LOWER(J73)="critical",LOWER(TRIM('01_Master_Data'!AI73&amp;""))="yes",LOWER(TRIM('01_Master_Data'!AK73&amp;""))="yes",LOWER(U73)="risk"),"Yes","No"))</f>
        <v/>
      </c>
      <c r="AC73">
        <f>IF(A73="","",IF(LOWER(TRIM('01_Master_Data'!AI73&amp;""))="yes","Yes","No"))</f>
        <v/>
      </c>
      <c r="AD73">
        <f>IF(A73="","",IF(LOWER(TRIM('01_Master_Data'!AK73&amp;""))="yes","Yes","No"))</f>
        <v/>
      </c>
      <c r="AE73">
        <f>IF(A73="","",IF(LOWER(TRIM('01_Master_Data'!AJ73&amp;""))="yes","Yes","No"))</f>
        <v/>
      </c>
      <c r="AF73">
        <f>IF(A73="","",TRIM('01_Master_Data'!AL73&amp;""))</f>
        <v/>
      </c>
      <c r="AG73">
        <f>IF(A73="","",IF(AF73="","—",IF(ISNUMBER(SEARCH("DNP",AF73)),"Unreachable / DNP",IF(ISNUMBER(SEARCH("interest",LOWER(AF73))),"High Interest / Terms",IF(OR(ISNUMBER(SEARCH("eligib",LOWER(AF73))),ISNUMBER(SEARCH("income",LOWER(AF73)))),"Eligibility / Income",IF(OR(ISNUMBER(SEARCH("start",LOWER(AF73))),ISNUMBER(SEARCH("Newer",AF73)),ISNUMBER(SEARCH("Will start",AF73))),"Process Yet to Start",IF(ISNUMBER(SEARCH("sure",LOWER(AF73))),"Undecided",IF(OR(ISNUMBER(SEARCH("reject",LOWER(AF73))),ISNUMBER(SEARCH("SBI",AF73))),"Rejected Elsewhere",IF(ISNUMBER(SEARCH("call",LOWER(AF73))),"Bank Communication",IF(OR(ISNUMBER(SEARCH("father",LOWER(AF73))),ISNUMBER(SEARCH("sister",LOWER(AF73)))),"Family / Dependency","Other"))))))))))</f>
        <v/>
      </c>
      <c r="AH73">
        <f>IF(A73="","",'01_Master_Data'!AC73)</f>
        <v/>
      </c>
      <c r="AI73">
        <f>IF(A73="","",IF(OR(AH73="",NOT(ISNUMBER(AH73))),"",MAX(0,'02_Configuration'!$B$82-AH73)))</f>
        <v/>
      </c>
      <c r="AJ73">
        <f>IF(A73="","",IF(AI73="","Unknown",IF(AI73&lt;=3,"0–3 Days",IF(AI73&lt;=7,"4–7 Days",IF(AI73&lt;=15,"8–15 Days",IF(AI73&lt;=30,"16–30 Days","30+ Days"))))))</f>
        <v/>
      </c>
      <c r="AK73">
        <f>IF(A73="","",IF(LOWER(H73)="yes","Yes","No"))</f>
        <v/>
      </c>
      <c r="AL73">
        <f>IF(A73="","",'01_Master_Data'!T73)</f>
        <v/>
      </c>
      <c r="AM73">
        <f>IF(A73="","",'01_Master_Data'!S73)</f>
        <v/>
      </c>
      <c r="AN73">
        <f>IF(A73="","",'01_Master_Data'!I73)</f>
        <v/>
      </c>
      <c r="AO73">
        <f>IF(A73="","",'01_Master_Data'!M73)</f>
        <v/>
      </c>
      <c r="AP73">
        <f>IF(A73="","",IF(ISNUMBER(SEARCH("Icici",W73&amp;"")),1,0))</f>
        <v/>
      </c>
      <c r="AQ73">
        <f>IF(A73="","",IF(ISNUMBER(SEARCH("Propelld",W73&amp;"")),1,0))</f>
        <v/>
      </c>
      <c r="AR73">
        <f>IF(A73="","",IF(ISNUMBER(SEARCH("GyanDhan",W73&amp;"")),1,0))</f>
        <v/>
      </c>
      <c r="AS73">
        <f>IF(A73="","",IF(ISNUMBER(SEARCH("vidyalakshmi",LOWER(W73&amp;""))),1,0))</f>
        <v/>
      </c>
      <c r="AT73">
        <f>IF(A73="","",IF(ISNUMBER(SEARCH("other bank",LOWER(W73&amp;""))),1,0))</f>
        <v/>
      </c>
      <c r="AU73">
        <f>IF(A73="","",IF(ISNUMBER(SEARCH("sanctioned",LOWER(W73&amp;""))),1,0))</f>
        <v/>
      </c>
      <c r="AV73">
        <f>IF(A73="","",IF(ISNUMBER(SEARCH("Docs Pending",W73&amp;"")),1,0))</f>
        <v/>
      </c>
      <c r="AW73">
        <f>IF(A73="","",IF(OR(X73="Rejected",ISNUMBER(SEARCH("Not eligbile",W73&amp;""))),1,0))</f>
        <v/>
      </c>
    </row>
    <row r="74">
      <c r="A74">
        <f>IF('01_Master_Data'!B74="","",73)</f>
        <v/>
      </c>
      <c r="B74">
        <f>IF('01_Master_Data'!B74="","",IF('01_Master_Data'!C74&lt;&gt;"","MOB|"&amp;TEXT('01_Master_Data'!C74,"0"),IF('01_Master_Data'!D74&lt;&gt;"","PID|"&amp;TRIM('01_Master_Data'!D74&amp;""),"")))</f>
        <v/>
      </c>
      <c r="C74">
        <f>IF('01_Master_Data'!B74="","",'01_Master_Data'!B74)</f>
        <v/>
      </c>
      <c r="D74">
        <f>IF('01_Master_Data'!B74="","",'01_Master_Data'!C74)</f>
        <v/>
      </c>
      <c r="E74">
        <f>IF('01_Master_Data'!B74="","",'01_Master_Data'!D74)</f>
        <v/>
      </c>
      <c r="F74">
        <f>IF('01_Master_Data'!B74="","",'01_Master_Data'!E74)</f>
        <v/>
      </c>
      <c r="G74">
        <f>IF('01_Master_Data'!B74="","",IFERROR(VLOOKUP(TRIM('01_Master_Data'!E74&amp;""),'02_Configuration'!$A$40:$B$44,2,FALSE),UPPER(TRIM('01_Master_Data'!E74&amp;""))))</f>
        <v/>
      </c>
      <c r="H74">
        <f>IF('01_Master_Data'!B74="","",IF('01_Master_Data'!U74="","",TRIM('01_Master_Data'!U74&amp;"")))</f>
        <v/>
      </c>
      <c r="I74">
        <f>IF('01_Master_Data'!B74="","",TRIM('01_Master_Data'!F74&amp;""))</f>
        <v/>
      </c>
      <c r="J74">
        <f>IF('01_Master_Data'!B74="","",TRIM('01_Master_Data'!G74&amp;""))</f>
        <v/>
      </c>
      <c r="K74">
        <f>IF('01_Master_Data'!B74="","",'01_Master_Data'!H74)</f>
        <v/>
      </c>
      <c r="L74">
        <f>IF('01_Master_Data'!B74="","",IF(LOWER(TRIM('01_Master_Data'!V74&amp;""))="yes",1,0))</f>
        <v/>
      </c>
      <c r="M74">
        <f>IF('01_Master_Data'!B74="","",IF(LOWER(TRIM('01_Master_Data'!W74&amp;""))="yes",1,0))</f>
        <v/>
      </c>
      <c r="N74">
        <f>IF('01_Master_Data'!B74="","",IF(LOWER(TRIM('01_Master_Data'!X74&amp;""))="yes",1,0))</f>
        <v/>
      </c>
      <c r="O74">
        <f>IF('01_Master_Data'!B74="","",IF(LOWER(TRIM('01_Master_Data'!Y74&amp;""))="yes",1,0))</f>
        <v/>
      </c>
      <c r="P74">
        <f>IF('01_Master_Data'!B74="","",IF(LOWER(TRIM('01_Master_Data'!Z74&amp;""))="yes",1,0))</f>
        <v/>
      </c>
      <c r="Q74">
        <f>IF(A74="","",L74+M74+N74+O74+P74)</f>
        <v/>
      </c>
      <c r="R74">
        <f>IF(A74="","",IF(Q74&gt;1,"Yes","No"))</f>
        <v/>
      </c>
      <c r="S74">
        <f>IF(A74="","",TEXTJOIN(", ",TRUE,IF(L74=1,"ICICI",""),IF(M74=1,"Propelld",""),IF(N74=1,"Study4Buddy",""),IF(O74=1,"Poonawala Fincorp",""),IF(P74=1,"GyanDhan","")))</f>
        <v/>
      </c>
      <c r="T74">
        <f>IF(A74="","",IF(L74=1,"ICICI",IF(M74=1,"Propelld",IF(P74=1,"GyanDhan",IF(N74=1,"Study4Buddy",IF(O74=1,"Poonawala Fincorp",IF(ISNUMBER(SEARCH("GyanDhan",W74&amp;"")),"GyanDhan",IF(ISNUMBER(SEARCH("Icici",W74&amp;"")),"ICICI",IF(ISNUMBER(SEARCH("Propelld",W74&amp;"")),"Propelld",IF(ISNUMBER(SEARCH("vidyalakshmi",LOWER(W74&amp;"")),"PM Vidyalakshmi","—"))))))))))</f>
        <v/>
      </c>
      <c r="U74">
        <f>IF(A74="","",TRIM('01_Master_Data'!AA74&amp;""))</f>
        <v/>
      </c>
      <c r="V74">
        <f>IF(A74="","",TRIM('01_Master_Data'!AG74&amp;""))</f>
        <v/>
      </c>
      <c r="W74">
        <f>IF(A74="","",TRIM('01_Master_Data'!AH74&amp;""))</f>
        <v/>
      </c>
      <c r="X74">
        <f>IF(A74="","",IF(OR(LOWER(H74)="refund",LOWER(U74)="refund case"),"Refund",IF(OR(LOWER(H74)="dnp",LOWER(U74)="dnp"),"DNP",IF(OR(LOWER(V74)="disbursed",ISNUMBER(SEARCH("Disbursed",W74&amp;""))),"Disbursed",IF(OR(LOWER(V74)="loan proccessed/accepted",ISNUMBER(SEARCH("sanctioned",LOWER(W74&amp;"")))),"Sanctioned",IF(OR(LOWER(V74)="rejected",ISNUMBER(SEARCH("Not eligbile",W74&amp;"")),ISNUMBER(SEARCH("Not eligible",W74&amp;""))),"Rejected",IF(ISNUMBER(SEARCH("Docs Pending",W74&amp;"")),"Documents Pending",IF(AND(LOWER(H74)="yes",LOWER(V74)="ongoing"),"Processing",IF(AND(LOWER(H74)="yes",Q74&gt;0,OR(V74="",LOWER(V74)="not even started")),"Vendor Assigned",IF(AND(LOWER(H74)="yes",LOWER(V74)="not even started"),"Need Loan",IF(LOWER(H74)="yes","Loan Started",IF(LOWER(H74)="not sure","Interested",IF(OR(LOWER(H74)="no",LOWER(V74)="not required"),"Not Required","Unclassified")))))))))))))</f>
        <v/>
      </c>
      <c r="Y74">
        <f>IF(A74="","",IF(OR(X74="Sanctioned",X74="Disbursed",X74="Approved"),"Approved",IF(X74="Rejected","Rejected",IF(OR(X74="Processing",X74="Documents Pending",X74="Vendor Assigned"),"In Progress",IF(X74="Need Loan","Pending Start","—"))))</f>
        <v/>
      </c>
      <c r="Z74">
        <f>IF(A74="","",IF(X74="Disbursed","Disbursed",IF(X74="Sanctioned","Sanctioned - Awaiting Disbursement","Not Disbursed")))</f>
        <v/>
      </c>
      <c r="AA74">
        <f>IF(A74="","",IF(LOWER(TRIM('01_Master_Data'!AI74&amp;""))="yes","Need FLDG",IF(LOWER(TRIM('01_Master_Data'!AK74&amp;""))="yes","Need Vidyalakshmi",IF(LOWER(TRIM('01_Master_Data'!AJ74&amp;""))="yes","Need Review",IF(LOWER(J74)="critical","Critical",IF(LOWER(U74)="risk","Risk Case",IF(X74="Refund","Refund","Normal")))))))</f>
        <v/>
      </c>
      <c r="AB74">
        <f>IF(A74="","",IF(OR(LOWER(J74)="critical",LOWER(TRIM('01_Master_Data'!AI74&amp;""))="yes",LOWER(TRIM('01_Master_Data'!AK74&amp;""))="yes",LOWER(U74)="risk"),"Yes","No"))</f>
        <v/>
      </c>
      <c r="AC74">
        <f>IF(A74="","",IF(LOWER(TRIM('01_Master_Data'!AI74&amp;""))="yes","Yes","No"))</f>
        <v/>
      </c>
      <c r="AD74">
        <f>IF(A74="","",IF(LOWER(TRIM('01_Master_Data'!AK74&amp;""))="yes","Yes","No"))</f>
        <v/>
      </c>
      <c r="AE74">
        <f>IF(A74="","",IF(LOWER(TRIM('01_Master_Data'!AJ74&amp;""))="yes","Yes","No"))</f>
        <v/>
      </c>
      <c r="AF74">
        <f>IF(A74="","",TRIM('01_Master_Data'!AL74&amp;""))</f>
        <v/>
      </c>
      <c r="AG74">
        <f>IF(A74="","",IF(AF74="","—",IF(ISNUMBER(SEARCH("DNP",AF74)),"Unreachable / DNP",IF(ISNUMBER(SEARCH("interest",LOWER(AF74))),"High Interest / Terms",IF(OR(ISNUMBER(SEARCH("eligib",LOWER(AF74))),ISNUMBER(SEARCH("income",LOWER(AF74)))),"Eligibility / Income",IF(OR(ISNUMBER(SEARCH("start",LOWER(AF74))),ISNUMBER(SEARCH("Newer",AF74)),ISNUMBER(SEARCH("Will start",AF74))),"Process Yet to Start",IF(ISNUMBER(SEARCH("sure",LOWER(AF74))),"Undecided",IF(OR(ISNUMBER(SEARCH("reject",LOWER(AF74))),ISNUMBER(SEARCH("SBI",AF74))),"Rejected Elsewhere",IF(ISNUMBER(SEARCH("call",LOWER(AF74))),"Bank Communication",IF(OR(ISNUMBER(SEARCH("father",LOWER(AF74))),ISNUMBER(SEARCH("sister",LOWER(AF74)))),"Family / Dependency","Other"))))))))))</f>
        <v/>
      </c>
      <c r="AH74">
        <f>IF(A74="","",'01_Master_Data'!AC74)</f>
        <v/>
      </c>
      <c r="AI74">
        <f>IF(A74="","",IF(OR(AH74="",NOT(ISNUMBER(AH74))),"",MAX(0,'02_Configuration'!$B$82-AH74)))</f>
        <v/>
      </c>
      <c r="AJ74">
        <f>IF(A74="","",IF(AI74="","Unknown",IF(AI74&lt;=3,"0–3 Days",IF(AI74&lt;=7,"4–7 Days",IF(AI74&lt;=15,"8–15 Days",IF(AI74&lt;=30,"16–30 Days","30+ Days"))))))</f>
        <v/>
      </c>
      <c r="AK74">
        <f>IF(A74="","",IF(LOWER(H74)="yes","Yes","No"))</f>
        <v/>
      </c>
      <c r="AL74">
        <f>IF(A74="","",'01_Master_Data'!T74)</f>
        <v/>
      </c>
      <c r="AM74">
        <f>IF(A74="","",'01_Master_Data'!S74)</f>
        <v/>
      </c>
      <c r="AN74">
        <f>IF(A74="","",'01_Master_Data'!I74)</f>
        <v/>
      </c>
      <c r="AO74">
        <f>IF(A74="","",'01_Master_Data'!M74)</f>
        <v/>
      </c>
      <c r="AP74">
        <f>IF(A74="","",IF(ISNUMBER(SEARCH("Icici",W74&amp;"")),1,0))</f>
        <v/>
      </c>
      <c r="AQ74">
        <f>IF(A74="","",IF(ISNUMBER(SEARCH("Propelld",W74&amp;"")),1,0))</f>
        <v/>
      </c>
      <c r="AR74">
        <f>IF(A74="","",IF(ISNUMBER(SEARCH("GyanDhan",W74&amp;"")),1,0))</f>
        <v/>
      </c>
      <c r="AS74">
        <f>IF(A74="","",IF(ISNUMBER(SEARCH("vidyalakshmi",LOWER(W74&amp;""))),1,0))</f>
        <v/>
      </c>
      <c r="AT74">
        <f>IF(A74="","",IF(ISNUMBER(SEARCH("other bank",LOWER(W74&amp;""))),1,0))</f>
        <v/>
      </c>
      <c r="AU74">
        <f>IF(A74="","",IF(ISNUMBER(SEARCH("sanctioned",LOWER(W74&amp;""))),1,0))</f>
        <v/>
      </c>
      <c r="AV74">
        <f>IF(A74="","",IF(ISNUMBER(SEARCH("Docs Pending",W74&amp;"")),1,0))</f>
        <v/>
      </c>
      <c r="AW74">
        <f>IF(A74="","",IF(OR(X74="Rejected",ISNUMBER(SEARCH("Not eligbile",W74&amp;""))),1,0))</f>
        <v/>
      </c>
    </row>
    <row r="75">
      <c r="A75">
        <f>IF('01_Master_Data'!B75="","",74)</f>
        <v/>
      </c>
      <c r="B75">
        <f>IF('01_Master_Data'!B75="","",IF('01_Master_Data'!C75&lt;&gt;"","MOB|"&amp;TEXT('01_Master_Data'!C75,"0"),IF('01_Master_Data'!D75&lt;&gt;"","PID|"&amp;TRIM('01_Master_Data'!D75&amp;""),"")))</f>
        <v/>
      </c>
      <c r="C75">
        <f>IF('01_Master_Data'!B75="","",'01_Master_Data'!B75)</f>
        <v/>
      </c>
      <c r="D75">
        <f>IF('01_Master_Data'!B75="","",'01_Master_Data'!C75)</f>
        <v/>
      </c>
      <c r="E75">
        <f>IF('01_Master_Data'!B75="","",'01_Master_Data'!D75)</f>
        <v/>
      </c>
      <c r="F75">
        <f>IF('01_Master_Data'!B75="","",'01_Master_Data'!E75)</f>
        <v/>
      </c>
      <c r="G75">
        <f>IF('01_Master_Data'!B75="","",IFERROR(VLOOKUP(TRIM('01_Master_Data'!E75&amp;""),'02_Configuration'!$A$40:$B$44,2,FALSE),UPPER(TRIM('01_Master_Data'!E75&amp;""))))</f>
        <v/>
      </c>
      <c r="H75">
        <f>IF('01_Master_Data'!B75="","",IF('01_Master_Data'!U75="","",TRIM('01_Master_Data'!U75&amp;"")))</f>
        <v/>
      </c>
      <c r="I75">
        <f>IF('01_Master_Data'!B75="","",TRIM('01_Master_Data'!F75&amp;""))</f>
        <v/>
      </c>
      <c r="J75">
        <f>IF('01_Master_Data'!B75="","",TRIM('01_Master_Data'!G75&amp;""))</f>
        <v/>
      </c>
      <c r="K75">
        <f>IF('01_Master_Data'!B75="","",'01_Master_Data'!H75)</f>
        <v/>
      </c>
      <c r="L75">
        <f>IF('01_Master_Data'!B75="","",IF(LOWER(TRIM('01_Master_Data'!V75&amp;""))="yes",1,0))</f>
        <v/>
      </c>
      <c r="M75">
        <f>IF('01_Master_Data'!B75="","",IF(LOWER(TRIM('01_Master_Data'!W75&amp;""))="yes",1,0))</f>
        <v/>
      </c>
      <c r="N75">
        <f>IF('01_Master_Data'!B75="","",IF(LOWER(TRIM('01_Master_Data'!X75&amp;""))="yes",1,0))</f>
        <v/>
      </c>
      <c r="O75">
        <f>IF('01_Master_Data'!B75="","",IF(LOWER(TRIM('01_Master_Data'!Y75&amp;""))="yes",1,0))</f>
        <v/>
      </c>
      <c r="P75">
        <f>IF('01_Master_Data'!B75="","",IF(LOWER(TRIM('01_Master_Data'!Z75&amp;""))="yes",1,0))</f>
        <v/>
      </c>
      <c r="Q75">
        <f>IF(A75="","",L75+M75+N75+O75+P75)</f>
        <v/>
      </c>
      <c r="R75">
        <f>IF(A75="","",IF(Q75&gt;1,"Yes","No"))</f>
        <v/>
      </c>
      <c r="S75">
        <f>IF(A75="","",TEXTJOIN(", ",TRUE,IF(L75=1,"ICICI",""),IF(M75=1,"Propelld",""),IF(N75=1,"Study4Buddy",""),IF(O75=1,"Poonawala Fincorp",""),IF(P75=1,"GyanDhan","")))</f>
        <v/>
      </c>
      <c r="T75">
        <f>IF(A75="","",IF(L75=1,"ICICI",IF(M75=1,"Propelld",IF(P75=1,"GyanDhan",IF(N75=1,"Study4Buddy",IF(O75=1,"Poonawala Fincorp",IF(ISNUMBER(SEARCH("GyanDhan",W75&amp;"")),"GyanDhan",IF(ISNUMBER(SEARCH("Icici",W75&amp;"")),"ICICI",IF(ISNUMBER(SEARCH("Propelld",W75&amp;"")),"Propelld",IF(ISNUMBER(SEARCH("vidyalakshmi",LOWER(W75&amp;"")),"PM Vidyalakshmi","—"))))))))))</f>
        <v/>
      </c>
      <c r="U75">
        <f>IF(A75="","",TRIM('01_Master_Data'!AA75&amp;""))</f>
        <v/>
      </c>
      <c r="V75">
        <f>IF(A75="","",TRIM('01_Master_Data'!AG75&amp;""))</f>
        <v/>
      </c>
      <c r="W75">
        <f>IF(A75="","",TRIM('01_Master_Data'!AH75&amp;""))</f>
        <v/>
      </c>
      <c r="X75">
        <f>IF(A75="","",IF(OR(LOWER(H75)="refund",LOWER(U75)="refund case"),"Refund",IF(OR(LOWER(H75)="dnp",LOWER(U75)="dnp"),"DNP",IF(OR(LOWER(V75)="disbursed",ISNUMBER(SEARCH("Disbursed",W75&amp;""))),"Disbursed",IF(OR(LOWER(V75)="loan proccessed/accepted",ISNUMBER(SEARCH("sanctioned",LOWER(W75&amp;"")))),"Sanctioned",IF(OR(LOWER(V75)="rejected",ISNUMBER(SEARCH("Not eligbile",W75&amp;"")),ISNUMBER(SEARCH("Not eligible",W75&amp;""))),"Rejected",IF(ISNUMBER(SEARCH("Docs Pending",W75&amp;"")),"Documents Pending",IF(AND(LOWER(H75)="yes",LOWER(V75)="ongoing"),"Processing",IF(AND(LOWER(H75)="yes",Q75&gt;0,OR(V75="",LOWER(V75)="not even started")),"Vendor Assigned",IF(AND(LOWER(H75)="yes",LOWER(V75)="not even started"),"Need Loan",IF(LOWER(H75)="yes","Loan Started",IF(LOWER(H75)="not sure","Interested",IF(OR(LOWER(H75)="no",LOWER(V75)="not required"),"Not Required","Unclassified")))))))))))))</f>
        <v/>
      </c>
      <c r="Y75">
        <f>IF(A75="","",IF(OR(X75="Sanctioned",X75="Disbursed",X75="Approved"),"Approved",IF(X75="Rejected","Rejected",IF(OR(X75="Processing",X75="Documents Pending",X75="Vendor Assigned"),"In Progress",IF(X75="Need Loan","Pending Start","—"))))</f>
        <v/>
      </c>
      <c r="Z75">
        <f>IF(A75="","",IF(X75="Disbursed","Disbursed",IF(X75="Sanctioned","Sanctioned - Awaiting Disbursement","Not Disbursed")))</f>
        <v/>
      </c>
      <c r="AA75">
        <f>IF(A75="","",IF(LOWER(TRIM('01_Master_Data'!AI75&amp;""))="yes","Need FLDG",IF(LOWER(TRIM('01_Master_Data'!AK75&amp;""))="yes","Need Vidyalakshmi",IF(LOWER(TRIM('01_Master_Data'!AJ75&amp;""))="yes","Need Review",IF(LOWER(J75)="critical","Critical",IF(LOWER(U75)="risk","Risk Case",IF(X75="Refund","Refund","Normal")))))))</f>
        <v/>
      </c>
      <c r="AB75">
        <f>IF(A75="","",IF(OR(LOWER(J75)="critical",LOWER(TRIM('01_Master_Data'!AI75&amp;""))="yes",LOWER(TRIM('01_Master_Data'!AK75&amp;""))="yes",LOWER(U75)="risk"),"Yes","No"))</f>
        <v/>
      </c>
      <c r="AC75">
        <f>IF(A75="","",IF(LOWER(TRIM('01_Master_Data'!AI75&amp;""))="yes","Yes","No"))</f>
        <v/>
      </c>
      <c r="AD75">
        <f>IF(A75="","",IF(LOWER(TRIM('01_Master_Data'!AK75&amp;""))="yes","Yes","No"))</f>
        <v/>
      </c>
      <c r="AE75">
        <f>IF(A75="","",IF(LOWER(TRIM('01_Master_Data'!AJ75&amp;""))="yes","Yes","No"))</f>
        <v/>
      </c>
      <c r="AF75">
        <f>IF(A75="","",TRIM('01_Master_Data'!AL75&amp;""))</f>
        <v/>
      </c>
      <c r="AG75">
        <f>IF(A75="","",IF(AF75="","—",IF(ISNUMBER(SEARCH("DNP",AF75)),"Unreachable / DNP",IF(ISNUMBER(SEARCH("interest",LOWER(AF75))),"High Interest / Terms",IF(OR(ISNUMBER(SEARCH("eligib",LOWER(AF75))),ISNUMBER(SEARCH("income",LOWER(AF75)))),"Eligibility / Income",IF(OR(ISNUMBER(SEARCH("start",LOWER(AF75))),ISNUMBER(SEARCH("Newer",AF75)),ISNUMBER(SEARCH("Will start",AF75))),"Process Yet to Start",IF(ISNUMBER(SEARCH("sure",LOWER(AF75))),"Undecided",IF(OR(ISNUMBER(SEARCH("reject",LOWER(AF75))),ISNUMBER(SEARCH("SBI",AF75))),"Rejected Elsewhere",IF(ISNUMBER(SEARCH("call",LOWER(AF75))),"Bank Communication",IF(OR(ISNUMBER(SEARCH("father",LOWER(AF75))),ISNUMBER(SEARCH("sister",LOWER(AF75)))),"Family / Dependency","Other"))))))))))</f>
        <v/>
      </c>
      <c r="AH75">
        <f>IF(A75="","",'01_Master_Data'!AC75)</f>
        <v/>
      </c>
      <c r="AI75">
        <f>IF(A75="","",IF(OR(AH75="",NOT(ISNUMBER(AH75))),"",MAX(0,'02_Configuration'!$B$82-AH75)))</f>
        <v/>
      </c>
      <c r="AJ75">
        <f>IF(A75="","",IF(AI75="","Unknown",IF(AI75&lt;=3,"0–3 Days",IF(AI75&lt;=7,"4–7 Days",IF(AI75&lt;=15,"8–15 Days",IF(AI75&lt;=30,"16–30 Days","30+ Days"))))))</f>
        <v/>
      </c>
      <c r="AK75">
        <f>IF(A75="","",IF(LOWER(H75)="yes","Yes","No"))</f>
        <v/>
      </c>
      <c r="AL75">
        <f>IF(A75="","",'01_Master_Data'!T75)</f>
        <v/>
      </c>
      <c r="AM75">
        <f>IF(A75="","",'01_Master_Data'!S75)</f>
        <v/>
      </c>
      <c r="AN75">
        <f>IF(A75="","",'01_Master_Data'!I75)</f>
        <v/>
      </c>
      <c r="AO75">
        <f>IF(A75="","",'01_Master_Data'!M75)</f>
        <v/>
      </c>
      <c r="AP75">
        <f>IF(A75="","",IF(ISNUMBER(SEARCH("Icici",W75&amp;"")),1,0))</f>
        <v/>
      </c>
      <c r="AQ75">
        <f>IF(A75="","",IF(ISNUMBER(SEARCH("Propelld",W75&amp;"")),1,0))</f>
        <v/>
      </c>
      <c r="AR75">
        <f>IF(A75="","",IF(ISNUMBER(SEARCH("GyanDhan",W75&amp;"")),1,0))</f>
        <v/>
      </c>
      <c r="AS75">
        <f>IF(A75="","",IF(ISNUMBER(SEARCH("vidyalakshmi",LOWER(W75&amp;""))),1,0))</f>
        <v/>
      </c>
      <c r="AT75">
        <f>IF(A75="","",IF(ISNUMBER(SEARCH("other bank",LOWER(W75&amp;""))),1,0))</f>
        <v/>
      </c>
      <c r="AU75">
        <f>IF(A75="","",IF(ISNUMBER(SEARCH("sanctioned",LOWER(W75&amp;""))),1,0))</f>
        <v/>
      </c>
      <c r="AV75">
        <f>IF(A75="","",IF(ISNUMBER(SEARCH("Docs Pending",W75&amp;"")),1,0))</f>
        <v/>
      </c>
      <c r="AW75">
        <f>IF(A75="","",IF(OR(X75="Rejected",ISNUMBER(SEARCH("Not eligbile",W75&amp;""))),1,0))</f>
        <v/>
      </c>
    </row>
    <row r="76">
      <c r="A76">
        <f>IF('01_Master_Data'!B76="","",75)</f>
        <v/>
      </c>
      <c r="B76">
        <f>IF('01_Master_Data'!B76="","",IF('01_Master_Data'!C76&lt;&gt;"","MOB|"&amp;TEXT('01_Master_Data'!C76,"0"),IF('01_Master_Data'!D76&lt;&gt;"","PID|"&amp;TRIM('01_Master_Data'!D76&amp;""),"")))</f>
        <v/>
      </c>
      <c r="C76">
        <f>IF('01_Master_Data'!B76="","",'01_Master_Data'!B76)</f>
        <v/>
      </c>
      <c r="D76">
        <f>IF('01_Master_Data'!B76="","",'01_Master_Data'!C76)</f>
        <v/>
      </c>
      <c r="E76">
        <f>IF('01_Master_Data'!B76="","",'01_Master_Data'!D76)</f>
        <v/>
      </c>
      <c r="F76">
        <f>IF('01_Master_Data'!B76="","",'01_Master_Data'!E76)</f>
        <v/>
      </c>
      <c r="G76">
        <f>IF('01_Master_Data'!B76="","",IFERROR(VLOOKUP(TRIM('01_Master_Data'!E76&amp;""),'02_Configuration'!$A$40:$B$44,2,FALSE),UPPER(TRIM('01_Master_Data'!E76&amp;""))))</f>
        <v/>
      </c>
      <c r="H76">
        <f>IF('01_Master_Data'!B76="","",IF('01_Master_Data'!U76="","",TRIM('01_Master_Data'!U76&amp;"")))</f>
        <v/>
      </c>
      <c r="I76">
        <f>IF('01_Master_Data'!B76="","",TRIM('01_Master_Data'!F76&amp;""))</f>
        <v/>
      </c>
      <c r="J76">
        <f>IF('01_Master_Data'!B76="","",TRIM('01_Master_Data'!G76&amp;""))</f>
        <v/>
      </c>
      <c r="K76">
        <f>IF('01_Master_Data'!B76="","",'01_Master_Data'!H76)</f>
        <v/>
      </c>
      <c r="L76">
        <f>IF('01_Master_Data'!B76="","",IF(LOWER(TRIM('01_Master_Data'!V76&amp;""))="yes",1,0))</f>
        <v/>
      </c>
      <c r="M76">
        <f>IF('01_Master_Data'!B76="","",IF(LOWER(TRIM('01_Master_Data'!W76&amp;""))="yes",1,0))</f>
        <v/>
      </c>
      <c r="N76">
        <f>IF('01_Master_Data'!B76="","",IF(LOWER(TRIM('01_Master_Data'!X76&amp;""))="yes",1,0))</f>
        <v/>
      </c>
      <c r="O76">
        <f>IF('01_Master_Data'!B76="","",IF(LOWER(TRIM('01_Master_Data'!Y76&amp;""))="yes",1,0))</f>
        <v/>
      </c>
      <c r="P76">
        <f>IF('01_Master_Data'!B76="","",IF(LOWER(TRIM('01_Master_Data'!Z76&amp;""))="yes",1,0))</f>
        <v/>
      </c>
      <c r="Q76">
        <f>IF(A76="","",L76+M76+N76+O76+P76)</f>
        <v/>
      </c>
      <c r="R76">
        <f>IF(A76="","",IF(Q76&gt;1,"Yes","No"))</f>
        <v/>
      </c>
      <c r="S76">
        <f>IF(A76="","",TEXTJOIN(", ",TRUE,IF(L76=1,"ICICI",""),IF(M76=1,"Propelld",""),IF(N76=1,"Study4Buddy",""),IF(O76=1,"Poonawala Fincorp",""),IF(P76=1,"GyanDhan","")))</f>
        <v/>
      </c>
      <c r="T76">
        <f>IF(A76="","",IF(L76=1,"ICICI",IF(M76=1,"Propelld",IF(P76=1,"GyanDhan",IF(N76=1,"Study4Buddy",IF(O76=1,"Poonawala Fincorp",IF(ISNUMBER(SEARCH("GyanDhan",W76&amp;"")),"GyanDhan",IF(ISNUMBER(SEARCH("Icici",W76&amp;"")),"ICICI",IF(ISNUMBER(SEARCH("Propelld",W76&amp;"")),"Propelld",IF(ISNUMBER(SEARCH("vidyalakshmi",LOWER(W76&amp;"")),"PM Vidyalakshmi","—"))))))))))</f>
        <v/>
      </c>
      <c r="U76">
        <f>IF(A76="","",TRIM('01_Master_Data'!AA76&amp;""))</f>
        <v/>
      </c>
      <c r="V76">
        <f>IF(A76="","",TRIM('01_Master_Data'!AG76&amp;""))</f>
        <v/>
      </c>
      <c r="W76">
        <f>IF(A76="","",TRIM('01_Master_Data'!AH76&amp;""))</f>
        <v/>
      </c>
      <c r="X76">
        <f>IF(A76="","",IF(OR(LOWER(H76)="refund",LOWER(U76)="refund case"),"Refund",IF(OR(LOWER(H76)="dnp",LOWER(U76)="dnp"),"DNP",IF(OR(LOWER(V76)="disbursed",ISNUMBER(SEARCH("Disbursed",W76&amp;""))),"Disbursed",IF(OR(LOWER(V76)="loan proccessed/accepted",ISNUMBER(SEARCH("sanctioned",LOWER(W76&amp;"")))),"Sanctioned",IF(OR(LOWER(V76)="rejected",ISNUMBER(SEARCH("Not eligbile",W76&amp;"")),ISNUMBER(SEARCH("Not eligible",W76&amp;""))),"Rejected",IF(ISNUMBER(SEARCH("Docs Pending",W76&amp;"")),"Documents Pending",IF(AND(LOWER(H76)="yes",LOWER(V76)="ongoing"),"Processing",IF(AND(LOWER(H76)="yes",Q76&gt;0,OR(V76="",LOWER(V76)="not even started")),"Vendor Assigned",IF(AND(LOWER(H76)="yes",LOWER(V76)="not even started"),"Need Loan",IF(LOWER(H76)="yes","Loan Started",IF(LOWER(H76)="not sure","Interested",IF(OR(LOWER(H76)="no",LOWER(V76)="not required"),"Not Required","Unclassified")))))))))))))</f>
        <v/>
      </c>
      <c r="Y76">
        <f>IF(A76="","",IF(OR(X76="Sanctioned",X76="Disbursed",X76="Approved"),"Approved",IF(X76="Rejected","Rejected",IF(OR(X76="Processing",X76="Documents Pending",X76="Vendor Assigned"),"In Progress",IF(X76="Need Loan","Pending Start","—"))))</f>
        <v/>
      </c>
      <c r="Z76">
        <f>IF(A76="","",IF(X76="Disbursed","Disbursed",IF(X76="Sanctioned","Sanctioned - Awaiting Disbursement","Not Disbursed")))</f>
        <v/>
      </c>
      <c r="AA76">
        <f>IF(A76="","",IF(LOWER(TRIM('01_Master_Data'!AI76&amp;""))="yes","Need FLDG",IF(LOWER(TRIM('01_Master_Data'!AK76&amp;""))="yes","Need Vidyalakshmi",IF(LOWER(TRIM('01_Master_Data'!AJ76&amp;""))="yes","Need Review",IF(LOWER(J76)="critical","Critical",IF(LOWER(U76)="risk","Risk Case",IF(X76="Refund","Refund","Normal")))))))</f>
        <v/>
      </c>
      <c r="AB76">
        <f>IF(A76="","",IF(OR(LOWER(J76)="critical",LOWER(TRIM('01_Master_Data'!AI76&amp;""))="yes",LOWER(TRIM('01_Master_Data'!AK76&amp;""))="yes",LOWER(U76)="risk"),"Yes","No"))</f>
        <v/>
      </c>
      <c r="AC76">
        <f>IF(A76="","",IF(LOWER(TRIM('01_Master_Data'!AI76&amp;""))="yes","Yes","No"))</f>
        <v/>
      </c>
      <c r="AD76">
        <f>IF(A76="","",IF(LOWER(TRIM('01_Master_Data'!AK76&amp;""))="yes","Yes","No"))</f>
        <v/>
      </c>
      <c r="AE76">
        <f>IF(A76="","",IF(LOWER(TRIM('01_Master_Data'!AJ76&amp;""))="yes","Yes","No"))</f>
        <v/>
      </c>
      <c r="AF76">
        <f>IF(A76="","",TRIM('01_Master_Data'!AL76&amp;""))</f>
        <v/>
      </c>
      <c r="AG76">
        <f>IF(A76="","",IF(AF76="","—",IF(ISNUMBER(SEARCH("DNP",AF76)),"Unreachable / DNP",IF(ISNUMBER(SEARCH("interest",LOWER(AF76))),"High Interest / Terms",IF(OR(ISNUMBER(SEARCH("eligib",LOWER(AF76))),ISNUMBER(SEARCH("income",LOWER(AF76)))),"Eligibility / Income",IF(OR(ISNUMBER(SEARCH("start",LOWER(AF76))),ISNUMBER(SEARCH("Newer",AF76)),ISNUMBER(SEARCH("Will start",AF76))),"Process Yet to Start",IF(ISNUMBER(SEARCH("sure",LOWER(AF76))),"Undecided",IF(OR(ISNUMBER(SEARCH("reject",LOWER(AF76))),ISNUMBER(SEARCH("SBI",AF76))),"Rejected Elsewhere",IF(ISNUMBER(SEARCH("call",LOWER(AF76))),"Bank Communication",IF(OR(ISNUMBER(SEARCH("father",LOWER(AF76))),ISNUMBER(SEARCH("sister",LOWER(AF76)))),"Family / Dependency","Other"))))))))))</f>
        <v/>
      </c>
      <c r="AH76">
        <f>IF(A76="","",'01_Master_Data'!AC76)</f>
        <v/>
      </c>
      <c r="AI76">
        <f>IF(A76="","",IF(OR(AH76="",NOT(ISNUMBER(AH76))),"",MAX(0,'02_Configuration'!$B$82-AH76)))</f>
        <v/>
      </c>
      <c r="AJ76">
        <f>IF(A76="","",IF(AI76="","Unknown",IF(AI76&lt;=3,"0–3 Days",IF(AI76&lt;=7,"4–7 Days",IF(AI76&lt;=15,"8–15 Days",IF(AI76&lt;=30,"16–30 Days","30+ Days"))))))</f>
        <v/>
      </c>
      <c r="AK76">
        <f>IF(A76="","",IF(LOWER(H76)="yes","Yes","No"))</f>
        <v/>
      </c>
      <c r="AL76">
        <f>IF(A76="","",'01_Master_Data'!T76)</f>
        <v/>
      </c>
      <c r="AM76">
        <f>IF(A76="","",'01_Master_Data'!S76)</f>
        <v/>
      </c>
      <c r="AN76">
        <f>IF(A76="","",'01_Master_Data'!I76)</f>
        <v/>
      </c>
      <c r="AO76">
        <f>IF(A76="","",'01_Master_Data'!M76)</f>
        <v/>
      </c>
      <c r="AP76">
        <f>IF(A76="","",IF(ISNUMBER(SEARCH("Icici",W76&amp;"")),1,0))</f>
        <v/>
      </c>
      <c r="AQ76">
        <f>IF(A76="","",IF(ISNUMBER(SEARCH("Propelld",W76&amp;"")),1,0))</f>
        <v/>
      </c>
      <c r="AR76">
        <f>IF(A76="","",IF(ISNUMBER(SEARCH("GyanDhan",W76&amp;"")),1,0))</f>
        <v/>
      </c>
      <c r="AS76">
        <f>IF(A76="","",IF(ISNUMBER(SEARCH("vidyalakshmi",LOWER(W76&amp;""))),1,0))</f>
        <v/>
      </c>
      <c r="AT76">
        <f>IF(A76="","",IF(ISNUMBER(SEARCH("other bank",LOWER(W76&amp;""))),1,0))</f>
        <v/>
      </c>
      <c r="AU76">
        <f>IF(A76="","",IF(ISNUMBER(SEARCH("sanctioned",LOWER(W76&amp;""))),1,0))</f>
        <v/>
      </c>
      <c r="AV76">
        <f>IF(A76="","",IF(ISNUMBER(SEARCH("Docs Pending",W76&amp;"")),1,0))</f>
        <v/>
      </c>
      <c r="AW76">
        <f>IF(A76="","",IF(OR(X76="Rejected",ISNUMBER(SEARCH("Not eligbile",W76&amp;""))),1,0))</f>
        <v/>
      </c>
    </row>
    <row r="77">
      <c r="A77">
        <f>IF('01_Master_Data'!B77="","",76)</f>
        <v/>
      </c>
      <c r="B77">
        <f>IF('01_Master_Data'!B77="","",IF('01_Master_Data'!C77&lt;&gt;"","MOB|"&amp;TEXT('01_Master_Data'!C77,"0"),IF('01_Master_Data'!D77&lt;&gt;"","PID|"&amp;TRIM('01_Master_Data'!D77&amp;""),"")))</f>
        <v/>
      </c>
      <c r="C77">
        <f>IF('01_Master_Data'!B77="","",'01_Master_Data'!B77)</f>
        <v/>
      </c>
      <c r="D77">
        <f>IF('01_Master_Data'!B77="","",'01_Master_Data'!C77)</f>
        <v/>
      </c>
      <c r="E77">
        <f>IF('01_Master_Data'!B77="","",'01_Master_Data'!D77)</f>
        <v/>
      </c>
      <c r="F77">
        <f>IF('01_Master_Data'!B77="","",'01_Master_Data'!E77)</f>
        <v/>
      </c>
      <c r="G77">
        <f>IF('01_Master_Data'!B77="","",IFERROR(VLOOKUP(TRIM('01_Master_Data'!E77&amp;""),'02_Configuration'!$A$40:$B$44,2,FALSE),UPPER(TRIM('01_Master_Data'!E77&amp;""))))</f>
        <v/>
      </c>
      <c r="H77">
        <f>IF('01_Master_Data'!B77="","",IF('01_Master_Data'!U77="","",TRIM('01_Master_Data'!U77&amp;"")))</f>
        <v/>
      </c>
      <c r="I77">
        <f>IF('01_Master_Data'!B77="","",TRIM('01_Master_Data'!F77&amp;""))</f>
        <v/>
      </c>
      <c r="J77">
        <f>IF('01_Master_Data'!B77="","",TRIM('01_Master_Data'!G77&amp;""))</f>
        <v/>
      </c>
      <c r="K77">
        <f>IF('01_Master_Data'!B77="","",'01_Master_Data'!H77)</f>
        <v/>
      </c>
      <c r="L77">
        <f>IF('01_Master_Data'!B77="","",IF(LOWER(TRIM('01_Master_Data'!V77&amp;""))="yes",1,0))</f>
        <v/>
      </c>
      <c r="M77">
        <f>IF('01_Master_Data'!B77="","",IF(LOWER(TRIM('01_Master_Data'!W77&amp;""))="yes",1,0))</f>
        <v/>
      </c>
      <c r="N77">
        <f>IF('01_Master_Data'!B77="","",IF(LOWER(TRIM('01_Master_Data'!X77&amp;""))="yes",1,0))</f>
        <v/>
      </c>
      <c r="O77">
        <f>IF('01_Master_Data'!B77="","",IF(LOWER(TRIM('01_Master_Data'!Y77&amp;""))="yes",1,0))</f>
        <v/>
      </c>
      <c r="P77">
        <f>IF('01_Master_Data'!B77="","",IF(LOWER(TRIM('01_Master_Data'!Z77&amp;""))="yes",1,0))</f>
        <v/>
      </c>
      <c r="Q77">
        <f>IF(A77="","",L77+M77+N77+O77+P77)</f>
        <v/>
      </c>
      <c r="R77">
        <f>IF(A77="","",IF(Q77&gt;1,"Yes","No"))</f>
        <v/>
      </c>
      <c r="S77">
        <f>IF(A77="","",TEXTJOIN(", ",TRUE,IF(L77=1,"ICICI",""),IF(M77=1,"Propelld",""),IF(N77=1,"Study4Buddy",""),IF(O77=1,"Poonawala Fincorp",""),IF(P77=1,"GyanDhan","")))</f>
        <v/>
      </c>
      <c r="T77">
        <f>IF(A77="","",IF(L77=1,"ICICI",IF(M77=1,"Propelld",IF(P77=1,"GyanDhan",IF(N77=1,"Study4Buddy",IF(O77=1,"Poonawala Fincorp",IF(ISNUMBER(SEARCH("GyanDhan",W77&amp;"")),"GyanDhan",IF(ISNUMBER(SEARCH("Icici",W77&amp;"")),"ICICI",IF(ISNUMBER(SEARCH("Propelld",W77&amp;"")),"Propelld",IF(ISNUMBER(SEARCH("vidyalakshmi",LOWER(W77&amp;"")),"PM Vidyalakshmi","—"))))))))))</f>
        <v/>
      </c>
      <c r="U77">
        <f>IF(A77="","",TRIM('01_Master_Data'!AA77&amp;""))</f>
        <v/>
      </c>
      <c r="V77">
        <f>IF(A77="","",TRIM('01_Master_Data'!AG77&amp;""))</f>
        <v/>
      </c>
      <c r="W77">
        <f>IF(A77="","",TRIM('01_Master_Data'!AH77&amp;""))</f>
        <v/>
      </c>
      <c r="X77">
        <f>IF(A77="","",IF(OR(LOWER(H77)="refund",LOWER(U77)="refund case"),"Refund",IF(OR(LOWER(H77)="dnp",LOWER(U77)="dnp"),"DNP",IF(OR(LOWER(V77)="disbursed",ISNUMBER(SEARCH("Disbursed",W77&amp;""))),"Disbursed",IF(OR(LOWER(V77)="loan proccessed/accepted",ISNUMBER(SEARCH("sanctioned",LOWER(W77&amp;"")))),"Sanctioned",IF(OR(LOWER(V77)="rejected",ISNUMBER(SEARCH("Not eligbile",W77&amp;"")),ISNUMBER(SEARCH("Not eligible",W77&amp;""))),"Rejected",IF(ISNUMBER(SEARCH("Docs Pending",W77&amp;"")),"Documents Pending",IF(AND(LOWER(H77)="yes",LOWER(V77)="ongoing"),"Processing",IF(AND(LOWER(H77)="yes",Q77&gt;0,OR(V77="",LOWER(V77)="not even started")),"Vendor Assigned",IF(AND(LOWER(H77)="yes",LOWER(V77)="not even started"),"Need Loan",IF(LOWER(H77)="yes","Loan Started",IF(LOWER(H77)="not sure","Interested",IF(OR(LOWER(H77)="no",LOWER(V77)="not required"),"Not Required","Unclassified")))))))))))))</f>
        <v/>
      </c>
      <c r="Y77">
        <f>IF(A77="","",IF(OR(X77="Sanctioned",X77="Disbursed",X77="Approved"),"Approved",IF(X77="Rejected","Rejected",IF(OR(X77="Processing",X77="Documents Pending",X77="Vendor Assigned"),"In Progress",IF(X77="Need Loan","Pending Start","—"))))</f>
        <v/>
      </c>
      <c r="Z77">
        <f>IF(A77="","",IF(X77="Disbursed","Disbursed",IF(X77="Sanctioned","Sanctioned - Awaiting Disbursement","Not Disbursed")))</f>
        <v/>
      </c>
      <c r="AA77">
        <f>IF(A77="","",IF(LOWER(TRIM('01_Master_Data'!AI77&amp;""))="yes","Need FLDG",IF(LOWER(TRIM('01_Master_Data'!AK77&amp;""))="yes","Need Vidyalakshmi",IF(LOWER(TRIM('01_Master_Data'!AJ77&amp;""))="yes","Need Review",IF(LOWER(J77)="critical","Critical",IF(LOWER(U77)="risk","Risk Case",IF(X77="Refund","Refund","Normal")))))))</f>
        <v/>
      </c>
      <c r="AB77">
        <f>IF(A77="","",IF(OR(LOWER(J77)="critical",LOWER(TRIM('01_Master_Data'!AI77&amp;""))="yes",LOWER(TRIM('01_Master_Data'!AK77&amp;""))="yes",LOWER(U77)="risk"),"Yes","No"))</f>
        <v/>
      </c>
      <c r="AC77">
        <f>IF(A77="","",IF(LOWER(TRIM('01_Master_Data'!AI77&amp;""))="yes","Yes","No"))</f>
        <v/>
      </c>
      <c r="AD77">
        <f>IF(A77="","",IF(LOWER(TRIM('01_Master_Data'!AK77&amp;""))="yes","Yes","No"))</f>
        <v/>
      </c>
      <c r="AE77">
        <f>IF(A77="","",IF(LOWER(TRIM('01_Master_Data'!AJ77&amp;""))="yes","Yes","No"))</f>
        <v/>
      </c>
      <c r="AF77">
        <f>IF(A77="","",TRIM('01_Master_Data'!AL77&amp;""))</f>
        <v/>
      </c>
      <c r="AG77">
        <f>IF(A77="","",IF(AF77="","—",IF(ISNUMBER(SEARCH("DNP",AF77)),"Unreachable / DNP",IF(ISNUMBER(SEARCH("interest",LOWER(AF77))),"High Interest / Terms",IF(OR(ISNUMBER(SEARCH("eligib",LOWER(AF77))),ISNUMBER(SEARCH("income",LOWER(AF77)))),"Eligibility / Income",IF(OR(ISNUMBER(SEARCH("start",LOWER(AF77))),ISNUMBER(SEARCH("Newer",AF77)),ISNUMBER(SEARCH("Will start",AF77))),"Process Yet to Start",IF(ISNUMBER(SEARCH("sure",LOWER(AF77))),"Undecided",IF(OR(ISNUMBER(SEARCH("reject",LOWER(AF77))),ISNUMBER(SEARCH("SBI",AF77))),"Rejected Elsewhere",IF(ISNUMBER(SEARCH("call",LOWER(AF77))),"Bank Communication",IF(OR(ISNUMBER(SEARCH("father",LOWER(AF77))),ISNUMBER(SEARCH("sister",LOWER(AF77)))),"Family / Dependency","Other"))))))))))</f>
        <v/>
      </c>
      <c r="AH77">
        <f>IF(A77="","",'01_Master_Data'!AC77)</f>
        <v/>
      </c>
      <c r="AI77">
        <f>IF(A77="","",IF(OR(AH77="",NOT(ISNUMBER(AH77))),"",MAX(0,'02_Configuration'!$B$82-AH77)))</f>
        <v/>
      </c>
      <c r="AJ77">
        <f>IF(A77="","",IF(AI77="","Unknown",IF(AI77&lt;=3,"0–3 Days",IF(AI77&lt;=7,"4–7 Days",IF(AI77&lt;=15,"8–15 Days",IF(AI77&lt;=30,"16–30 Days","30+ Days"))))))</f>
        <v/>
      </c>
      <c r="AK77">
        <f>IF(A77="","",IF(LOWER(H77)="yes","Yes","No"))</f>
        <v/>
      </c>
      <c r="AL77">
        <f>IF(A77="","",'01_Master_Data'!T77)</f>
        <v/>
      </c>
      <c r="AM77">
        <f>IF(A77="","",'01_Master_Data'!S77)</f>
        <v/>
      </c>
      <c r="AN77">
        <f>IF(A77="","",'01_Master_Data'!I77)</f>
        <v/>
      </c>
      <c r="AO77">
        <f>IF(A77="","",'01_Master_Data'!M77)</f>
        <v/>
      </c>
      <c r="AP77">
        <f>IF(A77="","",IF(ISNUMBER(SEARCH("Icici",W77&amp;"")),1,0))</f>
        <v/>
      </c>
      <c r="AQ77">
        <f>IF(A77="","",IF(ISNUMBER(SEARCH("Propelld",W77&amp;"")),1,0))</f>
        <v/>
      </c>
      <c r="AR77">
        <f>IF(A77="","",IF(ISNUMBER(SEARCH("GyanDhan",W77&amp;"")),1,0))</f>
        <v/>
      </c>
      <c r="AS77">
        <f>IF(A77="","",IF(ISNUMBER(SEARCH("vidyalakshmi",LOWER(W77&amp;""))),1,0))</f>
        <v/>
      </c>
      <c r="AT77">
        <f>IF(A77="","",IF(ISNUMBER(SEARCH("other bank",LOWER(W77&amp;""))),1,0))</f>
        <v/>
      </c>
      <c r="AU77">
        <f>IF(A77="","",IF(ISNUMBER(SEARCH("sanctioned",LOWER(W77&amp;""))),1,0))</f>
        <v/>
      </c>
      <c r="AV77">
        <f>IF(A77="","",IF(ISNUMBER(SEARCH("Docs Pending",W77&amp;"")),1,0))</f>
        <v/>
      </c>
      <c r="AW77">
        <f>IF(A77="","",IF(OR(X77="Rejected",ISNUMBER(SEARCH("Not eligbile",W77&amp;""))),1,0))</f>
        <v/>
      </c>
    </row>
    <row r="78">
      <c r="A78">
        <f>IF('01_Master_Data'!B78="","",77)</f>
        <v/>
      </c>
      <c r="B78">
        <f>IF('01_Master_Data'!B78="","",IF('01_Master_Data'!C78&lt;&gt;"","MOB|"&amp;TEXT('01_Master_Data'!C78,"0"),IF('01_Master_Data'!D78&lt;&gt;"","PID|"&amp;TRIM('01_Master_Data'!D78&amp;""),"")))</f>
        <v/>
      </c>
      <c r="C78">
        <f>IF('01_Master_Data'!B78="","",'01_Master_Data'!B78)</f>
        <v/>
      </c>
      <c r="D78">
        <f>IF('01_Master_Data'!B78="","",'01_Master_Data'!C78)</f>
        <v/>
      </c>
      <c r="E78">
        <f>IF('01_Master_Data'!B78="","",'01_Master_Data'!D78)</f>
        <v/>
      </c>
      <c r="F78">
        <f>IF('01_Master_Data'!B78="","",'01_Master_Data'!E78)</f>
        <v/>
      </c>
      <c r="G78">
        <f>IF('01_Master_Data'!B78="","",IFERROR(VLOOKUP(TRIM('01_Master_Data'!E78&amp;""),'02_Configuration'!$A$40:$B$44,2,FALSE),UPPER(TRIM('01_Master_Data'!E78&amp;""))))</f>
        <v/>
      </c>
      <c r="H78">
        <f>IF('01_Master_Data'!B78="","",IF('01_Master_Data'!U78="","",TRIM('01_Master_Data'!U78&amp;"")))</f>
        <v/>
      </c>
      <c r="I78">
        <f>IF('01_Master_Data'!B78="","",TRIM('01_Master_Data'!F78&amp;""))</f>
        <v/>
      </c>
      <c r="J78">
        <f>IF('01_Master_Data'!B78="","",TRIM('01_Master_Data'!G78&amp;""))</f>
        <v/>
      </c>
      <c r="K78">
        <f>IF('01_Master_Data'!B78="","",'01_Master_Data'!H78)</f>
        <v/>
      </c>
      <c r="L78">
        <f>IF('01_Master_Data'!B78="","",IF(LOWER(TRIM('01_Master_Data'!V78&amp;""))="yes",1,0))</f>
        <v/>
      </c>
      <c r="M78">
        <f>IF('01_Master_Data'!B78="","",IF(LOWER(TRIM('01_Master_Data'!W78&amp;""))="yes",1,0))</f>
        <v/>
      </c>
      <c r="N78">
        <f>IF('01_Master_Data'!B78="","",IF(LOWER(TRIM('01_Master_Data'!X78&amp;""))="yes",1,0))</f>
        <v/>
      </c>
      <c r="O78">
        <f>IF('01_Master_Data'!B78="","",IF(LOWER(TRIM('01_Master_Data'!Y78&amp;""))="yes",1,0))</f>
        <v/>
      </c>
      <c r="P78">
        <f>IF('01_Master_Data'!B78="","",IF(LOWER(TRIM('01_Master_Data'!Z78&amp;""))="yes",1,0))</f>
        <v/>
      </c>
      <c r="Q78">
        <f>IF(A78="","",L78+M78+N78+O78+P78)</f>
        <v/>
      </c>
      <c r="R78">
        <f>IF(A78="","",IF(Q78&gt;1,"Yes","No"))</f>
        <v/>
      </c>
      <c r="S78">
        <f>IF(A78="","",TEXTJOIN(", ",TRUE,IF(L78=1,"ICICI",""),IF(M78=1,"Propelld",""),IF(N78=1,"Study4Buddy",""),IF(O78=1,"Poonawala Fincorp",""),IF(P78=1,"GyanDhan","")))</f>
        <v/>
      </c>
      <c r="T78">
        <f>IF(A78="","",IF(L78=1,"ICICI",IF(M78=1,"Propelld",IF(P78=1,"GyanDhan",IF(N78=1,"Study4Buddy",IF(O78=1,"Poonawala Fincorp",IF(ISNUMBER(SEARCH("GyanDhan",W78&amp;"")),"GyanDhan",IF(ISNUMBER(SEARCH("Icici",W78&amp;"")),"ICICI",IF(ISNUMBER(SEARCH("Propelld",W78&amp;"")),"Propelld",IF(ISNUMBER(SEARCH("vidyalakshmi",LOWER(W78&amp;"")),"PM Vidyalakshmi","—"))))))))))</f>
        <v/>
      </c>
      <c r="U78">
        <f>IF(A78="","",TRIM('01_Master_Data'!AA78&amp;""))</f>
        <v/>
      </c>
      <c r="V78">
        <f>IF(A78="","",TRIM('01_Master_Data'!AG78&amp;""))</f>
        <v/>
      </c>
      <c r="W78">
        <f>IF(A78="","",TRIM('01_Master_Data'!AH78&amp;""))</f>
        <v/>
      </c>
      <c r="X78">
        <f>IF(A78="","",IF(OR(LOWER(H78)="refund",LOWER(U78)="refund case"),"Refund",IF(OR(LOWER(H78)="dnp",LOWER(U78)="dnp"),"DNP",IF(OR(LOWER(V78)="disbursed",ISNUMBER(SEARCH("Disbursed",W78&amp;""))),"Disbursed",IF(OR(LOWER(V78)="loan proccessed/accepted",ISNUMBER(SEARCH("sanctioned",LOWER(W78&amp;"")))),"Sanctioned",IF(OR(LOWER(V78)="rejected",ISNUMBER(SEARCH("Not eligbile",W78&amp;"")),ISNUMBER(SEARCH("Not eligible",W78&amp;""))),"Rejected",IF(ISNUMBER(SEARCH("Docs Pending",W78&amp;"")),"Documents Pending",IF(AND(LOWER(H78)="yes",LOWER(V78)="ongoing"),"Processing",IF(AND(LOWER(H78)="yes",Q78&gt;0,OR(V78="",LOWER(V78)="not even started")),"Vendor Assigned",IF(AND(LOWER(H78)="yes",LOWER(V78)="not even started"),"Need Loan",IF(LOWER(H78)="yes","Loan Started",IF(LOWER(H78)="not sure","Interested",IF(OR(LOWER(H78)="no",LOWER(V78)="not required"),"Not Required","Unclassified")))))))))))))</f>
        <v/>
      </c>
      <c r="Y78">
        <f>IF(A78="","",IF(OR(X78="Sanctioned",X78="Disbursed",X78="Approved"),"Approved",IF(X78="Rejected","Rejected",IF(OR(X78="Processing",X78="Documents Pending",X78="Vendor Assigned"),"In Progress",IF(X78="Need Loan","Pending Start","—"))))</f>
        <v/>
      </c>
      <c r="Z78">
        <f>IF(A78="","",IF(X78="Disbursed","Disbursed",IF(X78="Sanctioned","Sanctioned - Awaiting Disbursement","Not Disbursed")))</f>
        <v/>
      </c>
      <c r="AA78">
        <f>IF(A78="","",IF(LOWER(TRIM('01_Master_Data'!AI78&amp;""))="yes","Need FLDG",IF(LOWER(TRIM('01_Master_Data'!AK78&amp;""))="yes","Need Vidyalakshmi",IF(LOWER(TRIM('01_Master_Data'!AJ78&amp;""))="yes","Need Review",IF(LOWER(J78)="critical","Critical",IF(LOWER(U78)="risk","Risk Case",IF(X78="Refund","Refund","Normal")))))))</f>
        <v/>
      </c>
      <c r="AB78">
        <f>IF(A78="","",IF(OR(LOWER(J78)="critical",LOWER(TRIM('01_Master_Data'!AI78&amp;""))="yes",LOWER(TRIM('01_Master_Data'!AK78&amp;""))="yes",LOWER(U78)="risk"),"Yes","No"))</f>
        <v/>
      </c>
      <c r="AC78">
        <f>IF(A78="","",IF(LOWER(TRIM('01_Master_Data'!AI78&amp;""))="yes","Yes","No"))</f>
        <v/>
      </c>
      <c r="AD78">
        <f>IF(A78="","",IF(LOWER(TRIM('01_Master_Data'!AK78&amp;""))="yes","Yes","No"))</f>
        <v/>
      </c>
      <c r="AE78">
        <f>IF(A78="","",IF(LOWER(TRIM('01_Master_Data'!AJ78&amp;""))="yes","Yes","No"))</f>
        <v/>
      </c>
      <c r="AF78">
        <f>IF(A78="","",TRIM('01_Master_Data'!AL78&amp;""))</f>
        <v/>
      </c>
      <c r="AG78">
        <f>IF(A78="","",IF(AF78="","—",IF(ISNUMBER(SEARCH("DNP",AF78)),"Unreachable / DNP",IF(ISNUMBER(SEARCH("interest",LOWER(AF78))),"High Interest / Terms",IF(OR(ISNUMBER(SEARCH("eligib",LOWER(AF78))),ISNUMBER(SEARCH("income",LOWER(AF78)))),"Eligibility / Income",IF(OR(ISNUMBER(SEARCH("start",LOWER(AF78))),ISNUMBER(SEARCH("Newer",AF78)),ISNUMBER(SEARCH("Will start",AF78))),"Process Yet to Start",IF(ISNUMBER(SEARCH("sure",LOWER(AF78))),"Undecided",IF(OR(ISNUMBER(SEARCH("reject",LOWER(AF78))),ISNUMBER(SEARCH("SBI",AF78))),"Rejected Elsewhere",IF(ISNUMBER(SEARCH("call",LOWER(AF78))),"Bank Communication",IF(OR(ISNUMBER(SEARCH("father",LOWER(AF78))),ISNUMBER(SEARCH("sister",LOWER(AF78)))),"Family / Dependency","Other"))))))))))</f>
        <v/>
      </c>
      <c r="AH78">
        <f>IF(A78="","",'01_Master_Data'!AC78)</f>
        <v/>
      </c>
      <c r="AI78">
        <f>IF(A78="","",IF(OR(AH78="",NOT(ISNUMBER(AH78))),"",MAX(0,'02_Configuration'!$B$82-AH78)))</f>
        <v/>
      </c>
      <c r="AJ78">
        <f>IF(A78="","",IF(AI78="","Unknown",IF(AI78&lt;=3,"0–3 Days",IF(AI78&lt;=7,"4–7 Days",IF(AI78&lt;=15,"8–15 Days",IF(AI78&lt;=30,"16–30 Days","30+ Days"))))))</f>
        <v/>
      </c>
      <c r="AK78">
        <f>IF(A78="","",IF(LOWER(H78)="yes","Yes","No"))</f>
        <v/>
      </c>
      <c r="AL78">
        <f>IF(A78="","",'01_Master_Data'!T78)</f>
        <v/>
      </c>
      <c r="AM78">
        <f>IF(A78="","",'01_Master_Data'!S78)</f>
        <v/>
      </c>
      <c r="AN78">
        <f>IF(A78="","",'01_Master_Data'!I78)</f>
        <v/>
      </c>
      <c r="AO78">
        <f>IF(A78="","",'01_Master_Data'!M78)</f>
        <v/>
      </c>
      <c r="AP78">
        <f>IF(A78="","",IF(ISNUMBER(SEARCH("Icici",W78&amp;"")),1,0))</f>
        <v/>
      </c>
      <c r="AQ78">
        <f>IF(A78="","",IF(ISNUMBER(SEARCH("Propelld",W78&amp;"")),1,0))</f>
        <v/>
      </c>
      <c r="AR78">
        <f>IF(A78="","",IF(ISNUMBER(SEARCH("GyanDhan",W78&amp;"")),1,0))</f>
        <v/>
      </c>
      <c r="AS78">
        <f>IF(A78="","",IF(ISNUMBER(SEARCH("vidyalakshmi",LOWER(W78&amp;""))),1,0))</f>
        <v/>
      </c>
      <c r="AT78">
        <f>IF(A78="","",IF(ISNUMBER(SEARCH("other bank",LOWER(W78&amp;""))),1,0))</f>
        <v/>
      </c>
      <c r="AU78">
        <f>IF(A78="","",IF(ISNUMBER(SEARCH("sanctioned",LOWER(W78&amp;""))),1,0))</f>
        <v/>
      </c>
      <c r="AV78">
        <f>IF(A78="","",IF(ISNUMBER(SEARCH("Docs Pending",W78&amp;"")),1,0))</f>
        <v/>
      </c>
      <c r="AW78">
        <f>IF(A78="","",IF(OR(X78="Rejected",ISNUMBER(SEARCH("Not eligbile",W78&amp;""))),1,0))</f>
        <v/>
      </c>
    </row>
    <row r="79">
      <c r="A79">
        <f>IF('01_Master_Data'!B79="","",78)</f>
        <v/>
      </c>
      <c r="B79">
        <f>IF('01_Master_Data'!B79="","",IF('01_Master_Data'!C79&lt;&gt;"","MOB|"&amp;TEXT('01_Master_Data'!C79,"0"),IF('01_Master_Data'!D79&lt;&gt;"","PID|"&amp;TRIM('01_Master_Data'!D79&amp;""),"")))</f>
        <v/>
      </c>
      <c r="C79">
        <f>IF('01_Master_Data'!B79="","",'01_Master_Data'!B79)</f>
        <v/>
      </c>
      <c r="D79">
        <f>IF('01_Master_Data'!B79="","",'01_Master_Data'!C79)</f>
        <v/>
      </c>
      <c r="E79">
        <f>IF('01_Master_Data'!B79="","",'01_Master_Data'!D79)</f>
        <v/>
      </c>
      <c r="F79">
        <f>IF('01_Master_Data'!B79="","",'01_Master_Data'!E79)</f>
        <v/>
      </c>
      <c r="G79">
        <f>IF('01_Master_Data'!B79="","",IFERROR(VLOOKUP(TRIM('01_Master_Data'!E79&amp;""),'02_Configuration'!$A$40:$B$44,2,FALSE),UPPER(TRIM('01_Master_Data'!E79&amp;""))))</f>
        <v/>
      </c>
      <c r="H79">
        <f>IF('01_Master_Data'!B79="","",IF('01_Master_Data'!U79="","",TRIM('01_Master_Data'!U79&amp;"")))</f>
        <v/>
      </c>
      <c r="I79">
        <f>IF('01_Master_Data'!B79="","",TRIM('01_Master_Data'!F79&amp;""))</f>
        <v/>
      </c>
      <c r="J79">
        <f>IF('01_Master_Data'!B79="","",TRIM('01_Master_Data'!G79&amp;""))</f>
        <v/>
      </c>
      <c r="K79">
        <f>IF('01_Master_Data'!B79="","",'01_Master_Data'!H79)</f>
        <v/>
      </c>
      <c r="L79">
        <f>IF('01_Master_Data'!B79="","",IF(LOWER(TRIM('01_Master_Data'!V79&amp;""))="yes",1,0))</f>
        <v/>
      </c>
      <c r="M79">
        <f>IF('01_Master_Data'!B79="","",IF(LOWER(TRIM('01_Master_Data'!W79&amp;""))="yes",1,0))</f>
        <v/>
      </c>
      <c r="N79">
        <f>IF('01_Master_Data'!B79="","",IF(LOWER(TRIM('01_Master_Data'!X79&amp;""))="yes",1,0))</f>
        <v/>
      </c>
      <c r="O79">
        <f>IF('01_Master_Data'!B79="","",IF(LOWER(TRIM('01_Master_Data'!Y79&amp;""))="yes",1,0))</f>
        <v/>
      </c>
      <c r="P79">
        <f>IF('01_Master_Data'!B79="","",IF(LOWER(TRIM('01_Master_Data'!Z79&amp;""))="yes",1,0))</f>
        <v/>
      </c>
      <c r="Q79">
        <f>IF(A79="","",L79+M79+N79+O79+P79)</f>
        <v/>
      </c>
      <c r="R79">
        <f>IF(A79="","",IF(Q79&gt;1,"Yes","No"))</f>
        <v/>
      </c>
      <c r="S79">
        <f>IF(A79="","",TEXTJOIN(", ",TRUE,IF(L79=1,"ICICI",""),IF(M79=1,"Propelld",""),IF(N79=1,"Study4Buddy",""),IF(O79=1,"Poonawala Fincorp",""),IF(P79=1,"GyanDhan","")))</f>
        <v/>
      </c>
      <c r="T79">
        <f>IF(A79="","",IF(L79=1,"ICICI",IF(M79=1,"Propelld",IF(P79=1,"GyanDhan",IF(N79=1,"Study4Buddy",IF(O79=1,"Poonawala Fincorp",IF(ISNUMBER(SEARCH("GyanDhan",W79&amp;"")),"GyanDhan",IF(ISNUMBER(SEARCH("Icici",W79&amp;"")),"ICICI",IF(ISNUMBER(SEARCH("Propelld",W79&amp;"")),"Propelld",IF(ISNUMBER(SEARCH("vidyalakshmi",LOWER(W79&amp;"")),"PM Vidyalakshmi","—"))))))))))</f>
        <v/>
      </c>
      <c r="U79">
        <f>IF(A79="","",TRIM('01_Master_Data'!AA79&amp;""))</f>
        <v/>
      </c>
      <c r="V79">
        <f>IF(A79="","",TRIM('01_Master_Data'!AG79&amp;""))</f>
        <v/>
      </c>
      <c r="W79">
        <f>IF(A79="","",TRIM('01_Master_Data'!AH79&amp;""))</f>
        <v/>
      </c>
      <c r="X79">
        <f>IF(A79="","",IF(OR(LOWER(H79)="refund",LOWER(U79)="refund case"),"Refund",IF(OR(LOWER(H79)="dnp",LOWER(U79)="dnp"),"DNP",IF(OR(LOWER(V79)="disbursed",ISNUMBER(SEARCH("Disbursed",W79&amp;""))),"Disbursed",IF(OR(LOWER(V79)="loan proccessed/accepted",ISNUMBER(SEARCH("sanctioned",LOWER(W79&amp;"")))),"Sanctioned",IF(OR(LOWER(V79)="rejected",ISNUMBER(SEARCH("Not eligbile",W79&amp;"")),ISNUMBER(SEARCH("Not eligible",W79&amp;""))),"Rejected",IF(ISNUMBER(SEARCH("Docs Pending",W79&amp;"")),"Documents Pending",IF(AND(LOWER(H79)="yes",LOWER(V79)="ongoing"),"Processing",IF(AND(LOWER(H79)="yes",Q79&gt;0,OR(V79="",LOWER(V79)="not even started")),"Vendor Assigned",IF(AND(LOWER(H79)="yes",LOWER(V79)="not even started"),"Need Loan",IF(LOWER(H79)="yes","Loan Started",IF(LOWER(H79)="not sure","Interested",IF(OR(LOWER(H79)="no",LOWER(V79)="not required"),"Not Required","Unclassified")))))))))))))</f>
        <v/>
      </c>
      <c r="Y79">
        <f>IF(A79="","",IF(OR(X79="Sanctioned",X79="Disbursed",X79="Approved"),"Approved",IF(X79="Rejected","Rejected",IF(OR(X79="Processing",X79="Documents Pending",X79="Vendor Assigned"),"In Progress",IF(X79="Need Loan","Pending Start","—"))))</f>
        <v/>
      </c>
      <c r="Z79">
        <f>IF(A79="","",IF(X79="Disbursed","Disbursed",IF(X79="Sanctioned","Sanctioned - Awaiting Disbursement","Not Disbursed")))</f>
        <v/>
      </c>
      <c r="AA79">
        <f>IF(A79="","",IF(LOWER(TRIM('01_Master_Data'!AI79&amp;""))="yes","Need FLDG",IF(LOWER(TRIM('01_Master_Data'!AK79&amp;""))="yes","Need Vidyalakshmi",IF(LOWER(TRIM('01_Master_Data'!AJ79&amp;""))="yes","Need Review",IF(LOWER(J79)="critical","Critical",IF(LOWER(U79)="risk","Risk Case",IF(X79="Refund","Refund","Normal")))))))</f>
        <v/>
      </c>
      <c r="AB79">
        <f>IF(A79="","",IF(OR(LOWER(J79)="critical",LOWER(TRIM('01_Master_Data'!AI79&amp;""))="yes",LOWER(TRIM('01_Master_Data'!AK79&amp;""))="yes",LOWER(U79)="risk"),"Yes","No"))</f>
        <v/>
      </c>
      <c r="AC79">
        <f>IF(A79="","",IF(LOWER(TRIM('01_Master_Data'!AI79&amp;""))="yes","Yes","No"))</f>
        <v/>
      </c>
      <c r="AD79">
        <f>IF(A79="","",IF(LOWER(TRIM('01_Master_Data'!AK79&amp;""))="yes","Yes","No"))</f>
        <v/>
      </c>
      <c r="AE79">
        <f>IF(A79="","",IF(LOWER(TRIM('01_Master_Data'!AJ79&amp;""))="yes","Yes","No"))</f>
        <v/>
      </c>
      <c r="AF79">
        <f>IF(A79="","",TRIM('01_Master_Data'!AL79&amp;""))</f>
        <v/>
      </c>
      <c r="AG79">
        <f>IF(A79="","",IF(AF79="","—",IF(ISNUMBER(SEARCH("DNP",AF79)),"Unreachable / DNP",IF(ISNUMBER(SEARCH("interest",LOWER(AF79))),"High Interest / Terms",IF(OR(ISNUMBER(SEARCH("eligib",LOWER(AF79))),ISNUMBER(SEARCH("income",LOWER(AF79)))),"Eligibility / Income",IF(OR(ISNUMBER(SEARCH("start",LOWER(AF79))),ISNUMBER(SEARCH("Newer",AF79)),ISNUMBER(SEARCH("Will start",AF79))),"Process Yet to Start",IF(ISNUMBER(SEARCH("sure",LOWER(AF79))),"Undecided",IF(OR(ISNUMBER(SEARCH("reject",LOWER(AF79))),ISNUMBER(SEARCH("SBI",AF79))),"Rejected Elsewhere",IF(ISNUMBER(SEARCH("call",LOWER(AF79))),"Bank Communication",IF(OR(ISNUMBER(SEARCH("father",LOWER(AF79))),ISNUMBER(SEARCH("sister",LOWER(AF79)))),"Family / Dependency","Other"))))))))))</f>
        <v/>
      </c>
      <c r="AH79">
        <f>IF(A79="","",'01_Master_Data'!AC79)</f>
        <v/>
      </c>
      <c r="AI79">
        <f>IF(A79="","",IF(OR(AH79="",NOT(ISNUMBER(AH79))),"",MAX(0,'02_Configuration'!$B$82-AH79)))</f>
        <v/>
      </c>
      <c r="AJ79">
        <f>IF(A79="","",IF(AI79="","Unknown",IF(AI79&lt;=3,"0–3 Days",IF(AI79&lt;=7,"4–7 Days",IF(AI79&lt;=15,"8–15 Days",IF(AI79&lt;=30,"16–30 Days","30+ Days"))))))</f>
        <v/>
      </c>
      <c r="AK79">
        <f>IF(A79="","",IF(LOWER(H79)="yes","Yes","No"))</f>
        <v/>
      </c>
      <c r="AL79">
        <f>IF(A79="","",'01_Master_Data'!T79)</f>
        <v/>
      </c>
      <c r="AM79">
        <f>IF(A79="","",'01_Master_Data'!S79)</f>
        <v/>
      </c>
      <c r="AN79">
        <f>IF(A79="","",'01_Master_Data'!I79)</f>
        <v/>
      </c>
      <c r="AO79">
        <f>IF(A79="","",'01_Master_Data'!M79)</f>
        <v/>
      </c>
      <c r="AP79">
        <f>IF(A79="","",IF(ISNUMBER(SEARCH("Icici",W79&amp;"")),1,0))</f>
        <v/>
      </c>
      <c r="AQ79">
        <f>IF(A79="","",IF(ISNUMBER(SEARCH("Propelld",W79&amp;"")),1,0))</f>
        <v/>
      </c>
      <c r="AR79">
        <f>IF(A79="","",IF(ISNUMBER(SEARCH("GyanDhan",W79&amp;"")),1,0))</f>
        <v/>
      </c>
      <c r="AS79">
        <f>IF(A79="","",IF(ISNUMBER(SEARCH("vidyalakshmi",LOWER(W79&amp;""))),1,0))</f>
        <v/>
      </c>
      <c r="AT79">
        <f>IF(A79="","",IF(ISNUMBER(SEARCH("other bank",LOWER(W79&amp;""))),1,0))</f>
        <v/>
      </c>
      <c r="AU79">
        <f>IF(A79="","",IF(ISNUMBER(SEARCH("sanctioned",LOWER(W79&amp;""))),1,0))</f>
        <v/>
      </c>
      <c r="AV79">
        <f>IF(A79="","",IF(ISNUMBER(SEARCH("Docs Pending",W79&amp;"")),1,0))</f>
        <v/>
      </c>
      <c r="AW79">
        <f>IF(A79="","",IF(OR(X79="Rejected",ISNUMBER(SEARCH("Not eligbile",W79&amp;""))),1,0))</f>
        <v/>
      </c>
    </row>
    <row r="80">
      <c r="A80">
        <f>IF('01_Master_Data'!B80="","",79)</f>
        <v/>
      </c>
      <c r="B80">
        <f>IF('01_Master_Data'!B80="","",IF('01_Master_Data'!C80&lt;&gt;"","MOB|"&amp;TEXT('01_Master_Data'!C80,"0"),IF('01_Master_Data'!D80&lt;&gt;"","PID|"&amp;TRIM('01_Master_Data'!D80&amp;""),"")))</f>
        <v/>
      </c>
      <c r="C80">
        <f>IF('01_Master_Data'!B80="","",'01_Master_Data'!B80)</f>
        <v/>
      </c>
      <c r="D80">
        <f>IF('01_Master_Data'!B80="","",'01_Master_Data'!C80)</f>
        <v/>
      </c>
      <c r="E80">
        <f>IF('01_Master_Data'!B80="","",'01_Master_Data'!D80)</f>
        <v/>
      </c>
      <c r="F80">
        <f>IF('01_Master_Data'!B80="","",'01_Master_Data'!E80)</f>
        <v/>
      </c>
      <c r="G80">
        <f>IF('01_Master_Data'!B80="","",IFERROR(VLOOKUP(TRIM('01_Master_Data'!E80&amp;""),'02_Configuration'!$A$40:$B$44,2,FALSE),UPPER(TRIM('01_Master_Data'!E80&amp;""))))</f>
        <v/>
      </c>
      <c r="H80">
        <f>IF('01_Master_Data'!B80="","",IF('01_Master_Data'!U80="","",TRIM('01_Master_Data'!U80&amp;"")))</f>
        <v/>
      </c>
      <c r="I80">
        <f>IF('01_Master_Data'!B80="","",TRIM('01_Master_Data'!F80&amp;""))</f>
        <v/>
      </c>
      <c r="J80">
        <f>IF('01_Master_Data'!B80="","",TRIM('01_Master_Data'!G80&amp;""))</f>
        <v/>
      </c>
      <c r="K80">
        <f>IF('01_Master_Data'!B80="","",'01_Master_Data'!H80)</f>
        <v/>
      </c>
      <c r="L80">
        <f>IF('01_Master_Data'!B80="","",IF(LOWER(TRIM('01_Master_Data'!V80&amp;""))="yes",1,0))</f>
        <v/>
      </c>
      <c r="M80">
        <f>IF('01_Master_Data'!B80="","",IF(LOWER(TRIM('01_Master_Data'!W80&amp;""))="yes",1,0))</f>
        <v/>
      </c>
      <c r="N80">
        <f>IF('01_Master_Data'!B80="","",IF(LOWER(TRIM('01_Master_Data'!X80&amp;""))="yes",1,0))</f>
        <v/>
      </c>
      <c r="O80">
        <f>IF('01_Master_Data'!B80="","",IF(LOWER(TRIM('01_Master_Data'!Y80&amp;""))="yes",1,0))</f>
        <v/>
      </c>
      <c r="P80">
        <f>IF('01_Master_Data'!B80="","",IF(LOWER(TRIM('01_Master_Data'!Z80&amp;""))="yes",1,0))</f>
        <v/>
      </c>
      <c r="Q80">
        <f>IF(A80="","",L80+M80+N80+O80+P80)</f>
        <v/>
      </c>
      <c r="R80">
        <f>IF(A80="","",IF(Q80&gt;1,"Yes","No"))</f>
        <v/>
      </c>
      <c r="S80">
        <f>IF(A80="","",TEXTJOIN(", ",TRUE,IF(L80=1,"ICICI",""),IF(M80=1,"Propelld",""),IF(N80=1,"Study4Buddy",""),IF(O80=1,"Poonawala Fincorp",""),IF(P80=1,"GyanDhan","")))</f>
        <v/>
      </c>
      <c r="T80">
        <f>IF(A80="","",IF(L80=1,"ICICI",IF(M80=1,"Propelld",IF(P80=1,"GyanDhan",IF(N80=1,"Study4Buddy",IF(O80=1,"Poonawala Fincorp",IF(ISNUMBER(SEARCH("GyanDhan",W80&amp;"")),"GyanDhan",IF(ISNUMBER(SEARCH("Icici",W80&amp;"")),"ICICI",IF(ISNUMBER(SEARCH("Propelld",W80&amp;"")),"Propelld",IF(ISNUMBER(SEARCH("vidyalakshmi",LOWER(W80&amp;"")),"PM Vidyalakshmi","—"))))))))))</f>
        <v/>
      </c>
      <c r="U80">
        <f>IF(A80="","",TRIM('01_Master_Data'!AA80&amp;""))</f>
        <v/>
      </c>
      <c r="V80">
        <f>IF(A80="","",TRIM('01_Master_Data'!AG80&amp;""))</f>
        <v/>
      </c>
      <c r="W80">
        <f>IF(A80="","",TRIM('01_Master_Data'!AH80&amp;""))</f>
        <v/>
      </c>
      <c r="X80">
        <f>IF(A80="","",IF(OR(LOWER(H80)="refund",LOWER(U80)="refund case"),"Refund",IF(OR(LOWER(H80)="dnp",LOWER(U80)="dnp"),"DNP",IF(OR(LOWER(V80)="disbursed",ISNUMBER(SEARCH("Disbursed",W80&amp;""))),"Disbursed",IF(OR(LOWER(V80)="loan proccessed/accepted",ISNUMBER(SEARCH("sanctioned",LOWER(W80&amp;"")))),"Sanctioned",IF(OR(LOWER(V80)="rejected",ISNUMBER(SEARCH("Not eligbile",W80&amp;"")),ISNUMBER(SEARCH("Not eligible",W80&amp;""))),"Rejected",IF(ISNUMBER(SEARCH("Docs Pending",W80&amp;"")),"Documents Pending",IF(AND(LOWER(H80)="yes",LOWER(V80)="ongoing"),"Processing",IF(AND(LOWER(H80)="yes",Q80&gt;0,OR(V80="",LOWER(V80)="not even started")),"Vendor Assigned",IF(AND(LOWER(H80)="yes",LOWER(V80)="not even started"),"Need Loan",IF(LOWER(H80)="yes","Loan Started",IF(LOWER(H80)="not sure","Interested",IF(OR(LOWER(H80)="no",LOWER(V80)="not required"),"Not Required","Unclassified")))))))))))))</f>
        <v/>
      </c>
      <c r="Y80">
        <f>IF(A80="","",IF(OR(X80="Sanctioned",X80="Disbursed",X80="Approved"),"Approved",IF(X80="Rejected","Rejected",IF(OR(X80="Processing",X80="Documents Pending",X80="Vendor Assigned"),"In Progress",IF(X80="Need Loan","Pending Start","—"))))</f>
        <v/>
      </c>
      <c r="Z80">
        <f>IF(A80="","",IF(X80="Disbursed","Disbursed",IF(X80="Sanctioned","Sanctioned - Awaiting Disbursement","Not Disbursed")))</f>
        <v/>
      </c>
      <c r="AA80">
        <f>IF(A80="","",IF(LOWER(TRIM('01_Master_Data'!AI80&amp;""))="yes","Need FLDG",IF(LOWER(TRIM('01_Master_Data'!AK80&amp;""))="yes","Need Vidyalakshmi",IF(LOWER(TRIM('01_Master_Data'!AJ80&amp;""))="yes","Need Review",IF(LOWER(J80)="critical","Critical",IF(LOWER(U80)="risk","Risk Case",IF(X80="Refund","Refund","Normal")))))))</f>
        <v/>
      </c>
      <c r="AB80">
        <f>IF(A80="","",IF(OR(LOWER(J80)="critical",LOWER(TRIM('01_Master_Data'!AI80&amp;""))="yes",LOWER(TRIM('01_Master_Data'!AK80&amp;""))="yes",LOWER(U80)="risk"),"Yes","No"))</f>
        <v/>
      </c>
      <c r="AC80">
        <f>IF(A80="","",IF(LOWER(TRIM('01_Master_Data'!AI80&amp;""))="yes","Yes","No"))</f>
        <v/>
      </c>
      <c r="AD80">
        <f>IF(A80="","",IF(LOWER(TRIM('01_Master_Data'!AK80&amp;""))="yes","Yes","No"))</f>
        <v/>
      </c>
      <c r="AE80">
        <f>IF(A80="","",IF(LOWER(TRIM('01_Master_Data'!AJ80&amp;""))="yes","Yes","No"))</f>
        <v/>
      </c>
      <c r="AF80">
        <f>IF(A80="","",TRIM('01_Master_Data'!AL80&amp;""))</f>
        <v/>
      </c>
      <c r="AG80">
        <f>IF(A80="","",IF(AF80="","—",IF(ISNUMBER(SEARCH("DNP",AF80)),"Unreachable / DNP",IF(ISNUMBER(SEARCH("interest",LOWER(AF80))),"High Interest / Terms",IF(OR(ISNUMBER(SEARCH("eligib",LOWER(AF80))),ISNUMBER(SEARCH("income",LOWER(AF80)))),"Eligibility / Income",IF(OR(ISNUMBER(SEARCH("start",LOWER(AF80))),ISNUMBER(SEARCH("Newer",AF80)),ISNUMBER(SEARCH("Will start",AF80))),"Process Yet to Start",IF(ISNUMBER(SEARCH("sure",LOWER(AF80))),"Undecided",IF(OR(ISNUMBER(SEARCH("reject",LOWER(AF80))),ISNUMBER(SEARCH("SBI",AF80))),"Rejected Elsewhere",IF(ISNUMBER(SEARCH("call",LOWER(AF80))),"Bank Communication",IF(OR(ISNUMBER(SEARCH("father",LOWER(AF80))),ISNUMBER(SEARCH("sister",LOWER(AF80)))),"Family / Dependency","Other"))))))))))</f>
        <v/>
      </c>
      <c r="AH80">
        <f>IF(A80="","",'01_Master_Data'!AC80)</f>
        <v/>
      </c>
      <c r="AI80">
        <f>IF(A80="","",IF(OR(AH80="",NOT(ISNUMBER(AH80))),"",MAX(0,'02_Configuration'!$B$82-AH80)))</f>
        <v/>
      </c>
      <c r="AJ80">
        <f>IF(A80="","",IF(AI80="","Unknown",IF(AI80&lt;=3,"0–3 Days",IF(AI80&lt;=7,"4–7 Days",IF(AI80&lt;=15,"8–15 Days",IF(AI80&lt;=30,"16–30 Days","30+ Days"))))))</f>
        <v/>
      </c>
      <c r="AK80">
        <f>IF(A80="","",IF(LOWER(H80)="yes","Yes","No"))</f>
        <v/>
      </c>
      <c r="AL80">
        <f>IF(A80="","",'01_Master_Data'!T80)</f>
        <v/>
      </c>
      <c r="AM80">
        <f>IF(A80="","",'01_Master_Data'!S80)</f>
        <v/>
      </c>
      <c r="AN80">
        <f>IF(A80="","",'01_Master_Data'!I80)</f>
        <v/>
      </c>
      <c r="AO80">
        <f>IF(A80="","",'01_Master_Data'!M80)</f>
        <v/>
      </c>
      <c r="AP80">
        <f>IF(A80="","",IF(ISNUMBER(SEARCH("Icici",W80&amp;"")),1,0))</f>
        <v/>
      </c>
      <c r="AQ80">
        <f>IF(A80="","",IF(ISNUMBER(SEARCH("Propelld",W80&amp;"")),1,0))</f>
        <v/>
      </c>
      <c r="AR80">
        <f>IF(A80="","",IF(ISNUMBER(SEARCH("GyanDhan",W80&amp;"")),1,0))</f>
        <v/>
      </c>
      <c r="AS80">
        <f>IF(A80="","",IF(ISNUMBER(SEARCH("vidyalakshmi",LOWER(W80&amp;""))),1,0))</f>
        <v/>
      </c>
      <c r="AT80">
        <f>IF(A80="","",IF(ISNUMBER(SEARCH("other bank",LOWER(W80&amp;""))),1,0))</f>
        <v/>
      </c>
      <c r="AU80">
        <f>IF(A80="","",IF(ISNUMBER(SEARCH("sanctioned",LOWER(W80&amp;""))),1,0))</f>
        <v/>
      </c>
      <c r="AV80">
        <f>IF(A80="","",IF(ISNUMBER(SEARCH("Docs Pending",W80&amp;"")),1,0))</f>
        <v/>
      </c>
      <c r="AW80">
        <f>IF(A80="","",IF(OR(X80="Rejected",ISNUMBER(SEARCH("Not eligbile",W80&amp;""))),1,0))</f>
        <v/>
      </c>
    </row>
    <row r="81">
      <c r="A81">
        <f>IF('01_Master_Data'!B81="","",80)</f>
        <v/>
      </c>
      <c r="B81">
        <f>IF('01_Master_Data'!B81="","",IF('01_Master_Data'!C81&lt;&gt;"","MOB|"&amp;TEXT('01_Master_Data'!C81,"0"),IF('01_Master_Data'!D81&lt;&gt;"","PID|"&amp;TRIM('01_Master_Data'!D81&amp;""),"")))</f>
        <v/>
      </c>
      <c r="C81">
        <f>IF('01_Master_Data'!B81="","",'01_Master_Data'!B81)</f>
        <v/>
      </c>
      <c r="D81">
        <f>IF('01_Master_Data'!B81="","",'01_Master_Data'!C81)</f>
        <v/>
      </c>
      <c r="E81">
        <f>IF('01_Master_Data'!B81="","",'01_Master_Data'!D81)</f>
        <v/>
      </c>
      <c r="F81">
        <f>IF('01_Master_Data'!B81="","",'01_Master_Data'!E81)</f>
        <v/>
      </c>
      <c r="G81">
        <f>IF('01_Master_Data'!B81="","",IFERROR(VLOOKUP(TRIM('01_Master_Data'!E81&amp;""),'02_Configuration'!$A$40:$B$44,2,FALSE),UPPER(TRIM('01_Master_Data'!E81&amp;""))))</f>
        <v/>
      </c>
      <c r="H81">
        <f>IF('01_Master_Data'!B81="","",IF('01_Master_Data'!U81="","",TRIM('01_Master_Data'!U81&amp;"")))</f>
        <v/>
      </c>
      <c r="I81">
        <f>IF('01_Master_Data'!B81="","",TRIM('01_Master_Data'!F81&amp;""))</f>
        <v/>
      </c>
      <c r="J81">
        <f>IF('01_Master_Data'!B81="","",TRIM('01_Master_Data'!G81&amp;""))</f>
        <v/>
      </c>
      <c r="K81">
        <f>IF('01_Master_Data'!B81="","",'01_Master_Data'!H81)</f>
        <v/>
      </c>
      <c r="L81">
        <f>IF('01_Master_Data'!B81="","",IF(LOWER(TRIM('01_Master_Data'!V81&amp;""))="yes",1,0))</f>
        <v/>
      </c>
      <c r="M81">
        <f>IF('01_Master_Data'!B81="","",IF(LOWER(TRIM('01_Master_Data'!W81&amp;""))="yes",1,0))</f>
        <v/>
      </c>
      <c r="N81">
        <f>IF('01_Master_Data'!B81="","",IF(LOWER(TRIM('01_Master_Data'!X81&amp;""))="yes",1,0))</f>
        <v/>
      </c>
      <c r="O81">
        <f>IF('01_Master_Data'!B81="","",IF(LOWER(TRIM('01_Master_Data'!Y81&amp;""))="yes",1,0))</f>
        <v/>
      </c>
      <c r="P81">
        <f>IF('01_Master_Data'!B81="","",IF(LOWER(TRIM('01_Master_Data'!Z81&amp;""))="yes",1,0))</f>
        <v/>
      </c>
      <c r="Q81">
        <f>IF(A81="","",L81+M81+N81+O81+P81)</f>
        <v/>
      </c>
      <c r="R81">
        <f>IF(A81="","",IF(Q81&gt;1,"Yes","No"))</f>
        <v/>
      </c>
      <c r="S81">
        <f>IF(A81="","",TEXTJOIN(", ",TRUE,IF(L81=1,"ICICI",""),IF(M81=1,"Propelld",""),IF(N81=1,"Study4Buddy",""),IF(O81=1,"Poonawala Fincorp",""),IF(P81=1,"GyanDhan","")))</f>
        <v/>
      </c>
      <c r="T81">
        <f>IF(A81="","",IF(L81=1,"ICICI",IF(M81=1,"Propelld",IF(P81=1,"GyanDhan",IF(N81=1,"Study4Buddy",IF(O81=1,"Poonawala Fincorp",IF(ISNUMBER(SEARCH("GyanDhan",W81&amp;"")),"GyanDhan",IF(ISNUMBER(SEARCH("Icici",W81&amp;"")),"ICICI",IF(ISNUMBER(SEARCH("Propelld",W81&amp;"")),"Propelld",IF(ISNUMBER(SEARCH("vidyalakshmi",LOWER(W81&amp;"")),"PM Vidyalakshmi","—"))))))))))</f>
        <v/>
      </c>
      <c r="U81">
        <f>IF(A81="","",TRIM('01_Master_Data'!AA81&amp;""))</f>
        <v/>
      </c>
      <c r="V81">
        <f>IF(A81="","",TRIM('01_Master_Data'!AG81&amp;""))</f>
        <v/>
      </c>
      <c r="W81">
        <f>IF(A81="","",TRIM('01_Master_Data'!AH81&amp;""))</f>
        <v/>
      </c>
      <c r="X81">
        <f>IF(A81="","",IF(OR(LOWER(H81)="refund",LOWER(U81)="refund case"),"Refund",IF(OR(LOWER(H81)="dnp",LOWER(U81)="dnp"),"DNP",IF(OR(LOWER(V81)="disbursed",ISNUMBER(SEARCH("Disbursed",W81&amp;""))),"Disbursed",IF(OR(LOWER(V81)="loan proccessed/accepted",ISNUMBER(SEARCH("sanctioned",LOWER(W81&amp;"")))),"Sanctioned",IF(OR(LOWER(V81)="rejected",ISNUMBER(SEARCH("Not eligbile",W81&amp;"")),ISNUMBER(SEARCH("Not eligible",W81&amp;""))),"Rejected",IF(ISNUMBER(SEARCH("Docs Pending",W81&amp;"")),"Documents Pending",IF(AND(LOWER(H81)="yes",LOWER(V81)="ongoing"),"Processing",IF(AND(LOWER(H81)="yes",Q81&gt;0,OR(V81="",LOWER(V81)="not even started")),"Vendor Assigned",IF(AND(LOWER(H81)="yes",LOWER(V81)="not even started"),"Need Loan",IF(LOWER(H81)="yes","Loan Started",IF(LOWER(H81)="not sure","Interested",IF(OR(LOWER(H81)="no",LOWER(V81)="not required"),"Not Required","Unclassified")))))))))))))</f>
        <v/>
      </c>
      <c r="Y81">
        <f>IF(A81="","",IF(OR(X81="Sanctioned",X81="Disbursed",X81="Approved"),"Approved",IF(X81="Rejected","Rejected",IF(OR(X81="Processing",X81="Documents Pending",X81="Vendor Assigned"),"In Progress",IF(X81="Need Loan","Pending Start","—"))))</f>
        <v/>
      </c>
      <c r="Z81">
        <f>IF(A81="","",IF(X81="Disbursed","Disbursed",IF(X81="Sanctioned","Sanctioned - Awaiting Disbursement","Not Disbursed")))</f>
        <v/>
      </c>
      <c r="AA81">
        <f>IF(A81="","",IF(LOWER(TRIM('01_Master_Data'!AI81&amp;""))="yes","Need FLDG",IF(LOWER(TRIM('01_Master_Data'!AK81&amp;""))="yes","Need Vidyalakshmi",IF(LOWER(TRIM('01_Master_Data'!AJ81&amp;""))="yes","Need Review",IF(LOWER(J81)="critical","Critical",IF(LOWER(U81)="risk","Risk Case",IF(X81="Refund","Refund","Normal")))))))</f>
        <v/>
      </c>
      <c r="AB81">
        <f>IF(A81="","",IF(OR(LOWER(J81)="critical",LOWER(TRIM('01_Master_Data'!AI81&amp;""))="yes",LOWER(TRIM('01_Master_Data'!AK81&amp;""))="yes",LOWER(U81)="risk"),"Yes","No"))</f>
        <v/>
      </c>
      <c r="AC81">
        <f>IF(A81="","",IF(LOWER(TRIM('01_Master_Data'!AI81&amp;""))="yes","Yes","No"))</f>
        <v/>
      </c>
      <c r="AD81">
        <f>IF(A81="","",IF(LOWER(TRIM('01_Master_Data'!AK81&amp;""))="yes","Yes","No"))</f>
        <v/>
      </c>
      <c r="AE81">
        <f>IF(A81="","",IF(LOWER(TRIM('01_Master_Data'!AJ81&amp;""))="yes","Yes","No"))</f>
        <v/>
      </c>
      <c r="AF81">
        <f>IF(A81="","",TRIM('01_Master_Data'!AL81&amp;""))</f>
        <v/>
      </c>
      <c r="AG81">
        <f>IF(A81="","",IF(AF81="","—",IF(ISNUMBER(SEARCH("DNP",AF81)),"Unreachable / DNP",IF(ISNUMBER(SEARCH("interest",LOWER(AF81))),"High Interest / Terms",IF(OR(ISNUMBER(SEARCH("eligib",LOWER(AF81))),ISNUMBER(SEARCH("income",LOWER(AF81)))),"Eligibility / Income",IF(OR(ISNUMBER(SEARCH("start",LOWER(AF81))),ISNUMBER(SEARCH("Newer",AF81)),ISNUMBER(SEARCH("Will start",AF81))),"Process Yet to Start",IF(ISNUMBER(SEARCH("sure",LOWER(AF81))),"Undecided",IF(OR(ISNUMBER(SEARCH("reject",LOWER(AF81))),ISNUMBER(SEARCH("SBI",AF81))),"Rejected Elsewhere",IF(ISNUMBER(SEARCH("call",LOWER(AF81))),"Bank Communication",IF(OR(ISNUMBER(SEARCH("father",LOWER(AF81))),ISNUMBER(SEARCH("sister",LOWER(AF81)))),"Family / Dependency","Other"))))))))))</f>
        <v/>
      </c>
      <c r="AH81">
        <f>IF(A81="","",'01_Master_Data'!AC81)</f>
        <v/>
      </c>
      <c r="AI81">
        <f>IF(A81="","",IF(OR(AH81="",NOT(ISNUMBER(AH81))),"",MAX(0,'02_Configuration'!$B$82-AH81)))</f>
        <v/>
      </c>
      <c r="AJ81">
        <f>IF(A81="","",IF(AI81="","Unknown",IF(AI81&lt;=3,"0–3 Days",IF(AI81&lt;=7,"4–7 Days",IF(AI81&lt;=15,"8–15 Days",IF(AI81&lt;=30,"16–30 Days","30+ Days"))))))</f>
        <v/>
      </c>
      <c r="AK81">
        <f>IF(A81="","",IF(LOWER(H81)="yes","Yes","No"))</f>
        <v/>
      </c>
      <c r="AL81">
        <f>IF(A81="","",'01_Master_Data'!T81)</f>
        <v/>
      </c>
      <c r="AM81">
        <f>IF(A81="","",'01_Master_Data'!S81)</f>
        <v/>
      </c>
      <c r="AN81">
        <f>IF(A81="","",'01_Master_Data'!I81)</f>
        <v/>
      </c>
      <c r="AO81">
        <f>IF(A81="","",'01_Master_Data'!M81)</f>
        <v/>
      </c>
      <c r="AP81">
        <f>IF(A81="","",IF(ISNUMBER(SEARCH("Icici",W81&amp;"")),1,0))</f>
        <v/>
      </c>
      <c r="AQ81">
        <f>IF(A81="","",IF(ISNUMBER(SEARCH("Propelld",W81&amp;"")),1,0))</f>
        <v/>
      </c>
      <c r="AR81">
        <f>IF(A81="","",IF(ISNUMBER(SEARCH("GyanDhan",W81&amp;"")),1,0))</f>
        <v/>
      </c>
      <c r="AS81">
        <f>IF(A81="","",IF(ISNUMBER(SEARCH("vidyalakshmi",LOWER(W81&amp;""))),1,0))</f>
        <v/>
      </c>
      <c r="AT81">
        <f>IF(A81="","",IF(ISNUMBER(SEARCH("other bank",LOWER(W81&amp;""))),1,0))</f>
        <v/>
      </c>
      <c r="AU81">
        <f>IF(A81="","",IF(ISNUMBER(SEARCH("sanctioned",LOWER(W81&amp;""))),1,0))</f>
        <v/>
      </c>
      <c r="AV81">
        <f>IF(A81="","",IF(ISNUMBER(SEARCH("Docs Pending",W81&amp;"")),1,0))</f>
        <v/>
      </c>
      <c r="AW81">
        <f>IF(A81="","",IF(OR(X81="Rejected",ISNUMBER(SEARCH("Not eligbile",W81&amp;""))),1,0))</f>
        <v/>
      </c>
    </row>
    <row r="82">
      <c r="A82">
        <f>IF('01_Master_Data'!B82="","",81)</f>
        <v/>
      </c>
      <c r="B82">
        <f>IF('01_Master_Data'!B82="","",IF('01_Master_Data'!C82&lt;&gt;"","MOB|"&amp;TEXT('01_Master_Data'!C82,"0"),IF('01_Master_Data'!D82&lt;&gt;"","PID|"&amp;TRIM('01_Master_Data'!D82&amp;""),"")))</f>
        <v/>
      </c>
      <c r="C82">
        <f>IF('01_Master_Data'!B82="","",'01_Master_Data'!B82)</f>
        <v/>
      </c>
      <c r="D82">
        <f>IF('01_Master_Data'!B82="","",'01_Master_Data'!C82)</f>
        <v/>
      </c>
      <c r="E82">
        <f>IF('01_Master_Data'!B82="","",'01_Master_Data'!D82)</f>
        <v/>
      </c>
      <c r="F82">
        <f>IF('01_Master_Data'!B82="","",'01_Master_Data'!E82)</f>
        <v/>
      </c>
      <c r="G82">
        <f>IF('01_Master_Data'!B82="","",IFERROR(VLOOKUP(TRIM('01_Master_Data'!E82&amp;""),'02_Configuration'!$A$40:$B$44,2,FALSE),UPPER(TRIM('01_Master_Data'!E82&amp;""))))</f>
        <v/>
      </c>
      <c r="H82">
        <f>IF('01_Master_Data'!B82="","",IF('01_Master_Data'!U82="","",TRIM('01_Master_Data'!U82&amp;"")))</f>
        <v/>
      </c>
      <c r="I82">
        <f>IF('01_Master_Data'!B82="","",TRIM('01_Master_Data'!F82&amp;""))</f>
        <v/>
      </c>
      <c r="J82">
        <f>IF('01_Master_Data'!B82="","",TRIM('01_Master_Data'!G82&amp;""))</f>
        <v/>
      </c>
      <c r="K82">
        <f>IF('01_Master_Data'!B82="","",'01_Master_Data'!H82)</f>
        <v/>
      </c>
      <c r="L82">
        <f>IF('01_Master_Data'!B82="","",IF(LOWER(TRIM('01_Master_Data'!V82&amp;""))="yes",1,0))</f>
        <v/>
      </c>
      <c r="M82">
        <f>IF('01_Master_Data'!B82="","",IF(LOWER(TRIM('01_Master_Data'!W82&amp;""))="yes",1,0))</f>
        <v/>
      </c>
      <c r="N82">
        <f>IF('01_Master_Data'!B82="","",IF(LOWER(TRIM('01_Master_Data'!X82&amp;""))="yes",1,0))</f>
        <v/>
      </c>
      <c r="O82">
        <f>IF('01_Master_Data'!B82="","",IF(LOWER(TRIM('01_Master_Data'!Y82&amp;""))="yes",1,0))</f>
        <v/>
      </c>
      <c r="P82">
        <f>IF('01_Master_Data'!B82="","",IF(LOWER(TRIM('01_Master_Data'!Z82&amp;""))="yes",1,0))</f>
        <v/>
      </c>
      <c r="Q82">
        <f>IF(A82="","",L82+M82+N82+O82+P82)</f>
        <v/>
      </c>
      <c r="R82">
        <f>IF(A82="","",IF(Q82&gt;1,"Yes","No"))</f>
        <v/>
      </c>
      <c r="S82">
        <f>IF(A82="","",TEXTJOIN(", ",TRUE,IF(L82=1,"ICICI",""),IF(M82=1,"Propelld",""),IF(N82=1,"Study4Buddy",""),IF(O82=1,"Poonawala Fincorp",""),IF(P82=1,"GyanDhan","")))</f>
        <v/>
      </c>
      <c r="T82">
        <f>IF(A82="","",IF(L82=1,"ICICI",IF(M82=1,"Propelld",IF(P82=1,"GyanDhan",IF(N82=1,"Study4Buddy",IF(O82=1,"Poonawala Fincorp",IF(ISNUMBER(SEARCH("GyanDhan",W82&amp;"")),"GyanDhan",IF(ISNUMBER(SEARCH("Icici",W82&amp;"")),"ICICI",IF(ISNUMBER(SEARCH("Propelld",W82&amp;"")),"Propelld",IF(ISNUMBER(SEARCH("vidyalakshmi",LOWER(W82&amp;"")),"PM Vidyalakshmi","—"))))))))))</f>
        <v/>
      </c>
      <c r="U82">
        <f>IF(A82="","",TRIM('01_Master_Data'!AA82&amp;""))</f>
        <v/>
      </c>
      <c r="V82">
        <f>IF(A82="","",TRIM('01_Master_Data'!AG82&amp;""))</f>
        <v/>
      </c>
      <c r="W82">
        <f>IF(A82="","",TRIM('01_Master_Data'!AH82&amp;""))</f>
        <v/>
      </c>
      <c r="X82">
        <f>IF(A82="","",IF(OR(LOWER(H82)="refund",LOWER(U82)="refund case"),"Refund",IF(OR(LOWER(H82)="dnp",LOWER(U82)="dnp"),"DNP",IF(OR(LOWER(V82)="disbursed",ISNUMBER(SEARCH("Disbursed",W82&amp;""))),"Disbursed",IF(OR(LOWER(V82)="loan proccessed/accepted",ISNUMBER(SEARCH("sanctioned",LOWER(W82&amp;"")))),"Sanctioned",IF(OR(LOWER(V82)="rejected",ISNUMBER(SEARCH("Not eligbile",W82&amp;"")),ISNUMBER(SEARCH("Not eligible",W82&amp;""))),"Rejected",IF(ISNUMBER(SEARCH("Docs Pending",W82&amp;"")),"Documents Pending",IF(AND(LOWER(H82)="yes",LOWER(V82)="ongoing"),"Processing",IF(AND(LOWER(H82)="yes",Q82&gt;0,OR(V82="",LOWER(V82)="not even started")),"Vendor Assigned",IF(AND(LOWER(H82)="yes",LOWER(V82)="not even started"),"Need Loan",IF(LOWER(H82)="yes","Loan Started",IF(LOWER(H82)="not sure","Interested",IF(OR(LOWER(H82)="no",LOWER(V82)="not required"),"Not Required","Unclassified")))))))))))))</f>
        <v/>
      </c>
      <c r="Y82">
        <f>IF(A82="","",IF(OR(X82="Sanctioned",X82="Disbursed",X82="Approved"),"Approved",IF(X82="Rejected","Rejected",IF(OR(X82="Processing",X82="Documents Pending",X82="Vendor Assigned"),"In Progress",IF(X82="Need Loan","Pending Start","—"))))</f>
        <v/>
      </c>
      <c r="Z82">
        <f>IF(A82="","",IF(X82="Disbursed","Disbursed",IF(X82="Sanctioned","Sanctioned - Awaiting Disbursement","Not Disbursed")))</f>
        <v/>
      </c>
      <c r="AA82">
        <f>IF(A82="","",IF(LOWER(TRIM('01_Master_Data'!AI82&amp;""))="yes","Need FLDG",IF(LOWER(TRIM('01_Master_Data'!AK82&amp;""))="yes","Need Vidyalakshmi",IF(LOWER(TRIM('01_Master_Data'!AJ82&amp;""))="yes","Need Review",IF(LOWER(J82)="critical","Critical",IF(LOWER(U82)="risk","Risk Case",IF(X82="Refund","Refund","Normal")))))))</f>
        <v/>
      </c>
      <c r="AB82">
        <f>IF(A82="","",IF(OR(LOWER(J82)="critical",LOWER(TRIM('01_Master_Data'!AI82&amp;""))="yes",LOWER(TRIM('01_Master_Data'!AK82&amp;""))="yes",LOWER(U82)="risk"),"Yes","No"))</f>
        <v/>
      </c>
      <c r="AC82">
        <f>IF(A82="","",IF(LOWER(TRIM('01_Master_Data'!AI82&amp;""))="yes","Yes","No"))</f>
        <v/>
      </c>
      <c r="AD82">
        <f>IF(A82="","",IF(LOWER(TRIM('01_Master_Data'!AK82&amp;""))="yes","Yes","No"))</f>
        <v/>
      </c>
      <c r="AE82">
        <f>IF(A82="","",IF(LOWER(TRIM('01_Master_Data'!AJ82&amp;""))="yes","Yes","No"))</f>
        <v/>
      </c>
      <c r="AF82">
        <f>IF(A82="","",TRIM('01_Master_Data'!AL82&amp;""))</f>
        <v/>
      </c>
      <c r="AG82">
        <f>IF(A82="","",IF(AF82="","—",IF(ISNUMBER(SEARCH("DNP",AF82)),"Unreachable / DNP",IF(ISNUMBER(SEARCH("interest",LOWER(AF82))),"High Interest / Terms",IF(OR(ISNUMBER(SEARCH("eligib",LOWER(AF82))),ISNUMBER(SEARCH("income",LOWER(AF82)))),"Eligibility / Income",IF(OR(ISNUMBER(SEARCH("start",LOWER(AF82))),ISNUMBER(SEARCH("Newer",AF82)),ISNUMBER(SEARCH("Will start",AF82))),"Process Yet to Start",IF(ISNUMBER(SEARCH("sure",LOWER(AF82))),"Undecided",IF(OR(ISNUMBER(SEARCH("reject",LOWER(AF82))),ISNUMBER(SEARCH("SBI",AF82))),"Rejected Elsewhere",IF(ISNUMBER(SEARCH("call",LOWER(AF82))),"Bank Communication",IF(OR(ISNUMBER(SEARCH("father",LOWER(AF82))),ISNUMBER(SEARCH("sister",LOWER(AF82)))),"Family / Dependency","Other"))))))))))</f>
        <v/>
      </c>
      <c r="AH82">
        <f>IF(A82="","",'01_Master_Data'!AC82)</f>
        <v/>
      </c>
      <c r="AI82">
        <f>IF(A82="","",IF(OR(AH82="",NOT(ISNUMBER(AH82))),"",MAX(0,'02_Configuration'!$B$82-AH82)))</f>
        <v/>
      </c>
      <c r="AJ82">
        <f>IF(A82="","",IF(AI82="","Unknown",IF(AI82&lt;=3,"0–3 Days",IF(AI82&lt;=7,"4–7 Days",IF(AI82&lt;=15,"8–15 Days",IF(AI82&lt;=30,"16–30 Days","30+ Days"))))))</f>
        <v/>
      </c>
      <c r="AK82">
        <f>IF(A82="","",IF(LOWER(H82)="yes","Yes","No"))</f>
        <v/>
      </c>
      <c r="AL82">
        <f>IF(A82="","",'01_Master_Data'!T82)</f>
        <v/>
      </c>
      <c r="AM82">
        <f>IF(A82="","",'01_Master_Data'!S82)</f>
        <v/>
      </c>
      <c r="AN82">
        <f>IF(A82="","",'01_Master_Data'!I82)</f>
        <v/>
      </c>
      <c r="AO82">
        <f>IF(A82="","",'01_Master_Data'!M82)</f>
        <v/>
      </c>
      <c r="AP82">
        <f>IF(A82="","",IF(ISNUMBER(SEARCH("Icici",W82&amp;"")),1,0))</f>
        <v/>
      </c>
      <c r="AQ82">
        <f>IF(A82="","",IF(ISNUMBER(SEARCH("Propelld",W82&amp;"")),1,0))</f>
        <v/>
      </c>
      <c r="AR82">
        <f>IF(A82="","",IF(ISNUMBER(SEARCH("GyanDhan",W82&amp;"")),1,0))</f>
        <v/>
      </c>
      <c r="AS82">
        <f>IF(A82="","",IF(ISNUMBER(SEARCH("vidyalakshmi",LOWER(W82&amp;""))),1,0))</f>
        <v/>
      </c>
      <c r="AT82">
        <f>IF(A82="","",IF(ISNUMBER(SEARCH("other bank",LOWER(W82&amp;""))),1,0))</f>
        <v/>
      </c>
      <c r="AU82">
        <f>IF(A82="","",IF(ISNUMBER(SEARCH("sanctioned",LOWER(W82&amp;""))),1,0))</f>
        <v/>
      </c>
      <c r="AV82">
        <f>IF(A82="","",IF(ISNUMBER(SEARCH("Docs Pending",W82&amp;"")),1,0))</f>
        <v/>
      </c>
      <c r="AW82">
        <f>IF(A82="","",IF(OR(X82="Rejected",ISNUMBER(SEARCH("Not eligbile",W82&amp;""))),1,0))</f>
        <v/>
      </c>
    </row>
    <row r="83">
      <c r="A83">
        <f>IF('01_Master_Data'!B83="","",82)</f>
        <v/>
      </c>
      <c r="B83">
        <f>IF('01_Master_Data'!B83="","",IF('01_Master_Data'!C83&lt;&gt;"","MOB|"&amp;TEXT('01_Master_Data'!C83,"0"),IF('01_Master_Data'!D83&lt;&gt;"","PID|"&amp;TRIM('01_Master_Data'!D83&amp;""),"")))</f>
        <v/>
      </c>
      <c r="C83">
        <f>IF('01_Master_Data'!B83="","",'01_Master_Data'!B83)</f>
        <v/>
      </c>
      <c r="D83">
        <f>IF('01_Master_Data'!B83="","",'01_Master_Data'!C83)</f>
        <v/>
      </c>
      <c r="E83">
        <f>IF('01_Master_Data'!B83="","",'01_Master_Data'!D83)</f>
        <v/>
      </c>
      <c r="F83">
        <f>IF('01_Master_Data'!B83="","",'01_Master_Data'!E83)</f>
        <v/>
      </c>
      <c r="G83">
        <f>IF('01_Master_Data'!B83="","",IFERROR(VLOOKUP(TRIM('01_Master_Data'!E83&amp;""),'02_Configuration'!$A$40:$B$44,2,FALSE),UPPER(TRIM('01_Master_Data'!E83&amp;""))))</f>
        <v/>
      </c>
      <c r="H83">
        <f>IF('01_Master_Data'!B83="","",IF('01_Master_Data'!U83="","",TRIM('01_Master_Data'!U83&amp;"")))</f>
        <v/>
      </c>
      <c r="I83">
        <f>IF('01_Master_Data'!B83="","",TRIM('01_Master_Data'!F83&amp;""))</f>
        <v/>
      </c>
      <c r="J83">
        <f>IF('01_Master_Data'!B83="","",TRIM('01_Master_Data'!G83&amp;""))</f>
        <v/>
      </c>
      <c r="K83">
        <f>IF('01_Master_Data'!B83="","",'01_Master_Data'!H83)</f>
        <v/>
      </c>
      <c r="L83">
        <f>IF('01_Master_Data'!B83="","",IF(LOWER(TRIM('01_Master_Data'!V83&amp;""))="yes",1,0))</f>
        <v/>
      </c>
      <c r="M83">
        <f>IF('01_Master_Data'!B83="","",IF(LOWER(TRIM('01_Master_Data'!W83&amp;""))="yes",1,0))</f>
        <v/>
      </c>
      <c r="N83">
        <f>IF('01_Master_Data'!B83="","",IF(LOWER(TRIM('01_Master_Data'!X83&amp;""))="yes",1,0))</f>
        <v/>
      </c>
      <c r="O83">
        <f>IF('01_Master_Data'!B83="","",IF(LOWER(TRIM('01_Master_Data'!Y83&amp;""))="yes",1,0))</f>
        <v/>
      </c>
      <c r="P83">
        <f>IF('01_Master_Data'!B83="","",IF(LOWER(TRIM('01_Master_Data'!Z83&amp;""))="yes",1,0))</f>
        <v/>
      </c>
      <c r="Q83">
        <f>IF(A83="","",L83+M83+N83+O83+P83)</f>
        <v/>
      </c>
      <c r="R83">
        <f>IF(A83="","",IF(Q83&gt;1,"Yes","No"))</f>
        <v/>
      </c>
      <c r="S83">
        <f>IF(A83="","",TEXTJOIN(", ",TRUE,IF(L83=1,"ICICI",""),IF(M83=1,"Propelld",""),IF(N83=1,"Study4Buddy",""),IF(O83=1,"Poonawala Fincorp",""),IF(P83=1,"GyanDhan","")))</f>
        <v/>
      </c>
      <c r="T83">
        <f>IF(A83="","",IF(L83=1,"ICICI",IF(M83=1,"Propelld",IF(P83=1,"GyanDhan",IF(N83=1,"Study4Buddy",IF(O83=1,"Poonawala Fincorp",IF(ISNUMBER(SEARCH("GyanDhan",W83&amp;"")),"GyanDhan",IF(ISNUMBER(SEARCH("Icici",W83&amp;"")),"ICICI",IF(ISNUMBER(SEARCH("Propelld",W83&amp;"")),"Propelld",IF(ISNUMBER(SEARCH("vidyalakshmi",LOWER(W83&amp;"")),"PM Vidyalakshmi","—"))))))))))</f>
        <v/>
      </c>
      <c r="U83">
        <f>IF(A83="","",TRIM('01_Master_Data'!AA83&amp;""))</f>
        <v/>
      </c>
      <c r="V83">
        <f>IF(A83="","",TRIM('01_Master_Data'!AG83&amp;""))</f>
        <v/>
      </c>
      <c r="W83">
        <f>IF(A83="","",TRIM('01_Master_Data'!AH83&amp;""))</f>
        <v/>
      </c>
      <c r="X83">
        <f>IF(A83="","",IF(OR(LOWER(H83)="refund",LOWER(U83)="refund case"),"Refund",IF(OR(LOWER(H83)="dnp",LOWER(U83)="dnp"),"DNP",IF(OR(LOWER(V83)="disbursed",ISNUMBER(SEARCH("Disbursed",W83&amp;""))),"Disbursed",IF(OR(LOWER(V83)="loan proccessed/accepted",ISNUMBER(SEARCH("sanctioned",LOWER(W83&amp;"")))),"Sanctioned",IF(OR(LOWER(V83)="rejected",ISNUMBER(SEARCH("Not eligbile",W83&amp;"")),ISNUMBER(SEARCH("Not eligible",W83&amp;""))),"Rejected",IF(ISNUMBER(SEARCH("Docs Pending",W83&amp;"")),"Documents Pending",IF(AND(LOWER(H83)="yes",LOWER(V83)="ongoing"),"Processing",IF(AND(LOWER(H83)="yes",Q83&gt;0,OR(V83="",LOWER(V83)="not even started")),"Vendor Assigned",IF(AND(LOWER(H83)="yes",LOWER(V83)="not even started"),"Need Loan",IF(LOWER(H83)="yes","Loan Started",IF(LOWER(H83)="not sure","Interested",IF(OR(LOWER(H83)="no",LOWER(V83)="not required"),"Not Required","Unclassified")))))))))))))</f>
        <v/>
      </c>
      <c r="Y83">
        <f>IF(A83="","",IF(OR(X83="Sanctioned",X83="Disbursed",X83="Approved"),"Approved",IF(X83="Rejected","Rejected",IF(OR(X83="Processing",X83="Documents Pending",X83="Vendor Assigned"),"In Progress",IF(X83="Need Loan","Pending Start","—"))))</f>
        <v/>
      </c>
      <c r="Z83">
        <f>IF(A83="","",IF(X83="Disbursed","Disbursed",IF(X83="Sanctioned","Sanctioned - Awaiting Disbursement","Not Disbursed")))</f>
        <v/>
      </c>
      <c r="AA83">
        <f>IF(A83="","",IF(LOWER(TRIM('01_Master_Data'!AI83&amp;""))="yes","Need FLDG",IF(LOWER(TRIM('01_Master_Data'!AK83&amp;""))="yes","Need Vidyalakshmi",IF(LOWER(TRIM('01_Master_Data'!AJ83&amp;""))="yes","Need Review",IF(LOWER(J83)="critical","Critical",IF(LOWER(U83)="risk","Risk Case",IF(X83="Refund","Refund","Normal")))))))</f>
        <v/>
      </c>
      <c r="AB83">
        <f>IF(A83="","",IF(OR(LOWER(J83)="critical",LOWER(TRIM('01_Master_Data'!AI83&amp;""))="yes",LOWER(TRIM('01_Master_Data'!AK83&amp;""))="yes",LOWER(U83)="risk"),"Yes","No"))</f>
        <v/>
      </c>
      <c r="AC83">
        <f>IF(A83="","",IF(LOWER(TRIM('01_Master_Data'!AI83&amp;""))="yes","Yes","No"))</f>
        <v/>
      </c>
      <c r="AD83">
        <f>IF(A83="","",IF(LOWER(TRIM('01_Master_Data'!AK83&amp;""))="yes","Yes","No"))</f>
        <v/>
      </c>
      <c r="AE83">
        <f>IF(A83="","",IF(LOWER(TRIM('01_Master_Data'!AJ83&amp;""))="yes","Yes","No"))</f>
        <v/>
      </c>
      <c r="AF83">
        <f>IF(A83="","",TRIM('01_Master_Data'!AL83&amp;""))</f>
        <v/>
      </c>
      <c r="AG83">
        <f>IF(A83="","",IF(AF83="","—",IF(ISNUMBER(SEARCH("DNP",AF83)),"Unreachable / DNP",IF(ISNUMBER(SEARCH("interest",LOWER(AF83))),"High Interest / Terms",IF(OR(ISNUMBER(SEARCH("eligib",LOWER(AF83))),ISNUMBER(SEARCH("income",LOWER(AF83)))),"Eligibility / Income",IF(OR(ISNUMBER(SEARCH("start",LOWER(AF83))),ISNUMBER(SEARCH("Newer",AF83)),ISNUMBER(SEARCH("Will start",AF83))),"Process Yet to Start",IF(ISNUMBER(SEARCH("sure",LOWER(AF83))),"Undecided",IF(OR(ISNUMBER(SEARCH("reject",LOWER(AF83))),ISNUMBER(SEARCH("SBI",AF83))),"Rejected Elsewhere",IF(ISNUMBER(SEARCH("call",LOWER(AF83))),"Bank Communication",IF(OR(ISNUMBER(SEARCH("father",LOWER(AF83))),ISNUMBER(SEARCH("sister",LOWER(AF83)))),"Family / Dependency","Other"))))))))))</f>
        <v/>
      </c>
      <c r="AH83">
        <f>IF(A83="","",'01_Master_Data'!AC83)</f>
        <v/>
      </c>
      <c r="AI83">
        <f>IF(A83="","",IF(OR(AH83="",NOT(ISNUMBER(AH83))),"",MAX(0,'02_Configuration'!$B$82-AH83)))</f>
        <v/>
      </c>
      <c r="AJ83">
        <f>IF(A83="","",IF(AI83="","Unknown",IF(AI83&lt;=3,"0–3 Days",IF(AI83&lt;=7,"4–7 Days",IF(AI83&lt;=15,"8–15 Days",IF(AI83&lt;=30,"16–30 Days","30+ Days"))))))</f>
        <v/>
      </c>
      <c r="AK83">
        <f>IF(A83="","",IF(LOWER(H83)="yes","Yes","No"))</f>
        <v/>
      </c>
      <c r="AL83">
        <f>IF(A83="","",'01_Master_Data'!T83)</f>
        <v/>
      </c>
      <c r="AM83">
        <f>IF(A83="","",'01_Master_Data'!S83)</f>
        <v/>
      </c>
      <c r="AN83">
        <f>IF(A83="","",'01_Master_Data'!I83)</f>
        <v/>
      </c>
      <c r="AO83">
        <f>IF(A83="","",'01_Master_Data'!M83)</f>
        <v/>
      </c>
      <c r="AP83">
        <f>IF(A83="","",IF(ISNUMBER(SEARCH("Icici",W83&amp;"")),1,0))</f>
        <v/>
      </c>
      <c r="AQ83">
        <f>IF(A83="","",IF(ISNUMBER(SEARCH("Propelld",W83&amp;"")),1,0))</f>
        <v/>
      </c>
      <c r="AR83">
        <f>IF(A83="","",IF(ISNUMBER(SEARCH("GyanDhan",W83&amp;"")),1,0))</f>
        <v/>
      </c>
      <c r="AS83">
        <f>IF(A83="","",IF(ISNUMBER(SEARCH("vidyalakshmi",LOWER(W83&amp;""))),1,0))</f>
        <v/>
      </c>
      <c r="AT83">
        <f>IF(A83="","",IF(ISNUMBER(SEARCH("other bank",LOWER(W83&amp;""))),1,0))</f>
        <v/>
      </c>
      <c r="AU83">
        <f>IF(A83="","",IF(ISNUMBER(SEARCH("sanctioned",LOWER(W83&amp;""))),1,0))</f>
        <v/>
      </c>
      <c r="AV83">
        <f>IF(A83="","",IF(ISNUMBER(SEARCH("Docs Pending",W83&amp;"")),1,0))</f>
        <v/>
      </c>
      <c r="AW83">
        <f>IF(A83="","",IF(OR(X83="Rejected",ISNUMBER(SEARCH("Not eligbile",W83&amp;""))),1,0))</f>
        <v/>
      </c>
    </row>
    <row r="84">
      <c r="A84">
        <f>IF('01_Master_Data'!B84="","",83)</f>
        <v/>
      </c>
      <c r="B84">
        <f>IF('01_Master_Data'!B84="","",IF('01_Master_Data'!C84&lt;&gt;"","MOB|"&amp;TEXT('01_Master_Data'!C84,"0"),IF('01_Master_Data'!D84&lt;&gt;"","PID|"&amp;TRIM('01_Master_Data'!D84&amp;""),"")))</f>
        <v/>
      </c>
      <c r="C84">
        <f>IF('01_Master_Data'!B84="","",'01_Master_Data'!B84)</f>
        <v/>
      </c>
      <c r="D84">
        <f>IF('01_Master_Data'!B84="","",'01_Master_Data'!C84)</f>
        <v/>
      </c>
      <c r="E84">
        <f>IF('01_Master_Data'!B84="","",'01_Master_Data'!D84)</f>
        <v/>
      </c>
      <c r="F84">
        <f>IF('01_Master_Data'!B84="","",'01_Master_Data'!E84)</f>
        <v/>
      </c>
      <c r="G84">
        <f>IF('01_Master_Data'!B84="","",IFERROR(VLOOKUP(TRIM('01_Master_Data'!E84&amp;""),'02_Configuration'!$A$40:$B$44,2,FALSE),UPPER(TRIM('01_Master_Data'!E84&amp;""))))</f>
        <v/>
      </c>
      <c r="H84">
        <f>IF('01_Master_Data'!B84="","",IF('01_Master_Data'!U84="","",TRIM('01_Master_Data'!U84&amp;"")))</f>
        <v/>
      </c>
      <c r="I84">
        <f>IF('01_Master_Data'!B84="","",TRIM('01_Master_Data'!F84&amp;""))</f>
        <v/>
      </c>
      <c r="J84">
        <f>IF('01_Master_Data'!B84="","",TRIM('01_Master_Data'!G84&amp;""))</f>
        <v/>
      </c>
      <c r="K84">
        <f>IF('01_Master_Data'!B84="","",'01_Master_Data'!H84)</f>
        <v/>
      </c>
      <c r="L84">
        <f>IF('01_Master_Data'!B84="","",IF(LOWER(TRIM('01_Master_Data'!V84&amp;""))="yes",1,0))</f>
        <v/>
      </c>
      <c r="M84">
        <f>IF('01_Master_Data'!B84="","",IF(LOWER(TRIM('01_Master_Data'!W84&amp;""))="yes",1,0))</f>
        <v/>
      </c>
      <c r="N84">
        <f>IF('01_Master_Data'!B84="","",IF(LOWER(TRIM('01_Master_Data'!X84&amp;""))="yes",1,0))</f>
        <v/>
      </c>
      <c r="O84">
        <f>IF('01_Master_Data'!B84="","",IF(LOWER(TRIM('01_Master_Data'!Y84&amp;""))="yes",1,0))</f>
        <v/>
      </c>
      <c r="P84">
        <f>IF('01_Master_Data'!B84="","",IF(LOWER(TRIM('01_Master_Data'!Z84&amp;""))="yes",1,0))</f>
        <v/>
      </c>
      <c r="Q84">
        <f>IF(A84="","",L84+M84+N84+O84+P84)</f>
        <v/>
      </c>
      <c r="R84">
        <f>IF(A84="","",IF(Q84&gt;1,"Yes","No"))</f>
        <v/>
      </c>
      <c r="S84">
        <f>IF(A84="","",TEXTJOIN(", ",TRUE,IF(L84=1,"ICICI",""),IF(M84=1,"Propelld",""),IF(N84=1,"Study4Buddy",""),IF(O84=1,"Poonawala Fincorp",""),IF(P84=1,"GyanDhan","")))</f>
        <v/>
      </c>
      <c r="T84">
        <f>IF(A84="","",IF(L84=1,"ICICI",IF(M84=1,"Propelld",IF(P84=1,"GyanDhan",IF(N84=1,"Study4Buddy",IF(O84=1,"Poonawala Fincorp",IF(ISNUMBER(SEARCH("GyanDhan",W84&amp;"")),"GyanDhan",IF(ISNUMBER(SEARCH("Icici",W84&amp;"")),"ICICI",IF(ISNUMBER(SEARCH("Propelld",W84&amp;"")),"Propelld",IF(ISNUMBER(SEARCH("vidyalakshmi",LOWER(W84&amp;"")),"PM Vidyalakshmi","—"))))))))))</f>
        <v/>
      </c>
      <c r="U84">
        <f>IF(A84="","",TRIM('01_Master_Data'!AA84&amp;""))</f>
        <v/>
      </c>
      <c r="V84">
        <f>IF(A84="","",TRIM('01_Master_Data'!AG84&amp;""))</f>
        <v/>
      </c>
      <c r="W84">
        <f>IF(A84="","",TRIM('01_Master_Data'!AH84&amp;""))</f>
        <v/>
      </c>
      <c r="X84">
        <f>IF(A84="","",IF(OR(LOWER(H84)="refund",LOWER(U84)="refund case"),"Refund",IF(OR(LOWER(H84)="dnp",LOWER(U84)="dnp"),"DNP",IF(OR(LOWER(V84)="disbursed",ISNUMBER(SEARCH("Disbursed",W84&amp;""))),"Disbursed",IF(OR(LOWER(V84)="loan proccessed/accepted",ISNUMBER(SEARCH("sanctioned",LOWER(W84&amp;"")))),"Sanctioned",IF(OR(LOWER(V84)="rejected",ISNUMBER(SEARCH("Not eligbile",W84&amp;"")),ISNUMBER(SEARCH("Not eligible",W84&amp;""))),"Rejected",IF(ISNUMBER(SEARCH("Docs Pending",W84&amp;"")),"Documents Pending",IF(AND(LOWER(H84)="yes",LOWER(V84)="ongoing"),"Processing",IF(AND(LOWER(H84)="yes",Q84&gt;0,OR(V84="",LOWER(V84)="not even started")),"Vendor Assigned",IF(AND(LOWER(H84)="yes",LOWER(V84)="not even started"),"Need Loan",IF(LOWER(H84)="yes","Loan Started",IF(LOWER(H84)="not sure","Interested",IF(OR(LOWER(H84)="no",LOWER(V84)="not required"),"Not Required","Unclassified")))))))))))))</f>
        <v/>
      </c>
      <c r="Y84">
        <f>IF(A84="","",IF(OR(X84="Sanctioned",X84="Disbursed",X84="Approved"),"Approved",IF(X84="Rejected","Rejected",IF(OR(X84="Processing",X84="Documents Pending",X84="Vendor Assigned"),"In Progress",IF(X84="Need Loan","Pending Start","—"))))</f>
        <v/>
      </c>
      <c r="Z84">
        <f>IF(A84="","",IF(X84="Disbursed","Disbursed",IF(X84="Sanctioned","Sanctioned - Awaiting Disbursement","Not Disbursed")))</f>
        <v/>
      </c>
      <c r="AA84">
        <f>IF(A84="","",IF(LOWER(TRIM('01_Master_Data'!AI84&amp;""))="yes","Need FLDG",IF(LOWER(TRIM('01_Master_Data'!AK84&amp;""))="yes","Need Vidyalakshmi",IF(LOWER(TRIM('01_Master_Data'!AJ84&amp;""))="yes","Need Review",IF(LOWER(J84)="critical","Critical",IF(LOWER(U84)="risk","Risk Case",IF(X84="Refund","Refund","Normal")))))))</f>
        <v/>
      </c>
      <c r="AB84">
        <f>IF(A84="","",IF(OR(LOWER(J84)="critical",LOWER(TRIM('01_Master_Data'!AI84&amp;""))="yes",LOWER(TRIM('01_Master_Data'!AK84&amp;""))="yes",LOWER(U84)="risk"),"Yes","No"))</f>
        <v/>
      </c>
      <c r="AC84">
        <f>IF(A84="","",IF(LOWER(TRIM('01_Master_Data'!AI84&amp;""))="yes","Yes","No"))</f>
        <v/>
      </c>
      <c r="AD84">
        <f>IF(A84="","",IF(LOWER(TRIM('01_Master_Data'!AK84&amp;""))="yes","Yes","No"))</f>
        <v/>
      </c>
      <c r="AE84">
        <f>IF(A84="","",IF(LOWER(TRIM('01_Master_Data'!AJ84&amp;""))="yes","Yes","No"))</f>
        <v/>
      </c>
      <c r="AF84">
        <f>IF(A84="","",TRIM('01_Master_Data'!AL84&amp;""))</f>
        <v/>
      </c>
      <c r="AG84">
        <f>IF(A84="","",IF(AF84="","—",IF(ISNUMBER(SEARCH("DNP",AF84)),"Unreachable / DNP",IF(ISNUMBER(SEARCH("interest",LOWER(AF84))),"High Interest / Terms",IF(OR(ISNUMBER(SEARCH("eligib",LOWER(AF84))),ISNUMBER(SEARCH("income",LOWER(AF84)))),"Eligibility / Income",IF(OR(ISNUMBER(SEARCH("start",LOWER(AF84))),ISNUMBER(SEARCH("Newer",AF84)),ISNUMBER(SEARCH("Will start",AF84))),"Process Yet to Start",IF(ISNUMBER(SEARCH("sure",LOWER(AF84))),"Undecided",IF(OR(ISNUMBER(SEARCH("reject",LOWER(AF84))),ISNUMBER(SEARCH("SBI",AF84))),"Rejected Elsewhere",IF(ISNUMBER(SEARCH("call",LOWER(AF84))),"Bank Communication",IF(OR(ISNUMBER(SEARCH("father",LOWER(AF84))),ISNUMBER(SEARCH("sister",LOWER(AF84)))),"Family / Dependency","Other"))))))))))</f>
        <v/>
      </c>
      <c r="AH84">
        <f>IF(A84="","",'01_Master_Data'!AC84)</f>
        <v/>
      </c>
      <c r="AI84">
        <f>IF(A84="","",IF(OR(AH84="",NOT(ISNUMBER(AH84))),"",MAX(0,'02_Configuration'!$B$82-AH84)))</f>
        <v/>
      </c>
      <c r="AJ84">
        <f>IF(A84="","",IF(AI84="","Unknown",IF(AI84&lt;=3,"0–3 Days",IF(AI84&lt;=7,"4–7 Days",IF(AI84&lt;=15,"8–15 Days",IF(AI84&lt;=30,"16–30 Days","30+ Days"))))))</f>
        <v/>
      </c>
      <c r="AK84">
        <f>IF(A84="","",IF(LOWER(H84)="yes","Yes","No"))</f>
        <v/>
      </c>
      <c r="AL84">
        <f>IF(A84="","",'01_Master_Data'!T84)</f>
        <v/>
      </c>
      <c r="AM84">
        <f>IF(A84="","",'01_Master_Data'!S84)</f>
        <v/>
      </c>
      <c r="AN84">
        <f>IF(A84="","",'01_Master_Data'!I84)</f>
        <v/>
      </c>
      <c r="AO84">
        <f>IF(A84="","",'01_Master_Data'!M84)</f>
        <v/>
      </c>
      <c r="AP84">
        <f>IF(A84="","",IF(ISNUMBER(SEARCH("Icici",W84&amp;"")),1,0))</f>
        <v/>
      </c>
      <c r="AQ84">
        <f>IF(A84="","",IF(ISNUMBER(SEARCH("Propelld",W84&amp;"")),1,0))</f>
        <v/>
      </c>
      <c r="AR84">
        <f>IF(A84="","",IF(ISNUMBER(SEARCH("GyanDhan",W84&amp;"")),1,0))</f>
        <v/>
      </c>
      <c r="AS84">
        <f>IF(A84="","",IF(ISNUMBER(SEARCH("vidyalakshmi",LOWER(W84&amp;""))),1,0))</f>
        <v/>
      </c>
      <c r="AT84">
        <f>IF(A84="","",IF(ISNUMBER(SEARCH("other bank",LOWER(W84&amp;""))),1,0))</f>
        <v/>
      </c>
      <c r="AU84">
        <f>IF(A84="","",IF(ISNUMBER(SEARCH("sanctioned",LOWER(W84&amp;""))),1,0))</f>
        <v/>
      </c>
      <c r="AV84">
        <f>IF(A84="","",IF(ISNUMBER(SEARCH("Docs Pending",W84&amp;"")),1,0))</f>
        <v/>
      </c>
      <c r="AW84">
        <f>IF(A84="","",IF(OR(X84="Rejected",ISNUMBER(SEARCH("Not eligbile",W84&amp;""))),1,0))</f>
        <v/>
      </c>
    </row>
    <row r="85">
      <c r="A85">
        <f>IF('01_Master_Data'!B85="","",84)</f>
        <v/>
      </c>
      <c r="B85">
        <f>IF('01_Master_Data'!B85="","",IF('01_Master_Data'!C85&lt;&gt;"","MOB|"&amp;TEXT('01_Master_Data'!C85,"0"),IF('01_Master_Data'!D85&lt;&gt;"","PID|"&amp;TRIM('01_Master_Data'!D85&amp;""),"")))</f>
        <v/>
      </c>
      <c r="C85">
        <f>IF('01_Master_Data'!B85="","",'01_Master_Data'!B85)</f>
        <v/>
      </c>
      <c r="D85">
        <f>IF('01_Master_Data'!B85="","",'01_Master_Data'!C85)</f>
        <v/>
      </c>
      <c r="E85">
        <f>IF('01_Master_Data'!B85="","",'01_Master_Data'!D85)</f>
        <v/>
      </c>
      <c r="F85">
        <f>IF('01_Master_Data'!B85="","",'01_Master_Data'!E85)</f>
        <v/>
      </c>
      <c r="G85">
        <f>IF('01_Master_Data'!B85="","",IFERROR(VLOOKUP(TRIM('01_Master_Data'!E85&amp;""),'02_Configuration'!$A$40:$B$44,2,FALSE),UPPER(TRIM('01_Master_Data'!E85&amp;""))))</f>
        <v/>
      </c>
      <c r="H85">
        <f>IF('01_Master_Data'!B85="","",IF('01_Master_Data'!U85="","",TRIM('01_Master_Data'!U85&amp;"")))</f>
        <v/>
      </c>
      <c r="I85">
        <f>IF('01_Master_Data'!B85="","",TRIM('01_Master_Data'!F85&amp;""))</f>
        <v/>
      </c>
      <c r="J85">
        <f>IF('01_Master_Data'!B85="","",TRIM('01_Master_Data'!G85&amp;""))</f>
        <v/>
      </c>
      <c r="K85">
        <f>IF('01_Master_Data'!B85="","",'01_Master_Data'!H85)</f>
        <v/>
      </c>
      <c r="L85">
        <f>IF('01_Master_Data'!B85="","",IF(LOWER(TRIM('01_Master_Data'!V85&amp;""))="yes",1,0))</f>
        <v/>
      </c>
      <c r="M85">
        <f>IF('01_Master_Data'!B85="","",IF(LOWER(TRIM('01_Master_Data'!W85&amp;""))="yes",1,0))</f>
        <v/>
      </c>
      <c r="N85">
        <f>IF('01_Master_Data'!B85="","",IF(LOWER(TRIM('01_Master_Data'!X85&amp;""))="yes",1,0))</f>
        <v/>
      </c>
      <c r="O85">
        <f>IF('01_Master_Data'!B85="","",IF(LOWER(TRIM('01_Master_Data'!Y85&amp;""))="yes",1,0))</f>
        <v/>
      </c>
      <c r="P85">
        <f>IF('01_Master_Data'!B85="","",IF(LOWER(TRIM('01_Master_Data'!Z85&amp;""))="yes",1,0))</f>
        <v/>
      </c>
      <c r="Q85">
        <f>IF(A85="","",L85+M85+N85+O85+P85)</f>
        <v/>
      </c>
      <c r="R85">
        <f>IF(A85="","",IF(Q85&gt;1,"Yes","No"))</f>
        <v/>
      </c>
      <c r="S85">
        <f>IF(A85="","",TEXTJOIN(", ",TRUE,IF(L85=1,"ICICI",""),IF(M85=1,"Propelld",""),IF(N85=1,"Study4Buddy",""),IF(O85=1,"Poonawala Fincorp",""),IF(P85=1,"GyanDhan","")))</f>
        <v/>
      </c>
      <c r="T85">
        <f>IF(A85="","",IF(L85=1,"ICICI",IF(M85=1,"Propelld",IF(P85=1,"GyanDhan",IF(N85=1,"Study4Buddy",IF(O85=1,"Poonawala Fincorp",IF(ISNUMBER(SEARCH("GyanDhan",W85&amp;"")),"GyanDhan",IF(ISNUMBER(SEARCH("Icici",W85&amp;"")),"ICICI",IF(ISNUMBER(SEARCH("Propelld",W85&amp;"")),"Propelld",IF(ISNUMBER(SEARCH("vidyalakshmi",LOWER(W85&amp;"")),"PM Vidyalakshmi","—"))))))))))</f>
        <v/>
      </c>
      <c r="U85">
        <f>IF(A85="","",TRIM('01_Master_Data'!AA85&amp;""))</f>
        <v/>
      </c>
      <c r="V85">
        <f>IF(A85="","",TRIM('01_Master_Data'!AG85&amp;""))</f>
        <v/>
      </c>
      <c r="W85">
        <f>IF(A85="","",TRIM('01_Master_Data'!AH85&amp;""))</f>
        <v/>
      </c>
      <c r="X85">
        <f>IF(A85="","",IF(OR(LOWER(H85)="refund",LOWER(U85)="refund case"),"Refund",IF(OR(LOWER(H85)="dnp",LOWER(U85)="dnp"),"DNP",IF(OR(LOWER(V85)="disbursed",ISNUMBER(SEARCH("Disbursed",W85&amp;""))),"Disbursed",IF(OR(LOWER(V85)="loan proccessed/accepted",ISNUMBER(SEARCH("sanctioned",LOWER(W85&amp;"")))),"Sanctioned",IF(OR(LOWER(V85)="rejected",ISNUMBER(SEARCH("Not eligbile",W85&amp;"")),ISNUMBER(SEARCH("Not eligible",W85&amp;""))),"Rejected",IF(ISNUMBER(SEARCH("Docs Pending",W85&amp;"")),"Documents Pending",IF(AND(LOWER(H85)="yes",LOWER(V85)="ongoing"),"Processing",IF(AND(LOWER(H85)="yes",Q85&gt;0,OR(V85="",LOWER(V85)="not even started")),"Vendor Assigned",IF(AND(LOWER(H85)="yes",LOWER(V85)="not even started"),"Need Loan",IF(LOWER(H85)="yes","Loan Started",IF(LOWER(H85)="not sure","Interested",IF(OR(LOWER(H85)="no",LOWER(V85)="not required"),"Not Required","Unclassified")))))))))))))</f>
        <v/>
      </c>
      <c r="Y85">
        <f>IF(A85="","",IF(OR(X85="Sanctioned",X85="Disbursed",X85="Approved"),"Approved",IF(X85="Rejected","Rejected",IF(OR(X85="Processing",X85="Documents Pending",X85="Vendor Assigned"),"In Progress",IF(X85="Need Loan","Pending Start","—"))))</f>
        <v/>
      </c>
      <c r="Z85">
        <f>IF(A85="","",IF(X85="Disbursed","Disbursed",IF(X85="Sanctioned","Sanctioned - Awaiting Disbursement","Not Disbursed")))</f>
        <v/>
      </c>
      <c r="AA85">
        <f>IF(A85="","",IF(LOWER(TRIM('01_Master_Data'!AI85&amp;""))="yes","Need FLDG",IF(LOWER(TRIM('01_Master_Data'!AK85&amp;""))="yes","Need Vidyalakshmi",IF(LOWER(TRIM('01_Master_Data'!AJ85&amp;""))="yes","Need Review",IF(LOWER(J85)="critical","Critical",IF(LOWER(U85)="risk","Risk Case",IF(X85="Refund","Refund","Normal")))))))</f>
        <v/>
      </c>
      <c r="AB85">
        <f>IF(A85="","",IF(OR(LOWER(J85)="critical",LOWER(TRIM('01_Master_Data'!AI85&amp;""))="yes",LOWER(TRIM('01_Master_Data'!AK85&amp;""))="yes",LOWER(U85)="risk"),"Yes","No"))</f>
        <v/>
      </c>
      <c r="AC85">
        <f>IF(A85="","",IF(LOWER(TRIM('01_Master_Data'!AI85&amp;""))="yes","Yes","No"))</f>
        <v/>
      </c>
      <c r="AD85">
        <f>IF(A85="","",IF(LOWER(TRIM('01_Master_Data'!AK85&amp;""))="yes","Yes","No"))</f>
        <v/>
      </c>
      <c r="AE85">
        <f>IF(A85="","",IF(LOWER(TRIM('01_Master_Data'!AJ85&amp;""))="yes","Yes","No"))</f>
        <v/>
      </c>
      <c r="AF85">
        <f>IF(A85="","",TRIM('01_Master_Data'!AL85&amp;""))</f>
        <v/>
      </c>
      <c r="AG85">
        <f>IF(A85="","",IF(AF85="","—",IF(ISNUMBER(SEARCH("DNP",AF85)),"Unreachable / DNP",IF(ISNUMBER(SEARCH("interest",LOWER(AF85))),"High Interest / Terms",IF(OR(ISNUMBER(SEARCH("eligib",LOWER(AF85))),ISNUMBER(SEARCH("income",LOWER(AF85)))),"Eligibility / Income",IF(OR(ISNUMBER(SEARCH("start",LOWER(AF85))),ISNUMBER(SEARCH("Newer",AF85)),ISNUMBER(SEARCH("Will start",AF85))),"Process Yet to Start",IF(ISNUMBER(SEARCH("sure",LOWER(AF85))),"Undecided",IF(OR(ISNUMBER(SEARCH("reject",LOWER(AF85))),ISNUMBER(SEARCH("SBI",AF85))),"Rejected Elsewhere",IF(ISNUMBER(SEARCH("call",LOWER(AF85))),"Bank Communication",IF(OR(ISNUMBER(SEARCH("father",LOWER(AF85))),ISNUMBER(SEARCH("sister",LOWER(AF85)))),"Family / Dependency","Other"))))))))))</f>
        <v/>
      </c>
      <c r="AH85">
        <f>IF(A85="","",'01_Master_Data'!AC85)</f>
        <v/>
      </c>
      <c r="AI85">
        <f>IF(A85="","",IF(OR(AH85="",NOT(ISNUMBER(AH85))),"",MAX(0,'02_Configuration'!$B$82-AH85)))</f>
        <v/>
      </c>
      <c r="AJ85">
        <f>IF(A85="","",IF(AI85="","Unknown",IF(AI85&lt;=3,"0–3 Days",IF(AI85&lt;=7,"4–7 Days",IF(AI85&lt;=15,"8–15 Days",IF(AI85&lt;=30,"16–30 Days","30+ Days"))))))</f>
        <v/>
      </c>
      <c r="AK85">
        <f>IF(A85="","",IF(LOWER(H85)="yes","Yes","No"))</f>
        <v/>
      </c>
      <c r="AL85">
        <f>IF(A85="","",'01_Master_Data'!T85)</f>
        <v/>
      </c>
      <c r="AM85">
        <f>IF(A85="","",'01_Master_Data'!S85)</f>
        <v/>
      </c>
      <c r="AN85">
        <f>IF(A85="","",'01_Master_Data'!I85)</f>
        <v/>
      </c>
      <c r="AO85">
        <f>IF(A85="","",'01_Master_Data'!M85)</f>
        <v/>
      </c>
      <c r="AP85">
        <f>IF(A85="","",IF(ISNUMBER(SEARCH("Icici",W85&amp;"")),1,0))</f>
        <v/>
      </c>
      <c r="AQ85">
        <f>IF(A85="","",IF(ISNUMBER(SEARCH("Propelld",W85&amp;"")),1,0))</f>
        <v/>
      </c>
      <c r="AR85">
        <f>IF(A85="","",IF(ISNUMBER(SEARCH("GyanDhan",W85&amp;"")),1,0))</f>
        <v/>
      </c>
      <c r="AS85">
        <f>IF(A85="","",IF(ISNUMBER(SEARCH("vidyalakshmi",LOWER(W85&amp;""))),1,0))</f>
        <v/>
      </c>
      <c r="AT85">
        <f>IF(A85="","",IF(ISNUMBER(SEARCH("other bank",LOWER(W85&amp;""))),1,0))</f>
        <v/>
      </c>
      <c r="AU85">
        <f>IF(A85="","",IF(ISNUMBER(SEARCH("sanctioned",LOWER(W85&amp;""))),1,0))</f>
        <v/>
      </c>
      <c r="AV85">
        <f>IF(A85="","",IF(ISNUMBER(SEARCH("Docs Pending",W85&amp;"")),1,0))</f>
        <v/>
      </c>
      <c r="AW85">
        <f>IF(A85="","",IF(OR(X85="Rejected",ISNUMBER(SEARCH("Not eligbile",W85&amp;""))),1,0))</f>
        <v/>
      </c>
    </row>
    <row r="86">
      <c r="A86">
        <f>IF('01_Master_Data'!B86="","",85)</f>
        <v/>
      </c>
      <c r="B86">
        <f>IF('01_Master_Data'!B86="","",IF('01_Master_Data'!C86&lt;&gt;"","MOB|"&amp;TEXT('01_Master_Data'!C86,"0"),IF('01_Master_Data'!D86&lt;&gt;"","PID|"&amp;TRIM('01_Master_Data'!D86&amp;""),"")))</f>
        <v/>
      </c>
      <c r="C86">
        <f>IF('01_Master_Data'!B86="","",'01_Master_Data'!B86)</f>
        <v/>
      </c>
      <c r="D86">
        <f>IF('01_Master_Data'!B86="","",'01_Master_Data'!C86)</f>
        <v/>
      </c>
      <c r="E86">
        <f>IF('01_Master_Data'!B86="","",'01_Master_Data'!D86)</f>
        <v/>
      </c>
      <c r="F86">
        <f>IF('01_Master_Data'!B86="","",'01_Master_Data'!E86)</f>
        <v/>
      </c>
      <c r="G86">
        <f>IF('01_Master_Data'!B86="","",IFERROR(VLOOKUP(TRIM('01_Master_Data'!E86&amp;""),'02_Configuration'!$A$40:$B$44,2,FALSE),UPPER(TRIM('01_Master_Data'!E86&amp;""))))</f>
        <v/>
      </c>
      <c r="H86">
        <f>IF('01_Master_Data'!B86="","",IF('01_Master_Data'!U86="","",TRIM('01_Master_Data'!U86&amp;"")))</f>
        <v/>
      </c>
      <c r="I86">
        <f>IF('01_Master_Data'!B86="","",TRIM('01_Master_Data'!F86&amp;""))</f>
        <v/>
      </c>
      <c r="J86">
        <f>IF('01_Master_Data'!B86="","",TRIM('01_Master_Data'!G86&amp;""))</f>
        <v/>
      </c>
      <c r="K86">
        <f>IF('01_Master_Data'!B86="","",'01_Master_Data'!H86)</f>
        <v/>
      </c>
      <c r="L86">
        <f>IF('01_Master_Data'!B86="","",IF(LOWER(TRIM('01_Master_Data'!V86&amp;""))="yes",1,0))</f>
        <v/>
      </c>
      <c r="M86">
        <f>IF('01_Master_Data'!B86="","",IF(LOWER(TRIM('01_Master_Data'!W86&amp;""))="yes",1,0))</f>
        <v/>
      </c>
      <c r="N86">
        <f>IF('01_Master_Data'!B86="","",IF(LOWER(TRIM('01_Master_Data'!X86&amp;""))="yes",1,0))</f>
        <v/>
      </c>
      <c r="O86">
        <f>IF('01_Master_Data'!B86="","",IF(LOWER(TRIM('01_Master_Data'!Y86&amp;""))="yes",1,0))</f>
        <v/>
      </c>
      <c r="P86">
        <f>IF('01_Master_Data'!B86="","",IF(LOWER(TRIM('01_Master_Data'!Z86&amp;""))="yes",1,0))</f>
        <v/>
      </c>
      <c r="Q86">
        <f>IF(A86="","",L86+M86+N86+O86+P86)</f>
        <v/>
      </c>
      <c r="R86">
        <f>IF(A86="","",IF(Q86&gt;1,"Yes","No"))</f>
        <v/>
      </c>
      <c r="S86">
        <f>IF(A86="","",TEXTJOIN(", ",TRUE,IF(L86=1,"ICICI",""),IF(M86=1,"Propelld",""),IF(N86=1,"Study4Buddy",""),IF(O86=1,"Poonawala Fincorp",""),IF(P86=1,"GyanDhan","")))</f>
        <v/>
      </c>
      <c r="T86">
        <f>IF(A86="","",IF(L86=1,"ICICI",IF(M86=1,"Propelld",IF(P86=1,"GyanDhan",IF(N86=1,"Study4Buddy",IF(O86=1,"Poonawala Fincorp",IF(ISNUMBER(SEARCH("GyanDhan",W86&amp;"")),"GyanDhan",IF(ISNUMBER(SEARCH("Icici",W86&amp;"")),"ICICI",IF(ISNUMBER(SEARCH("Propelld",W86&amp;"")),"Propelld",IF(ISNUMBER(SEARCH("vidyalakshmi",LOWER(W86&amp;"")),"PM Vidyalakshmi","—"))))))))))</f>
        <v/>
      </c>
      <c r="U86">
        <f>IF(A86="","",TRIM('01_Master_Data'!AA86&amp;""))</f>
        <v/>
      </c>
      <c r="V86">
        <f>IF(A86="","",TRIM('01_Master_Data'!AG86&amp;""))</f>
        <v/>
      </c>
      <c r="W86">
        <f>IF(A86="","",TRIM('01_Master_Data'!AH86&amp;""))</f>
        <v/>
      </c>
      <c r="X86">
        <f>IF(A86="","",IF(OR(LOWER(H86)="refund",LOWER(U86)="refund case"),"Refund",IF(OR(LOWER(H86)="dnp",LOWER(U86)="dnp"),"DNP",IF(OR(LOWER(V86)="disbursed",ISNUMBER(SEARCH("Disbursed",W86&amp;""))),"Disbursed",IF(OR(LOWER(V86)="loan proccessed/accepted",ISNUMBER(SEARCH("sanctioned",LOWER(W86&amp;"")))),"Sanctioned",IF(OR(LOWER(V86)="rejected",ISNUMBER(SEARCH("Not eligbile",W86&amp;"")),ISNUMBER(SEARCH("Not eligible",W86&amp;""))),"Rejected",IF(ISNUMBER(SEARCH("Docs Pending",W86&amp;"")),"Documents Pending",IF(AND(LOWER(H86)="yes",LOWER(V86)="ongoing"),"Processing",IF(AND(LOWER(H86)="yes",Q86&gt;0,OR(V86="",LOWER(V86)="not even started")),"Vendor Assigned",IF(AND(LOWER(H86)="yes",LOWER(V86)="not even started"),"Need Loan",IF(LOWER(H86)="yes","Loan Started",IF(LOWER(H86)="not sure","Interested",IF(OR(LOWER(H86)="no",LOWER(V86)="not required"),"Not Required","Unclassified")))))))))))))</f>
        <v/>
      </c>
      <c r="Y86">
        <f>IF(A86="","",IF(OR(X86="Sanctioned",X86="Disbursed",X86="Approved"),"Approved",IF(X86="Rejected","Rejected",IF(OR(X86="Processing",X86="Documents Pending",X86="Vendor Assigned"),"In Progress",IF(X86="Need Loan","Pending Start","—"))))</f>
        <v/>
      </c>
      <c r="Z86">
        <f>IF(A86="","",IF(X86="Disbursed","Disbursed",IF(X86="Sanctioned","Sanctioned - Awaiting Disbursement","Not Disbursed")))</f>
        <v/>
      </c>
      <c r="AA86">
        <f>IF(A86="","",IF(LOWER(TRIM('01_Master_Data'!AI86&amp;""))="yes","Need FLDG",IF(LOWER(TRIM('01_Master_Data'!AK86&amp;""))="yes","Need Vidyalakshmi",IF(LOWER(TRIM('01_Master_Data'!AJ86&amp;""))="yes","Need Review",IF(LOWER(J86)="critical","Critical",IF(LOWER(U86)="risk","Risk Case",IF(X86="Refund","Refund","Normal")))))))</f>
        <v/>
      </c>
      <c r="AB86">
        <f>IF(A86="","",IF(OR(LOWER(J86)="critical",LOWER(TRIM('01_Master_Data'!AI86&amp;""))="yes",LOWER(TRIM('01_Master_Data'!AK86&amp;""))="yes",LOWER(U86)="risk"),"Yes","No"))</f>
        <v/>
      </c>
      <c r="AC86">
        <f>IF(A86="","",IF(LOWER(TRIM('01_Master_Data'!AI86&amp;""))="yes","Yes","No"))</f>
        <v/>
      </c>
      <c r="AD86">
        <f>IF(A86="","",IF(LOWER(TRIM('01_Master_Data'!AK86&amp;""))="yes","Yes","No"))</f>
        <v/>
      </c>
      <c r="AE86">
        <f>IF(A86="","",IF(LOWER(TRIM('01_Master_Data'!AJ86&amp;""))="yes","Yes","No"))</f>
        <v/>
      </c>
      <c r="AF86">
        <f>IF(A86="","",TRIM('01_Master_Data'!AL86&amp;""))</f>
        <v/>
      </c>
      <c r="AG86">
        <f>IF(A86="","",IF(AF86="","—",IF(ISNUMBER(SEARCH("DNP",AF86)),"Unreachable / DNP",IF(ISNUMBER(SEARCH("interest",LOWER(AF86))),"High Interest / Terms",IF(OR(ISNUMBER(SEARCH("eligib",LOWER(AF86))),ISNUMBER(SEARCH("income",LOWER(AF86)))),"Eligibility / Income",IF(OR(ISNUMBER(SEARCH("start",LOWER(AF86))),ISNUMBER(SEARCH("Newer",AF86)),ISNUMBER(SEARCH("Will start",AF86))),"Process Yet to Start",IF(ISNUMBER(SEARCH("sure",LOWER(AF86))),"Undecided",IF(OR(ISNUMBER(SEARCH("reject",LOWER(AF86))),ISNUMBER(SEARCH("SBI",AF86))),"Rejected Elsewhere",IF(ISNUMBER(SEARCH("call",LOWER(AF86))),"Bank Communication",IF(OR(ISNUMBER(SEARCH("father",LOWER(AF86))),ISNUMBER(SEARCH("sister",LOWER(AF86)))),"Family / Dependency","Other"))))))))))</f>
        <v/>
      </c>
      <c r="AH86">
        <f>IF(A86="","",'01_Master_Data'!AC86)</f>
        <v/>
      </c>
      <c r="AI86">
        <f>IF(A86="","",IF(OR(AH86="",NOT(ISNUMBER(AH86))),"",MAX(0,'02_Configuration'!$B$82-AH86)))</f>
        <v/>
      </c>
      <c r="AJ86">
        <f>IF(A86="","",IF(AI86="","Unknown",IF(AI86&lt;=3,"0–3 Days",IF(AI86&lt;=7,"4–7 Days",IF(AI86&lt;=15,"8–15 Days",IF(AI86&lt;=30,"16–30 Days","30+ Days"))))))</f>
        <v/>
      </c>
      <c r="AK86">
        <f>IF(A86="","",IF(LOWER(H86)="yes","Yes","No"))</f>
        <v/>
      </c>
      <c r="AL86">
        <f>IF(A86="","",'01_Master_Data'!T86)</f>
        <v/>
      </c>
      <c r="AM86">
        <f>IF(A86="","",'01_Master_Data'!S86)</f>
        <v/>
      </c>
      <c r="AN86">
        <f>IF(A86="","",'01_Master_Data'!I86)</f>
        <v/>
      </c>
      <c r="AO86">
        <f>IF(A86="","",'01_Master_Data'!M86)</f>
        <v/>
      </c>
      <c r="AP86">
        <f>IF(A86="","",IF(ISNUMBER(SEARCH("Icici",W86&amp;"")),1,0))</f>
        <v/>
      </c>
      <c r="AQ86">
        <f>IF(A86="","",IF(ISNUMBER(SEARCH("Propelld",W86&amp;"")),1,0))</f>
        <v/>
      </c>
      <c r="AR86">
        <f>IF(A86="","",IF(ISNUMBER(SEARCH("GyanDhan",W86&amp;"")),1,0))</f>
        <v/>
      </c>
      <c r="AS86">
        <f>IF(A86="","",IF(ISNUMBER(SEARCH("vidyalakshmi",LOWER(W86&amp;""))),1,0))</f>
        <v/>
      </c>
      <c r="AT86">
        <f>IF(A86="","",IF(ISNUMBER(SEARCH("other bank",LOWER(W86&amp;""))),1,0))</f>
        <v/>
      </c>
      <c r="AU86">
        <f>IF(A86="","",IF(ISNUMBER(SEARCH("sanctioned",LOWER(W86&amp;""))),1,0))</f>
        <v/>
      </c>
      <c r="AV86">
        <f>IF(A86="","",IF(ISNUMBER(SEARCH("Docs Pending",W86&amp;"")),1,0))</f>
        <v/>
      </c>
      <c r="AW86">
        <f>IF(A86="","",IF(OR(X86="Rejected",ISNUMBER(SEARCH("Not eligbile",W86&amp;""))),1,0))</f>
        <v/>
      </c>
    </row>
    <row r="87">
      <c r="A87">
        <f>IF('01_Master_Data'!B87="","",86)</f>
        <v/>
      </c>
      <c r="B87">
        <f>IF('01_Master_Data'!B87="","",IF('01_Master_Data'!C87&lt;&gt;"","MOB|"&amp;TEXT('01_Master_Data'!C87,"0"),IF('01_Master_Data'!D87&lt;&gt;"","PID|"&amp;TRIM('01_Master_Data'!D87&amp;""),"")))</f>
        <v/>
      </c>
      <c r="C87">
        <f>IF('01_Master_Data'!B87="","",'01_Master_Data'!B87)</f>
        <v/>
      </c>
      <c r="D87">
        <f>IF('01_Master_Data'!B87="","",'01_Master_Data'!C87)</f>
        <v/>
      </c>
      <c r="E87">
        <f>IF('01_Master_Data'!B87="","",'01_Master_Data'!D87)</f>
        <v/>
      </c>
      <c r="F87">
        <f>IF('01_Master_Data'!B87="","",'01_Master_Data'!E87)</f>
        <v/>
      </c>
      <c r="G87">
        <f>IF('01_Master_Data'!B87="","",IFERROR(VLOOKUP(TRIM('01_Master_Data'!E87&amp;""),'02_Configuration'!$A$40:$B$44,2,FALSE),UPPER(TRIM('01_Master_Data'!E87&amp;""))))</f>
        <v/>
      </c>
      <c r="H87">
        <f>IF('01_Master_Data'!B87="","",IF('01_Master_Data'!U87="","",TRIM('01_Master_Data'!U87&amp;"")))</f>
        <v/>
      </c>
      <c r="I87">
        <f>IF('01_Master_Data'!B87="","",TRIM('01_Master_Data'!F87&amp;""))</f>
        <v/>
      </c>
      <c r="J87">
        <f>IF('01_Master_Data'!B87="","",TRIM('01_Master_Data'!G87&amp;""))</f>
        <v/>
      </c>
      <c r="K87">
        <f>IF('01_Master_Data'!B87="","",'01_Master_Data'!H87)</f>
        <v/>
      </c>
      <c r="L87">
        <f>IF('01_Master_Data'!B87="","",IF(LOWER(TRIM('01_Master_Data'!V87&amp;""))="yes",1,0))</f>
        <v/>
      </c>
      <c r="M87">
        <f>IF('01_Master_Data'!B87="","",IF(LOWER(TRIM('01_Master_Data'!W87&amp;""))="yes",1,0))</f>
        <v/>
      </c>
      <c r="N87">
        <f>IF('01_Master_Data'!B87="","",IF(LOWER(TRIM('01_Master_Data'!X87&amp;""))="yes",1,0))</f>
        <v/>
      </c>
      <c r="O87">
        <f>IF('01_Master_Data'!B87="","",IF(LOWER(TRIM('01_Master_Data'!Y87&amp;""))="yes",1,0))</f>
        <v/>
      </c>
      <c r="P87">
        <f>IF('01_Master_Data'!B87="","",IF(LOWER(TRIM('01_Master_Data'!Z87&amp;""))="yes",1,0))</f>
        <v/>
      </c>
      <c r="Q87">
        <f>IF(A87="","",L87+M87+N87+O87+P87)</f>
        <v/>
      </c>
      <c r="R87">
        <f>IF(A87="","",IF(Q87&gt;1,"Yes","No"))</f>
        <v/>
      </c>
      <c r="S87">
        <f>IF(A87="","",TEXTJOIN(", ",TRUE,IF(L87=1,"ICICI",""),IF(M87=1,"Propelld",""),IF(N87=1,"Study4Buddy",""),IF(O87=1,"Poonawala Fincorp",""),IF(P87=1,"GyanDhan","")))</f>
        <v/>
      </c>
      <c r="T87">
        <f>IF(A87="","",IF(L87=1,"ICICI",IF(M87=1,"Propelld",IF(P87=1,"GyanDhan",IF(N87=1,"Study4Buddy",IF(O87=1,"Poonawala Fincorp",IF(ISNUMBER(SEARCH("GyanDhan",W87&amp;"")),"GyanDhan",IF(ISNUMBER(SEARCH("Icici",W87&amp;"")),"ICICI",IF(ISNUMBER(SEARCH("Propelld",W87&amp;"")),"Propelld",IF(ISNUMBER(SEARCH("vidyalakshmi",LOWER(W87&amp;"")),"PM Vidyalakshmi","—"))))))))))</f>
        <v/>
      </c>
      <c r="U87">
        <f>IF(A87="","",TRIM('01_Master_Data'!AA87&amp;""))</f>
        <v/>
      </c>
      <c r="V87">
        <f>IF(A87="","",TRIM('01_Master_Data'!AG87&amp;""))</f>
        <v/>
      </c>
      <c r="W87">
        <f>IF(A87="","",TRIM('01_Master_Data'!AH87&amp;""))</f>
        <v/>
      </c>
      <c r="X87">
        <f>IF(A87="","",IF(OR(LOWER(H87)="refund",LOWER(U87)="refund case"),"Refund",IF(OR(LOWER(H87)="dnp",LOWER(U87)="dnp"),"DNP",IF(OR(LOWER(V87)="disbursed",ISNUMBER(SEARCH("Disbursed",W87&amp;""))),"Disbursed",IF(OR(LOWER(V87)="loan proccessed/accepted",ISNUMBER(SEARCH("sanctioned",LOWER(W87&amp;"")))),"Sanctioned",IF(OR(LOWER(V87)="rejected",ISNUMBER(SEARCH("Not eligbile",W87&amp;"")),ISNUMBER(SEARCH("Not eligible",W87&amp;""))),"Rejected",IF(ISNUMBER(SEARCH("Docs Pending",W87&amp;"")),"Documents Pending",IF(AND(LOWER(H87)="yes",LOWER(V87)="ongoing"),"Processing",IF(AND(LOWER(H87)="yes",Q87&gt;0,OR(V87="",LOWER(V87)="not even started")),"Vendor Assigned",IF(AND(LOWER(H87)="yes",LOWER(V87)="not even started"),"Need Loan",IF(LOWER(H87)="yes","Loan Started",IF(LOWER(H87)="not sure","Interested",IF(OR(LOWER(H87)="no",LOWER(V87)="not required"),"Not Required","Unclassified")))))))))))))</f>
        <v/>
      </c>
      <c r="Y87">
        <f>IF(A87="","",IF(OR(X87="Sanctioned",X87="Disbursed",X87="Approved"),"Approved",IF(X87="Rejected","Rejected",IF(OR(X87="Processing",X87="Documents Pending",X87="Vendor Assigned"),"In Progress",IF(X87="Need Loan","Pending Start","—"))))</f>
        <v/>
      </c>
      <c r="Z87">
        <f>IF(A87="","",IF(X87="Disbursed","Disbursed",IF(X87="Sanctioned","Sanctioned - Awaiting Disbursement","Not Disbursed")))</f>
        <v/>
      </c>
      <c r="AA87">
        <f>IF(A87="","",IF(LOWER(TRIM('01_Master_Data'!AI87&amp;""))="yes","Need FLDG",IF(LOWER(TRIM('01_Master_Data'!AK87&amp;""))="yes","Need Vidyalakshmi",IF(LOWER(TRIM('01_Master_Data'!AJ87&amp;""))="yes","Need Review",IF(LOWER(J87)="critical","Critical",IF(LOWER(U87)="risk","Risk Case",IF(X87="Refund","Refund","Normal")))))))</f>
        <v/>
      </c>
      <c r="AB87">
        <f>IF(A87="","",IF(OR(LOWER(J87)="critical",LOWER(TRIM('01_Master_Data'!AI87&amp;""))="yes",LOWER(TRIM('01_Master_Data'!AK87&amp;""))="yes",LOWER(U87)="risk"),"Yes","No"))</f>
        <v/>
      </c>
      <c r="AC87">
        <f>IF(A87="","",IF(LOWER(TRIM('01_Master_Data'!AI87&amp;""))="yes","Yes","No"))</f>
        <v/>
      </c>
      <c r="AD87">
        <f>IF(A87="","",IF(LOWER(TRIM('01_Master_Data'!AK87&amp;""))="yes","Yes","No"))</f>
        <v/>
      </c>
      <c r="AE87">
        <f>IF(A87="","",IF(LOWER(TRIM('01_Master_Data'!AJ87&amp;""))="yes","Yes","No"))</f>
        <v/>
      </c>
      <c r="AF87">
        <f>IF(A87="","",TRIM('01_Master_Data'!AL87&amp;""))</f>
        <v/>
      </c>
      <c r="AG87">
        <f>IF(A87="","",IF(AF87="","—",IF(ISNUMBER(SEARCH("DNP",AF87)),"Unreachable / DNP",IF(ISNUMBER(SEARCH("interest",LOWER(AF87))),"High Interest / Terms",IF(OR(ISNUMBER(SEARCH("eligib",LOWER(AF87))),ISNUMBER(SEARCH("income",LOWER(AF87)))),"Eligibility / Income",IF(OR(ISNUMBER(SEARCH("start",LOWER(AF87))),ISNUMBER(SEARCH("Newer",AF87)),ISNUMBER(SEARCH("Will start",AF87))),"Process Yet to Start",IF(ISNUMBER(SEARCH("sure",LOWER(AF87))),"Undecided",IF(OR(ISNUMBER(SEARCH("reject",LOWER(AF87))),ISNUMBER(SEARCH("SBI",AF87))),"Rejected Elsewhere",IF(ISNUMBER(SEARCH("call",LOWER(AF87))),"Bank Communication",IF(OR(ISNUMBER(SEARCH("father",LOWER(AF87))),ISNUMBER(SEARCH("sister",LOWER(AF87)))),"Family / Dependency","Other"))))))))))</f>
        <v/>
      </c>
      <c r="AH87">
        <f>IF(A87="","",'01_Master_Data'!AC87)</f>
        <v/>
      </c>
      <c r="AI87">
        <f>IF(A87="","",IF(OR(AH87="",NOT(ISNUMBER(AH87))),"",MAX(0,'02_Configuration'!$B$82-AH87)))</f>
        <v/>
      </c>
      <c r="AJ87">
        <f>IF(A87="","",IF(AI87="","Unknown",IF(AI87&lt;=3,"0–3 Days",IF(AI87&lt;=7,"4–7 Days",IF(AI87&lt;=15,"8–15 Days",IF(AI87&lt;=30,"16–30 Days","30+ Days"))))))</f>
        <v/>
      </c>
      <c r="AK87">
        <f>IF(A87="","",IF(LOWER(H87)="yes","Yes","No"))</f>
        <v/>
      </c>
      <c r="AL87">
        <f>IF(A87="","",'01_Master_Data'!T87)</f>
        <v/>
      </c>
      <c r="AM87">
        <f>IF(A87="","",'01_Master_Data'!S87)</f>
        <v/>
      </c>
      <c r="AN87">
        <f>IF(A87="","",'01_Master_Data'!I87)</f>
        <v/>
      </c>
      <c r="AO87">
        <f>IF(A87="","",'01_Master_Data'!M87)</f>
        <v/>
      </c>
      <c r="AP87">
        <f>IF(A87="","",IF(ISNUMBER(SEARCH("Icici",W87&amp;"")),1,0))</f>
        <v/>
      </c>
      <c r="AQ87">
        <f>IF(A87="","",IF(ISNUMBER(SEARCH("Propelld",W87&amp;"")),1,0))</f>
        <v/>
      </c>
      <c r="AR87">
        <f>IF(A87="","",IF(ISNUMBER(SEARCH("GyanDhan",W87&amp;"")),1,0))</f>
        <v/>
      </c>
      <c r="AS87">
        <f>IF(A87="","",IF(ISNUMBER(SEARCH("vidyalakshmi",LOWER(W87&amp;""))),1,0))</f>
        <v/>
      </c>
      <c r="AT87">
        <f>IF(A87="","",IF(ISNUMBER(SEARCH("other bank",LOWER(W87&amp;""))),1,0))</f>
        <v/>
      </c>
      <c r="AU87">
        <f>IF(A87="","",IF(ISNUMBER(SEARCH("sanctioned",LOWER(W87&amp;""))),1,0))</f>
        <v/>
      </c>
      <c r="AV87">
        <f>IF(A87="","",IF(ISNUMBER(SEARCH("Docs Pending",W87&amp;"")),1,0))</f>
        <v/>
      </c>
      <c r="AW87">
        <f>IF(A87="","",IF(OR(X87="Rejected",ISNUMBER(SEARCH("Not eligbile",W87&amp;""))),1,0))</f>
        <v/>
      </c>
    </row>
    <row r="88">
      <c r="A88">
        <f>IF('01_Master_Data'!B88="","",87)</f>
        <v/>
      </c>
      <c r="B88">
        <f>IF('01_Master_Data'!B88="","",IF('01_Master_Data'!C88&lt;&gt;"","MOB|"&amp;TEXT('01_Master_Data'!C88,"0"),IF('01_Master_Data'!D88&lt;&gt;"","PID|"&amp;TRIM('01_Master_Data'!D88&amp;""),"")))</f>
        <v/>
      </c>
      <c r="C88">
        <f>IF('01_Master_Data'!B88="","",'01_Master_Data'!B88)</f>
        <v/>
      </c>
      <c r="D88">
        <f>IF('01_Master_Data'!B88="","",'01_Master_Data'!C88)</f>
        <v/>
      </c>
      <c r="E88">
        <f>IF('01_Master_Data'!B88="","",'01_Master_Data'!D88)</f>
        <v/>
      </c>
      <c r="F88">
        <f>IF('01_Master_Data'!B88="","",'01_Master_Data'!E88)</f>
        <v/>
      </c>
      <c r="G88">
        <f>IF('01_Master_Data'!B88="","",IFERROR(VLOOKUP(TRIM('01_Master_Data'!E88&amp;""),'02_Configuration'!$A$40:$B$44,2,FALSE),UPPER(TRIM('01_Master_Data'!E88&amp;""))))</f>
        <v/>
      </c>
      <c r="H88">
        <f>IF('01_Master_Data'!B88="","",IF('01_Master_Data'!U88="","",TRIM('01_Master_Data'!U88&amp;"")))</f>
        <v/>
      </c>
      <c r="I88">
        <f>IF('01_Master_Data'!B88="","",TRIM('01_Master_Data'!F88&amp;""))</f>
        <v/>
      </c>
      <c r="J88">
        <f>IF('01_Master_Data'!B88="","",TRIM('01_Master_Data'!G88&amp;""))</f>
        <v/>
      </c>
      <c r="K88">
        <f>IF('01_Master_Data'!B88="","",'01_Master_Data'!H88)</f>
        <v/>
      </c>
      <c r="L88">
        <f>IF('01_Master_Data'!B88="","",IF(LOWER(TRIM('01_Master_Data'!V88&amp;""))="yes",1,0))</f>
        <v/>
      </c>
      <c r="M88">
        <f>IF('01_Master_Data'!B88="","",IF(LOWER(TRIM('01_Master_Data'!W88&amp;""))="yes",1,0))</f>
        <v/>
      </c>
      <c r="N88">
        <f>IF('01_Master_Data'!B88="","",IF(LOWER(TRIM('01_Master_Data'!X88&amp;""))="yes",1,0))</f>
        <v/>
      </c>
      <c r="O88">
        <f>IF('01_Master_Data'!B88="","",IF(LOWER(TRIM('01_Master_Data'!Y88&amp;""))="yes",1,0))</f>
        <v/>
      </c>
      <c r="P88">
        <f>IF('01_Master_Data'!B88="","",IF(LOWER(TRIM('01_Master_Data'!Z88&amp;""))="yes",1,0))</f>
        <v/>
      </c>
      <c r="Q88">
        <f>IF(A88="","",L88+M88+N88+O88+P88)</f>
        <v/>
      </c>
      <c r="R88">
        <f>IF(A88="","",IF(Q88&gt;1,"Yes","No"))</f>
        <v/>
      </c>
      <c r="S88">
        <f>IF(A88="","",TEXTJOIN(", ",TRUE,IF(L88=1,"ICICI",""),IF(M88=1,"Propelld",""),IF(N88=1,"Study4Buddy",""),IF(O88=1,"Poonawala Fincorp",""),IF(P88=1,"GyanDhan","")))</f>
        <v/>
      </c>
      <c r="T88">
        <f>IF(A88="","",IF(L88=1,"ICICI",IF(M88=1,"Propelld",IF(P88=1,"GyanDhan",IF(N88=1,"Study4Buddy",IF(O88=1,"Poonawala Fincorp",IF(ISNUMBER(SEARCH("GyanDhan",W88&amp;"")),"GyanDhan",IF(ISNUMBER(SEARCH("Icici",W88&amp;"")),"ICICI",IF(ISNUMBER(SEARCH("Propelld",W88&amp;"")),"Propelld",IF(ISNUMBER(SEARCH("vidyalakshmi",LOWER(W88&amp;"")),"PM Vidyalakshmi","—"))))))))))</f>
        <v/>
      </c>
      <c r="U88">
        <f>IF(A88="","",TRIM('01_Master_Data'!AA88&amp;""))</f>
        <v/>
      </c>
      <c r="V88">
        <f>IF(A88="","",TRIM('01_Master_Data'!AG88&amp;""))</f>
        <v/>
      </c>
      <c r="W88">
        <f>IF(A88="","",TRIM('01_Master_Data'!AH88&amp;""))</f>
        <v/>
      </c>
      <c r="X88">
        <f>IF(A88="","",IF(OR(LOWER(H88)="refund",LOWER(U88)="refund case"),"Refund",IF(OR(LOWER(H88)="dnp",LOWER(U88)="dnp"),"DNP",IF(OR(LOWER(V88)="disbursed",ISNUMBER(SEARCH("Disbursed",W88&amp;""))),"Disbursed",IF(OR(LOWER(V88)="loan proccessed/accepted",ISNUMBER(SEARCH("sanctioned",LOWER(W88&amp;"")))),"Sanctioned",IF(OR(LOWER(V88)="rejected",ISNUMBER(SEARCH("Not eligbile",W88&amp;"")),ISNUMBER(SEARCH("Not eligible",W88&amp;""))),"Rejected",IF(ISNUMBER(SEARCH("Docs Pending",W88&amp;"")),"Documents Pending",IF(AND(LOWER(H88)="yes",LOWER(V88)="ongoing"),"Processing",IF(AND(LOWER(H88)="yes",Q88&gt;0,OR(V88="",LOWER(V88)="not even started")),"Vendor Assigned",IF(AND(LOWER(H88)="yes",LOWER(V88)="not even started"),"Need Loan",IF(LOWER(H88)="yes","Loan Started",IF(LOWER(H88)="not sure","Interested",IF(OR(LOWER(H88)="no",LOWER(V88)="not required"),"Not Required","Unclassified")))))))))))))</f>
        <v/>
      </c>
      <c r="Y88">
        <f>IF(A88="","",IF(OR(X88="Sanctioned",X88="Disbursed",X88="Approved"),"Approved",IF(X88="Rejected","Rejected",IF(OR(X88="Processing",X88="Documents Pending",X88="Vendor Assigned"),"In Progress",IF(X88="Need Loan","Pending Start","—"))))</f>
        <v/>
      </c>
      <c r="Z88">
        <f>IF(A88="","",IF(X88="Disbursed","Disbursed",IF(X88="Sanctioned","Sanctioned - Awaiting Disbursement","Not Disbursed")))</f>
        <v/>
      </c>
      <c r="AA88">
        <f>IF(A88="","",IF(LOWER(TRIM('01_Master_Data'!AI88&amp;""))="yes","Need FLDG",IF(LOWER(TRIM('01_Master_Data'!AK88&amp;""))="yes","Need Vidyalakshmi",IF(LOWER(TRIM('01_Master_Data'!AJ88&amp;""))="yes","Need Review",IF(LOWER(J88)="critical","Critical",IF(LOWER(U88)="risk","Risk Case",IF(X88="Refund","Refund","Normal")))))))</f>
        <v/>
      </c>
      <c r="AB88">
        <f>IF(A88="","",IF(OR(LOWER(J88)="critical",LOWER(TRIM('01_Master_Data'!AI88&amp;""))="yes",LOWER(TRIM('01_Master_Data'!AK88&amp;""))="yes",LOWER(U88)="risk"),"Yes","No"))</f>
        <v/>
      </c>
      <c r="AC88">
        <f>IF(A88="","",IF(LOWER(TRIM('01_Master_Data'!AI88&amp;""))="yes","Yes","No"))</f>
        <v/>
      </c>
      <c r="AD88">
        <f>IF(A88="","",IF(LOWER(TRIM('01_Master_Data'!AK88&amp;""))="yes","Yes","No"))</f>
        <v/>
      </c>
      <c r="AE88">
        <f>IF(A88="","",IF(LOWER(TRIM('01_Master_Data'!AJ88&amp;""))="yes","Yes","No"))</f>
        <v/>
      </c>
      <c r="AF88">
        <f>IF(A88="","",TRIM('01_Master_Data'!AL88&amp;""))</f>
        <v/>
      </c>
      <c r="AG88">
        <f>IF(A88="","",IF(AF88="","—",IF(ISNUMBER(SEARCH("DNP",AF88)),"Unreachable / DNP",IF(ISNUMBER(SEARCH("interest",LOWER(AF88))),"High Interest / Terms",IF(OR(ISNUMBER(SEARCH("eligib",LOWER(AF88))),ISNUMBER(SEARCH("income",LOWER(AF88)))),"Eligibility / Income",IF(OR(ISNUMBER(SEARCH("start",LOWER(AF88))),ISNUMBER(SEARCH("Newer",AF88)),ISNUMBER(SEARCH("Will start",AF88))),"Process Yet to Start",IF(ISNUMBER(SEARCH("sure",LOWER(AF88))),"Undecided",IF(OR(ISNUMBER(SEARCH("reject",LOWER(AF88))),ISNUMBER(SEARCH("SBI",AF88))),"Rejected Elsewhere",IF(ISNUMBER(SEARCH("call",LOWER(AF88))),"Bank Communication",IF(OR(ISNUMBER(SEARCH("father",LOWER(AF88))),ISNUMBER(SEARCH("sister",LOWER(AF88)))),"Family / Dependency","Other"))))))))))</f>
        <v/>
      </c>
      <c r="AH88">
        <f>IF(A88="","",'01_Master_Data'!AC88)</f>
        <v/>
      </c>
      <c r="AI88">
        <f>IF(A88="","",IF(OR(AH88="",NOT(ISNUMBER(AH88))),"",MAX(0,'02_Configuration'!$B$82-AH88)))</f>
        <v/>
      </c>
      <c r="AJ88">
        <f>IF(A88="","",IF(AI88="","Unknown",IF(AI88&lt;=3,"0–3 Days",IF(AI88&lt;=7,"4–7 Days",IF(AI88&lt;=15,"8–15 Days",IF(AI88&lt;=30,"16–30 Days","30+ Days"))))))</f>
        <v/>
      </c>
      <c r="AK88">
        <f>IF(A88="","",IF(LOWER(H88)="yes","Yes","No"))</f>
        <v/>
      </c>
      <c r="AL88">
        <f>IF(A88="","",'01_Master_Data'!T88)</f>
        <v/>
      </c>
      <c r="AM88">
        <f>IF(A88="","",'01_Master_Data'!S88)</f>
        <v/>
      </c>
      <c r="AN88">
        <f>IF(A88="","",'01_Master_Data'!I88)</f>
        <v/>
      </c>
      <c r="AO88">
        <f>IF(A88="","",'01_Master_Data'!M88)</f>
        <v/>
      </c>
      <c r="AP88">
        <f>IF(A88="","",IF(ISNUMBER(SEARCH("Icici",W88&amp;"")),1,0))</f>
        <v/>
      </c>
      <c r="AQ88">
        <f>IF(A88="","",IF(ISNUMBER(SEARCH("Propelld",W88&amp;"")),1,0))</f>
        <v/>
      </c>
      <c r="AR88">
        <f>IF(A88="","",IF(ISNUMBER(SEARCH("GyanDhan",W88&amp;"")),1,0))</f>
        <v/>
      </c>
      <c r="AS88">
        <f>IF(A88="","",IF(ISNUMBER(SEARCH("vidyalakshmi",LOWER(W88&amp;""))),1,0))</f>
        <v/>
      </c>
      <c r="AT88">
        <f>IF(A88="","",IF(ISNUMBER(SEARCH("other bank",LOWER(W88&amp;""))),1,0))</f>
        <v/>
      </c>
      <c r="AU88">
        <f>IF(A88="","",IF(ISNUMBER(SEARCH("sanctioned",LOWER(W88&amp;""))),1,0))</f>
        <v/>
      </c>
      <c r="AV88">
        <f>IF(A88="","",IF(ISNUMBER(SEARCH("Docs Pending",W88&amp;"")),1,0))</f>
        <v/>
      </c>
      <c r="AW88">
        <f>IF(A88="","",IF(OR(X88="Rejected",ISNUMBER(SEARCH("Not eligbile",W88&amp;""))),1,0))</f>
        <v/>
      </c>
    </row>
    <row r="89">
      <c r="A89">
        <f>IF('01_Master_Data'!B89="","",88)</f>
        <v/>
      </c>
      <c r="B89">
        <f>IF('01_Master_Data'!B89="","",IF('01_Master_Data'!C89&lt;&gt;"","MOB|"&amp;TEXT('01_Master_Data'!C89,"0"),IF('01_Master_Data'!D89&lt;&gt;"","PID|"&amp;TRIM('01_Master_Data'!D89&amp;""),"")))</f>
        <v/>
      </c>
      <c r="C89">
        <f>IF('01_Master_Data'!B89="","",'01_Master_Data'!B89)</f>
        <v/>
      </c>
      <c r="D89">
        <f>IF('01_Master_Data'!B89="","",'01_Master_Data'!C89)</f>
        <v/>
      </c>
      <c r="E89">
        <f>IF('01_Master_Data'!B89="","",'01_Master_Data'!D89)</f>
        <v/>
      </c>
      <c r="F89">
        <f>IF('01_Master_Data'!B89="","",'01_Master_Data'!E89)</f>
        <v/>
      </c>
      <c r="G89">
        <f>IF('01_Master_Data'!B89="","",IFERROR(VLOOKUP(TRIM('01_Master_Data'!E89&amp;""),'02_Configuration'!$A$40:$B$44,2,FALSE),UPPER(TRIM('01_Master_Data'!E89&amp;""))))</f>
        <v/>
      </c>
      <c r="H89">
        <f>IF('01_Master_Data'!B89="","",IF('01_Master_Data'!U89="","",TRIM('01_Master_Data'!U89&amp;"")))</f>
        <v/>
      </c>
      <c r="I89">
        <f>IF('01_Master_Data'!B89="","",TRIM('01_Master_Data'!F89&amp;""))</f>
        <v/>
      </c>
      <c r="J89">
        <f>IF('01_Master_Data'!B89="","",TRIM('01_Master_Data'!G89&amp;""))</f>
        <v/>
      </c>
      <c r="K89">
        <f>IF('01_Master_Data'!B89="","",'01_Master_Data'!H89)</f>
        <v/>
      </c>
      <c r="L89">
        <f>IF('01_Master_Data'!B89="","",IF(LOWER(TRIM('01_Master_Data'!V89&amp;""))="yes",1,0))</f>
        <v/>
      </c>
      <c r="M89">
        <f>IF('01_Master_Data'!B89="","",IF(LOWER(TRIM('01_Master_Data'!W89&amp;""))="yes",1,0))</f>
        <v/>
      </c>
      <c r="N89">
        <f>IF('01_Master_Data'!B89="","",IF(LOWER(TRIM('01_Master_Data'!X89&amp;""))="yes",1,0))</f>
        <v/>
      </c>
      <c r="O89">
        <f>IF('01_Master_Data'!B89="","",IF(LOWER(TRIM('01_Master_Data'!Y89&amp;""))="yes",1,0))</f>
        <v/>
      </c>
      <c r="P89">
        <f>IF('01_Master_Data'!B89="","",IF(LOWER(TRIM('01_Master_Data'!Z89&amp;""))="yes",1,0))</f>
        <v/>
      </c>
      <c r="Q89">
        <f>IF(A89="","",L89+M89+N89+O89+P89)</f>
        <v/>
      </c>
      <c r="R89">
        <f>IF(A89="","",IF(Q89&gt;1,"Yes","No"))</f>
        <v/>
      </c>
      <c r="S89">
        <f>IF(A89="","",TEXTJOIN(", ",TRUE,IF(L89=1,"ICICI",""),IF(M89=1,"Propelld",""),IF(N89=1,"Study4Buddy",""),IF(O89=1,"Poonawala Fincorp",""),IF(P89=1,"GyanDhan","")))</f>
        <v/>
      </c>
      <c r="T89">
        <f>IF(A89="","",IF(L89=1,"ICICI",IF(M89=1,"Propelld",IF(P89=1,"GyanDhan",IF(N89=1,"Study4Buddy",IF(O89=1,"Poonawala Fincorp",IF(ISNUMBER(SEARCH("GyanDhan",W89&amp;"")),"GyanDhan",IF(ISNUMBER(SEARCH("Icici",W89&amp;"")),"ICICI",IF(ISNUMBER(SEARCH("Propelld",W89&amp;"")),"Propelld",IF(ISNUMBER(SEARCH("vidyalakshmi",LOWER(W89&amp;"")),"PM Vidyalakshmi","—"))))))))))</f>
        <v/>
      </c>
      <c r="U89">
        <f>IF(A89="","",TRIM('01_Master_Data'!AA89&amp;""))</f>
        <v/>
      </c>
      <c r="V89">
        <f>IF(A89="","",TRIM('01_Master_Data'!AG89&amp;""))</f>
        <v/>
      </c>
      <c r="W89">
        <f>IF(A89="","",TRIM('01_Master_Data'!AH89&amp;""))</f>
        <v/>
      </c>
      <c r="X89">
        <f>IF(A89="","",IF(OR(LOWER(H89)="refund",LOWER(U89)="refund case"),"Refund",IF(OR(LOWER(H89)="dnp",LOWER(U89)="dnp"),"DNP",IF(OR(LOWER(V89)="disbursed",ISNUMBER(SEARCH("Disbursed",W89&amp;""))),"Disbursed",IF(OR(LOWER(V89)="loan proccessed/accepted",ISNUMBER(SEARCH("sanctioned",LOWER(W89&amp;"")))),"Sanctioned",IF(OR(LOWER(V89)="rejected",ISNUMBER(SEARCH("Not eligbile",W89&amp;"")),ISNUMBER(SEARCH("Not eligible",W89&amp;""))),"Rejected",IF(ISNUMBER(SEARCH("Docs Pending",W89&amp;"")),"Documents Pending",IF(AND(LOWER(H89)="yes",LOWER(V89)="ongoing"),"Processing",IF(AND(LOWER(H89)="yes",Q89&gt;0,OR(V89="",LOWER(V89)="not even started")),"Vendor Assigned",IF(AND(LOWER(H89)="yes",LOWER(V89)="not even started"),"Need Loan",IF(LOWER(H89)="yes","Loan Started",IF(LOWER(H89)="not sure","Interested",IF(OR(LOWER(H89)="no",LOWER(V89)="not required"),"Not Required","Unclassified")))))))))))))</f>
        <v/>
      </c>
      <c r="Y89">
        <f>IF(A89="","",IF(OR(X89="Sanctioned",X89="Disbursed",X89="Approved"),"Approved",IF(X89="Rejected","Rejected",IF(OR(X89="Processing",X89="Documents Pending",X89="Vendor Assigned"),"In Progress",IF(X89="Need Loan","Pending Start","—"))))</f>
        <v/>
      </c>
      <c r="Z89">
        <f>IF(A89="","",IF(X89="Disbursed","Disbursed",IF(X89="Sanctioned","Sanctioned - Awaiting Disbursement","Not Disbursed")))</f>
        <v/>
      </c>
      <c r="AA89">
        <f>IF(A89="","",IF(LOWER(TRIM('01_Master_Data'!AI89&amp;""))="yes","Need FLDG",IF(LOWER(TRIM('01_Master_Data'!AK89&amp;""))="yes","Need Vidyalakshmi",IF(LOWER(TRIM('01_Master_Data'!AJ89&amp;""))="yes","Need Review",IF(LOWER(J89)="critical","Critical",IF(LOWER(U89)="risk","Risk Case",IF(X89="Refund","Refund","Normal")))))))</f>
        <v/>
      </c>
      <c r="AB89">
        <f>IF(A89="","",IF(OR(LOWER(J89)="critical",LOWER(TRIM('01_Master_Data'!AI89&amp;""))="yes",LOWER(TRIM('01_Master_Data'!AK89&amp;""))="yes",LOWER(U89)="risk"),"Yes","No"))</f>
        <v/>
      </c>
      <c r="AC89">
        <f>IF(A89="","",IF(LOWER(TRIM('01_Master_Data'!AI89&amp;""))="yes","Yes","No"))</f>
        <v/>
      </c>
      <c r="AD89">
        <f>IF(A89="","",IF(LOWER(TRIM('01_Master_Data'!AK89&amp;""))="yes","Yes","No"))</f>
        <v/>
      </c>
      <c r="AE89">
        <f>IF(A89="","",IF(LOWER(TRIM('01_Master_Data'!AJ89&amp;""))="yes","Yes","No"))</f>
        <v/>
      </c>
      <c r="AF89">
        <f>IF(A89="","",TRIM('01_Master_Data'!AL89&amp;""))</f>
        <v/>
      </c>
      <c r="AG89">
        <f>IF(A89="","",IF(AF89="","—",IF(ISNUMBER(SEARCH("DNP",AF89)),"Unreachable / DNP",IF(ISNUMBER(SEARCH("interest",LOWER(AF89))),"High Interest / Terms",IF(OR(ISNUMBER(SEARCH("eligib",LOWER(AF89))),ISNUMBER(SEARCH("income",LOWER(AF89)))),"Eligibility / Income",IF(OR(ISNUMBER(SEARCH("start",LOWER(AF89))),ISNUMBER(SEARCH("Newer",AF89)),ISNUMBER(SEARCH("Will start",AF89))),"Process Yet to Start",IF(ISNUMBER(SEARCH("sure",LOWER(AF89))),"Undecided",IF(OR(ISNUMBER(SEARCH("reject",LOWER(AF89))),ISNUMBER(SEARCH("SBI",AF89))),"Rejected Elsewhere",IF(ISNUMBER(SEARCH("call",LOWER(AF89))),"Bank Communication",IF(OR(ISNUMBER(SEARCH("father",LOWER(AF89))),ISNUMBER(SEARCH("sister",LOWER(AF89)))),"Family / Dependency","Other"))))))))))</f>
        <v/>
      </c>
      <c r="AH89">
        <f>IF(A89="","",'01_Master_Data'!AC89)</f>
        <v/>
      </c>
      <c r="AI89">
        <f>IF(A89="","",IF(OR(AH89="",NOT(ISNUMBER(AH89))),"",MAX(0,'02_Configuration'!$B$82-AH89)))</f>
        <v/>
      </c>
      <c r="AJ89">
        <f>IF(A89="","",IF(AI89="","Unknown",IF(AI89&lt;=3,"0–3 Days",IF(AI89&lt;=7,"4–7 Days",IF(AI89&lt;=15,"8–15 Days",IF(AI89&lt;=30,"16–30 Days","30+ Days"))))))</f>
        <v/>
      </c>
      <c r="AK89">
        <f>IF(A89="","",IF(LOWER(H89)="yes","Yes","No"))</f>
        <v/>
      </c>
      <c r="AL89">
        <f>IF(A89="","",'01_Master_Data'!T89)</f>
        <v/>
      </c>
      <c r="AM89">
        <f>IF(A89="","",'01_Master_Data'!S89)</f>
        <v/>
      </c>
      <c r="AN89">
        <f>IF(A89="","",'01_Master_Data'!I89)</f>
        <v/>
      </c>
      <c r="AO89">
        <f>IF(A89="","",'01_Master_Data'!M89)</f>
        <v/>
      </c>
      <c r="AP89">
        <f>IF(A89="","",IF(ISNUMBER(SEARCH("Icici",W89&amp;"")),1,0))</f>
        <v/>
      </c>
      <c r="AQ89">
        <f>IF(A89="","",IF(ISNUMBER(SEARCH("Propelld",W89&amp;"")),1,0))</f>
        <v/>
      </c>
      <c r="AR89">
        <f>IF(A89="","",IF(ISNUMBER(SEARCH("GyanDhan",W89&amp;"")),1,0))</f>
        <v/>
      </c>
      <c r="AS89">
        <f>IF(A89="","",IF(ISNUMBER(SEARCH("vidyalakshmi",LOWER(W89&amp;""))),1,0))</f>
        <v/>
      </c>
      <c r="AT89">
        <f>IF(A89="","",IF(ISNUMBER(SEARCH("other bank",LOWER(W89&amp;""))),1,0))</f>
        <v/>
      </c>
      <c r="AU89">
        <f>IF(A89="","",IF(ISNUMBER(SEARCH("sanctioned",LOWER(W89&amp;""))),1,0))</f>
        <v/>
      </c>
      <c r="AV89">
        <f>IF(A89="","",IF(ISNUMBER(SEARCH("Docs Pending",W89&amp;"")),1,0))</f>
        <v/>
      </c>
      <c r="AW89">
        <f>IF(A89="","",IF(OR(X89="Rejected",ISNUMBER(SEARCH("Not eligbile",W89&amp;""))),1,0))</f>
        <v/>
      </c>
    </row>
    <row r="90">
      <c r="A90">
        <f>IF('01_Master_Data'!B90="","",89)</f>
        <v/>
      </c>
      <c r="B90">
        <f>IF('01_Master_Data'!B90="","",IF('01_Master_Data'!C90&lt;&gt;"","MOB|"&amp;TEXT('01_Master_Data'!C90,"0"),IF('01_Master_Data'!D90&lt;&gt;"","PID|"&amp;TRIM('01_Master_Data'!D90&amp;""),"")))</f>
        <v/>
      </c>
      <c r="C90">
        <f>IF('01_Master_Data'!B90="","",'01_Master_Data'!B90)</f>
        <v/>
      </c>
      <c r="D90">
        <f>IF('01_Master_Data'!B90="","",'01_Master_Data'!C90)</f>
        <v/>
      </c>
      <c r="E90">
        <f>IF('01_Master_Data'!B90="","",'01_Master_Data'!D90)</f>
        <v/>
      </c>
      <c r="F90">
        <f>IF('01_Master_Data'!B90="","",'01_Master_Data'!E90)</f>
        <v/>
      </c>
      <c r="G90">
        <f>IF('01_Master_Data'!B90="","",IFERROR(VLOOKUP(TRIM('01_Master_Data'!E90&amp;""),'02_Configuration'!$A$40:$B$44,2,FALSE),UPPER(TRIM('01_Master_Data'!E90&amp;""))))</f>
        <v/>
      </c>
      <c r="H90">
        <f>IF('01_Master_Data'!B90="","",IF('01_Master_Data'!U90="","",TRIM('01_Master_Data'!U90&amp;"")))</f>
        <v/>
      </c>
      <c r="I90">
        <f>IF('01_Master_Data'!B90="","",TRIM('01_Master_Data'!F90&amp;""))</f>
        <v/>
      </c>
      <c r="J90">
        <f>IF('01_Master_Data'!B90="","",TRIM('01_Master_Data'!G90&amp;""))</f>
        <v/>
      </c>
      <c r="K90">
        <f>IF('01_Master_Data'!B90="","",'01_Master_Data'!H90)</f>
        <v/>
      </c>
      <c r="L90">
        <f>IF('01_Master_Data'!B90="","",IF(LOWER(TRIM('01_Master_Data'!V90&amp;""))="yes",1,0))</f>
        <v/>
      </c>
      <c r="M90">
        <f>IF('01_Master_Data'!B90="","",IF(LOWER(TRIM('01_Master_Data'!W90&amp;""))="yes",1,0))</f>
        <v/>
      </c>
      <c r="N90">
        <f>IF('01_Master_Data'!B90="","",IF(LOWER(TRIM('01_Master_Data'!X90&amp;""))="yes",1,0))</f>
        <v/>
      </c>
      <c r="O90">
        <f>IF('01_Master_Data'!B90="","",IF(LOWER(TRIM('01_Master_Data'!Y90&amp;""))="yes",1,0))</f>
        <v/>
      </c>
      <c r="P90">
        <f>IF('01_Master_Data'!B90="","",IF(LOWER(TRIM('01_Master_Data'!Z90&amp;""))="yes",1,0))</f>
        <v/>
      </c>
      <c r="Q90">
        <f>IF(A90="","",L90+M90+N90+O90+P90)</f>
        <v/>
      </c>
      <c r="R90">
        <f>IF(A90="","",IF(Q90&gt;1,"Yes","No"))</f>
        <v/>
      </c>
      <c r="S90">
        <f>IF(A90="","",TEXTJOIN(", ",TRUE,IF(L90=1,"ICICI",""),IF(M90=1,"Propelld",""),IF(N90=1,"Study4Buddy",""),IF(O90=1,"Poonawala Fincorp",""),IF(P90=1,"GyanDhan","")))</f>
        <v/>
      </c>
      <c r="T90">
        <f>IF(A90="","",IF(L90=1,"ICICI",IF(M90=1,"Propelld",IF(P90=1,"GyanDhan",IF(N90=1,"Study4Buddy",IF(O90=1,"Poonawala Fincorp",IF(ISNUMBER(SEARCH("GyanDhan",W90&amp;"")),"GyanDhan",IF(ISNUMBER(SEARCH("Icici",W90&amp;"")),"ICICI",IF(ISNUMBER(SEARCH("Propelld",W90&amp;"")),"Propelld",IF(ISNUMBER(SEARCH("vidyalakshmi",LOWER(W90&amp;"")),"PM Vidyalakshmi","—"))))))))))</f>
        <v/>
      </c>
      <c r="U90">
        <f>IF(A90="","",TRIM('01_Master_Data'!AA90&amp;""))</f>
        <v/>
      </c>
      <c r="V90">
        <f>IF(A90="","",TRIM('01_Master_Data'!AG90&amp;""))</f>
        <v/>
      </c>
      <c r="W90">
        <f>IF(A90="","",TRIM('01_Master_Data'!AH90&amp;""))</f>
        <v/>
      </c>
      <c r="X90">
        <f>IF(A90="","",IF(OR(LOWER(H90)="refund",LOWER(U90)="refund case"),"Refund",IF(OR(LOWER(H90)="dnp",LOWER(U90)="dnp"),"DNP",IF(OR(LOWER(V90)="disbursed",ISNUMBER(SEARCH("Disbursed",W90&amp;""))),"Disbursed",IF(OR(LOWER(V90)="loan proccessed/accepted",ISNUMBER(SEARCH("sanctioned",LOWER(W90&amp;"")))),"Sanctioned",IF(OR(LOWER(V90)="rejected",ISNUMBER(SEARCH("Not eligbile",W90&amp;"")),ISNUMBER(SEARCH("Not eligible",W90&amp;""))),"Rejected",IF(ISNUMBER(SEARCH("Docs Pending",W90&amp;"")),"Documents Pending",IF(AND(LOWER(H90)="yes",LOWER(V90)="ongoing"),"Processing",IF(AND(LOWER(H90)="yes",Q90&gt;0,OR(V90="",LOWER(V90)="not even started")),"Vendor Assigned",IF(AND(LOWER(H90)="yes",LOWER(V90)="not even started"),"Need Loan",IF(LOWER(H90)="yes","Loan Started",IF(LOWER(H90)="not sure","Interested",IF(OR(LOWER(H90)="no",LOWER(V90)="not required"),"Not Required","Unclassified")))))))))))))</f>
        <v/>
      </c>
      <c r="Y90">
        <f>IF(A90="","",IF(OR(X90="Sanctioned",X90="Disbursed",X90="Approved"),"Approved",IF(X90="Rejected","Rejected",IF(OR(X90="Processing",X90="Documents Pending",X90="Vendor Assigned"),"In Progress",IF(X90="Need Loan","Pending Start","—"))))</f>
        <v/>
      </c>
      <c r="Z90">
        <f>IF(A90="","",IF(X90="Disbursed","Disbursed",IF(X90="Sanctioned","Sanctioned - Awaiting Disbursement","Not Disbursed")))</f>
        <v/>
      </c>
      <c r="AA90">
        <f>IF(A90="","",IF(LOWER(TRIM('01_Master_Data'!AI90&amp;""))="yes","Need FLDG",IF(LOWER(TRIM('01_Master_Data'!AK90&amp;""))="yes","Need Vidyalakshmi",IF(LOWER(TRIM('01_Master_Data'!AJ90&amp;""))="yes","Need Review",IF(LOWER(J90)="critical","Critical",IF(LOWER(U90)="risk","Risk Case",IF(X90="Refund","Refund","Normal")))))))</f>
        <v/>
      </c>
      <c r="AB90">
        <f>IF(A90="","",IF(OR(LOWER(J90)="critical",LOWER(TRIM('01_Master_Data'!AI90&amp;""))="yes",LOWER(TRIM('01_Master_Data'!AK90&amp;""))="yes",LOWER(U90)="risk"),"Yes","No"))</f>
        <v/>
      </c>
      <c r="AC90">
        <f>IF(A90="","",IF(LOWER(TRIM('01_Master_Data'!AI90&amp;""))="yes","Yes","No"))</f>
        <v/>
      </c>
      <c r="AD90">
        <f>IF(A90="","",IF(LOWER(TRIM('01_Master_Data'!AK90&amp;""))="yes","Yes","No"))</f>
        <v/>
      </c>
      <c r="AE90">
        <f>IF(A90="","",IF(LOWER(TRIM('01_Master_Data'!AJ90&amp;""))="yes","Yes","No"))</f>
        <v/>
      </c>
      <c r="AF90">
        <f>IF(A90="","",TRIM('01_Master_Data'!AL90&amp;""))</f>
        <v/>
      </c>
      <c r="AG90">
        <f>IF(A90="","",IF(AF90="","—",IF(ISNUMBER(SEARCH("DNP",AF90)),"Unreachable / DNP",IF(ISNUMBER(SEARCH("interest",LOWER(AF90))),"High Interest / Terms",IF(OR(ISNUMBER(SEARCH("eligib",LOWER(AF90))),ISNUMBER(SEARCH("income",LOWER(AF90)))),"Eligibility / Income",IF(OR(ISNUMBER(SEARCH("start",LOWER(AF90))),ISNUMBER(SEARCH("Newer",AF90)),ISNUMBER(SEARCH("Will start",AF90))),"Process Yet to Start",IF(ISNUMBER(SEARCH("sure",LOWER(AF90))),"Undecided",IF(OR(ISNUMBER(SEARCH("reject",LOWER(AF90))),ISNUMBER(SEARCH("SBI",AF90))),"Rejected Elsewhere",IF(ISNUMBER(SEARCH("call",LOWER(AF90))),"Bank Communication",IF(OR(ISNUMBER(SEARCH("father",LOWER(AF90))),ISNUMBER(SEARCH("sister",LOWER(AF90)))),"Family / Dependency","Other"))))))))))</f>
        <v/>
      </c>
      <c r="AH90">
        <f>IF(A90="","",'01_Master_Data'!AC90)</f>
        <v/>
      </c>
      <c r="AI90">
        <f>IF(A90="","",IF(OR(AH90="",NOT(ISNUMBER(AH90))),"",MAX(0,'02_Configuration'!$B$82-AH90)))</f>
        <v/>
      </c>
      <c r="AJ90">
        <f>IF(A90="","",IF(AI90="","Unknown",IF(AI90&lt;=3,"0–3 Days",IF(AI90&lt;=7,"4–7 Days",IF(AI90&lt;=15,"8–15 Days",IF(AI90&lt;=30,"16–30 Days","30+ Days"))))))</f>
        <v/>
      </c>
      <c r="AK90">
        <f>IF(A90="","",IF(LOWER(H90)="yes","Yes","No"))</f>
        <v/>
      </c>
      <c r="AL90">
        <f>IF(A90="","",'01_Master_Data'!T90)</f>
        <v/>
      </c>
      <c r="AM90">
        <f>IF(A90="","",'01_Master_Data'!S90)</f>
        <v/>
      </c>
      <c r="AN90">
        <f>IF(A90="","",'01_Master_Data'!I90)</f>
        <v/>
      </c>
      <c r="AO90">
        <f>IF(A90="","",'01_Master_Data'!M90)</f>
        <v/>
      </c>
      <c r="AP90">
        <f>IF(A90="","",IF(ISNUMBER(SEARCH("Icici",W90&amp;"")),1,0))</f>
        <v/>
      </c>
      <c r="AQ90">
        <f>IF(A90="","",IF(ISNUMBER(SEARCH("Propelld",W90&amp;"")),1,0))</f>
        <v/>
      </c>
      <c r="AR90">
        <f>IF(A90="","",IF(ISNUMBER(SEARCH("GyanDhan",W90&amp;"")),1,0))</f>
        <v/>
      </c>
      <c r="AS90">
        <f>IF(A90="","",IF(ISNUMBER(SEARCH("vidyalakshmi",LOWER(W90&amp;""))),1,0))</f>
        <v/>
      </c>
      <c r="AT90">
        <f>IF(A90="","",IF(ISNUMBER(SEARCH("other bank",LOWER(W90&amp;""))),1,0))</f>
        <v/>
      </c>
      <c r="AU90">
        <f>IF(A90="","",IF(ISNUMBER(SEARCH("sanctioned",LOWER(W90&amp;""))),1,0))</f>
        <v/>
      </c>
      <c r="AV90">
        <f>IF(A90="","",IF(ISNUMBER(SEARCH("Docs Pending",W90&amp;"")),1,0))</f>
        <v/>
      </c>
      <c r="AW90">
        <f>IF(A90="","",IF(OR(X90="Rejected",ISNUMBER(SEARCH("Not eligbile",W90&amp;""))),1,0))</f>
        <v/>
      </c>
    </row>
    <row r="91">
      <c r="A91">
        <f>IF('01_Master_Data'!B91="","",90)</f>
        <v/>
      </c>
      <c r="B91">
        <f>IF('01_Master_Data'!B91="","",IF('01_Master_Data'!C91&lt;&gt;"","MOB|"&amp;TEXT('01_Master_Data'!C91,"0"),IF('01_Master_Data'!D91&lt;&gt;"","PID|"&amp;TRIM('01_Master_Data'!D91&amp;""),"")))</f>
        <v/>
      </c>
      <c r="C91">
        <f>IF('01_Master_Data'!B91="","",'01_Master_Data'!B91)</f>
        <v/>
      </c>
      <c r="D91">
        <f>IF('01_Master_Data'!B91="","",'01_Master_Data'!C91)</f>
        <v/>
      </c>
      <c r="E91">
        <f>IF('01_Master_Data'!B91="","",'01_Master_Data'!D91)</f>
        <v/>
      </c>
      <c r="F91">
        <f>IF('01_Master_Data'!B91="","",'01_Master_Data'!E91)</f>
        <v/>
      </c>
      <c r="G91">
        <f>IF('01_Master_Data'!B91="","",IFERROR(VLOOKUP(TRIM('01_Master_Data'!E91&amp;""),'02_Configuration'!$A$40:$B$44,2,FALSE),UPPER(TRIM('01_Master_Data'!E91&amp;""))))</f>
        <v/>
      </c>
      <c r="H91">
        <f>IF('01_Master_Data'!B91="","",IF('01_Master_Data'!U91="","",TRIM('01_Master_Data'!U91&amp;"")))</f>
        <v/>
      </c>
      <c r="I91">
        <f>IF('01_Master_Data'!B91="","",TRIM('01_Master_Data'!F91&amp;""))</f>
        <v/>
      </c>
      <c r="J91">
        <f>IF('01_Master_Data'!B91="","",TRIM('01_Master_Data'!G91&amp;""))</f>
        <v/>
      </c>
      <c r="K91">
        <f>IF('01_Master_Data'!B91="","",'01_Master_Data'!H91)</f>
        <v/>
      </c>
      <c r="L91">
        <f>IF('01_Master_Data'!B91="","",IF(LOWER(TRIM('01_Master_Data'!V91&amp;""))="yes",1,0))</f>
        <v/>
      </c>
      <c r="M91">
        <f>IF('01_Master_Data'!B91="","",IF(LOWER(TRIM('01_Master_Data'!W91&amp;""))="yes",1,0))</f>
        <v/>
      </c>
      <c r="N91">
        <f>IF('01_Master_Data'!B91="","",IF(LOWER(TRIM('01_Master_Data'!X91&amp;""))="yes",1,0))</f>
        <v/>
      </c>
      <c r="O91">
        <f>IF('01_Master_Data'!B91="","",IF(LOWER(TRIM('01_Master_Data'!Y91&amp;""))="yes",1,0))</f>
        <v/>
      </c>
      <c r="P91">
        <f>IF('01_Master_Data'!B91="","",IF(LOWER(TRIM('01_Master_Data'!Z91&amp;""))="yes",1,0))</f>
        <v/>
      </c>
      <c r="Q91">
        <f>IF(A91="","",L91+M91+N91+O91+P91)</f>
        <v/>
      </c>
      <c r="R91">
        <f>IF(A91="","",IF(Q91&gt;1,"Yes","No"))</f>
        <v/>
      </c>
      <c r="S91">
        <f>IF(A91="","",TEXTJOIN(", ",TRUE,IF(L91=1,"ICICI",""),IF(M91=1,"Propelld",""),IF(N91=1,"Study4Buddy",""),IF(O91=1,"Poonawala Fincorp",""),IF(P91=1,"GyanDhan","")))</f>
        <v/>
      </c>
      <c r="T91">
        <f>IF(A91="","",IF(L91=1,"ICICI",IF(M91=1,"Propelld",IF(P91=1,"GyanDhan",IF(N91=1,"Study4Buddy",IF(O91=1,"Poonawala Fincorp",IF(ISNUMBER(SEARCH("GyanDhan",W91&amp;"")),"GyanDhan",IF(ISNUMBER(SEARCH("Icici",W91&amp;"")),"ICICI",IF(ISNUMBER(SEARCH("Propelld",W91&amp;"")),"Propelld",IF(ISNUMBER(SEARCH("vidyalakshmi",LOWER(W91&amp;"")),"PM Vidyalakshmi","—"))))))))))</f>
        <v/>
      </c>
      <c r="U91">
        <f>IF(A91="","",TRIM('01_Master_Data'!AA91&amp;""))</f>
        <v/>
      </c>
      <c r="V91">
        <f>IF(A91="","",TRIM('01_Master_Data'!AG91&amp;""))</f>
        <v/>
      </c>
      <c r="W91">
        <f>IF(A91="","",TRIM('01_Master_Data'!AH91&amp;""))</f>
        <v/>
      </c>
      <c r="X91">
        <f>IF(A91="","",IF(OR(LOWER(H91)="refund",LOWER(U91)="refund case"),"Refund",IF(OR(LOWER(H91)="dnp",LOWER(U91)="dnp"),"DNP",IF(OR(LOWER(V91)="disbursed",ISNUMBER(SEARCH("Disbursed",W91&amp;""))),"Disbursed",IF(OR(LOWER(V91)="loan proccessed/accepted",ISNUMBER(SEARCH("sanctioned",LOWER(W91&amp;"")))),"Sanctioned",IF(OR(LOWER(V91)="rejected",ISNUMBER(SEARCH("Not eligbile",W91&amp;"")),ISNUMBER(SEARCH("Not eligible",W91&amp;""))),"Rejected",IF(ISNUMBER(SEARCH("Docs Pending",W91&amp;"")),"Documents Pending",IF(AND(LOWER(H91)="yes",LOWER(V91)="ongoing"),"Processing",IF(AND(LOWER(H91)="yes",Q91&gt;0,OR(V91="",LOWER(V91)="not even started")),"Vendor Assigned",IF(AND(LOWER(H91)="yes",LOWER(V91)="not even started"),"Need Loan",IF(LOWER(H91)="yes","Loan Started",IF(LOWER(H91)="not sure","Interested",IF(OR(LOWER(H91)="no",LOWER(V91)="not required"),"Not Required","Unclassified")))))))))))))</f>
        <v/>
      </c>
      <c r="Y91">
        <f>IF(A91="","",IF(OR(X91="Sanctioned",X91="Disbursed",X91="Approved"),"Approved",IF(X91="Rejected","Rejected",IF(OR(X91="Processing",X91="Documents Pending",X91="Vendor Assigned"),"In Progress",IF(X91="Need Loan","Pending Start","—"))))</f>
        <v/>
      </c>
      <c r="Z91">
        <f>IF(A91="","",IF(X91="Disbursed","Disbursed",IF(X91="Sanctioned","Sanctioned - Awaiting Disbursement","Not Disbursed")))</f>
        <v/>
      </c>
      <c r="AA91">
        <f>IF(A91="","",IF(LOWER(TRIM('01_Master_Data'!AI91&amp;""))="yes","Need FLDG",IF(LOWER(TRIM('01_Master_Data'!AK91&amp;""))="yes","Need Vidyalakshmi",IF(LOWER(TRIM('01_Master_Data'!AJ91&amp;""))="yes","Need Review",IF(LOWER(J91)="critical","Critical",IF(LOWER(U91)="risk","Risk Case",IF(X91="Refund","Refund","Normal")))))))</f>
        <v/>
      </c>
      <c r="AB91">
        <f>IF(A91="","",IF(OR(LOWER(J91)="critical",LOWER(TRIM('01_Master_Data'!AI91&amp;""))="yes",LOWER(TRIM('01_Master_Data'!AK91&amp;""))="yes",LOWER(U91)="risk"),"Yes","No"))</f>
        <v/>
      </c>
      <c r="AC91">
        <f>IF(A91="","",IF(LOWER(TRIM('01_Master_Data'!AI91&amp;""))="yes","Yes","No"))</f>
        <v/>
      </c>
      <c r="AD91">
        <f>IF(A91="","",IF(LOWER(TRIM('01_Master_Data'!AK91&amp;""))="yes","Yes","No"))</f>
        <v/>
      </c>
      <c r="AE91">
        <f>IF(A91="","",IF(LOWER(TRIM('01_Master_Data'!AJ91&amp;""))="yes","Yes","No"))</f>
        <v/>
      </c>
      <c r="AF91">
        <f>IF(A91="","",TRIM('01_Master_Data'!AL91&amp;""))</f>
        <v/>
      </c>
      <c r="AG91">
        <f>IF(A91="","",IF(AF91="","—",IF(ISNUMBER(SEARCH("DNP",AF91)),"Unreachable / DNP",IF(ISNUMBER(SEARCH("interest",LOWER(AF91))),"High Interest / Terms",IF(OR(ISNUMBER(SEARCH("eligib",LOWER(AF91))),ISNUMBER(SEARCH("income",LOWER(AF91)))),"Eligibility / Income",IF(OR(ISNUMBER(SEARCH("start",LOWER(AF91))),ISNUMBER(SEARCH("Newer",AF91)),ISNUMBER(SEARCH("Will start",AF91))),"Process Yet to Start",IF(ISNUMBER(SEARCH("sure",LOWER(AF91))),"Undecided",IF(OR(ISNUMBER(SEARCH("reject",LOWER(AF91))),ISNUMBER(SEARCH("SBI",AF91))),"Rejected Elsewhere",IF(ISNUMBER(SEARCH("call",LOWER(AF91))),"Bank Communication",IF(OR(ISNUMBER(SEARCH("father",LOWER(AF91))),ISNUMBER(SEARCH("sister",LOWER(AF91)))),"Family / Dependency","Other"))))))))))</f>
        <v/>
      </c>
      <c r="AH91">
        <f>IF(A91="","",'01_Master_Data'!AC91)</f>
        <v/>
      </c>
      <c r="AI91">
        <f>IF(A91="","",IF(OR(AH91="",NOT(ISNUMBER(AH91))),"",MAX(0,'02_Configuration'!$B$82-AH91)))</f>
        <v/>
      </c>
      <c r="AJ91">
        <f>IF(A91="","",IF(AI91="","Unknown",IF(AI91&lt;=3,"0–3 Days",IF(AI91&lt;=7,"4–7 Days",IF(AI91&lt;=15,"8–15 Days",IF(AI91&lt;=30,"16–30 Days","30+ Days"))))))</f>
        <v/>
      </c>
      <c r="AK91">
        <f>IF(A91="","",IF(LOWER(H91)="yes","Yes","No"))</f>
        <v/>
      </c>
      <c r="AL91">
        <f>IF(A91="","",'01_Master_Data'!T91)</f>
        <v/>
      </c>
      <c r="AM91">
        <f>IF(A91="","",'01_Master_Data'!S91)</f>
        <v/>
      </c>
      <c r="AN91">
        <f>IF(A91="","",'01_Master_Data'!I91)</f>
        <v/>
      </c>
      <c r="AO91">
        <f>IF(A91="","",'01_Master_Data'!M91)</f>
        <v/>
      </c>
      <c r="AP91">
        <f>IF(A91="","",IF(ISNUMBER(SEARCH("Icici",W91&amp;"")),1,0))</f>
        <v/>
      </c>
      <c r="AQ91">
        <f>IF(A91="","",IF(ISNUMBER(SEARCH("Propelld",W91&amp;"")),1,0))</f>
        <v/>
      </c>
      <c r="AR91">
        <f>IF(A91="","",IF(ISNUMBER(SEARCH("GyanDhan",W91&amp;"")),1,0))</f>
        <v/>
      </c>
      <c r="AS91">
        <f>IF(A91="","",IF(ISNUMBER(SEARCH("vidyalakshmi",LOWER(W91&amp;""))),1,0))</f>
        <v/>
      </c>
      <c r="AT91">
        <f>IF(A91="","",IF(ISNUMBER(SEARCH("other bank",LOWER(W91&amp;""))),1,0))</f>
        <v/>
      </c>
      <c r="AU91">
        <f>IF(A91="","",IF(ISNUMBER(SEARCH("sanctioned",LOWER(W91&amp;""))),1,0))</f>
        <v/>
      </c>
      <c r="AV91">
        <f>IF(A91="","",IF(ISNUMBER(SEARCH("Docs Pending",W91&amp;"")),1,0))</f>
        <v/>
      </c>
      <c r="AW91">
        <f>IF(A91="","",IF(OR(X91="Rejected",ISNUMBER(SEARCH("Not eligbile",W91&amp;""))),1,0))</f>
        <v/>
      </c>
    </row>
    <row r="92">
      <c r="A92">
        <f>IF('01_Master_Data'!B92="","",91)</f>
        <v/>
      </c>
      <c r="B92">
        <f>IF('01_Master_Data'!B92="","",IF('01_Master_Data'!C92&lt;&gt;"","MOB|"&amp;TEXT('01_Master_Data'!C92,"0"),IF('01_Master_Data'!D92&lt;&gt;"","PID|"&amp;TRIM('01_Master_Data'!D92&amp;""),"")))</f>
        <v/>
      </c>
      <c r="C92">
        <f>IF('01_Master_Data'!B92="","",'01_Master_Data'!B92)</f>
        <v/>
      </c>
      <c r="D92">
        <f>IF('01_Master_Data'!B92="","",'01_Master_Data'!C92)</f>
        <v/>
      </c>
      <c r="E92">
        <f>IF('01_Master_Data'!B92="","",'01_Master_Data'!D92)</f>
        <v/>
      </c>
      <c r="F92">
        <f>IF('01_Master_Data'!B92="","",'01_Master_Data'!E92)</f>
        <v/>
      </c>
      <c r="G92">
        <f>IF('01_Master_Data'!B92="","",IFERROR(VLOOKUP(TRIM('01_Master_Data'!E92&amp;""),'02_Configuration'!$A$40:$B$44,2,FALSE),UPPER(TRIM('01_Master_Data'!E92&amp;""))))</f>
        <v/>
      </c>
      <c r="H92">
        <f>IF('01_Master_Data'!B92="","",IF('01_Master_Data'!U92="","",TRIM('01_Master_Data'!U92&amp;"")))</f>
        <v/>
      </c>
      <c r="I92">
        <f>IF('01_Master_Data'!B92="","",TRIM('01_Master_Data'!F92&amp;""))</f>
        <v/>
      </c>
      <c r="J92">
        <f>IF('01_Master_Data'!B92="","",TRIM('01_Master_Data'!G92&amp;""))</f>
        <v/>
      </c>
      <c r="K92">
        <f>IF('01_Master_Data'!B92="","",'01_Master_Data'!H92)</f>
        <v/>
      </c>
      <c r="L92">
        <f>IF('01_Master_Data'!B92="","",IF(LOWER(TRIM('01_Master_Data'!V92&amp;""))="yes",1,0))</f>
        <v/>
      </c>
      <c r="M92">
        <f>IF('01_Master_Data'!B92="","",IF(LOWER(TRIM('01_Master_Data'!W92&amp;""))="yes",1,0))</f>
        <v/>
      </c>
      <c r="N92">
        <f>IF('01_Master_Data'!B92="","",IF(LOWER(TRIM('01_Master_Data'!X92&amp;""))="yes",1,0))</f>
        <v/>
      </c>
      <c r="O92">
        <f>IF('01_Master_Data'!B92="","",IF(LOWER(TRIM('01_Master_Data'!Y92&amp;""))="yes",1,0))</f>
        <v/>
      </c>
      <c r="P92">
        <f>IF('01_Master_Data'!B92="","",IF(LOWER(TRIM('01_Master_Data'!Z92&amp;""))="yes",1,0))</f>
        <v/>
      </c>
      <c r="Q92">
        <f>IF(A92="","",L92+M92+N92+O92+P92)</f>
        <v/>
      </c>
      <c r="R92">
        <f>IF(A92="","",IF(Q92&gt;1,"Yes","No"))</f>
        <v/>
      </c>
      <c r="S92">
        <f>IF(A92="","",TEXTJOIN(", ",TRUE,IF(L92=1,"ICICI",""),IF(M92=1,"Propelld",""),IF(N92=1,"Study4Buddy",""),IF(O92=1,"Poonawala Fincorp",""),IF(P92=1,"GyanDhan","")))</f>
        <v/>
      </c>
      <c r="T92">
        <f>IF(A92="","",IF(L92=1,"ICICI",IF(M92=1,"Propelld",IF(P92=1,"GyanDhan",IF(N92=1,"Study4Buddy",IF(O92=1,"Poonawala Fincorp",IF(ISNUMBER(SEARCH("GyanDhan",W92&amp;"")),"GyanDhan",IF(ISNUMBER(SEARCH("Icici",W92&amp;"")),"ICICI",IF(ISNUMBER(SEARCH("Propelld",W92&amp;"")),"Propelld",IF(ISNUMBER(SEARCH("vidyalakshmi",LOWER(W92&amp;"")),"PM Vidyalakshmi","—"))))))))))</f>
        <v/>
      </c>
      <c r="U92">
        <f>IF(A92="","",TRIM('01_Master_Data'!AA92&amp;""))</f>
        <v/>
      </c>
      <c r="V92">
        <f>IF(A92="","",TRIM('01_Master_Data'!AG92&amp;""))</f>
        <v/>
      </c>
      <c r="W92">
        <f>IF(A92="","",TRIM('01_Master_Data'!AH92&amp;""))</f>
        <v/>
      </c>
      <c r="X92">
        <f>IF(A92="","",IF(OR(LOWER(H92)="refund",LOWER(U92)="refund case"),"Refund",IF(OR(LOWER(H92)="dnp",LOWER(U92)="dnp"),"DNP",IF(OR(LOWER(V92)="disbursed",ISNUMBER(SEARCH("Disbursed",W92&amp;""))),"Disbursed",IF(OR(LOWER(V92)="loan proccessed/accepted",ISNUMBER(SEARCH("sanctioned",LOWER(W92&amp;"")))),"Sanctioned",IF(OR(LOWER(V92)="rejected",ISNUMBER(SEARCH("Not eligbile",W92&amp;"")),ISNUMBER(SEARCH("Not eligible",W92&amp;""))),"Rejected",IF(ISNUMBER(SEARCH("Docs Pending",W92&amp;"")),"Documents Pending",IF(AND(LOWER(H92)="yes",LOWER(V92)="ongoing"),"Processing",IF(AND(LOWER(H92)="yes",Q92&gt;0,OR(V92="",LOWER(V92)="not even started")),"Vendor Assigned",IF(AND(LOWER(H92)="yes",LOWER(V92)="not even started"),"Need Loan",IF(LOWER(H92)="yes","Loan Started",IF(LOWER(H92)="not sure","Interested",IF(OR(LOWER(H92)="no",LOWER(V92)="not required"),"Not Required","Unclassified")))))))))))))</f>
        <v/>
      </c>
      <c r="Y92">
        <f>IF(A92="","",IF(OR(X92="Sanctioned",X92="Disbursed",X92="Approved"),"Approved",IF(X92="Rejected","Rejected",IF(OR(X92="Processing",X92="Documents Pending",X92="Vendor Assigned"),"In Progress",IF(X92="Need Loan","Pending Start","—"))))</f>
        <v/>
      </c>
      <c r="Z92">
        <f>IF(A92="","",IF(X92="Disbursed","Disbursed",IF(X92="Sanctioned","Sanctioned - Awaiting Disbursement","Not Disbursed")))</f>
        <v/>
      </c>
      <c r="AA92">
        <f>IF(A92="","",IF(LOWER(TRIM('01_Master_Data'!AI92&amp;""))="yes","Need FLDG",IF(LOWER(TRIM('01_Master_Data'!AK92&amp;""))="yes","Need Vidyalakshmi",IF(LOWER(TRIM('01_Master_Data'!AJ92&amp;""))="yes","Need Review",IF(LOWER(J92)="critical","Critical",IF(LOWER(U92)="risk","Risk Case",IF(X92="Refund","Refund","Normal")))))))</f>
        <v/>
      </c>
      <c r="AB92">
        <f>IF(A92="","",IF(OR(LOWER(J92)="critical",LOWER(TRIM('01_Master_Data'!AI92&amp;""))="yes",LOWER(TRIM('01_Master_Data'!AK92&amp;""))="yes",LOWER(U92)="risk"),"Yes","No"))</f>
        <v/>
      </c>
      <c r="AC92">
        <f>IF(A92="","",IF(LOWER(TRIM('01_Master_Data'!AI92&amp;""))="yes","Yes","No"))</f>
        <v/>
      </c>
      <c r="AD92">
        <f>IF(A92="","",IF(LOWER(TRIM('01_Master_Data'!AK92&amp;""))="yes","Yes","No"))</f>
        <v/>
      </c>
      <c r="AE92">
        <f>IF(A92="","",IF(LOWER(TRIM('01_Master_Data'!AJ92&amp;""))="yes","Yes","No"))</f>
        <v/>
      </c>
      <c r="AF92">
        <f>IF(A92="","",TRIM('01_Master_Data'!AL92&amp;""))</f>
        <v/>
      </c>
      <c r="AG92">
        <f>IF(A92="","",IF(AF92="","—",IF(ISNUMBER(SEARCH("DNP",AF92)),"Unreachable / DNP",IF(ISNUMBER(SEARCH("interest",LOWER(AF92))),"High Interest / Terms",IF(OR(ISNUMBER(SEARCH("eligib",LOWER(AF92))),ISNUMBER(SEARCH("income",LOWER(AF92)))),"Eligibility / Income",IF(OR(ISNUMBER(SEARCH("start",LOWER(AF92))),ISNUMBER(SEARCH("Newer",AF92)),ISNUMBER(SEARCH("Will start",AF92))),"Process Yet to Start",IF(ISNUMBER(SEARCH("sure",LOWER(AF92))),"Undecided",IF(OR(ISNUMBER(SEARCH("reject",LOWER(AF92))),ISNUMBER(SEARCH("SBI",AF92))),"Rejected Elsewhere",IF(ISNUMBER(SEARCH("call",LOWER(AF92))),"Bank Communication",IF(OR(ISNUMBER(SEARCH("father",LOWER(AF92))),ISNUMBER(SEARCH("sister",LOWER(AF92)))),"Family / Dependency","Other"))))))))))</f>
        <v/>
      </c>
      <c r="AH92">
        <f>IF(A92="","",'01_Master_Data'!AC92)</f>
        <v/>
      </c>
      <c r="AI92">
        <f>IF(A92="","",IF(OR(AH92="",NOT(ISNUMBER(AH92))),"",MAX(0,'02_Configuration'!$B$82-AH92)))</f>
        <v/>
      </c>
      <c r="AJ92">
        <f>IF(A92="","",IF(AI92="","Unknown",IF(AI92&lt;=3,"0–3 Days",IF(AI92&lt;=7,"4–7 Days",IF(AI92&lt;=15,"8–15 Days",IF(AI92&lt;=30,"16–30 Days","30+ Days"))))))</f>
        <v/>
      </c>
      <c r="AK92">
        <f>IF(A92="","",IF(LOWER(H92)="yes","Yes","No"))</f>
        <v/>
      </c>
      <c r="AL92">
        <f>IF(A92="","",'01_Master_Data'!T92)</f>
        <v/>
      </c>
      <c r="AM92">
        <f>IF(A92="","",'01_Master_Data'!S92)</f>
        <v/>
      </c>
      <c r="AN92">
        <f>IF(A92="","",'01_Master_Data'!I92)</f>
        <v/>
      </c>
      <c r="AO92">
        <f>IF(A92="","",'01_Master_Data'!M92)</f>
        <v/>
      </c>
      <c r="AP92">
        <f>IF(A92="","",IF(ISNUMBER(SEARCH("Icici",W92&amp;"")),1,0))</f>
        <v/>
      </c>
      <c r="AQ92">
        <f>IF(A92="","",IF(ISNUMBER(SEARCH("Propelld",W92&amp;"")),1,0))</f>
        <v/>
      </c>
      <c r="AR92">
        <f>IF(A92="","",IF(ISNUMBER(SEARCH("GyanDhan",W92&amp;"")),1,0))</f>
        <v/>
      </c>
      <c r="AS92">
        <f>IF(A92="","",IF(ISNUMBER(SEARCH("vidyalakshmi",LOWER(W92&amp;""))),1,0))</f>
        <v/>
      </c>
      <c r="AT92">
        <f>IF(A92="","",IF(ISNUMBER(SEARCH("other bank",LOWER(W92&amp;""))),1,0))</f>
        <v/>
      </c>
      <c r="AU92">
        <f>IF(A92="","",IF(ISNUMBER(SEARCH("sanctioned",LOWER(W92&amp;""))),1,0))</f>
        <v/>
      </c>
      <c r="AV92">
        <f>IF(A92="","",IF(ISNUMBER(SEARCH("Docs Pending",W92&amp;"")),1,0))</f>
        <v/>
      </c>
      <c r="AW92">
        <f>IF(A92="","",IF(OR(X92="Rejected",ISNUMBER(SEARCH("Not eligbile",W92&amp;""))),1,0))</f>
        <v/>
      </c>
    </row>
    <row r="93">
      <c r="A93">
        <f>IF('01_Master_Data'!B93="","",92)</f>
        <v/>
      </c>
      <c r="B93">
        <f>IF('01_Master_Data'!B93="","",IF('01_Master_Data'!C93&lt;&gt;"","MOB|"&amp;TEXT('01_Master_Data'!C93,"0"),IF('01_Master_Data'!D93&lt;&gt;"","PID|"&amp;TRIM('01_Master_Data'!D93&amp;""),"")))</f>
        <v/>
      </c>
      <c r="C93">
        <f>IF('01_Master_Data'!B93="","",'01_Master_Data'!B93)</f>
        <v/>
      </c>
      <c r="D93">
        <f>IF('01_Master_Data'!B93="","",'01_Master_Data'!C93)</f>
        <v/>
      </c>
      <c r="E93">
        <f>IF('01_Master_Data'!B93="","",'01_Master_Data'!D93)</f>
        <v/>
      </c>
      <c r="F93">
        <f>IF('01_Master_Data'!B93="","",'01_Master_Data'!E93)</f>
        <v/>
      </c>
      <c r="G93">
        <f>IF('01_Master_Data'!B93="","",IFERROR(VLOOKUP(TRIM('01_Master_Data'!E93&amp;""),'02_Configuration'!$A$40:$B$44,2,FALSE),UPPER(TRIM('01_Master_Data'!E93&amp;""))))</f>
        <v/>
      </c>
      <c r="H93">
        <f>IF('01_Master_Data'!B93="","",IF('01_Master_Data'!U93="","",TRIM('01_Master_Data'!U93&amp;"")))</f>
        <v/>
      </c>
      <c r="I93">
        <f>IF('01_Master_Data'!B93="","",TRIM('01_Master_Data'!F93&amp;""))</f>
        <v/>
      </c>
      <c r="J93">
        <f>IF('01_Master_Data'!B93="","",TRIM('01_Master_Data'!G93&amp;""))</f>
        <v/>
      </c>
      <c r="K93">
        <f>IF('01_Master_Data'!B93="","",'01_Master_Data'!H93)</f>
        <v/>
      </c>
      <c r="L93">
        <f>IF('01_Master_Data'!B93="","",IF(LOWER(TRIM('01_Master_Data'!V93&amp;""))="yes",1,0))</f>
        <v/>
      </c>
      <c r="M93">
        <f>IF('01_Master_Data'!B93="","",IF(LOWER(TRIM('01_Master_Data'!W93&amp;""))="yes",1,0))</f>
        <v/>
      </c>
      <c r="N93">
        <f>IF('01_Master_Data'!B93="","",IF(LOWER(TRIM('01_Master_Data'!X93&amp;""))="yes",1,0))</f>
        <v/>
      </c>
      <c r="O93">
        <f>IF('01_Master_Data'!B93="","",IF(LOWER(TRIM('01_Master_Data'!Y93&amp;""))="yes",1,0))</f>
        <v/>
      </c>
      <c r="P93">
        <f>IF('01_Master_Data'!B93="","",IF(LOWER(TRIM('01_Master_Data'!Z93&amp;""))="yes",1,0))</f>
        <v/>
      </c>
      <c r="Q93">
        <f>IF(A93="","",L93+M93+N93+O93+P93)</f>
        <v/>
      </c>
      <c r="R93">
        <f>IF(A93="","",IF(Q93&gt;1,"Yes","No"))</f>
        <v/>
      </c>
      <c r="S93">
        <f>IF(A93="","",TEXTJOIN(", ",TRUE,IF(L93=1,"ICICI",""),IF(M93=1,"Propelld",""),IF(N93=1,"Study4Buddy",""),IF(O93=1,"Poonawala Fincorp",""),IF(P93=1,"GyanDhan","")))</f>
        <v/>
      </c>
      <c r="T93">
        <f>IF(A93="","",IF(L93=1,"ICICI",IF(M93=1,"Propelld",IF(P93=1,"GyanDhan",IF(N93=1,"Study4Buddy",IF(O93=1,"Poonawala Fincorp",IF(ISNUMBER(SEARCH("GyanDhan",W93&amp;"")),"GyanDhan",IF(ISNUMBER(SEARCH("Icici",W93&amp;"")),"ICICI",IF(ISNUMBER(SEARCH("Propelld",W93&amp;"")),"Propelld",IF(ISNUMBER(SEARCH("vidyalakshmi",LOWER(W93&amp;"")),"PM Vidyalakshmi","—"))))))))))</f>
        <v/>
      </c>
      <c r="U93">
        <f>IF(A93="","",TRIM('01_Master_Data'!AA93&amp;""))</f>
        <v/>
      </c>
      <c r="V93">
        <f>IF(A93="","",TRIM('01_Master_Data'!AG93&amp;""))</f>
        <v/>
      </c>
      <c r="W93">
        <f>IF(A93="","",TRIM('01_Master_Data'!AH93&amp;""))</f>
        <v/>
      </c>
      <c r="X93">
        <f>IF(A93="","",IF(OR(LOWER(H93)="refund",LOWER(U93)="refund case"),"Refund",IF(OR(LOWER(H93)="dnp",LOWER(U93)="dnp"),"DNP",IF(OR(LOWER(V93)="disbursed",ISNUMBER(SEARCH("Disbursed",W93&amp;""))),"Disbursed",IF(OR(LOWER(V93)="loan proccessed/accepted",ISNUMBER(SEARCH("sanctioned",LOWER(W93&amp;"")))),"Sanctioned",IF(OR(LOWER(V93)="rejected",ISNUMBER(SEARCH("Not eligbile",W93&amp;"")),ISNUMBER(SEARCH("Not eligible",W93&amp;""))),"Rejected",IF(ISNUMBER(SEARCH("Docs Pending",W93&amp;"")),"Documents Pending",IF(AND(LOWER(H93)="yes",LOWER(V93)="ongoing"),"Processing",IF(AND(LOWER(H93)="yes",Q93&gt;0,OR(V93="",LOWER(V93)="not even started")),"Vendor Assigned",IF(AND(LOWER(H93)="yes",LOWER(V93)="not even started"),"Need Loan",IF(LOWER(H93)="yes","Loan Started",IF(LOWER(H93)="not sure","Interested",IF(OR(LOWER(H93)="no",LOWER(V93)="not required"),"Not Required","Unclassified")))))))))))))</f>
        <v/>
      </c>
      <c r="Y93">
        <f>IF(A93="","",IF(OR(X93="Sanctioned",X93="Disbursed",X93="Approved"),"Approved",IF(X93="Rejected","Rejected",IF(OR(X93="Processing",X93="Documents Pending",X93="Vendor Assigned"),"In Progress",IF(X93="Need Loan","Pending Start","—"))))</f>
        <v/>
      </c>
      <c r="Z93">
        <f>IF(A93="","",IF(X93="Disbursed","Disbursed",IF(X93="Sanctioned","Sanctioned - Awaiting Disbursement","Not Disbursed")))</f>
        <v/>
      </c>
      <c r="AA93">
        <f>IF(A93="","",IF(LOWER(TRIM('01_Master_Data'!AI93&amp;""))="yes","Need FLDG",IF(LOWER(TRIM('01_Master_Data'!AK93&amp;""))="yes","Need Vidyalakshmi",IF(LOWER(TRIM('01_Master_Data'!AJ93&amp;""))="yes","Need Review",IF(LOWER(J93)="critical","Critical",IF(LOWER(U93)="risk","Risk Case",IF(X93="Refund","Refund","Normal")))))))</f>
        <v/>
      </c>
      <c r="AB93">
        <f>IF(A93="","",IF(OR(LOWER(J93)="critical",LOWER(TRIM('01_Master_Data'!AI93&amp;""))="yes",LOWER(TRIM('01_Master_Data'!AK93&amp;""))="yes",LOWER(U93)="risk"),"Yes","No"))</f>
        <v/>
      </c>
      <c r="AC93">
        <f>IF(A93="","",IF(LOWER(TRIM('01_Master_Data'!AI93&amp;""))="yes","Yes","No"))</f>
        <v/>
      </c>
      <c r="AD93">
        <f>IF(A93="","",IF(LOWER(TRIM('01_Master_Data'!AK93&amp;""))="yes","Yes","No"))</f>
        <v/>
      </c>
      <c r="AE93">
        <f>IF(A93="","",IF(LOWER(TRIM('01_Master_Data'!AJ93&amp;""))="yes","Yes","No"))</f>
        <v/>
      </c>
      <c r="AF93">
        <f>IF(A93="","",TRIM('01_Master_Data'!AL93&amp;""))</f>
        <v/>
      </c>
      <c r="AG93">
        <f>IF(A93="","",IF(AF93="","—",IF(ISNUMBER(SEARCH("DNP",AF93)),"Unreachable / DNP",IF(ISNUMBER(SEARCH("interest",LOWER(AF93))),"High Interest / Terms",IF(OR(ISNUMBER(SEARCH("eligib",LOWER(AF93))),ISNUMBER(SEARCH("income",LOWER(AF93)))),"Eligibility / Income",IF(OR(ISNUMBER(SEARCH("start",LOWER(AF93))),ISNUMBER(SEARCH("Newer",AF93)),ISNUMBER(SEARCH("Will start",AF93))),"Process Yet to Start",IF(ISNUMBER(SEARCH("sure",LOWER(AF93))),"Undecided",IF(OR(ISNUMBER(SEARCH("reject",LOWER(AF93))),ISNUMBER(SEARCH("SBI",AF93))),"Rejected Elsewhere",IF(ISNUMBER(SEARCH("call",LOWER(AF93))),"Bank Communication",IF(OR(ISNUMBER(SEARCH("father",LOWER(AF93))),ISNUMBER(SEARCH("sister",LOWER(AF93)))),"Family / Dependency","Other"))))))))))</f>
        <v/>
      </c>
      <c r="AH93">
        <f>IF(A93="","",'01_Master_Data'!AC93)</f>
        <v/>
      </c>
      <c r="AI93">
        <f>IF(A93="","",IF(OR(AH93="",NOT(ISNUMBER(AH93))),"",MAX(0,'02_Configuration'!$B$82-AH93)))</f>
        <v/>
      </c>
      <c r="AJ93">
        <f>IF(A93="","",IF(AI93="","Unknown",IF(AI93&lt;=3,"0–3 Days",IF(AI93&lt;=7,"4–7 Days",IF(AI93&lt;=15,"8–15 Days",IF(AI93&lt;=30,"16–30 Days","30+ Days"))))))</f>
        <v/>
      </c>
      <c r="AK93">
        <f>IF(A93="","",IF(LOWER(H93)="yes","Yes","No"))</f>
        <v/>
      </c>
      <c r="AL93">
        <f>IF(A93="","",'01_Master_Data'!T93)</f>
        <v/>
      </c>
      <c r="AM93">
        <f>IF(A93="","",'01_Master_Data'!S93)</f>
        <v/>
      </c>
      <c r="AN93">
        <f>IF(A93="","",'01_Master_Data'!I93)</f>
        <v/>
      </c>
      <c r="AO93">
        <f>IF(A93="","",'01_Master_Data'!M93)</f>
        <v/>
      </c>
      <c r="AP93">
        <f>IF(A93="","",IF(ISNUMBER(SEARCH("Icici",W93&amp;"")),1,0))</f>
        <v/>
      </c>
      <c r="AQ93">
        <f>IF(A93="","",IF(ISNUMBER(SEARCH("Propelld",W93&amp;"")),1,0))</f>
        <v/>
      </c>
      <c r="AR93">
        <f>IF(A93="","",IF(ISNUMBER(SEARCH("GyanDhan",W93&amp;"")),1,0))</f>
        <v/>
      </c>
      <c r="AS93">
        <f>IF(A93="","",IF(ISNUMBER(SEARCH("vidyalakshmi",LOWER(W93&amp;""))),1,0))</f>
        <v/>
      </c>
      <c r="AT93">
        <f>IF(A93="","",IF(ISNUMBER(SEARCH("other bank",LOWER(W93&amp;""))),1,0))</f>
        <v/>
      </c>
      <c r="AU93">
        <f>IF(A93="","",IF(ISNUMBER(SEARCH("sanctioned",LOWER(W93&amp;""))),1,0))</f>
        <v/>
      </c>
      <c r="AV93">
        <f>IF(A93="","",IF(ISNUMBER(SEARCH("Docs Pending",W93&amp;"")),1,0))</f>
        <v/>
      </c>
      <c r="AW93">
        <f>IF(A93="","",IF(OR(X93="Rejected",ISNUMBER(SEARCH("Not eligbile",W93&amp;""))),1,0))</f>
        <v/>
      </c>
    </row>
    <row r="94">
      <c r="A94">
        <f>IF('01_Master_Data'!B94="","",93)</f>
        <v/>
      </c>
      <c r="B94">
        <f>IF('01_Master_Data'!B94="","",IF('01_Master_Data'!C94&lt;&gt;"","MOB|"&amp;TEXT('01_Master_Data'!C94,"0"),IF('01_Master_Data'!D94&lt;&gt;"","PID|"&amp;TRIM('01_Master_Data'!D94&amp;""),"")))</f>
        <v/>
      </c>
      <c r="C94">
        <f>IF('01_Master_Data'!B94="","",'01_Master_Data'!B94)</f>
        <v/>
      </c>
      <c r="D94">
        <f>IF('01_Master_Data'!B94="","",'01_Master_Data'!C94)</f>
        <v/>
      </c>
      <c r="E94">
        <f>IF('01_Master_Data'!B94="","",'01_Master_Data'!D94)</f>
        <v/>
      </c>
      <c r="F94">
        <f>IF('01_Master_Data'!B94="","",'01_Master_Data'!E94)</f>
        <v/>
      </c>
      <c r="G94">
        <f>IF('01_Master_Data'!B94="","",IFERROR(VLOOKUP(TRIM('01_Master_Data'!E94&amp;""),'02_Configuration'!$A$40:$B$44,2,FALSE),UPPER(TRIM('01_Master_Data'!E94&amp;""))))</f>
        <v/>
      </c>
      <c r="H94">
        <f>IF('01_Master_Data'!B94="","",IF('01_Master_Data'!U94="","",TRIM('01_Master_Data'!U94&amp;"")))</f>
        <v/>
      </c>
      <c r="I94">
        <f>IF('01_Master_Data'!B94="","",TRIM('01_Master_Data'!F94&amp;""))</f>
        <v/>
      </c>
      <c r="J94">
        <f>IF('01_Master_Data'!B94="","",TRIM('01_Master_Data'!G94&amp;""))</f>
        <v/>
      </c>
      <c r="K94">
        <f>IF('01_Master_Data'!B94="","",'01_Master_Data'!H94)</f>
        <v/>
      </c>
      <c r="L94">
        <f>IF('01_Master_Data'!B94="","",IF(LOWER(TRIM('01_Master_Data'!V94&amp;""))="yes",1,0))</f>
        <v/>
      </c>
      <c r="M94">
        <f>IF('01_Master_Data'!B94="","",IF(LOWER(TRIM('01_Master_Data'!W94&amp;""))="yes",1,0))</f>
        <v/>
      </c>
      <c r="N94">
        <f>IF('01_Master_Data'!B94="","",IF(LOWER(TRIM('01_Master_Data'!X94&amp;""))="yes",1,0))</f>
        <v/>
      </c>
      <c r="O94">
        <f>IF('01_Master_Data'!B94="","",IF(LOWER(TRIM('01_Master_Data'!Y94&amp;""))="yes",1,0))</f>
        <v/>
      </c>
      <c r="P94">
        <f>IF('01_Master_Data'!B94="","",IF(LOWER(TRIM('01_Master_Data'!Z94&amp;""))="yes",1,0))</f>
        <v/>
      </c>
      <c r="Q94">
        <f>IF(A94="","",L94+M94+N94+O94+P94)</f>
        <v/>
      </c>
      <c r="R94">
        <f>IF(A94="","",IF(Q94&gt;1,"Yes","No"))</f>
        <v/>
      </c>
      <c r="S94">
        <f>IF(A94="","",TEXTJOIN(", ",TRUE,IF(L94=1,"ICICI",""),IF(M94=1,"Propelld",""),IF(N94=1,"Study4Buddy",""),IF(O94=1,"Poonawala Fincorp",""),IF(P94=1,"GyanDhan","")))</f>
        <v/>
      </c>
      <c r="T94">
        <f>IF(A94="","",IF(L94=1,"ICICI",IF(M94=1,"Propelld",IF(P94=1,"GyanDhan",IF(N94=1,"Study4Buddy",IF(O94=1,"Poonawala Fincorp",IF(ISNUMBER(SEARCH("GyanDhan",W94&amp;"")),"GyanDhan",IF(ISNUMBER(SEARCH("Icici",W94&amp;"")),"ICICI",IF(ISNUMBER(SEARCH("Propelld",W94&amp;"")),"Propelld",IF(ISNUMBER(SEARCH("vidyalakshmi",LOWER(W94&amp;"")),"PM Vidyalakshmi","—"))))))))))</f>
        <v/>
      </c>
      <c r="U94">
        <f>IF(A94="","",TRIM('01_Master_Data'!AA94&amp;""))</f>
        <v/>
      </c>
      <c r="V94">
        <f>IF(A94="","",TRIM('01_Master_Data'!AG94&amp;""))</f>
        <v/>
      </c>
      <c r="W94">
        <f>IF(A94="","",TRIM('01_Master_Data'!AH94&amp;""))</f>
        <v/>
      </c>
      <c r="X94">
        <f>IF(A94="","",IF(OR(LOWER(H94)="refund",LOWER(U94)="refund case"),"Refund",IF(OR(LOWER(H94)="dnp",LOWER(U94)="dnp"),"DNP",IF(OR(LOWER(V94)="disbursed",ISNUMBER(SEARCH("Disbursed",W94&amp;""))),"Disbursed",IF(OR(LOWER(V94)="loan proccessed/accepted",ISNUMBER(SEARCH("sanctioned",LOWER(W94&amp;"")))),"Sanctioned",IF(OR(LOWER(V94)="rejected",ISNUMBER(SEARCH("Not eligbile",W94&amp;"")),ISNUMBER(SEARCH("Not eligible",W94&amp;""))),"Rejected",IF(ISNUMBER(SEARCH("Docs Pending",W94&amp;"")),"Documents Pending",IF(AND(LOWER(H94)="yes",LOWER(V94)="ongoing"),"Processing",IF(AND(LOWER(H94)="yes",Q94&gt;0,OR(V94="",LOWER(V94)="not even started")),"Vendor Assigned",IF(AND(LOWER(H94)="yes",LOWER(V94)="not even started"),"Need Loan",IF(LOWER(H94)="yes","Loan Started",IF(LOWER(H94)="not sure","Interested",IF(OR(LOWER(H94)="no",LOWER(V94)="not required"),"Not Required","Unclassified")))))))))))))</f>
        <v/>
      </c>
      <c r="Y94">
        <f>IF(A94="","",IF(OR(X94="Sanctioned",X94="Disbursed",X94="Approved"),"Approved",IF(X94="Rejected","Rejected",IF(OR(X94="Processing",X94="Documents Pending",X94="Vendor Assigned"),"In Progress",IF(X94="Need Loan","Pending Start","—"))))</f>
        <v/>
      </c>
      <c r="Z94">
        <f>IF(A94="","",IF(X94="Disbursed","Disbursed",IF(X94="Sanctioned","Sanctioned - Awaiting Disbursement","Not Disbursed")))</f>
        <v/>
      </c>
      <c r="AA94">
        <f>IF(A94="","",IF(LOWER(TRIM('01_Master_Data'!AI94&amp;""))="yes","Need FLDG",IF(LOWER(TRIM('01_Master_Data'!AK94&amp;""))="yes","Need Vidyalakshmi",IF(LOWER(TRIM('01_Master_Data'!AJ94&amp;""))="yes","Need Review",IF(LOWER(J94)="critical","Critical",IF(LOWER(U94)="risk","Risk Case",IF(X94="Refund","Refund","Normal")))))))</f>
        <v/>
      </c>
      <c r="AB94">
        <f>IF(A94="","",IF(OR(LOWER(J94)="critical",LOWER(TRIM('01_Master_Data'!AI94&amp;""))="yes",LOWER(TRIM('01_Master_Data'!AK94&amp;""))="yes",LOWER(U94)="risk"),"Yes","No"))</f>
        <v/>
      </c>
      <c r="AC94">
        <f>IF(A94="","",IF(LOWER(TRIM('01_Master_Data'!AI94&amp;""))="yes","Yes","No"))</f>
        <v/>
      </c>
      <c r="AD94">
        <f>IF(A94="","",IF(LOWER(TRIM('01_Master_Data'!AK94&amp;""))="yes","Yes","No"))</f>
        <v/>
      </c>
      <c r="AE94">
        <f>IF(A94="","",IF(LOWER(TRIM('01_Master_Data'!AJ94&amp;""))="yes","Yes","No"))</f>
        <v/>
      </c>
      <c r="AF94">
        <f>IF(A94="","",TRIM('01_Master_Data'!AL94&amp;""))</f>
        <v/>
      </c>
      <c r="AG94">
        <f>IF(A94="","",IF(AF94="","—",IF(ISNUMBER(SEARCH("DNP",AF94)),"Unreachable / DNP",IF(ISNUMBER(SEARCH("interest",LOWER(AF94))),"High Interest / Terms",IF(OR(ISNUMBER(SEARCH("eligib",LOWER(AF94))),ISNUMBER(SEARCH("income",LOWER(AF94)))),"Eligibility / Income",IF(OR(ISNUMBER(SEARCH("start",LOWER(AF94))),ISNUMBER(SEARCH("Newer",AF94)),ISNUMBER(SEARCH("Will start",AF94))),"Process Yet to Start",IF(ISNUMBER(SEARCH("sure",LOWER(AF94))),"Undecided",IF(OR(ISNUMBER(SEARCH("reject",LOWER(AF94))),ISNUMBER(SEARCH("SBI",AF94))),"Rejected Elsewhere",IF(ISNUMBER(SEARCH("call",LOWER(AF94))),"Bank Communication",IF(OR(ISNUMBER(SEARCH("father",LOWER(AF94))),ISNUMBER(SEARCH("sister",LOWER(AF94)))),"Family / Dependency","Other"))))))))))</f>
        <v/>
      </c>
      <c r="AH94">
        <f>IF(A94="","",'01_Master_Data'!AC94)</f>
        <v/>
      </c>
      <c r="AI94">
        <f>IF(A94="","",IF(OR(AH94="",NOT(ISNUMBER(AH94))),"",MAX(0,'02_Configuration'!$B$82-AH94)))</f>
        <v/>
      </c>
      <c r="AJ94">
        <f>IF(A94="","",IF(AI94="","Unknown",IF(AI94&lt;=3,"0–3 Days",IF(AI94&lt;=7,"4–7 Days",IF(AI94&lt;=15,"8–15 Days",IF(AI94&lt;=30,"16–30 Days","30+ Days"))))))</f>
        <v/>
      </c>
      <c r="AK94">
        <f>IF(A94="","",IF(LOWER(H94)="yes","Yes","No"))</f>
        <v/>
      </c>
      <c r="AL94">
        <f>IF(A94="","",'01_Master_Data'!T94)</f>
        <v/>
      </c>
      <c r="AM94">
        <f>IF(A94="","",'01_Master_Data'!S94)</f>
        <v/>
      </c>
      <c r="AN94">
        <f>IF(A94="","",'01_Master_Data'!I94)</f>
        <v/>
      </c>
      <c r="AO94">
        <f>IF(A94="","",'01_Master_Data'!M94)</f>
        <v/>
      </c>
      <c r="AP94">
        <f>IF(A94="","",IF(ISNUMBER(SEARCH("Icici",W94&amp;"")),1,0))</f>
        <v/>
      </c>
      <c r="AQ94">
        <f>IF(A94="","",IF(ISNUMBER(SEARCH("Propelld",W94&amp;"")),1,0))</f>
        <v/>
      </c>
      <c r="AR94">
        <f>IF(A94="","",IF(ISNUMBER(SEARCH("GyanDhan",W94&amp;"")),1,0))</f>
        <v/>
      </c>
      <c r="AS94">
        <f>IF(A94="","",IF(ISNUMBER(SEARCH("vidyalakshmi",LOWER(W94&amp;""))),1,0))</f>
        <v/>
      </c>
      <c r="AT94">
        <f>IF(A94="","",IF(ISNUMBER(SEARCH("other bank",LOWER(W94&amp;""))),1,0))</f>
        <v/>
      </c>
      <c r="AU94">
        <f>IF(A94="","",IF(ISNUMBER(SEARCH("sanctioned",LOWER(W94&amp;""))),1,0))</f>
        <v/>
      </c>
      <c r="AV94">
        <f>IF(A94="","",IF(ISNUMBER(SEARCH("Docs Pending",W94&amp;"")),1,0))</f>
        <v/>
      </c>
      <c r="AW94">
        <f>IF(A94="","",IF(OR(X94="Rejected",ISNUMBER(SEARCH("Not eligbile",W94&amp;""))),1,0))</f>
        <v/>
      </c>
    </row>
    <row r="95">
      <c r="A95">
        <f>IF('01_Master_Data'!B95="","",94)</f>
        <v/>
      </c>
      <c r="B95">
        <f>IF('01_Master_Data'!B95="","",IF('01_Master_Data'!C95&lt;&gt;"","MOB|"&amp;TEXT('01_Master_Data'!C95,"0"),IF('01_Master_Data'!D95&lt;&gt;"","PID|"&amp;TRIM('01_Master_Data'!D95&amp;""),"")))</f>
        <v/>
      </c>
      <c r="C95">
        <f>IF('01_Master_Data'!B95="","",'01_Master_Data'!B95)</f>
        <v/>
      </c>
      <c r="D95">
        <f>IF('01_Master_Data'!B95="","",'01_Master_Data'!C95)</f>
        <v/>
      </c>
      <c r="E95">
        <f>IF('01_Master_Data'!B95="","",'01_Master_Data'!D95)</f>
        <v/>
      </c>
      <c r="F95">
        <f>IF('01_Master_Data'!B95="","",'01_Master_Data'!E95)</f>
        <v/>
      </c>
      <c r="G95">
        <f>IF('01_Master_Data'!B95="","",IFERROR(VLOOKUP(TRIM('01_Master_Data'!E95&amp;""),'02_Configuration'!$A$40:$B$44,2,FALSE),UPPER(TRIM('01_Master_Data'!E95&amp;""))))</f>
        <v/>
      </c>
      <c r="H95">
        <f>IF('01_Master_Data'!B95="","",IF('01_Master_Data'!U95="","",TRIM('01_Master_Data'!U95&amp;"")))</f>
        <v/>
      </c>
      <c r="I95">
        <f>IF('01_Master_Data'!B95="","",TRIM('01_Master_Data'!F95&amp;""))</f>
        <v/>
      </c>
      <c r="J95">
        <f>IF('01_Master_Data'!B95="","",TRIM('01_Master_Data'!G95&amp;""))</f>
        <v/>
      </c>
      <c r="K95">
        <f>IF('01_Master_Data'!B95="","",'01_Master_Data'!H95)</f>
        <v/>
      </c>
      <c r="L95">
        <f>IF('01_Master_Data'!B95="","",IF(LOWER(TRIM('01_Master_Data'!V95&amp;""))="yes",1,0))</f>
        <v/>
      </c>
      <c r="M95">
        <f>IF('01_Master_Data'!B95="","",IF(LOWER(TRIM('01_Master_Data'!W95&amp;""))="yes",1,0))</f>
        <v/>
      </c>
      <c r="N95">
        <f>IF('01_Master_Data'!B95="","",IF(LOWER(TRIM('01_Master_Data'!X95&amp;""))="yes",1,0))</f>
        <v/>
      </c>
      <c r="O95">
        <f>IF('01_Master_Data'!B95="","",IF(LOWER(TRIM('01_Master_Data'!Y95&amp;""))="yes",1,0))</f>
        <v/>
      </c>
      <c r="P95">
        <f>IF('01_Master_Data'!B95="","",IF(LOWER(TRIM('01_Master_Data'!Z95&amp;""))="yes",1,0))</f>
        <v/>
      </c>
      <c r="Q95">
        <f>IF(A95="","",L95+M95+N95+O95+P95)</f>
        <v/>
      </c>
      <c r="R95">
        <f>IF(A95="","",IF(Q95&gt;1,"Yes","No"))</f>
        <v/>
      </c>
      <c r="S95">
        <f>IF(A95="","",TEXTJOIN(", ",TRUE,IF(L95=1,"ICICI",""),IF(M95=1,"Propelld",""),IF(N95=1,"Study4Buddy",""),IF(O95=1,"Poonawala Fincorp",""),IF(P95=1,"GyanDhan","")))</f>
        <v/>
      </c>
      <c r="T95">
        <f>IF(A95="","",IF(L95=1,"ICICI",IF(M95=1,"Propelld",IF(P95=1,"GyanDhan",IF(N95=1,"Study4Buddy",IF(O95=1,"Poonawala Fincorp",IF(ISNUMBER(SEARCH("GyanDhan",W95&amp;"")),"GyanDhan",IF(ISNUMBER(SEARCH("Icici",W95&amp;"")),"ICICI",IF(ISNUMBER(SEARCH("Propelld",W95&amp;"")),"Propelld",IF(ISNUMBER(SEARCH("vidyalakshmi",LOWER(W95&amp;"")),"PM Vidyalakshmi","—"))))))))))</f>
        <v/>
      </c>
      <c r="U95">
        <f>IF(A95="","",TRIM('01_Master_Data'!AA95&amp;""))</f>
        <v/>
      </c>
      <c r="V95">
        <f>IF(A95="","",TRIM('01_Master_Data'!AG95&amp;""))</f>
        <v/>
      </c>
      <c r="W95">
        <f>IF(A95="","",TRIM('01_Master_Data'!AH95&amp;""))</f>
        <v/>
      </c>
      <c r="X95">
        <f>IF(A95="","",IF(OR(LOWER(H95)="refund",LOWER(U95)="refund case"),"Refund",IF(OR(LOWER(H95)="dnp",LOWER(U95)="dnp"),"DNP",IF(OR(LOWER(V95)="disbursed",ISNUMBER(SEARCH("Disbursed",W95&amp;""))),"Disbursed",IF(OR(LOWER(V95)="loan proccessed/accepted",ISNUMBER(SEARCH("sanctioned",LOWER(W95&amp;"")))),"Sanctioned",IF(OR(LOWER(V95)="rejected",ISNUMBER(SEARCH("Not eligbile",W95&amp;"")),ISNUMBER(SEARCH("Not eligible",W95&amp;""))),"Rejected",IF(ISNUMBER(SEARCH("Docs Pending",W95&amp;"")),"Documents Pending",IF(AND(LOWER(H95)="yes",LOWER(V95)="ongoing"),"Processing",IF(AND(LOWER(H95)="yes",Q95&gt;0,OR(V95="",LOWER(V95)="not even started")),"Vendor Assigned",IF(AND(LOWER(H95)="yes",LOWER(V95)="not even started"),"Need Loan",IF(LOWER(H95)="yes","Loan Started",IF(LOWER(H95)="not sure","Interested",IF(OR(LOWER(H95)="no",LOWER(V95)="not required"),"Not Required","Unclassified")))))))))))))</f>
        <v/>
      </c>
      <c r="Y95">
        <f>IF(A95="","",IF(OR(X95="Sanctioned",X95="Disbursed",X95="Approved"),"Approved",IF(X95="Rejected","Rejected",IF(OR(X95="Processing",X95="Documents Pending",X95="Vendor Assigned"),"In Progress",IF(X95="Need Loan","Pending Start","—"))))</f>
        <v/>
      </c>
      <c r="Z95">
        <f>IF(A95="","",IF(X95="Disbursed","Disbursed",IF(X95="Sanctioned","Sanctioned - Awaiting Disbursement","Not Disbursed")))</f>
        <v/>
      </c>
      <c r="AA95">
        <f>IF(A95="","",IF(LOWER(TRIM('01_Master_Data'!AI95&amp;""))="yes","Need FLDG",IF(LOWER(TRIM('01_Master_Data'!AK95&amp;""))="yes","Need Vidyalakshmi",IF(LOWER(TRIM('01_Master_Data'!AJ95&amp;""))="yes","Need Review",IF(LOWER(J95)="critical","Critical",IF(LOWER(U95)="risk","Risk Case",IF(X95="Refund","Refund","Normal")))))))</f>
        <v/>
      </c>
      <c r="AB95">
        <f>IF(A95="","",IF(OR(LOWER(J95)="critical",LOWER(TRIM('01_Master_Data'!AI95&amp;""))="yes",LOWER(TRIM('01_Master_Data'!AK95&amp;""))="yes",LOWER(U95)="risk"),"Yes","No"))</f>
        <v/>
      </c>
      <c r="AC95">
        <f>IF(A95="","",IF(LOWER(TRIM('01_Master_Data'!AI95&amp;""))="yes","Yes","No"))</f>
        <v/>
      </c>
      <c r="AD95">
        <f>IF(A95="","",IF(LOWER(TRIM('01_Master_Data'!AK95&amp;""))="yes","Yes","No"))</f>
        <v/>
      </c>
      <c r="AE95">
        <f>IF(A95="","",IF(LOWER(TRIM('01_Master_Data'!AJ95&amp;""))="yes","Yes","No"))</f>
        <v/>
      </c>
      <c r="AF95">
        <f>IF(A95="","",TRIM('01_Master_Data'!AL95&amp;""))</f>
        <v/>
      </c>
      <c r="AG95">
        <f>IF(A95="","",IF(AF95="","—",IF(ISNUMBER(SEARCH("DNP",AF95)),"Unreachable / DNP",IF(ISNUMBER(SEARCH("interest",LOWER(AF95))),"High Interest / Terms",IF(OR(ISNUMBER(SEARCH("eligib",LOWER(AF95))),ISNUMBER(SEARCH("income",LOWER(AF95)))),"Eligibility / Income",IF(OR(ISNUMBER(SEARCH("start",LOWER(AF95))),ISNUMBER(SEARCH("Newer",AF95)),ISNUMBER(SEARCH("Will start",AF95))),"Process Yet to Start",IF(ISNUMBER(SEARCH("sure",LOWER(AF95))),"Undecided",IF(OR(ISNUMBER(SEARCH("reject",LOWER(AF95))),ISNUMBER(SEARCH("SBI",AF95))),"Rejected Elsewhere",IF(ISNUMBER(SEARCH("call",LOWER(AF95))),"Bank Communication",IF(OR(ISNUMBER(SEARCH("father",LOWER(AF95))),ISNUMBER(SEARCH("sister",LOWER(AF95)))),"Family / Dependency","Other"))))))))))</f>
        <v/>
      </c>
      <c r="AH95">
        <f>IF(A95="","",'01_Master_Data'!AC95)</f>
        <v/>
      </c>
      <c r="AI95">
        <f>IF(A95="","",IF(OR(AH95="",NOT(ISNUMBER(AH95))),"",MAX(0,'02_Configuration'!$B$82-AH95)))</f>
        <v/>
      </c>
      <c r="AJ95">
        <f>IF(A95="","",IF(AI95="","Unknown",IF(AI95&lt;=3,"0–3 Days",IF(AI95&lt;=7,"4–7 Days",IF(AI95&lt;=15,"8–15 Days",IF(AI95&lt;=30,"16–30 Days","30+ Days"))))))</f>
        <v/>
      </c>
      <c r="AK95">
        <f>IF(A95="","",IF(LOWER(H95)="yes","Yes","No"))</f>
        <v/>
      </c>
      <c r="AL95">
        <f>IF(A95="","",'01_Master_Data'!T95)</f>
        <v/>
      </c>
      <c r="AM95">
        <f>IF(A95="","",'01_Master_Data'!S95)</f>
        <v/>
      </c>
      <c r="AN95">
        <f>IF(A95="","",'01_Master_Data'!I95)</f>
        <v/>
      </c>
      <c r="AO95">
        <f>IF(A95="","",'01_Master_Data'!M95)</f>
        <v/>
      </c>
      <c r="AP95">
        <f>IF(A95="","",IF(ISNUMBER(SEARCH("Icici",W95&amp;"")),1,0))</f>
        <v/>
      </c>
      <c r="AQ95">
        <f>IF(A95="","",IF(ISNUMBER(SEARCH("Propelld",W95&amp;"")),1,0))</f>
        <v/>
      </c>
      <c r="AR95">
        <f>IF(A95="","",IF(ISNUMBER(SEARCH("GyanDhan",W95&amp;"")),1,0))</f>
        <v/>
      </c>
      <c r="AS95">
        <f>IF(A95="","",IF(ISNUMBER(SEARCH("vidyalakshmi",LOWER(W95&amp;""))),1,0))</f>
        <v/>
      </c>
      <c r="AT95">
        <f>IF(A95="","",IF(ISNUMBER(SEARCH("other bank",LOWER(W95&amp;""))),1,0))</f>
        <v/>
      </c>
      <c r="AU95">
        <f>IF(A95="","",IF(ISNUMBER(SEARCH("sanctioned",LOWER(W95&amp;""))),1,0))</f>
        <v/>
      </c>
      <c r="AV95">
        <f>IF(A95="","",IF(ISNUMBER(SEARCH("Docs Pending",W95&amp;"")),1,0))</f>
        <v/>
      </c>
      <c r="AW95">
        <f>IF(A95="","",IF(OR(X95="Rejected",ISNUMBER(SEARCH("Not eligbile",W95&amp;""))),1,0))</f>
        <v/>
      </c>
    </row>
    <row r="96">
      <c r="A96">
        <f>IF('01_Master_Data'!B96="","",95)</f>
        <v/>
      </c>
      <c r="B96">
        <f>IF('01_Master_Data'!B96="","",IF('01_Master_Data'!C96&lt;&gt;"","MOB|"&amp;TEXT('01_Master_Data'!C96,"0"),IF('01_Master_Data'!D96&lt;&gt;"","PID|"&amp;TRIM('01_Master_Data'!D96&amp;""),"")))</f>
        <v/>
      </c>
      <c r="C96">
        <f>IF('01_Master_Data'!B96="","",'01_Master_Data'!B96)</f>
        <v/>
      </c>
      <c r="D96">
        <f>IF('01_Master_Data'!B96="","",'01_Master_Data'!C96)</f>
        <v/>
      </c>
      <c r="E96">
        <f>IF('01_Master_Data'!B96="","",'01_Master_Data'!D96)</f>
        <v/>
      </c>
      <c r="F96">
        <f>IF('01_Master_Data'!B96="","",'01_Master_Data'!E96)</f>
        <v/>
      </c>
      <c r="G96">
        <f>IF('01_Master_Data'!B96="","",IFERROR(VLOOKUP(TRIM('01_Master_Data'!E96&amp;""),'02_Configuration'!$A$40:$B$44,2,FALSE),UPPER(TRIM('01_Master_Data'!E96&amp;""))))</f>
        <v/>
      </c>
      <c r="H96">
        <f>IF('01_Master_Data'!B96="","",IF('01_Master_Data'!U96="","",TRIM('01_Master_Data'!U96&amp;"")))</f>
        <v/>
      </c>
      <c r="I96">
        <f>IF('01_Master_Data'!B96="","",TRIM('01_Master_Data'!F96&amp;""))</f>
        <v/>
      </c>
      <c r="J96">
        <f>IF('01_Master_Data'!B96="","",TRIM('01_Master_Data'!G96&amp;""))</f>
        <v/>
      </c>
      <c r="K96">
        <f>IF('01_Master_Data'!B96="","",'01_Master_Data'!H96)</f>
        <v/>
      </c>
      <c r="L96">
        <f>IF('01_Master_Data'!B96="","",IF(LOWER(TRIM('01_Master_Data'!V96&amp;""))="yes",1,0))</f>
        <v/>
      </c>
      <c r="M96">
        <f>IF('01_Master_Data'!B96="","",IF(LOWER(TRIM('01_Master_Data'!W96&amp;""))="yes",1,0))</f>
        <v/>
      </c>
      <c r="N96">
        <f>IF('01_Master_Data'!B96="","",IF(LOWER(TRIM('01_Master_Data'!X96&amp;""))="yes",1,0))</f>
        <v/>
      </c>
      <c r="O96">
        <f>IF('01_Master_Data'!B96="","",IF(LOWER(TRIM('01_Master_Data'!Y96&amp;""))="yes",1,0))</f>
        <v/>
      </c>
      <c r="P96">
        <f>IF('01_Master_Data'!B96="","",IF(LOWER(TRIM('01_Master_Data'!Z96&amp;""))="yes",1,0))</f>
        <v/>
      </c>
      <c r="Q96">
        <f>IF(A96="","",L96+M96+N96+O96+P96)</f>
        <v/>
      </c>
      <c r="R96">
        <f>IF(A96="","",IF(Q96&gt;1,"Yes","No"))</f>
        <v/>
      </c>
      <c r="S96">
        <f>IF(A96="","",TEXTJOIN(", ",TRUE,IF(L96=1,"ICICI",""),IF(M96=1,"Propelld",""),IF(N96=1,"Study4Buddy",""),IF(O96=1,"Poonawala Fincorp",""),IF(P96=1,"GyanDhan","")))</f>
        <v/>
      </c>
      <c r="T96">
        <f>IF(A96="","",IF(L96=1,"ICICI",IF(M96=1,"Propelld",IF(P96=1,"GyanDhan",IF(N96=1,"Study4Buddy",IF(O96=1,"Poonawala Fincorp",IF(ISNUMBER(SEARCH("GyanDhan",W96&amp;"")),"GyanDhan",IF(ISNUMBER(SEARCH("Icici",W96&amp;"")),"ICICI",IF(ISNUMBER(SEARCH("Propelld",W96&amp;"")),"Propelld",IF(ISNUMBER(SEARCH("vidyalakshmi",LOWER(W96&amp;"")),"PM Vidyalakshmi","—"))))))))))</f>
        <v/>
      </c>
      <c r="U96">
        <f>IF(A96="","",TRIM('01_Master_Data'!AA96&amp;""))</f>
        <v/>
      </c>
      <c r="V96">
        <f>IF(A96="","",TRIM('01_Master_Data'!AG96&amp;""))</f>
        <v/>
      </c>
      <c r="W96">
        <f>IF(A96="","",TRIM('01_Master_Data'!AH96&amp;""))</f>
        <v/>
      </c>
      <c r="X96">
        <f>IF(A96="","",IF(OR(LOWER(H96)="refund",LOWER(U96)="refund case"),"Refund",IF(OR(LOWER(H96)="dnp",LOWER(U96)="dnp"),"DNP",IF(OR(LOWER(V96)="disbursed",ISNUMBER(SEARCH("Disbursed",W96&amp;""))),"Disbursed",IF(OR(LOWER(V96)="loan proccessed/accepted",ISNUMBER(SEARCH("sanctioned",LOWER(W96&amp;"")))),"Sanctioned",IF(OR(LOWER(V96)="rejected",ISNUMBER(SEARCH("Not eligbile",W96&amp;"")),ISNUMBER(SEARCH("Not eligible",W96&amp;""))),"Rejected",IF(ISNUMBER(SEARCH("Docs Pending",W96&amp;"")),"Documents Pending",IF(AND(LOWER(H96)="yes",LOWER(V96)="ongoing"),"Processing",IF(AND(LOWER(H96)="yes",Q96&gt;0,OR(V96="",LOWER(V96)="not even started")),"Vendor Assigned",IF(AND(LOWER(H96)="yes",LOWER(V96)="not even started"),"Need Loan",IF(LOWER(H96)="yes","Loan Started",IF(LOWER(H96)="not sure","Interested",IF(OR(LOWER(H96)="no",LOWER(V96)="not required"),"Not Required","Unclassified")))))))))))))</f>
        <v/>
      </c>
      <c r="Y96">
        <f>IF(A96="","",IF(OR(X96="Sanctioned",X96="Disbursed",X96="Approved"),"Approved",IF(X96="Rejected","Rejected",IF(OR(X96="Processing",X96="Documents Pending",X96="Vendor Assigned"),"In Progress",IF(X96="Need Loan","Pending Start","—"))))</f>
        <v/>
      </c>
      <c r="Z96">
        <f>IF(A96="","",IF(X96="Disbursed","Disbursed",IF(X96="Sanctioned","Sanctioned - Awaiting Disbursement","Not Disbursed")))</f>
        <v/>
      </c>
      <c r="AA96">
        <f>IF(A96="","",IF(LOWER(TRIM('01_Master_Data'!AI96&amp;""))="yes","Need FLDG",IF(LOWER(TRIM('01_Master_Data'!AK96&amp;""))="yes","Need Vidyalakshmi",IF(LOWER(TRIM('01_Master_Data'!AJ96&amp;""))="yes","Need Review",IF(LOWER(J96)="critical","Critical",IF(LOWER(U96)="risk","Risk Case",IF(X96="Refund","Refund","Normal")))))))</f>
        <v/>
      </c>
      <c r="AB96">
        <f>IF(A96="","",IF(OR(LOWER(J96)="critical",LOWER(TRIM('01_Master_Data'!AI96&amp;""))="yes",LOWER(TRIM('01_Master_Data'!AK96&amp;""))="yes",LOWER(U96)="risk"),"Yes","No"))</f>
        <v/>
      </c>
      <c r="AC96">
        <f>IF(A96="","",IF(LOWER(TRIM('01_Master_Data'!AI96&amp;""))="yes","Yes","No"))</f>
        <v/>
      </c>
      <c r="AD96">
        <f>IF(A96="","",IF(LOWER(TRIM('01_Master_Data'!AK96&amp;""))="yes","Yes","No"))</f>
        <v/>
      </c>
      <c r="AE96">
        <f>IF(A96="","",IF(LOWER(TRIM('01_Master_Data'!AJ96&amp;""))="yes","Yes","No"))</f>
        <v/>
      </c>
      <c r="AF96">
        <f>IF(A96="","",TRIM('01_Master_Data'!AL96&amp;""))</f>
        <v/>
      </c>
      <c r="AG96">
        <f>IF(A96="","",IF(AF96="","—",IF(ISNUMBER(SEARCH("DNP",AF96)),"Unreachable / DNP",IF(ISNUMBER(SEARCH("interest",LOWER(AF96))),"High Interest / Terms",IF(OR(ISNUMBER(SEARCH("eligib",LOWER(AF96))),ISNUMBER(SEARCH("income",LOWER(AF96)))),"Eligibility / Income",IF(OR(ISNUMBER(SEARCH("start",LOWER(AF96))),ISNUMBER(SEARCH("Newer",AF96)),ISNUMBER(SEARCH("Will start",AF96))),"Process Yet to Start",IF(ISNUMBER(SEARCH("sure",LOWER(AF96))),"Undecided",IF(OR(ISNUMBER(SEARCH("reject",LOWER(AF96))),ISNUMBER(SEARCH("SBI",AF96))),"Rejected Elsewhere",IF(ISNUMBER(SEARCH("call",LOWER(AF96))),"Bank Communication",IF(OR(ISNUMBER(SEARCH("father",LOWER(AF96))),ISNUMBER(SEARCH("sister",LOWER(AF96)))),"Family / Dependency","Other"))))))))))</f>
        <v/>
      </c>
      <c r="AH96">
        <f>IF(A96="","",'01_Master_Data'!AC96)</f>
        <v/>
      </c>
      <c r="AI96">
        <f>IF(A96="","",IF(OR(AH96="",NOT(ISNUMBER(AH96))),"",MAX(0,'02_Configuration'!$B$82-AH96)))</f>
        <v/>
      </c>
      <c r="AJ96">
        <f>IF(A96="","",IF(AI96="","Unknown",IF(AI96&lt;=3,"0–3 Days",IF(AI96&lt;=7,"4–7 Days",IF(AI96&lt;=15,"8–15 Days",IF(AI96&lt;=30,"16–30 Days","30+ Days"))))))</f>
        <v/>
      </c>
      <c r="AK96">
        <f>IF(A96="","",IF(LOWER(H96)="yes","Yes","No"))</f>
        <v/>
      </c>
      <c r="AL96">
        <f>IF(A96="","",'01_Master_Data'!T96)</f>
        <v/>
      </c>
      <c r="AM96">
        <f>IF(A96="","",'01_Master_Data'!S96)</f>
        <v/>
      </c>
      <c r="AN96">
        <f>IF(A96="","",'01_Master_Data'!I96)</f>
        <v/>
      </c>
      <c r="AO96">
        <f>IF(A96="","",'01_Master_Data'!M96)</f>
        <v/>
      </c>
      <c r="AP96">
        <f>IF(A96="","",IF(ISNUMBER(SEARCH("Icici",W96&amp;"")),1,0))</f>
        <v/>
      </c>
      <c r="AQ96">
        <f>IF(A96="","",IF(ISNUMBER(SEARCH("Propelld",W96&amp;"")),1,0))</f>
        <v/>
      </c>
      <c r="AR96">
        <f>IF(A96="","",IF(ISNUMBER(SEARCH("GyanDhan",W96&amp;"")),1,0))</f>
        <v/>
      </c>
      <c r="AS96">
        <f>IF(A96="","",IF(ISNUMBER(SEARCH("vidyalakshmi",LOWER(W96&amp;""))),1,0))</f>
        <v/>
      </c>
      <c r="AT96">
        <f>IF(A96="","",IF(ISNUMBER(SEARCH("other bank",LOWER(W96&amp;""))),1,0))</f>
        <v/>
      </c>
      <c r="AU96">
        <f>IF(A96="","",IF(ISNUMBER(SEARCH("sanctioned",LOWER(W96&amp;""))),1,0))</f>
        <v/>
      </c>
      <c r="AV96">
        <f>IF(A96="","",IF(ISNUMBER(SEARCH("Docs Pending",W96&amp;"")),1,0))</f>
        <v/>
      </c>
      <c r="AW96">
        <f>IF(A96="","",IF(OR(X96="Rejected",ISNUMBER(SEARCH("Not eligbile",W96&amp;""))),1,0))</f>
        <v/>
      </c>
    </row>
    <row r="97">
      <c r="A97">
        <f>IF('01_Master_Data'!B97="","",96)</f>
        <v/>
      </c>
      <c r="B97">
        <f>IF('01_Master_Data'!B97="","",IF('01_Master_Data'!C97&lt;&gt;"","MOB|"&amp;TEXT('01_Master_Data'!C97,"0"),IF('01_Master_Data'!D97&lt;&gt;"","PID|"&amp;TRIM('01_Master_Data'!D97&amp;""),"")))</f>
        <v/>
      </c>
      <c r="C97">
        <f>IF('01_Master_Data'!B97="","",'01_Master_Data'!B97)</f>
        <v/>
      </c>
      <c r="D97">
        <f>IF('01_Master_Data'!B97="","",'01_Master_Data'!C97)</f>
        <v/>
      </c>
      <c r="E97">
        <f>IF('01_Master_Data'!B97="","",'01_Master_Data'!D97)</f>
        <v/>
      </c>
      <c r="F97">
        <f>IF('01_Master_Data'!B97="","",'01_Master_Data'!E97)</f>
        <v/>
      </c>
      <c r="G97">
        <f>IF('01_Master_Data'!B97="","",IFERROR(VLOOKUP(TRIM('01_Master_Data'!E97&amp;""),'02_Configuration'!$A$40:$B$44,2,FALSE),UPPER(TRIM('01_Master_Data'!E97&amp;""))))</f>
        <v/>
      </c>
      <c r="H97">
        <f>IF('01_Master_Data'!B97="","",IF('01_Master_Data'!U97="","",TRIM('01_Master_Data'!U97&amp;"")))</f>
        <v/>
      </c>
      <c r="I97">
        <f>IF('01_Master_Data'!B97="","",TRIM('01_Master_Data'!F97&amp;""))</f>
        <v/>
      </c>
      <c r="J97">
        <f>IF('01_Master_Data'!B97="","",TRIM('01_Master_Data'!G97&amp;""))</f>
        <v/>
      </c>
      <c r="K97">
        <f>IF('01_Master_Data'!B97="","",'01_Master_Data'!H97)</f>
        <v/>
      </c>
      <c r="L97">
        <f>IF('01_Master_Data'!B97="","",IF(LOWER(TRIM('01_Master_Data'!V97&amp;""))="yes",1,0))</f>
        <v/>
      </c>
      <c r="M97">
        <f>IF('01_Master_Data'!B97="","",IF(LOWER(TRIM('01_Master_Data'!W97&amp;""))="yes",1,0))</f>
        <v/>
      </c>
      <c r="N97">
        <f>IF('01_Master_Data'!B97="","",IF(LOWER(TRIM('01_Master_Data'!X97&amp;""))="yes",1,0))</f>
        <v/>
      </c>
      <c r="O97">
        <f>IF('01_Master_Data'!B97="","",IF(LOWER(TRIM('01_Master_Data'!Y97&amp;""))="yes",1,0))</f>
        <v/>
      </c>
      <c r="P97">
        <f>IF('01_Master_Data'!B97="","",IF(LOWER(TRIM('01_Master_Data'!Z97&amp;""))="yes",1,0))</f>
        <v/>
      </c>
      <c r="Q97">
        <f>IF(A97="","",L97+M97+N97+O97+P97)</f>
        <v/>
      </c>
      <c r="R97">
        <f>IF(A97="","",IF(Q97&gt;1,"Yes","No"))</f>
        <v/>
      </c>
      <c r="S97">
        <f>IF(A97="","",TEXTJOIN(", ",TRUE,IF(L97=1,"ICICI",""),IF(M97=1,"Propelld",""),IF(N97=1,"Study4Buddy",""),IF(O97=1,"Poonawala Fincorp",""),IF(P97=1,"GyanDhan","")))</f>
        <v/>
      </c>
      <c r="T97">
        <f>IF(A97="","",IF(L97=1,"ICICI",IF(M97=1,"Propelld",IF(P97=1,"GyanDhan",IF(N97=1,"Study4Buddy",IF(O97=1,"Poonawala Fincorp",IF(ISNUMBER(SEARCH("GyanDhan",W97&amp;"")),"GyanDhan",IF(ISNUMBER(SEARCH("Icici",W97&amp;"")),"ICICI",IF(ISNUMBER(SEARCH("Propelld",W97&amp;"")),"Propelld",IF(ISNUMBER(SEARCH("vidyalakshmi",LOWER(W97&amp;"")),"PM Vidyalakshmi","—"))))))))))</f>
        <v/>
      </c>
      <c r="U97">
        <f>IF(A97="","",TRIM('01_Master_Data'!AA97&amp;""))</f>
        <v/>
      </c>
      <c r="V97">
        <f>IF(A97="","",TRIM('01_Master_Data'!AG97&amp;""))</f>
        <v/>
      </c>
      <c r="W97">
        <f>IF(A97="","",TRIM('01_Master_Data'!AH97&amp;""))</f>
        <v/>
      </c>
      <c r="X97">
        <f>IF(A97="","",IF(OR(LOWER(H97)="refund",LOWER(U97)="refund case"),"Refund",IF(OR(LOWER(H97)="dnp",LOWER(U97)="dnp"),"DNP",IF(OR(LOWER(V97)="disbursed",ISNUMBER(SEARCH("Disbursed",W97&amp;""))),"Disbursed",IF(OR(LOWER(V97)="loan proccessed/accepted",ISNUMBER(SEARCH("sanctioned",LOWER(W97&amp;"")))),"Sanctioned",IF(OR(LOWER(V97)="rejected",ISNUMBER(SEARCH("Not eligbile",W97&amp;"")),ISNUMBER(SEARCH("Not eligible",W97&amp;""))),"Rejected",IF(ISNUMBER(SEARCH("Docs Pending",W97&amp;"")),"Documents Pending",IF(AND(LOWER(H97)="yes",LOWER(V97)="ongoing"),"Processing",IF(AND(LOWER(H97)="yes",Q97&gt;0,OR(V97="",LOWER(V97)="not even started")),"Vendor Assigned",IF(AND(LOWER(H97)="yes",LOWER(V97)="not even started"),"Need Loan",IF(LOWER(H97)="yes","Loan Started",IF(LOWER(H97)="not sure","Interested",IF(OR(LOWER(H97)="no",LOWER(V97)="not required"),"Not Required","Unclassified")))))))))))))</f>
        <v/>
      </c>
      <c r="Y97">
        <f>IF(A97="","",IF(OR(X97="Sanctioned",X97="Disbursed",X97="Approved"),"Approved",IF(X97="Rejected","Rejected",IF(OR(X97="Processing",X97="Documents Pending",X97="Vendor Assigned"),"In Progress",IF(X97="Need Loan","Pending Start","—"))))</f>
        <v/>
      </c>
      <c r="Z97">
        <f>IF(A97="","",IF(X97="Disbursed","Disbursed",IF(X97="Sanctioned","Sanctioned - Awaiting Disbursement","Not Disbursed")))</f>
        <v/>
      </c>
      <c r="AA97">
        <f>IF(A97="","",IF(LOWER(TRIM('01_Master_Data'!AI97&amp;""))="yes","Need FLDG",IF(LOWER(TRIM('01_Master_Data'!AK97&amp;""))="yes","Need Vidyalakshmi",IF(LOWER(TRIM('01_Master_Data'!AJ97&amp;""))="yes","Need Review",IF(LOWER(J97)="critical","Critical",IF(LOWER(U97)="risk","Risk Case",IF(X97="Refund","Refund","Normal")))))))</f>
        <v/>
      </c>
      <c r="AB97">
        <f>IF(A97="","",IF(OR(LOWER(J97)="critical",LOWER(TRIM('01_Master_Data'!AI97&amp;""))="yes",LOWER(TRIM('01_Master_Data'!AK97&amp;""))="yes",LOWER(U97)="risk"),"Yes","No"))</f>
        <v/>
      </c>
      <c r="AC97">
        <f>IF(A97="","",IF(LOWER(TRIM('01_Master_Data'!AI97&amp;""))="yes","Yes","No"))</f>
        <v/>
      </c>
      <c r="AD97">
        <f>IF(A97="","",IF(LOWER(TRIM('01_Master_Data'!AK97&amp;""))="yes","Yes","No"))</f>
        <v/>
      </c>
      <c r="AE97">
        <f>IF(A97="","",IF(LOWER(TRIM('01_Master_Data'!AJ97&amp;""))="yes","Yes","No"))</f>
        <v/>
      </c>
      <c r="AF97">
        <f>IF(A97="","",TRIM('01_Master_Data'!AL97&amp;""))</f>
        <v/>
      </c>
      <c r="AG97">
        <f>IF(A97="","",IF(AF97="","—",IF(ISNUMBER(SEARCH("DNP",AF97)),"Unreachable / DNP",IF(ISNUMBER(SEARCH("interest",LOWER(AF97))),"High Interest / Terms",IF(OR(ISNUMBER(SEARCH("eligib",LOWER(AF97))),ISNUMBER(SEARCH("income",LOWER(AF97)))),"Eligibility / Income",IF(OR(ISNUMBER(SEARCH("start",LOWER(AF97))),ISNUMBER(SEARCH("Newer",AF97)),ISNUMBER(SEARCH("Will start",AF97))),"Process Yet to Start",IF(ISNUMBER(SEARCH("sure",LOWER(AF97))),"Undecided",IF(OR(ISNUMBER(SEARCH("reject",LOWER(AF97))),ISNUMBER(SEARCH("SBI",AF97))),"Rejected Elsewhere",IF(ISNUMBER(SEARCH("call",LOWER(AF97))),"Bank Communication",IF(OR(ISNUMBER(SEARCH("father",LOWER(AF97))),ISNUMBER(SEARCH("sister",LOWER(AF97)))),"Family / Dependency","Other"))))))))))</f>
        <v/>
      </c>
      <c r="AH97">
        <f>IF(A97="","",'01_Master_Data'!AC97)</f>
        <v/>
      </c>
      <c r="AI97">
        <f>IF(A97="","",IF(OR(AH97="",NOT(ISNUMBER(AH97))),"",MAX(0,'02_Configuration'!$B$82-AH97)))</f>
        <v/>
      </c>
      <c r="AJ97">
        <f>IF(A97="","",IF(AI97="","Unknown",IF(AI97&lt;=3,"0–3 Days",IF(AI97&lt;=7,"4–7 Days",IF(AI97&lt;=15,"8–15 Days",IF(AI97&lt;=30,"16–30 Days","30+ Days"))))))</f>
        <v/>
      </c>
      <c r="AK97">
        <f>IF(A97="","",IF(LOWER(H97)="yes","Yes","No"))</f>
        <v/>
      </c>
      <c r="AL97">
        <f>IF(A97="","",'01_Master_Data'!T97)</f>
        <v/>
      </c>
      <c r="AM97">
        <f>IF(A97="","",'01_Master_Data'!S97)</f>
        <v/>
      </c>
      <c r="AN97">
        <f>IF(A97="","",'01_Master_Data'!I97)</f>
        <v/>
      </c>
      <c r="AO97">
        <f>IF(A97="","",'01_Master_Data'!M97)</f>
        <v/>
      </c>
      <c r="AP97">
        <f>IF(A97="","",IF(ISNUMBER(SEARCH("Icici",W97&amp;"")),1,0))</f>
        <v/>
      </c>
      <c r="AQ97">
        <f>IF(A97="","",IF(ISNUMBER(SEARCH("Propelld",W97&amp;"")),1,0))</f>
        <v/>
      </c>
      <c r="AR97">
        <f>IF(A97="","",IF(ISNUMBER(SEARCH("GyanDhan",W97&amp;"")),1,0))</f>
        <v/>
      </c>
      <c r="AS97">
        <f>IF(A97="","",IF(ISNUMBER(SEARCH("vidyalakshmi",LOWER(W97&amp;""))),1,0))</f>
        <v/>
      </c>
      <c r="AT97">
        <f>IF(A97="","",IF(ISNUMBER(SEARCH("other bank",LOWER(W97&amp;""))),1,0))</f>
        <v/>
      </c>
      <c r="AU97">
        <f>IF(A97="","",IF(ISNUMBER(SEARCH("sanctioned",LOWER(W97&amp;""))),1,0))</f>
        <v/>
      </c>
      <c r="AV97">
        <f>IF(A97="","",IF(ISNUMBER(SEARCH("Docs Pending",W97&amp;"")),1,0))</f>
        <v/>
      </c>
      <c r="AW97">
        <f>IF(A97="","",IF(OR(X97="Rejected",ISNUMBER(SEARCH("Not eligbile",W97&amp;""))),1,0))</f>
        <v/>
      </c>
    </row>
    <row r="98">
      <c r="A98">
        <f>IF('01_Master_Data'!B98="","",97)</f>
        <v/>
      </c>
      <c r="B98">
        <f>IF('01_Master_Data'!B98="","",IF('01_Master_Data'!C98&lt;&gt;"","MOB|"&amp;TEXT('01_Master_Data'!C98,"0"),IF('01_Master_Data'!D98&lt;&gt;"","PID|"&amp;TRIM('01_Master_Data'!D98&amp;""),"")))</f>
        <v/>
      </c>
      <c r="C98">
        <f>IF('01_Master_Data'!B98="","",'01_Master_Data'!B98)</f>
        <v/>
      </c>
      <c r="D98">
        <f>IF('01_Master_Data'!B98="","",'01_Master_Data'!C98)</f>
        <v/>
      </c>
      <c r="E98">
        <f>IF('01_Master_Data'!B98="","",'01_Master_Data'!D98)</f>
        <v/>
      </c>
      <c r="F98">
        <f>IF('01_Master_Data'!B98="","",'01_Master_Data'!E98)</f>
        <v/>
      </c>
      <c r="G98">
        <f>IF('01_Master_Data'!B98="","",IFERROR(VLOOKUP(TRIM('01_Master_Data'!E98&amp;""),'02_Configuration'!$A$40:$B$44,2,FALSE),UPPER(TRIM('01_Master_Data'!E98&amp;""))))</f>
        <v/>
      </c>
      <c r="H98">
        <f>IF('01_Master_Data'!B98="","",IF('01_Master_Data'!U98="","",TRIM('01_Master_Data'!U98&amp;"")))</f>
        <v/>
      </c>
      <c r="I98">
        <f>IF('01_Master_Data'!B98="","",TRIM('01_Master_Data'!F98&amp;""))</f>
        <v/>
      </c>
      <c r="J98">
        <f>IF('01_Master_Data'!B98="","",TRIM('01_Master_Data'!G98&amp;""))</f>
        <v/>
      </c>
      <c r="K98">
        <f>IF('01_Master_Data'!B98="","",'01_Master_Data'!H98)</f>
        <v/>
      </c>
      <c r="L98">
        <f>IF('01_Master_Data'!B98="","",IF(LOWER(TRIM('01_Master_Data'!V98&amp;""))="yes",1,0))</f>
        <v/>
      </c>
      <c r="M98">
        <f>IF('01_Master_Data'!B98="","",IF(LOWER(TRIM('01_Master_Data'!W98&amp;""))="yes",1,0))</f>
        <v/>
      </c>
      <c r="N98">
        <f>IF('01_Master_Data'!B98="","",IF(LOWER(TRIM('01_Master_Data'!X98&amp;""))="yes",1,0))</f>
        <v/>
      </c>
      <c r="O98">
        <f>IF('01_Master_Data'!B98="","",IF(LOWER(TRIM('01_Master_Data'!Y98&amp;""))="yes",1,0))</f>
        <v/>
      </c>
      <c r="P98">
        <f>IF('01_Master_Data'!B98="","",IF(LOWER(TRIM('01_Master_Data'!Z98&amp;""))="yes",1,0))</f>
        <v/>
      </c>
      <c r="Q98">
        <f>IF(A98="","",L98+M98+N98+O98+P98)</f>
        <v/>
      </c>
      <c r="R98">
        <f>IF(A98="","",IF(Q98&gt;1,"Yes","No"))</f>
        <v/>
      </c>
      <c r="S98">
        <f>IF(A98="","",TEXTJOIN(", ",TRUE,IF(L98=1,"ICICI",""),IF(M98=1,"Propelld",""),IF(N98=1,"Study4Buddy",""),IF(O98=1,"Poonawala Fincorp",""),IF(P98=1,"GyanDhan","")))</f>
        <v/>
      </c>
      <c r="T98">
        <f>IF(A98="","",IF(L98=1,"ICICI",IF(M98=1,"Propelld",IF(P98=1,"GyanDhan",IF(N98=1,"Study4Buddy",IF(O98=1,"Poonawala Fincorp",IF(ISNUMBER(SEARCH("GyanDhan",W98&amp;"")),"GyanDhan",IF(ISNUMBER(SEARCH("Icici",W98&amp;"")),"ICICI",IF(ISNUMBER(SEARCH("Propelld",W98&amp;"")),"Propelld",IF(ISNUMBER(SEARCH("vidyalakshmi",LOWER(W98&amp;"")),"PM Vidyalakshmi","—"))))))))))</f>
        <v/>
      </c>
      <c r="U98">
        <f>IF(A98="","",TRIM('01_Master_Data'!AA98&amp;""))</f>
        <v/>
      </c>
      <c r="V98">
        <f>IF(A98="","",TRIM('01_Master_Data'!AG98&amp;""))</f>
        <v/>
      </c>
      <c r="W98">
        <f>IF(A98="","",TRIM('01_Master_Data'!AH98&amp;""))</f>
        <v/>
      </c>
      <c r="X98">
        <f>IF(A98="","",IF(OR(LOWER(H98)="refund",LOWER(U98)="refund case"),"Refund",IF(OR(LOWER(H98)="dnp",LOWER(U98)="dnp"),"DNP",IF(OR(LOWER(V98)="disbursed",ISNUMBER(SEARCH("Disbursed",W98&amp;""))),"Disbursed",IF(OR(LOWER(V98)="loan proccessed/accepted",ISNUMBER(SEARCH("sanctioned",LOWER(W98&amp;"")))),"Sanctioned",IF(OR(LOWER(V98)="rejected",ISNUMBER(SEARCH("Not eligbile",W98&amp;"")),ISNUMBER(SEARCH("Not eligible",W98&amp;""))),"Rejected",IF(ISNUMBER(SEARCH("Docs Pending",W98&amp;"")),"Documents Pending",IF(AND(LOWER(H98)="yes",LOWER(V98)="ongoing"),"Processing",IF(AND(LOWER(H98)="yes",Q98&gt;0,OR(V98="",LOWER(V98)="not even started")),"Vendor Assigned",IF(AND(LOWER(H98)="yes",LOWER(V98)="not even started"),"Need Loan",IF(LOWER(H98)="yes","Loan Started",IF(LOWER(H98)="not sure","Interested",IF(OR(LOWER(H98)="no",LOWER(V98)="not required"),"Not Required","Unclassified")))))))))))))</f>
        <v/>
      </c>
      <c r="Y98">
        <f>IF(A98="","",IF(OR(X98="Sanctioned",X98="Disbursed",X98="Approved"),"Approved",IF(X98="Rejected","Rejected",IF(OR(X98="Processing",X98="Documents Pending",X98="Vendor Assigned"),"In Progress",IF(X98="Need Loan","Pending Start","—"))))</f>
        <v/>
      </c>
      <c r="Z98">
        <f>IF(A98="","",IF(X98="Disbursed","Disbursed",IF(X98="Sanctioned","Sanctioned - Awaiting Disbursement","Not Disbursed")))</f>
        <v/>
      </c>
      <c r="AA98">
        <f>IF(A98="","",IF(LOWER(TRIM('01_Master_Data'!AI98&amp;""))="yes","Need FLDG",IF(LOWER(TRIM('01_Master_Data'!AK98&amp;""))="yes","Need Vidyalakshmi",IF(LOWER(TRIM('01_Master_Data'!AJ98&amp;""))="yes","Need Review",IF(LOWER(J98)="critical","Critical",IF(LOWER(U98)="risk","Risk Case",IF(X98="Refund","Refund","Normal")))))))</f>
        <v/>
      </c>
      <c r="AB98">
        <f>IF(A98="","",IF(OR(LOWER(J98)="critical",LOWER(TRIM('01_Master_Data'!AI98&amp;""))="yes",LOWER(TRIM('01_Master_Data'!AK98&amp;""))="yes",LOWER(U98)="risk"),"Yes","No"))</f>
        <v/>
      </c>
      <c r="AC98">
        <f>IF(A98="","",IF(LOWER(TRIM('01_Master_Data'!AI98&amp;""))="yes","Yes","No"))</f>
        <v/>
      </c>
      <c r="AD98">
        <f>IF(A98="","",IF(LOWER(TRIM('01_Master_Data'!AK98&amp;""))="yes","Yes","No"))</f>
        <v/>
      </c>
      <c r="AE98">
        <f>IF(A98="","",IF(LOWER(TRIM('01_Master_Data'!AJ98&amp;""))="yes","Yes","No"))</f>
        <v/>
      </c>
      <c r="AF98">
        <f>IF(A98="","",TRIM('01_Master_Data'!AL98&amp;""))</f>
        <v/>
      </c>
      <c r="AG98">
        <f>IF(A98="","",IF(AF98="","—",IF(ISNUMBER(SEARCH("DNP",AF98)),"Unreachable / DNP",IF(ISNUMBER(SEARCH("interest",LOWER(AF98))),"High Interest / Terms",IF(OR(ISNUMBER(SEARCH("eligib",LOWER(AF98))),ISNUMBER(SEARCH("income",LOWER(AF98)))),"Eligibility / Income",IF(OR(ISNUMBER(SEARCH("start",LOWER(AF98))),ISNUMBER(SEARCH("Newer",AF98)),ISNUMBER(SEARCH("Will start",AF98))),"Process Yet to Start",IF(ISNUMBER(SEARCH("sure",LOWER(AF98))),"Undecided",IF(OR(ISNUMBER(SEARCH("reject",LOWER(AF98))),ISNUMBER(SEARCH("SBI",AF98))),"Rejected Elsewhere",IF(ISNUMBER(SEARCH("call",LOWER(AF98))),"Bank Communication",IF(OR(ISNUMBER(SEARCH("father",LOWER(AF98))),ISNUMBER(SEARCH("sister",LOWER(AF98)))),"Family / Dependency","Other"))))))))))</f>
        <v/>
      </c>
      <c r="AH98">
        <f>IF(A98="","",'01_Master_Data'!AC98)</f>
        <v/>
      </c>
      <c r="AI98">
        <f>IF(A98="","",IF(OR(AH98="",NOT(ISNUMBER(AH98))),"",MAX(0,'02_Configuration'!$B$82-AH98)))</f>
        <v/>
      </c>
      <c r="AJ98">
        <f>IF(A98="","",IF(AI98="","Unknown",IF(AI98&lt;=3,"0–3 Days",IF(AI98&lt;=7,"4–7 Days",IF(AI98&lt;=15,"8–15 Days",IF(AI98&lt;=30,"16–30 Days","30+ Days"))))))</f>
        <v/>
      </c>
      <c r="AK98">
        <f>IF(A98="","",IF(LOWER(H98)="yes","Yes","No"))</f>
        <v/>
      </c>
      <c r="AL98">
        <f>IF(A98="","",'01_Master_Data'!T98)</f>
        <v/>
      </c>
      <c r="AM98">
        <f>IF(A98="","",'01_Master_Data'!S98)</f>
        <v/>
      </c>
      <c r="AN98">
        <f>IF(A98="","",'01_Master_Data'!I98)</f>
        <v/>
      </c>
      <c r="AO98">
        <f>IF(A98="","",'01_Master_Data'!M98)</f>
        <v/>
      </c>
      <c r="AP98">
        <f>IF(A98="","",IF(ISNUMBER(SEARCH("Icici",W98&amp;"")),1,0))</f>
        <v/>
      </c>
      <c r="AQ98">
        <f>IF(A98="","",IF(ISNUMBER(SEARCH("Propelld",W98&amp;"")),1,0))</f>
        <v/>
      </c>
      <c r="AR98">
        <f>IF(A98="","",IF(ISNUMBER(SEARCH("GyanDhan",W98&amp;"")),1,0))</f>
        <v/>
      </c>
      <c r="AS98">
        <f>IF(A98="","",IF(ISNUMBER(SEARCH("vidyalakshmi",LOWER(W98&amp;""))),1,0))</f>
        <v/>
      </c>
      <c r="AT98">
        <f>IF(A98="","",IF(ISNUMBER(SEARCH("other bank",LOWER(W98&amp;""))),1,0))</f>
        <v/>
      </c>
      <c r="AU98">
        <f>IF(A98="","",IF(ISNUMBER(SEARCH("sanctioned",LOWER(W98&amp;""))),1,0))</f>
        <v/>
      </c>
      <c r="AV98">
        <f>IF(A98="","",IF(ISNUMBER(SEARCH("Docs Pending",W98&amp;"")),1,0))</f>
        <v/>
      </c>
      <c r="AW98">
        <f>IF(A98="","",IF(OR(X98="Rejected",ISNUMBER(SEARCH("Not eligbile",W98&amp;""))),1,0))</f>
        <v/>
      </c>
    </row>
    <row r="99">
      <c r="A99">
        <f>IF('01_Master_Data'!B99="","",98)</f>
        <v/>
      </c>
      <c r="B99">
        <f>IF('01_Master_Data'!B99="","",IF('01_Master_Data'!C99&lt;&gt;"","MOB|"&amp;TEXT('01_Master_Data'!C99,"0"),IF('01_Master_Data'!D99&lt;&gt;"","PID|"&amp;TRIM('01_Master_Data'!D99&amp;""),"")))</f>
        <v/>
      </c>
      <c r="C99">
        <f>IF('01_Master_Data'!B99="","",'01_Master_Data'!B99)</f>
        <v/>
      </c>
      <c r="D99">
        <f>IF('01_Master_Data'!B99="","",'01_Master_Data'!C99)</f>
        <v/>
      </c>
      <c r="E99">
        <f>IF('01_Master_Data'!B99="","",'01_Master_Data'!D99)</f>
        <v/>
      </c>
      <c r="F99">
        <f>IF('01_Master_Data'!B99="","",'01_Master_Data'!E99)</f>
        <v/>
      </c>
      <c r="G99">
        <f>IF('01_Master_Data'!B99="","",IFERROR(VLOOKUP(TRIM('01_Master_Data'!E99&amp;""),'02_Configuration'!$A$40:$B$44,2,FALSE),UPPER(TRIM('01_Master_Data'!E99&amp;""))))</f>
        <v/>
      </c>
      <c r="H99">
        <f>IF('01_Master_Data'!B99="","",IF('01_Master_Data'!U99="","",TRIM('01_Master_Data'!U99&amp;"")))</f>
        <v/>
      </c>
      <c r="I99">
        <f>IF('01_Master_Data'!B99="","",TRIM('01_Master_Data'!F99&amp;""))</f>
        <v/>
      </c>
      <c r="J99">
        <f>IF('01_Master_Data'!B99="","",TRIM('01_Master_Data'!G99&amp;""))</f>
        <v/>
      </c>
      <c r="K99">
        <f>IF('01_Master_Data'!B99="","",'01_Master_Data'!H99)</f>
        <v/>
      </c>
      <c r="L99">
        <f>IF('01_Master_Data'!B99="","",IF(LOWER(TRIM('01_Master_Data'!V99&amp;""))="yes",1,0))</f>
        <v/>
      </c>
      <c r="M99">
        <f>IF('01_Master_Data'!B99="","",IF(LOWER(TRIM('01_Master_Data'!W99&amp;""))="yes",1,0))</f>
        <v/>
      </c>
      <c r="N99">
        <f>IF('01_Master_Data'!B99="","",IF(LOWER(TRIM('01_Master_Data'!X99&amp;""))="yes",1,0))</f>
        <v/>
      </c>
      <c r="O99">
        <f>IF('01_Master_Data'!B99="","",IF(LOWER(TRIM('01_Master_Data'!Y99&amp;""))="yes",1,0))</f>
        <v/>
      </c>
      <c r="P99">
        <f>IF('01_Master_Data'!B99="","",IF(LOWER(TRIM('01_Master_Data'!Z99&amp;""))="yes",1,0))</f>
        <v/>
      </c>
      <c r="Q99">
        <f>IF(A99="","",L99+M99+N99+O99+P99)</f>
        <v/>
      </c>
      <c r="R99">
        <f>IF(A99="","",IF(Q99&gt;1,"Yes","No"))</f>
        <v/>
      </c>
      <c r="S99">
        <f>IF(A99="","",TEXTJOIN(", ",TRUE,IF(L99=1,"ICICI",""),IF(M99=1,"Propelld",""),IF(N99=1,"Study4Buddy",""),IF(O99=1,"Poonawala Fincorp",""),IF(P99=1,"GyanDhan","")))</f>
        <v/>
      </c>
      <c r="T99">
        <f>IF(A99="","",IF(L99=1,"ICICI",IF(M99=1,"Propelld",IF(P99=1,"GyanDhan",IF(N99=1,"Study4Buddy",IF(O99=1,"Poonawala Fincorp",IF(ISNUMBER(SEARCH("GyanDhan",W99&amp;"")),"GyanDhan",IF(ISNUMBER(SEARCH("Icici",W99&amp;"")),"ICICI",IF(ISNUMBER(SEARCH("Propelld",W99&amp;"")),"Propelld",IF(ISNUMBER(SEARCH("vidyalakshmi",LOWER(W99&amp;"")),"PM Vidyalakshmi","—"))))))))))</f>
        <v/>
      </c>
      <c r="U99">
        <f>IF(A99="","",TRIM('01_Master_Data'!AA99&amp;""))</f>
        <v/>
      </c>
      <c r="V99">
        <f>IF(A99="","",TRIM('01_Master_Data'!AG99&amp;""))</f>
        <v/>
      </c>
      <c r="W99">
        <f>IF(A99="","",TRIM('01_Master_Data'!AH99&amp;""))</f>
        <v/>
      </c>
      <c r="X99">
        <f>IF(A99="","",IF(OR(LOWER(H99)="refund",LOWER(U99)="refund case"),"Refund",IF(OR(LOWER(H99)="dnp",LOWER(U99)="dnp"),"DNP",IF(OR(LOWER(V99)="disbursed",ISNUMBER(SEARCH("Disbursed",W99&amp;""))),"Disbursed",IF(OR(LOWER(V99)="loan proccessed/accepted",ISNUMBER(SEARCH("sanctioned",LOWER(W99&amp;"")))),"Sanctioned",IF(OR(LOWER(V99)="rejected",ISNUMBER(SEARCH("Not eligbile",W99&amp;"")),ISNUMBER(SEARCH("Not eligible",W99&amp;""))),"Rejected",IF(ISNUMBER(SEARCH("Docs Pending",W99&amp;"")),"Documents Pending",IF(AND(LOWER(H99)="yes",LOWER(V99)="ongoing"),"Processing",IF(AND(LOWER(H99)="yes",Q99&gt;0,OR(V99="",LOWER(V99)="not even started")),"Vendor Assigned",IF(AND(LOWER(H99)="yes",LOWER(V99)="not even started"),"Need Loan",IF(LOWER(H99)="yes","Loan Started",IF(LOWER(H99)="not sure","Interested",IF(OR(LOWER(H99)="no",LOWER(V99)="not required"),"Not Required","Unclassified")))))))))))))</f>
        <v/>
      </c>
      <c r="Y99">
        <f>IF(A99="","",IF(OR(X99="Sanctioned",X99="Disbursed",X99="Approved"),"Approved",IF(X99="Rejected","Rejected",IF(OR(X99="Processing",X99="Documents Pending",X99="Vendor Assigned"),"In Progress",IF(X99="Need Loan","Pending Start","—"))))</f>
        <v/>
      </c>
      <c r="Z99">
        <f>IF(A99="","",IF(X99="Disbursed","Disbursed",IF(X99="Sanctioned","Sanctioned - Awaiting Disbursement","Not Disbursed")))</f>
        <v/>
      </c>
      <c r="AA99">
        <f>IF(A99="","",IF(LOWER(TRIM('01_Master_Data'!AI99&amp;""))="yes","Need FLDG",IF(LOWER(TRIM('01_Master_Data'!AK99&amp;""))="yes","Need Vidyalakshmi",IF(LOWER(TRIM('01_Master_Data'!AJ99&amp;""))="yes","Need Review",IF(LOWER(J99)="critical","Critical",IF(LOWER(U99)="risk","Risk Case",IF(X99="Refund","Refund","Normal")))))))</f>
        <v/>
      </c>
      <c r="AB99">
        <f>IF(A99="","",IF(OR(LOWER(J99)="critical",LOWER(TRIM('01_Master_Data'!AI99&amp;""))="yes",LOWER(TRIM('01_Master_Data'!AK99&amp;""))="yes",LOWER(U99)="risk"),"Yes","No"))</f>
        <v/>
      </c>
      <c r="AC99">
        <f>IF(A99="","",IF(LOWER(TRIM('01_Master_Data'!AI99&amp;""))="yes","Yes","No"))</f>
        <v/>
      </c>
      <c r="AD99">
        <f>IF(A99="","",IF(LOWER(TRIM('01_Master_Data'!AK99&amp;""))="yes","Yes","No"))</f>
        <v/>
      </c>
      <c r="AE99">
        <f>IF(A99="","",IF(LOWER(TRIM('01_Master_Data'!AJ99&amp;""))="yes","Yes","No"))</f>
        <v/>
      </c>
      <c r="AF99">
        <f>IF(A99="","",TRIM('01_Master_Data'!AL99&amp;""))</f>
        <v/>
      </c>
      <c r="AG99">
        <f>IF(A99="","",IF(AF99="","—",IF(ISNUMBER(SEARCH("DNP",AF99)),"Unreachable / DNP",IF(ISNUMBER(SEARCH("interest",LOWER(AF99))),"High Interest / Terms",IF(OR(ISNUMBER(SEARCH("eligib",LOWER(AF99))),ISNUMBER(SEARCH("income",LOWER(AF99)))),"Eligibility / Income",IF(OR(ISNUMBER(SEARCH("start",LOWER(AF99))),ISNUMBER(SEARCH("Newer",AF99)),ISNUMBER(SEARCH("Will start",AF99))),"Process Yet to Start",IF(ISNUMBER(SEARCH("sure",LOWER(AF99))),"Undecided",IF(OR(ISNUMBER(SEARCH("reject",LOWER(AF99))),ISNUMBER(SEARCH("SBI",AF99))),"Rejected Elsewhere",IF(ISNUMBER(SEARCH("call",LOWER(AF99))),"Bank Communication",IF(OR(ISNUMBER(SEARCH("father",LOWER(AF99))),ISNUMBER(SEARCH("sister",LOWER(AF99)))),"Family / Dependency","Other"))))))))))</f>
        <v/>
      </c>
      <c r="AH99">
        <f>IF(A99="","",'01_Master_Data'!AC99)</f>
        <v/>
      </c>
      <c r="AI99">
        <f>IF(A99="","",IF(OR(AH99="",NOT(ISNUMBER(AH99))),"",MAX(0,'02_Configuration'!$B$82-AH99)))</f>
        <v/>
      </c>
      <c r="AJ99">
        <f>IF(A99="","",IF(AI99="","Unknown",IF(AI99&lt;=3,"0–3 Days",IF(AI99&lt;=7,"4–7 Days",IF(AI99&lt;=15,"8–15 Days",IF(AI99&lt;=30,"16–30 Days","30+ Days"))))))</f>
        <v/>
      </c>
      <c r="AK99">
        <f>IF(A99="","",IF(LOWER(H99)="yes","Yes","No"))</f>
        <v/>
      </c>
      <c r="AL99">
        <f>IF(A99="","",'01_Master_Data'!T99)</f>
        <v/>
      </c>
      <c r="AM99">
        <f>IF(A99="","",'01_Master_Data'!S99)</f>
        <v/>
      </c>
      <c r="AN99">
        <f>IF(A99="","",'01_Master_Data'!I99)</f>
        <v/>
      </c>
      <c r="AO99">
        <f>IF(A99="","",'01_Master_Data'!M99)</f>
        <v/>
      </c>
      <c r="AP99">
        <f>IF(A99="","",IF(ISNUMBER(SEARCH("Icici",W99&amp;"")),1,0))</f>
        <v/>
      </c>
      <c r="AQ99">
        <f>IF(A99="","",IF(ISNUMBER(SEARCH("Propelld",W99&amp;"")),1,0))</f>
        <v/>
      </c>
      <c r="AR99">
        <f>IF(A99="","",IF(ISNUMBER(SEARCH("GyanDhan",W99&amp;"")),1,0))</f>
        <v/>
      </c>
      <c r="AS99">
        <f>IF(A99="","",IF(ISNUMBER(SEARCH("vidyalakshmi",LOWER(W99&amp;""))),1,0))</f>
        <v/>
      </c>
      <c r="AT99">
        <f>IF(A99="","",IF(ISNUMBER(SEARCH("other bank",LOWER(W99&amp;""))),1,0))</f>
        <v/>
      </c>
      <c r="AU99">
        <f>IF(A99="","",IF(ISNUMBER(SEARCH("sanctioned",LOWER(W99&amp;""))),1,0))</f>
        <v/>
      </c>
      <c r="AV99">
        <f>IF(A99="","",IF(ISNUMBER(SEARCH("Docs Pending",W99&amp;"")),1,0))</f>
        <v/>
      </c>
      <c r="AW99">
        <f>IF(A99="","",IF(OR(X99="Rejected",ISNUMBER(SEARCH("Not eligbile",W99&amp;""))),1,0))</f>
        <v/>
      </c>
    </row>
    <row r="100">
      <c r="A100">
        <f>IF('01_Master_Data'!B100="","",99)</f>
        <v/>
      </c>
      <c r="B100">
        <f>IF('01_Master_Data'!B100="","",IF('01_Master_Data'!C100&lt;&gt;"","MOB|"&amp;TEXT('01_Master_Data'!C100,"0"),IF('01_Master_Data'!D100&lt;&gt;"","PID|"&amp;TRIM('01_Master_Data'!D100&amp;""),"")))</f>
        <v/>
      </c>
      <c r="C100">
        <f>IF('01_Master_Data'!B100="","",'01_Master_Data'!B100)</f>
        <v/>
      </c>
      <c r="D100">
        <f>IF('01_Master_Data'!B100="","",'01_Master_Data'!C100)</f>
        <v/>
      </c>
      <c r="E100">
        <f>IF('01_Master_Data'!B100="","",'01_Master_Data'!D100)</f>
        <v/>
      </c>
      <c r="F100">
        <f>IF('01_Master_Data'!B100="","",'01_Master_Data'!E100)</f>
        <v/>
      </c>
      <c r="G100">
        <f>IF('01_Master_Data'!B100="","",IFERROR(VLOOKUP(TRIM('01_Master_Data'!E100&amp;""),'02_Configuration'!$A$40:$B$44,2,FALSE),UPPER(TRIM('01_Master_Data'!E100&amp;""))))</f>
        <v/>
      </c>
      <c r="H100">
        <f>IF('01_Master_Data'!B100="","",IF('01_Master_Data'!U100="","",TRIM('01_Master_Data'!U100&amp;"")))</f>
        <v/>
      </c>
      <c r="I100">
        <f>IF('01_Master_Data'!B100="","",TRIM('01_Master_Data'!F100&amp;""))</f>
        <v/>
      </c>
      <c r="J100">
        <f>IF('01_Master_Data'!B100="","",TRIM('01_Master_Data'!G100&amp;""))</f>
        <v/>
      </c>
      <c r="K100">
        <f>IF('01_Master_Data'!B100="","",'01_Master_Data'!H100)</f>
        <v/>
      </c>
      <c r="L100">
        <f>IF('01_Master_Data'!B100="","",IF(LOWER(TRIM('01_Master_Data'!V100&amp;""))="yes",1,0))</f>
        <v/>
      </c>
      <c r="M100">
        <f>IF('01_Master_Data'!B100="","",IF(LOWER(TRIM('01_Master_Data'!W100&amp;""))="yes",1,0))</f>
        <v/>
      </c>
      <c r="N100">
        <f>IF('01_Master_Data'!B100="","",IF(LOWER(TRIM('01_Master_Data'!X100&amp;""))="yes",1,0))</f>
        <v/>
      </c>
      <c r="O100">
        <f>IF('01_Master_Data'!B100="","",IF(LOWER(TRIM('01_Master_Data'!Y100&amp;""))="yes",1,0))</f>
        <v/>
      </c>
      <c r="P100">
        <f>IF('01_Master_Data'!B100="","",IF(LOWER(TRIM('01_Master_Data'!Z100&amp;""))="yes",1,0))</f>
        <v/>
      </c>
      <c r="Q100">
        <f>IF(A100="","",L100+M100+N100+O100+P100)</f>
        <v/>
      </c>
      <c r="R100">
        <f>IF(A100="","",IF(Q100&gt;1,"Yes","No"))</f>
        <v/>
      </c>
      <c r="S100">
        <f>IF(A100="","",TEXTJOIN(", ",TRUE,IF(L100=1,"ICICI",""),IF(M100=1,"Propelld",""),IF(N100=1,"Study4Buddy",""),IF(O100=1,"Poonawala Fincorp",""),IF(P100=1,"GyanDhan","")))</f>
        <v/>
      </c>
      <c r="T100">
        <f>IF(A100="","",IF(L100=1,"ICICI",IF(M100=1,"Propelld",IF(P100=1,"GyanDhan",IF(N100=1,"Study4Buddy",IF(O100=1,"Poonawala Fincorp",IF(ISNUMBER(SEARCH("GyanDhan",W100&amp;"")),"GyanDhan",IF(ISNUMBER(SEARCH("Icici",W100&amp;"")),"ICICI",IF(ISNUMBER(SEARCH("Propelld",W100&amp;"")),"Propelld",IF(ISNUMBER(SEARCH("vidyalakshmi",LOWER(W100&amp;"")),"PM Vidyalakshmi","—"))))))))))</f>
        <v/>
      </c>
      <c r="U100">
        <f>IF(A100="","",TRIM('01_Master_Data'!AA100&amp;""))</f>
        <v/>
      </c>
      <c r="V100">
        <f>IF(A100="","",TRIM('01_Master_Data'!AG100&amp;""))</f>
        <v/>
      </c>
      <c r="W100">
        <f>IF(A100="","",TRIM('01_Master_Data'!AH100&amp;""))</f>
        <v/>
      </c>
      <c r="X100">
        <f>IF(A100="","",IF(OR(LOWER(H100)="refund",LOWER(U100)="refund case"),"Refund",IF(OR(LOWER(H100)="dnp",LOWER(U100)="dnp"),"DNP",IF(OR(LOWER(V100)="disbursed",ISNUMBER(SEARCH("Disbursed",W100&amp;""))),"Disbursed",IF(OR(LOWER(V100)="loan proccessed/accepted",ISNUMBER(SEARCH("sanctioned",LOWER(W100&amp;"")))),"Sanctioned",IF(OR(LOWER(V100)="rejected",ISNUMBER(SEARCH("Not eligbile",W100&amp;"")),ISNUMBER(SEARCH("Not eligible",W100&amp;""))),"Rejected",IF(ISNUMBER(SEARCH("Docs Pending",W100&amp;"")),"Documents Pending",IF(AND(LOWER(H100)="yes",LOWER(V100)="ongoing"),"Processing",IF(AND(LOWER(H100)="yes",Q100&gt;0,OR(V100="",LOWER(V100)="not even started")),"Vendor Assigned",IF(AND(LOWER(H100)="yes",LOWER(V100)="not even started"),"Need Loan",IF(LOWER(H100)="yes","Loan Started",IF(LOWER(H100)="not sure","Interested",IF(OR(LOWER(H100)="no",LOWER(V100)="not required"),"Not Required","Unclassified")))))))))))))</f>
        <v/>
      </c>
      <c r="Y100">
        <f>IF(A100="","",IF(OR(X100="Sanctioned",X100="Disbursed",X100="Approved"),"Approved",IF(X100="Rejected","Rejected",IF(OR(X100="Processing",X100="Documents Pending",X100="Vendor Assigned"),"In Progress",IF(X100="Need Loan","Pending Start","—"))))</f>
        <v/>
      </c>
      <c r="Z100">
        <f>IF(A100="","",IF(X100="Disbursed","Disbursed",IF(X100="Sanctioned","Sanctioned - Awaiting Disbursement","Not Disbursed")))</f>
        <v/>
      </c>
      <c r="AA100">
        <f>IF(A100="","",IF(LOWER(TRIM('01_Master_Data'!AI100&amp;""))="yes","Need FLDG",IF(LOWER(TRIM('01_Master_Data'!AK100&amp;""))="yes","Need Vidyalakshmi",IF(LOWER(TRIM('01_Master_Data'!AJ100&amp;""))="yes","Need Review",IF(LOWER(J100)="critical","Critical",IF(LOWER(U100)="risk","Risk Case",IF(X100="Refund","Refund","Normal")))))))</f>
        <v/>
      </c>
      <c r="AB100">
        <f>IF(A100="","",IF(OR(LOWER(J100)="critical",LOWER(TRIM('01_Master_Data'!AI100&amp;""))="yes",LOWER(TRIM('01_Master_Data'!AK100&amp;""))="yes",LOWER(U100)="risk"),"Yes","No"))</f>
        <v/>
      </c>
      <c r="AC100">
        <f>IF(A100="","",IF(LOWER(TRIM('01_Master_Data'!AI100&amp;""))="yes","Yes","No"))</f>
        <v/>
      </c>
      <c r="AD100">
        <f>IF(A100="","",IF(LOWER(TRIM('01_Master_Data'!AK100&amp;""))="yes","Yes","No"))</f>
        <v/>
      </c>
      <c r="AE100">
        <f>IF(A100="","",IF(LOWER(TRIM('01_Master_Data'!AJ100&amp;""))="yes","Yes","No"))</f>
        <v/>
      </c>
      <c r="AF100">
        <f>IF(A100="","",TRIM('01_Master_Data'!AL100&amp;""))</f>
        <v/>
      </c>
      <c r="AG100">
        <f>IF(A100="","",IF(AF100="","—",IF(ISNUMBER(SEARCH("DNP",AF100)),"Unreachable / DNP",IF(ISNUMBER(SEARCH("interest",LOWER(AF100))),"High Interest / Terms",IF(OR(ISNUMBER(SEARCH("eligib",LOWER(AF100))),ISNUMBER(SEARCH("income",LOWER(AF100)))),"Eligibility / Income",IF(OR(ISNUMBER(SEARCH("start",LOWER(AF100))),ISNUMBER(SEARCH("Newer",AF100)),ISNUMBER(SEARCH("Will start",AF100))),"Process Yet to Start",IF(ISNUMBER(SEARCH("sure",LOWER(AF100))),"Undecided",IF(OR(ISNUMBER(SEARCH("reject",LOWER(AF100))),ISNUMBER(SEARCH("SBI",AF100))),"Rejected Elsewhere",IF(ISNUMBER(SEARCH("call",LOWER(AF100))),"Bank Communication",IF(OR(ISNUMBER(SEARCH("father",LOWER(AF100))),ISNUMBER(SEARCH("sister",LOWER(AF100)))),"Family / Dependency","Other"))))))))))</f>
        <v/>
      </c>
      <c r="AH100">
        <f>IF(A100="","",'01_Master_Data'!AC100)</f>
        <v/>
      </c>
      <c r="AI100">
        <f>IF(A100="","",IF(OR(AH100="",NOT(ISNUMBER(AH100))),"",MAX(0,'02_Configuration'!$B$82-AH100)))</f>
        <v/>
      </c>
      <c r="AJ100">
        <f>IF(A100="","",IF(AI100="","Unknown",IF(AI100&lt;=3,"0–3 Days",IF(AI100&lt;=7,"4–7 Days",IF(AI100&lt;=15,"8–15 Days",IF(AI100&lt;=30,"16–30 Days","30+ Days"))))))</f>
        <v/>
      </c>
      <c r="AK100">
        <f>IF(A100="","",IF(LOWER(H100)="yes","Yes","No"))</f>
        <v/>
      </c>
      <c r="AL100">
        <f>IF(A100="","",'01_Master_Data'!T100)</f>
        <v/>
      </c>
      <c r="AM100">
        <f>IF(A100="","",'01_Master_Data'!S100)</f>
        <v/>
      </c>
      <c r="AN100">
        <f>IF(A100="","",'01_Master_Data'!I100)</f>
        <v/>
      </c>
      <c r="AO100">
        <f>IF(A100="","",'01_Master_Data'!M100)</f>
        <v/>
      </c>
      <c r="AP100">
        <f>IF(A100="","",IF(ISNUMBER(SEARCH("Icici",W100&amp;"")),1,0))</f>
        <v/>
      </c>
      <c r="AQ100">
        <f>IF(A100="","",IF(ISNUMBER(SEARCH("Propelld",W100&amp;"")),1,0))</f>
        <v/>
      </c>
      <c r="AR100">
        <f>IF(A100="","",IF(ISNUMBER(SEARCH("GyanDhan",W100&amp;"")),1,0))</f>
        <v/>
      </c>
      <c r="AS100">
        <f>IF(A100="","",IF(ISNUMBER(SEARCH("vidyalakshmi",LOWER(W100&amp;""))),1,0))</f>
        <v/>
      </c>
      <c r="AT100">
        <f>IF(A100="","",IF(ISNUMBER(SEARCH("other bank",LOWER(W100&amp;""))),1,0))</f>
        <v/>
      </c>
      <c r="AU100">
        <f>IF(A100="","",IF(ISNUMBER(SEARCH("sanctioned",LOWER(W100&amp;""))),1,0))</f>
        <v/>
      </c>
      <c r="AV100">
        <f>IF(A100="","",IF(ISNUMBER(SEARCH("Docs Pending",W100&amp;"")),1,0))</f>
        <v/>
      </c>
      <c r="AW100">
        <f>IF(A100="","",IF(OR(X100="Rejected",ISNUMBER(SEARCH("Not eligbile",W100&amp;""))),1,0))</f>
        <v/>
      </c>
    </row>
    <row r="101">
      <c r="A101">
        <f>IF('01_Master_Data'!B101="","",100)</f>
        <v/>
      </c>
      <c r="B101">
        <f>IF('01_Master_Data'!B101="","",IF('01_Master_Data'!C101&lt;&gt;"","MOB|"&amp;TEXT('01_Master_Data'!C101,"0"),IF('01_Master_Data'!D101&lt;&gt;"","PID|"&amp;TRIM('01_Master_Data'!D101&amp;""),"")))</f>
        <v/>
      </c>
      <c r="C101">
        <f>IF('01_Master_Data'!B101="","",'01_Master_Data'!B101)</f>
        <v/>
      </c>
      <c r="D101">
        <f>IF('01_Master_Data'!B101="","",'01_Master_Data'!C101)</f>
        <v/>
      </c>
      <c r="E101">
        <f>IF('01_Master_Data'!B101="","",'01_Master_Data'!D101)</f>
        <v/>
      </c>
      <c r="F101">
        <f>IF('01_Master_Data'!B101="","",'01_Master_Data'!E101)</f>
        <v/>
      </c>
      <c r="G101">
        <f>IF('01_Master_Data'!B101="","",IFERROR(VLOOKUP(TRIM('01_Master_Data'!E101&amp;""),'02_Configuration'!$A$40:$B$44,2,FALSE),UPPER(TRIM('01_Master_Data'!E101&amp;""))))</f>
        <v/>
      </c>
      <c r="H101">
        <f>IF('01_Master_Data'!B101="","",IF('01_Master_Data'!U101="","",TRIM('01_Master_Data'!U101&amp;"")))</f>
        <v/>
      </c>
      <c r="I101">
        <f>IF('01_Master_Data'!B101="","",TRIM('01_Master_Data'!F101&amp;""))</f>
        <v/>
      </c>
      <c r="J101">
        <f>IF('01_Master_Data'!B101="","",TRIM('01_Master_Data'!G101&amp;""))</f>
        <v/>
      </c>
      <c r="K101">
        <f>IF('01_Master_Data'!B101="","",'01_Master_Data'!H101)</f>
        <v/>
      </c>
      <c r="L101">
        <f>IF('01_Master_Data'!B101="","",IF(LOWER(TRIM('01_Master_Data'!V101&amp;""))="yes",1,0))</f>
        <v/>
      </c>
      <c r="M101">
        <f>IF('01_Master_Data'!B101="","",IF(LOWER(TRIM('01_Master_Data'!W101&amp;""))="yes",1,0))</f>
        <v/>
      </c>
      <c r="N101">
        <f>IF('01_Master_Data'!B101="","",IF(LOWER(TRIM('01_Master_Data'!X101&amp;""))="yes",1,0))</f>
        <v/>
      </c>
      <c r="O101">
        <f>IF('01_Master_Data'!B101="","",IF(LOWER(TRIM('01_Master_Data'!Y101&amp;""))="yes",1,0))</f>
        <v/>
      </c>
      <c r="P101">
        <f>IF('01_Master_Data'!B101="","",IF(LOWER(TRIM('01_Master_Data'!Z101&amp;""))="yes",1,0))</f>
        <v/>
      </c>
      <c r="Q101">
        <f>IF(A101="","",L101+M101+N101+O101+P101)</f>
        <v/>
      </c>
      <c r="R101">
        <f>IF(A101="","",IF(Q101&gt;1,"Yes","No"))</f>
        <v/>
      </c>
      <c r="S101">
        <f>IF(A101="","",TEXTJOIN(", ",TRUE,IF(L101=1,"ICICI",""),IF(M101=1,"Propelld",""),IF(N101=1,"Study4Buddy",""),IF(O101=1,"Poonawala Fincorp",""),IF(P101=1,"GyanDhan","")))</f>
        <v/>
      </c>
      <c r="T101">
        <f>IF(A101="","",IF(L101=1,"ICICI",IF(M101=1,"Propelld",IF(P101=1,"GyanDhan",IF(N101=1,"Study4Buddy",IF(O101=1,"Poonawala Fincorp",IF(ISNUMBER(SEARCH("GyanDhan",W101&amp;"")),"GyanDhan",IF(ISNUMBER(SEARCH("Icici",W101&amp;"")),"ICICI",IF(ISNUMBER(SEARCH("Propelld",W101&amp;"")),"Propelld",IF(ISNUMBER(SEARCH("vidyalakshmi",LOWER(W101&amp;"")),"PM Vidyalakshmi","—"))))))))))</f>
        <v/>
      </c>
      <c r="U101">
        <f>IF(A101="","",TRIM('01_Master_Data'!AA101&amp;""))</f>
        <v/>
      </c>
      <c r="V101">
        <f>IF(A101="","",TRIM('01_Master_Data'!AG101&amp;""))</f>
        <v/>
      </c>
      <c r="W101">
        <f>IF(A101="","",TRIM('01_Master_Data'!AH101&amp;""))</f>
        <v/>
      </c>
      <c r="X101">
        <f>IF(A101="","",IF(OR(LOWER(H101)="refund",LOWER(U101)="refund case"),"Refund",IF(OR(LOWER(H101)="dnp",LOWER(U101)="dnp"),"DNP",IF(OR(LOWER(V101)="disbursed",ISNUMBER(SEARCH("Disbursed",W101&amp;""))),"Disbursed",IF(OR(LOWER(V101)="loan proccessed/accepted",ISNUMBER(SEARCH("sanctioned",LOWER(W101&amp;"")))),"Sanctioned",IF(OR(LOWER(V101)="rejected",ISNUMBER(SEARCH("Not eligbile",W101&amp;"")),ISNUMBER(SEARCH("Not eligible",W101&amp;""))),"Rejected",IF(ISNUMBER(SEARCH("Docs Pending",W101&amp;"")),"Documents Pending",IF(AND(LOWER(H101)="yes",LOWER(V101)="ongoing"),"Processing",IF(AND(LOWER(H101)="yes",Q101&gt;0,OR(V101="",LOWER(V101)="not even started")),"Vendor Assigned",IF(AND(LOWER(H101)="yes",LOWER(V101)="not even started"),"Need Loan",IF(LOWER(H101)="yes","Loan Started",IF(LOWER(H101)="not sure","Interested",IF(OR(LOWER(H101)="no",LOWER(V101)="not required"),"Not Required","Unclassified")))))))))))))</f>
        <v/>
      </c>
      <c r="Y101">
        <f>IF(A101="","",IF(OR(X101="Sanctioned",X101="Disbursed",X101="Approved"),"Approved",IF(X101="Rejected","Rejected",IF(OR(X101="Processing",X101="Documents Pending",X101="Vendor Assigned"),"In Progress",IF(X101="Need Loan","Pending Start","—"))))</f>
        <v/>
      </c>
      <c r="Z101">
        <f>IF(A101="","",IF(X101="Disbursed","Disbursed",IF(X101="Sanctioned","Sanctioned - Awaiting Disbursement","Not Disbursed")))</f>
        <v/>
      </c>
      <c r="AA101">
        <f>IF(A101="","",IF(LOWER(TRIM('01_Master_Data'!AI101&amp;""))="yes","Need FLDG",IF(LOWER(TRIM('01_Master_Data'!AK101&amp;""))="yes","Need Vidyalakshmi",IF(LOWER(TRIM('01_Master_Data'!AJ101&amp;""))="yes","Need Review",IF(LOWER(J101)="critical","Critical",IF(LOWER(U101)="risk","Risk Case",IF(X101="Refund","Refund","Normal")))))))</f>
        <v/>
      </c>
      <c r="AB101">
        <f>IF(A101="","",IF(OR(LOWER(J101)="critical",LOWER(TRIM('01_Master_Data'!AI101&amp;""))="yes",LOWER(TRIM('01_Master_Data'!AK101&amp;""))="yes",LOWER(U101)="risk"),"Yes","No"))</f>
        <v/>
      </c>
      <c r="AC101">
        <f>IF(A101="","",IF(LOWER(TRIM('01_Master_Data'!AI101&amp;""))="yes","Yes","No"))</f>
        <v/>
      </c>
      <c r="AD101">
        <f>IF(A101="","",IF(LOWER(TRIM('01_Master_Data'!AK101&amp;""))="yes","Yes","No"))</f>
        <v/>
      </c>
      <c r="AE101">
        <f>IF(A101="","",IF(LOWER(TRIM('01_Master_Data'!AJ101&amp;""))="yes","Yes","No"))</f>
        <v/>
      </c>
      <c r="AF101">
        <f>IF(A101="","",TRIM('01_Master_Data'!AL101&amp;""))</f>
        <v/>
      </c>
      <c r="AG101">
        <f>IF(A101="","",IF(AF101="","—",IF(ISNUMBER(SEARCH("DNP",AF101)),"Unreachable / DNP",IF(ISNUMBER(SEARCH("interest",LOWER(AF101))),"High Interest / Terms",IF(OR(ISNUMBER(SEARCH("eligib",LOWER(AF101))),ISNUMBER(SEARCH("income",LOWER(AF101)))),"Eligibility / Income",IF(OR(ISNUMBER(SEARCH("start",LOWER(AF101))),ISNUMBER(SEARCH("Newer",AF101)),ISNUMBER(SEARCH("Will start",AF101))),"Process Yet to Start",IF(ISNUMBER(SEARCH("sure",LOWER(AF101))),"Undecided",IF(OR(ISNUMBER(SEARCH("reject",LOWER(AF101))),ISNUMBER(SEARCH("SBI",AF101))),"Rejected Elsewhere",IF(ISNUMBER(SEARCH("call",LOWER(AF101))),"Bank Communication",IF(OR(ISNUMBER(SEARCH("father",LOWER(AF101))),ISNUMBER(SEARCH("sister",LOWER(AF101)))),"Family / Dependency","Other"))))))))))</f>
        <v/>
      </c>
      <c r="AH101">
        <f>IF(A101="","",'01_Master_Data'!AC101)</f>
        <v/>
      </c>
      <c r="AI101">
        <f>IF(A101="","",IF(OR(AH101="",NOT(ISNUMBER(AH101))),"",MAX(0,'02_Configuration'!$B$82-AH101)))</f>
        <v/>
      </c>
      <c r="AJ101">
        <f>IF(A101="","",IF(AI101="","Unknown",IF(AI101&lt;=3,"0–3 Days",IF(AI101&lt;=7,"4–7 Days",IF(AI101&lt;=15,"8–15 Days",IF(AI101&lt;=30,"16–30 Days","30+ Days"))))))</f>
        <v/>
      </c>
      <c r="AK101">
        <f>IF(A101="","",IF(LOWER(H101)="yes","Yes","No"))</f>
        <v/>
      </c>
      <c r="AL101">
        <f>IF(A101="","",'01_Master_Data'!T101)</f>
        <v/>
      </c>
      <c r="AM101">
        <f>IF(A101="","",'01_Master_Data'!S101)</f>
        <v/>
      </c>
      <c r="AN101">
        <f>IF(A101="","",'01_Master_Data'!I101)</f>
        <v/>
      </c>
      <c r="AO101">
        <f>IF(A101="","",'01_Master_Data'!M101)</f>
        <v/>
      </c>
      <c r="AP101">
        <f>IF(A101="","",IF(ISNUMBER(SEARCH("Icici",W101&amp;"")),1,0))</f>
        <v/>
      </c>
      <c r="AQ101">
        <f>IF(A101="","",IF(ISNUMBER(SEARCH("Propelld",W101&amp;"")),1,0))</f>
        <v/>
      </c>
      <c r="AR101">
        <f>IF(A101="","",IF(ISNUMBER(SEARCH("GyanDhan",W101&amp;"")),1,0))</f>
        <v/>
      </c>
      <c r="AS101">
        <f>IF(A101="","",IF(ISNUMBER(SEARCH("vidyalakshmi",LOWER(W101&amp;""))),1,0))</f>
        <v/>
      </c>
      <c r="AT101">
        <f>IF(A101="","",IF(ISNUMBER(SEARCH("other bank",LOWER(W101&amp;""))),1,0))</f>
        <v/>
      </c>
      <c r="AU101">
        <f>IF(A101="","",IF(ISNUMBER(SEARCH("sanctioned",LOWER(W101&amp;""))),1,0))</f>
        <v/>
      </c>
      <c r="AV101">
        <f>IF(A101="","",IF(ISNUMBER(SEARCH("Docs Pending",W101&amp;"")),1,0))</f>
        <v/>
      </c>
      <c r="AW101">
        <f>IF(A101="","",IF(OR(X101="Rejected",ISNUMBER(SEARCH("Not eligbile",W101&amp;""))),1,0))</f>
        <v/>
      </c>
    </row>
    <row r="102">
      <c r="A102">
        <f>IF('01_Master_Data'!B102="","",101)</f>
        <v/>
      </c>
      <c r="B102">
        <f>IF('01_Master_Data'!B102="","",IF('01_Master_Data'!C102&lt;&gt;"","MOB|"&amp;TEXT('01_Master_Data'!C102,"0"),IF('01_Master_Data'!D102&lt;&gt;"","PID|"&amp;TRIM('01_Master_Data'!D102&amp;""),"")))</f>
        <v/>
      </c>
      <c r="C102">
        <f>IF('01_Master_Data'!B102="","",'01_Master_Data'!B102)</f>
        <v/>
      </c>
      <c r="D102">
        <f>IF('01_Master_Data'!B102="","",'01_Master_Data'!C102)</f>
        <v/>
      </c>
      <c r="E102">
        <f>IF('01_Master_Data'!B102="","",'01_Master_Data'!D102)</f>
        <v/>
      </c>
      <c r="F102">
        <f>IF('01_Master_Data'!B102="","",'01_Master_Data'!E102)</f>
        <v/>
      </c>
      <c r="G102">
        <f>IF('01_Master_Data'!B102="","",IFERROR(VLOOKUP(TRIM('01_Master_Data'!E102&amp;""),'02_Configuration'!$A$40:$B$44,2,FALSE),UPPER(TRIM('01_Master_Data'!E102&amp;""))))</f>
        <v/>
      </c>
      <c r="H102">
        <f>IF('01_Master_Data'!B102="","",IF('01_Master_Data'!U102="","",TRIM('01_Master_Data'!U102&amp;"")))</f>
        <v/>
      </c>
      <c r="I102">
        <f>IF('01_Master_Data'!B102="","",TRIM('01_Master_Data'!F102&amp;""))</f>
        <v/>
      </c>
      <c r="J102">
        <f>IF('01_Master_Data'!B102="","",TRIM('01_Master_Data'!G102&amp;""))</f>
        <v/>
      </c>
      <c r="K102">
        <f>IF('01_Master_Data'!B102="","",'01_Master_Data'!H102)</f>
        <v/>
      </c>
      <c r="L102">
        <f>IF('01_Master_Data'!B102="","",IF(LOWER(TRIM('01_Master_Data'!V102&amp;""))="yes",1,0))</f>
        <v/>
      </c>
      <c r="M102">
        <f>IF('01_Master_Data'!B102="","",IF(LOWER(TRIM('01_Master_Data'!W102&amp;""))="yes",1,0))</f>
        <v/>
      </c>
      <c r="N102">
        <f>IF('01_Master_Data'!B102="","",IF(LOWER(TRIM('01_Master_Data'!X102&amp;""))="yes",1,0))</f>
        <v/>
      </c>
      <c r="O102">
        <f>IF('01_Master_Data'!B102="","",IF(LOWER(TRIM('01_Master_Data'!Y102&amp;""))="yes",1,0))</f>
        <v/>
      </c>
      <c r="P102">
        <f>IF('01_Master_Data'!B102="","",IF(LOWER(TRIM('01_Master_Data'!Z102&amp;""))="yes",1,0))</f>
        <v/>
      </c>
      <c r="Q102">
        <f>IF(A102="","",L102+M102+N102+O102+P102)</f>
        <v/>
      </c>
      <c r="R102">
        <f>IF(A102="","",IF(Q102&gt;1,"Yes","No"))</f>
        <v/>
      </c>
      <c r="S102">
        <f>IF(A102="","",TEXTJOIN(", ",TRUE,IF(L102=1,"ICICI",""),IF(M102=1,"Propelld",""),IF(N102=1,"Study4Buddy",""),IF(O102=1,"Poonawala Fincorp",""),IF(P102=1,"GyanDhan","")))</f>
        <v/>
      </c>
      <c r="T102">
        <f>IF(A102="","",IF(L102=1,"ICICI",IF(M102=1,"Propelld",IF(P102=1,"GyanDhan",IF(N102=1,"Study4Buddy",IF(O102=1,"Poonawala Fincorp",IF(ISNUMBER(SEARCH("GyanDhan",W102&amp;"")),"GyanDhan",IF(ISNUMBER(SEARCH("Icici",W102&amp;"")),"ICICI",IF(ISNUMBER(SEARCH("Propelld",W102&amp;"")),"Propelld",IF(ISNUMBER(SEARCH("vidyalakshmi",LOWER(W102&amp;"")),"PM Vidyalakshmi","—"))))))))))</f>
        <v/>
      </c>
      <c r="U102">
        <f>IF(A102="","",TRIM('01_Master_Data'!AA102&amp;""))</f>
        <v/>
      </c>
      <c r="V102">
        <f>IF(A102="","",TRIM('01_Master_Data'!AG102&amp;""))</f>
        <v/>
      </c>
      <c r="W102">
        <f>IF(A102="","",TRIM('01_Master_Data'!AH102&amp;""))</f>
        <v/>
      </c>
      <c r="X102">
        <f>IF(A102="","",IF(OR(LOWER(H102)="refund",LOWER(U102)="refund case"),"Refund",IF(OR(LOWER(H102)="dnp",LOWER(U102)="dnp"),"DNP",IF(OR(LOWER(V102)="disbursed",ISNUMBER(SEARCH("Disbursed",W102&amp;""))),"Disbursed",IF(OR(LOWER(V102)="loan proccessed/accepted",ISNUMBER(SEARCH("sanctioned",LOWER(W102&amp;"")))),"Sanctioned",IF(OR(LOWER(V102)="rejected",ISNUMBER(SEARCH("Not eligbile",W102&amp;"")),ISNUMBER(SEARCH("Not eligible",W102&amp;""))),"Rejected",IF(ISNUMBER(SEARCH("Docs Pending",W102&amp;"")),"Documents Pending",IF(AND(LOWER(H102)="yes",LOWER(V102)="ongoing"),"Processing",IF(AND(LOWER(H102)="yes",Q102&gt;0,OR(V102="",LOWER(V102)="not even started")),"Vendor Assigned",IF(AND(LOWER(H102)="yes",LOWER(V102)="not even started"),"Need Loan",IF(LOWER(H102)="yes","Loan Started",IF(LOWER(H102)="not sure","Interested",IF(OR(LOWER(H102)="no",LOWER(V102)="not required"),"Not Required","Unclassified")))))))))))))</f>
        <v/>
      </c>
      <c r="Y102">
        <f>IF(A102="","",IF(OR(X102="Sanctioned",X102="Disbursed",X102="Approved"),"Approved",IF(X102="Rejected","Rejected",IF(OR(X102="Processing",X102="Documents Pending",X102="Vendor Assigned"),"In Progress",IF(X102="Need Loan","Pending Start","—"))))</f>
        <v/>
      </c>
      <c r="Z102">
        <f>IF(A102="","",IF(X102="Disbursed","Disbursed",IF(X102="Sanctioned","Sanctioned - Awaiting Disbursement","Not Disbursed")))</f>
        <v/>
      </c>
      <c r="AA102">
        <f>IF(A102="","",IF(LOWER(TRIM('01_Master_Data'!AI102&amp;""))="yes","Need FLDG",IF(LOWER(TRIM('01_Master_Data'!AK102&amp;""))="yes","Need Vidyalakshmi",IF(LOWER(TRIM('01_Master_Data'!AJ102&amp;""))="yes","Need Review",IF(LOWER(J102)="critical","Critical",IF(LOWER(U102)="risk","Risk Case",IF(X102="Refund","Refund","Normal")))))))</f>
        <v/>
      </c>
      <c r="AB102">
        <f>IF(A102="","",IF(OR(LOWER(J102)="critical",LOWER(TRIM('01_Master_Data'!AI102&amp;""))="yes",LOWER(TRIM('01_Master_Data'!AK102&amp;""))="yes",LOWER(U102)="risk"),"Yes","No"))</f>
        <v/>
      </c>
      <c r="AC102">
        <f>IF(A102="","",IF(LOWER(TRIM('01_Master_Data'!AI102&amp;""))="yes","Yes","No"))</f>
        <v/>
      </c>
      <c r="AD102">
        <f>IF(A102="","",IF(LOWER(TRIM('01_Master_Data'!AK102&amp;""))="yes","Yes","No"))</f>
        <v/>
      </c>
      <c r="AE102">
        <f>IF(A102="","",IF(LOWER(TRIM('01_Master_Data'!AJ102&amp;""))="yes","Yes","No"))</f>
        <v/>
      </c>
      <c r="AF102">
        <f>IF(A102="","",TRIM('01_Master_Data'!AL102&amp;""))</f>
        <v/>
      </c>
      <c r="AG102">
        <f>IF(A102="","",IF(AF102="","—",IF(ISNUMBER(SEARCH("DNP",AF102)),"Unreachable / DNP",IF(ISNUMBER(SEARCH("interest",LOWER(AF102))),"High Interest / Terms",IF(OR(ISNUMBER(SEARCH("eligib",LOWER(AF102))),ISNUMBER(SEARCH("income",LOWER(AF102)))),"Eligibility / Income",IF(OR(ISNUMBER(SEARCH("start",LOWER(AF102))),ISNUMBER(SEARCH("Newer",AF102)),ISNUMBER(SEARCH("Will start",AF102))),"Process Yet to Start",IF(ISNUMBER(SEARCH("sure",LOWER(AF102))),"Undecided",IF(OR(ISNUMBER(SEARCH("reject",LOWER(AF102))),ISNUMBER(SEARCH("SBI",AF102))),"Rejected Elsewhere",IF(ISNUMBER(SEARCH("call",LOWER(AF102))),"Bank Communication",IF(OR(ISNUMBER(SEARCH("father",LOWER(AF102))),ISNUMBER(SEARCH("sister",LOWER(AF102)))),"Family / Dependency","Other"))))))))))</f>
        <v/>
      </c>
      <c r="AH102">
        <f>IF(A102="","",'01_Master_Data'!AC102)</f>
        <v/>
      </c>
      <c r="AI102">
        <f>IF(A102="","",IF(OR(AH102="",NOT(ISNUMBER(AH102))),"",MAX(0,'02_Configuration'!$B$82-AH102)))</f>
        <v/>
      </c>
      <c r="AJ102">
        <f>IF(A102="","",IF(AI102="","Unknown",IF(AI102&lt;=3,"0–3 Days",IF(AI102&lt;=7,"4–7 Days",IF(AI102&lt;=15,"8–15 Days",IF(AI102&lt;=30,"16–30 Days","30+ Days"))))))</f>
        <v/>
      </c>
      <c r="AK102">
        <f>IF(A102="","",IF(LOWER(H102)="yes","Yes","No"))</f>
        <v/>
      </c>
      <c r="AL102">
        <f>IF(A102="","",'01_Master_Data'!T102)</f>
        <v/>
      </c>
      <c r="AM102">
        <f>IF(A102="","",'01_Master_Data'!S102)</f>
        <v/>
      </c>
      <c r="AN102">
        <f>IF(A102="","",'01_Master_Data'!I102)</f>
        <v/>
      </c>
      <c r="AO102">
        <f>IF(A102="","",'01_Master_Data'!M102)</f>
        <v/>
      </c>
      <c r="AP102">
        <f>IF(A102="","",IF(ISNUMBER(SEARCH("Icici",W102&amp;"")),1,0))</f>
        <v/>
      </c>
      <c r="AQ102">
        <f>IF(A102="","",IF(ISNUMBER(SEARCH("Propelld",W102&amp;"")),1,0))</f>
        <v/>
      </c>
      <c r="AR102">
        <f>IF(A102="","",IF(ISNUMBER(SEARCH("GyanDhan",W102&amp;"")),1,0))</f>
        <v/>
      </c>
      <c r="AS102">
        <f>IF(A102="","",IF(ISNUMBER(SEARCH("vidyalakshmi",LOWER(W102&amp;""))),1,0))</f>
        <v/>
      </c>
      <c r="AT102">
        <f>IF(A102="","",IF(ISNUMBER(SEARCH("other bank",LOWER(W102&amp;""))),1,0))</f>
        <v/>
      </c>
      <c r="AU102">
        <f>IF(A102="","",IF(ISNUMBER(SEARCH("sanctioned",LOWER(W102&amp;""))),1,0))</f>
        <v/>
      </c>
      <c r="AV102">
        <f>IF(A102="","",IF(ISNUMBER(SEARCH("Docs Pending",W102&amp;"")),1,0))</f>
        <v/>
      </c>
      <c r="AW102">
        <f>IF(A102="","",IF(OR(X102="Rejected",ISNUMBER(SEARCH("Not eligbile",W102&amp;""))),1,0))</f>
        <v/>
      </c>
    </row>
    <row r="103">
      <c r="A103">
        <f>IF('01_Master_Data'!B103="","",102)</f>
        <v/>
      </c>
      <c r="B103">
        <f>IF('01_Master_Data'!B103="","",IF('01_Master_Data'!C103&lt;&gt;"","MOB|"&amp;TEXT('01_Master_Data'!C103,"0"),IF('01_Master_Data'!D103&lt;&gt;"","PID|"&amp;TRIM('01_Master_Data'!D103&amp;""),"")))</f>
        <v/>
      </c>
      <c r="C103">
        <f>IF('01_Master_Data'!B103="","",'01_Master_Data'!B103)</f>
        <v/>
      </c>
      <c r="D103">
        <f>IF('01_Master_Data'!B103="","",'01_Master_Data'!C103)</f>
        <v/>
      </c>
      <c r="E103">
        <f>IF('01_Master_Data'!B103="","",'01_Master_Data'!D103)</f>
        <v/>
      </c>
      <c r="F103">
        <f>IF('01_Master_Data'!B103="","",'01_Master_Data'!E103)</f>
        <v/>
      </c>
      <c r="G103">
        <f>IF('01_Master_Data'!B103="","",IFERROR(VLOOKUP(TRIM('01_Master_Data'!E103&amp;""),'02_Configuration'!$A$40:$B$44,2,FALSE),UPPER(TRIM('01_Master_Data'!E103&amp;""))))</f>
        <v/>
      </c>
      <c r="H103">
        <f>IF('01_Master_Data'!B103="","",IF('01_Master_Data'!U103="","",TRIM('01_Master_Data'!U103&amp;"")))</f>
        <v/>
      </c>
      <c r="I103">
        <f>IF('01_Master_Data'!B103="","",TRIM('01_Master_Data'!F103&amp;""))</f>
        <v/>
      </c>
      <c r="J103">
        <f>IF('01_Master_Data'!B103="","",TRIM('01_Master_Data'!G103&amp;""))</f>
        <v/>
      </c>
      <c r="K103">
        <f>IF('01_Master_Data'!B103="","",'01_Master_Data'!H103)</f>
        <v/>
      </c>
      <c r="L103">
        <f>IF('01_Master_Data'!B103="","",IF(LOWER(TRIM('01_Master_Data'!V103&amp;""))="yes",1,0))</f>
        <v/>
      </c>
      <c r="M103">
        <f>IF('01_Master_Data'!B103="","",IF(LOWER(TRIM('01_Master_Data'!W103&amp;""))="yes",1,0))</f>
        <v/>
      </c>
      <c r="N103">
        <f>IF('01_Master_Data'!B103="","",IF(LOWER(TRIM('01_Master_Data'!X103&amp;""))="yes",1,0))</f>
        <v/>
      </c>
      <c r="O103">
        <f>IF('01_Master_Data'!B103="","",IF(LOWER(TRIM('01_Master_Data'!Y103&amp;""))="yes",1,0))</f>
        <v/>
      </c>
      <c r="P103">
        <f>IF('01_Master_Data'!B103="","",IF(LOWER(TRIM('01_Master_Data'!Z103&amp;""))="yes",1,0))</f>
        <v/>
      </c>
      <c r="Q103">
        <f>IF(A103="","",L103+M103+N103+O103+P103)</f>
        <v/>
      </c>
      <c r="R103">
        <f>IF(A103="","",IF(Q103&gt;1,"Yes","No"))</f>
        <v/>
      </c>
      <c r="S103">
        <f>IF(A103="","",TEXTJOIN(", ",TRUE,IF(L103=1,"ICICI",""),IF(M103=1,"Propelld",""),IF(N103=1,"Study4Buddy",""),IF(O103=1,"Poonawala Fincorp",""),IF(P103=1,"GyanDhan","")))</f>
        <v/>
      </c>
      <c r="T103">
        <f>IF(A103="","",IF(L103=1,"ICICI",IF(M103=1,"Propelld",IF(P103=1,"GyanDhan",IF(N103=1,"Study4Buddy",IF(O103=1,"Poonawala Fincorp",IF(ISNUMBER(SEARCH("GyanDhan",W103&amp;"")),"GyanDhan",IF(ISNUMBER(SEARCH("Icici",W103&amp;"")),"ICICI",IF(ISNUMBER(SEARCH("Propelld",W103&amp;"")),"Propelld",IF(ISNUMBER(SEARCH("vidyalakshmi",LOWER(W103&amp;"")),"PM Vidyalakshmi","—"))))))))))</f>
        <v/>
      </c>
      <c r="U103">
        <f>IF(A103="","",TRIM('01_Master_Data'!AA103&amp;""))</f>
        <v/>
      </c>
      <c r="V103">
        <f>IF(A103="","",TRIM('01_Master_Data'!AG103&amp;""))</f>
        <v/>
      </c>
      <c r="W103">
        <f>IF(A103="","",TRIM('01_Master_Data'!AH103&amp;""))</f>
        <v/>
      </c>
      <c r="X103">
        <f>IF(A103="","",IF(OR(LOWER(H103)="refund",LOWER(U103)="refund case"),"Refund",IF(OR(LOWER(H103)="dnp",LOWER(U103)="dnp"),"DNP",IF(OR(LOWER(V103)="disbursed",ISNUMBER(SEARCH("Disbursed",W103&amp;""))),"Disbursed",IF(OR(LOWER(V103)="loan proccessed/accepted",ISNUMBER(SEARCH("sanctioned",LOWER(W103&amp;"")))),"Sanctioned",IF(OR(LOWER(V103)="rejected",ISNUMBER(SEARCH("Not eligbile",W103&amp;"")),ISNUMBER(SEARCH("Not eligible",W103&amp;""))),"Rejected",IF(ISNUMBER(SEARCH("Docs Pending",W103&amp;"")),"Documents Pending",IF(AND(LOWER(H103)="yes",LOWER(V103)="ongoing"),"Processing",IF(AND(LOWER(H103)="yes",Q103&gt;0,OR(V103="",LOWER(V103)="not even started")),"Vendor Assigned",IF(AND(LOWER(H103)="yes",LOWER(V103)="not even started"),"Need Loan",IF(LOWER(H103)="yes","Loan Started",IF(LOWER(H103)="not sure","Interested",IF(OR(LOWER(H103)="no",LOWER(V103)="not required"),"Not Required","Unclassified")))))))))))))</f>
        <v/>
      </c>
      <c r="Y103">
        <f>IF(A103="","",IF(OR(X103="Sanctioned",X103="Disbursed",X103="Approved"),"Approved",IF(X103="Rejected","Rejected",IF(OR(X103="Processing",X103="Documents Pending",X103="Vendor Assigned"),"In Progress",IF(X103="Need Loan","Pending Start","—"))))</f>
        <v/>
      </c>
      <c r="Z103">
        <f>IF(A103="","",IF(X103="Disbursed","Disbursed",IF(X103="Sanctioned","Sanctioned - Awaiting Disbursement","Not Disbursed")))</f>
        <v/>
      </c>
      <c r="AA103">
        <f>IF(A103="","",IF(LOWER(TRIM('01_Master_Data'!AI103&amp;""))="yes","Need FLDG",IF(LOWER(TRIM('01_Master_Data'!AK103&amp;""))="yes","Need Vidyalakshmi",IF(LOWER(TRIM('01_Master_Data'!AJ103&amp;""))="yes","Need Review",IF(LOWER(J103)="critical","Critical",IF(LOWER(U103)="risk","Risk Case",IF(X103="Refund","Refund","Normal")))))))</f>
        <v/>
      </c>
      <c r="AB103">
        <f>IF(A103="","",IF(OR(LOWER(J103)="critical",LOWER(TRIM('01_Master_Data'!AI103&amp;""))="yes",LOWER(TRIM('01_Master_Data'!AK103&amp;""))="yes",LOWER(U103)="risk"),"Yes","No"))</f>
        <v/>
      </c>
      <c r="AC103">
        <f>IF(A103="","",IF(LOWER(TRIM('01_Master_Data'!AI103&amp;""))="yes","Yes","No"))</f>
        <v/>
      </c>
      <c r="AD103">
        <f>IF(A103="","",IF(LOWER(TRIM('01_Master_Data'!AK103&amp;""))="yes","Yes","No"))</f>
        <v/>
      </c>
      <c r="AE103">
        <f>IF(A103="","",IF(LOWER(TRIM('01_Master_Data'!AJ103&amp;""))="yes","Yes","No"))</f>
        <v/>
      </c>
      <c r="AF103">
        <f>IF(A103="","",TRIM('01_Master_Data'!AL103&amp;""))</f>
        <v/>
      </c>
      <c r="AG103">
        <f>IF(A103="","",IF(AF103="","—",IF(ISNUMBER(SEARCH("DNP",AF103)),"Unreachable / DNP",IF(ISNUMBER(SEARCH("interest",LOWER(AF103))),"High Interest / Terms",IF(OR(ISNUMBER(SEARCH("eligib",LOWER(AF103))),ISNUMBER(SEARCH("income",LOWER(AF103)))),"Eligibility / Income",IF(OR(ISNUMBER(SEARCH("start",LOWER(AF103))),ISNUMBER(SEARCH("Newer",AF103)),ISNUMBER(SEARCH("Will start",AF103))),"Process Yet to Start",IF(ISNUMBER(SEARCH("sure",LOWER(AF103))),"Undecided",IF(OR(ISNUMBER(SEARCH("reject",LOWER(AF103))),ISNUMBER(SEARCH("SBI",AF103))),"Rejected Elsewhere",IF(ISNUMBER(SEARCH("call",LOWER(AF103))),"Bank Communication",IF(OR(ISNUMBER(SEARCH("father",LOWER(AF103))),ISNUMBER(SEARCH("sister",LOWER(AF103)))),"Family / Dependency","Other"))))))))))</f>
        <v/>
      </c>
      <c r="AH103">
        <f>IF(A103="","",'01_Master_Data'!AC103)</f>
        <v/>
      </c>
      <c r="AI103">
        <f>IF(A103="","",IF(OR(AH103="",NOT(ISNUMBER(AH103))),"",MAX(0,'02_Configuration'!$B$82-AH103)))</f>
        <v/>
      </c>
      <c r="AJ103">
        <f>IF(A103="","",IF(AI103="","Unknown",IF(AI103&lt;=3,"0–3 Days",IF(AI103&lt;=7,"4–7 Days",IF(AI103&lt;=15,"8–15 Days",IF(AI103&lt;=30,"16–30 Days","30+ Days"))))))</f>
        <v/>
      </c>
      <c r="AK103">
        <f>IF(A103="","",IF(LOWER(H103)="yes","Yes","No"))</f>
        <v/>
      </c>
      <c r="AL103">
        <f>IF(A103="","",'01_Master_Data'!T103)</f>
        <v/>
      </c>
      <c r="AM103">
        <f>IF(A103="","",'01_Master_Data'!S103)</f>
        <v/>
      </c>
      <c r="AN103">
        <f>IF(A103="","",'01_Master_Data'!I103)</f>
        <v/>
      </c>
      <c r="AO103">
        <f>IF(A103="","",'01_Master_Data'!M103)</f>
        <v/>
      </c>
      <c r="AP103">
        <f>IF(A103="","",IF(ISNUMBER(SEARCH("Icici",W103&amp;"")),1,0))</f>
        <v/>
      </c>
      <c r="AQ103">
        <f>IF(A103="","",IF(ISNUMBER(SEARCH("Propelld",W103&amp;"")),1,0))</f>
        <v/>
      </c>
      <c r="AR103">
        <f>IF(A103="","",IF(ISNUMBER(SEARCH("GyanDhan",W103&amp;"")),1,0))</f>
        <v/>
      </c>
      <c r="AS103">
        <f>IF(A103="","",IF(ISNUMBER(SEARCH("vidyalakshmi",LOWER(W103&amp;""))),1,0))</f>
        <v/>
      </c>
      <c r="AT103">
        <f>IF(A103="","",IF(ISNUMBER(SEARCH("other bank",LOWER(W103&amp;""))),1,0))</f>
        <v/>
      </c>
      <c r="AU103">
        <f>IF(A103="","",IF(ISNUMBER(SEARCH("sanctioned",LOWER(W103&amp;""))),1,0))</f>
        <v/>
      </c>
      <c r="AV103">
        <f>IF(A103="","",IF(ISNUMBER(SEARCH("Docs Pending",W103&amp;"")),1,0))</f>
        <v/>
      </c>
      <c r="AW103">
        <f>IF(A103="","",IF(OR(X103="Rejected",ISNUMBER(SEARCH("Not eligbile",W103&amp;""))),1,0))</f>
        <v/>
      </c>
    </row>
    <row r="104">
      <c r="A104">
        <f>IF('01_Master_Data'!B104="","",103)</f>
        <v/>
      </c>
      <c r="B104">
        <f>IF('01_Master_Data'!B104="","",IF('01_Master_Data'!C104&lt;&gt;"","MOB|"&amp;TEXT('01_Master_Data'!C104,"0"),IF('01_Master_Data'!D104&lt;&gt;"","PID|"&amp;TRIM('01_Master_Data'!D104&amp;""),"")))</f>
        <v/>
      </c>
      <c r="C104">
        <f>IF('01_Master_Data'!B104="","",'01_Master_Data'!B104)</f>
        <v/>
      </c>
      <c r="D104">
        <f>IF('01_Master_Data'!B104="","",'01_Master_Data'!C104)</f>
        <v/>
      </c>
      <c r="E104">
        <f>IF('01_Master_Data'!B104="","",'01_Master_Data'!D104)</f>
        <v/>
      </c>
      <c r="F104">
        <f>IF('01_Master_Data'!B104="","",'01_Master_Data'!E104)</f>
        <v/>
      </c>
      <c r="G104">
        <f>IF('01_Master_Data'!B104="","",IFERROR(VLOOKUP(TRIM('01_Master_Data'!E104&amp;""),'02_Configuration'!$A$40:$B$44,2,FALSE),UPPER(TRIM('01_Master_Data'!E104&amp;""))))</f>
        <v/>
      </c>
      <c r="H104">
        <f>IF('01_Master_Data'!B104="","",IF('01_Master_Data'!U104="","",TRIM('01_Master_Data'!U104&amp;"")))</f>
        <v/>
      </c>
      <c r="I104">
        <f>IF('01_Master_Data'!B104="","",TRIM('01_Master_Data'!F104&amp;""))</f>
        <v/>
      </c>
      <c r="J104">
        <f>IF('01_Master_Data'!B104="","",TRIM('01_Master_Data'!G104&amp;""))</f>
        <v/>
      </c>
      <c r="K104">
        <f>IF('01_Master_Data'!B104="","",'01_Master_Data'!H104)</f>
        <v/>
      </c>
      <c r="L104">
        <f>IF('01_Master_Data'!B104="","",IF(LOWER(TRIM('01_Master_Data'!V104&amp;""))="yes",1,0))</f>
        <v/>
      </c>
      <c r="M104">
        <f>IF('01_Master_Data'!B104="","",IF(LOWER(TRIM('01_Master_Data'!W104&amp;""))="yes",1,0))</f>
        <v/>
      </c>
      <c r="N104">
        <f>IF('01_Master_Data'!B104="","",IF(LOWER(TRIM('01_Master_Data'!X104&amp;""))="yes",1,0))</f>
        <v/>
      </c>
      <c r="O104">
        <f>IF('01_Master_Data'!B104="","",IF(LOWER(TRIM('01_Master_Data'!Y104&amp;""))="yes",1,0))</f>
        <v/>
      </c>
      <c r="P104">
        <f>IF('01_Master_Data'!B104="","",IF(LOWER(TRIM('01_Master_Data'!Z104&amp;""))="yes",1,0))</f>
        <v/>
      </c>
      <c r="Q104">
        <f>IF(A104="","",L104+M104+N104+O104+P104)</f>
        <v/>
      </c>
      <c r="R104">
        <f>IF(A104="","",IF(Q104&gt;1,"Yes","No"))</f>
        <v/>
      </c>
      <c r="S104">
        <f>IF(A104="","",TEXTJOIN(", ",TRUE,IF(L104=1,"ICICI",""),IF(M104=1,"Propelld",""),IF(N104=1,"Study4Buddy",""),IF(O104=1,"Poonawala Fincorp",""),IF(P104=1,"GyanDhan","")))</f>
        <v/>
      </c>
      <c r="T104">
        <f>IF(A104="","",IF(L104=1,"ICICI",IF(M104=1,"Propelld",IF(P104=1,"GyanDhan",IF(N104=1,"Study4Buddy",IF(O104=1,"Poonawala Fincorp",IF(ISNUMBER(SEARCH("GyanDhan",W104&amp;"")),"GyanDhan",IF(ISNUMBER(SEARCH("Icici",W104&amp;"")),"ICICI",IF(ISNUMBER(SEARCH("Propelld",W104&amp;"")),"Propelld",IF(ISNUMBER(SEARCH("vidyalakshmi",LOWER(W104&amp;"")),"PM Vidyalakshmi","—"))))))))))</f>
        <v/>
      </c>
      <c r="U104">
        <f>IF(A104="","",TRIM('01_Master_Data'!AA104&amp;""))</f>
        <v/>
      </c>
      <c r="V104">
        <f>IF(A104="","",TRIM('01_Master_Data'!AG104&amp;""))</f>
        <v/>
      </c>
      <c r="W104">
        <f>IF(A104="","",TRIM('01_Master_Data'!AH104&amp;""))</f>
        <v/>
      </c>
      <c r="X104">
        <f>IF(A104="","",IF(OR(LOWER(H104)="refund",LOWER(U104)="refund case"),"Refund",IF(OR(LOWER(H104)="dnp",LOWER(U104)="dnp"),"DNP",IF(OR(LOWER(V104)="disbursed",ISNUMBER(SEARCH("Disbursed",W104&amp;""))),"Disbursed",IF(OR(LOWER(V104)="loan proccessed/accepted",ISNUMBER(SEARCH("sanctioned",LOWER(W104&amp;"")))),"Sanctioned",IF(OR(LOWER(V104)="rejected",ISNUMBER(SEARCH("Not eligbile",W104&amp;"")),ISNUMBER(SEARCH("Not eligible",W104&amp;""))),"Rejected",IF(ISNUMBER(SEARCH("Docs Pending",W104&amp;"")),"Documents Pending",IF(AND(LOWER(H104)="yes",LOWER(V104)="ongoing"),"Processing",IF(AND(LOWER(H104)="yes",Q104&gt;0,OR(V104="",LOWER(V104)="not even started")),"Vendor Assigned",IF(AND(LOWER(H104)="yes",LOWER(V104)="not even started"),"Need Loan",IF(LOWER(H104)="yes","Loan Started",IF(LOWER(H104)="not sure","Interested",IF(OR(LOWER(H104)="no",LOWER(V104)="not required"),"Not Required","Unclassified")))))))))))))</f>
        <v/>
      </c>
      <c r="Y104">
        <f>IF(A104="","",IF(OR(X104="Sanctioned",X104="Disbursed",X104="Approved"),"Approved",IF(X104="Rejected","Rejected",IF(OR(X104="Processing",X104="Documents Pending",X104="Vendor Assigned"),"In Progress",IF(X104="Need Loan","Pending Start","—"))))</f>
        <v/>
      </c>
      <c r="Z104">
        <f>IF(A104="","",IF(X104="Disbursed","Disbursed",IF(X104="Sanctioned","Sanctioned - Awaiting Disbursement","Not Disbursed")))</f>
        <v/>
      </c>
      <c r="AA104">
        <f>IF(A104="","",IF(LOWER(TRIM('01_Master_Data'!AI104&amp;""))="yes","Need FLDG",IF(LOWER(TRIM('01_Master_Data'!AK104&amp;""))="yes","Need Vidyalakshmi",IF(LOWER(TRIM('01_Master_Data'!AJ104&amp;""))="yes","Need Review",IF(LOWER(J104)="critical","Critical",IF(LOWER(U104)="risk","Risk Case",IF(X104="Refund","Refund","Normal")))))))</f>
        <v/>
      </c>
      <c r="AB104">
        <f>IF(A104="","",IF(OR(LOWER(J104)="critical",LOWER(TRIM('01_Master_Data'!AI104&amp;""))="yes",LOWER(TRIM('01_Master_Data'!AK104&amp;""))="yes",LOWER(U104)="risk"),"Yes","No"))</f>
        <v/>
      </c>
      <c r="AC104">
        <f>IF(A104="","",IF(LOWER(TRIM('01_Master_Data'!AI104&amp;""))="yes","Yes","No"))</f>
        <v/>
      </c>
      <c r="AD104">
        <f>IF(A104="","",IF(LOWER(TRIM('01_Master_Data'!AK104&amp;""))="yes","Yes","No"))</f>
        <v/>
      </c>
      <c r="AE104">
        <f>IF(A104="","",IF(LOWER(TRIM('01_Master_Data'!AJ104&amp;""))="yes","Yes","No"))</f>
        <v/>
      </c>
      <c r="AF104">
        <f>IF(A104="","",TRIM('01_Master_Data'!AL104&amp;""))</f>
        <v/>
      </c>
      <c r="AG104">
        <f>IF(A104="","",IF(AF104="","—",IF(ISNUMBER(SEARCH("DNP",AF104)),"Unreachable / DNP",IF(ISNUMBER(SEARCH("interest",LOWER(AF104))),"High Interest / Terms",IF(OR(ISNUMBER(SEARCH("eligib",LOWER(AF104))),ISNUMBER(SEARCH("income",LOWER(AF104)))),"Eligibility / Income",IF(OR(ISNUMBER(SEARCH("start",LOWER(AF104))),ISNUMBER(SEARCH("Newer",AF104)),ISNUMBER(SEARCH("Will start",AF104))),"Process Yet to Start",IF(ISNUMBER(SEARCH("sure",LOWER(AF104))),"Undecided",IF(OR(ISNUMBER(SEARCH("reject",LOWER(AF104))),ISNUMBER(SEARCH("SBI",AF104))),"Rejected Elsewhere",IF(ISNUMBER(SEARCH("call",LOWER(AF104))),"Bank Communication",IF(OR(ISNUMBER(SEARCH("father",LOWER(AF104))),ISNUMBER(SEARCH("sister",LOWER(AF104)))),"Family / Dependency","Other"))))))))))</f>
        <v/>
      </c>
      <c r="AH104">
        <f>IF(A104="","",'01_Master_Data'!AC104)</f>
        <v/>
      </c>
      <c r="AI104">
        <f>IF(A104="","",IF(OR(AH104="",NOT(ISNUMBER(AH104))),"",MAX(0,'02_Configuration'!$B$82-AH104)))</f>
        <v/>
      </c>
      <c r="AJ104">
        <f>IF(A104="","",IF(AI104="","Unknown",IF(AI104&lt;=3,"0–3 Days",IF(AI104&lt;=7,"4–7 Days",IF(AI104&lt;=15,"8–15 Days",IF(AI104&lt;=30,"16–30 Days","30+ Days"))))))</f>
        <v/>
      </c>
      <c r="AK104">
        <f>IF(A104="","",IF(LOWER(H104)="yes","Yes","No"))</f>
        <v/>
      </c>
      <c r="AL104">
        <f>IF(A104="","",'01_Master_Data'!T104)</f>
        <v/>
      </c>
      <c r="AM104">
        <f>IF(A104="","",'01_Master_Data'!S104)</f>
        <v/>
      </c>
      <c r="AN104">
        <f>IF(A104="","",'01_Master_Data'!I104)</f>
        <v/>
      </c>
      <c r="AO104">
        <f>IF(A104="","",'01_Master_Data'!M104)</f>
        <v/>
      </c>
      <c r="AP104">
        <f>IF(A104="","",IF(ISNUMBER(SEARCH("Icici",W104&amp;"")),1,0))</f>
        <v/>
      </c>
      <c r="AQ104">
        <f>IF(A104="","",IF(ISNUMBER(SEARCH("Propelld",W104&amp;"")),1,0))</f>
        <v/>
      </c>
      <c r="AR104">
        <f>IF(A104="","",IF(ISNUMBER(SEARCH("GyanDhan",W104&amp;"")),1,0))</f>
        <v/>
      </c>
      <c r="AS104">
        <f>IF(A104="","",IF(ISNUMBER(SEARCH("vidyalakshmi",LOWER(W104&amp;""))),1,0))</f>
        <v/>
      </c>
      <c r="AT104">
        <f>IF(A104="","",IF(ISNUMBER(SEARCH("other bank",LOWER(W104&amp;""))),1,0))</f>
        <v/>
      </c>
      <c r="AU104">
        <f>IF(A104="","",IF(ISNUMBER(SEARCH("sanctioned",LOWER(W104&amp;""))),1,0))</f>
        <v/>
      </c>
      <c r="AV104">
        <f>IF(A104="","",IF(ISNUMBER(SEARCH("Docs Pending",W104&amp;"")),1,0))</f>
        <v/>
      </c>
      <c r="AW104">
        <f>IF(A104="","",IF(OR(X104="Rejected",ISNUMBER(SEARCH("Not eligbile",W104&amp;""))),1,0))</f>
        <v/>
      </c>
    </row>
    <row r="105">
      <c r="A105">
        <f>IF('01_Master_Data'!B105="","",104)</f>
        <v/>
      </c>
      <c r="B105">
        <f>IF('01_Master_Data'!B105="","",IF('01_Master_Data'!C105&lt;&gt;"","MOB|"&amp;TEXT('01_Master_Data'!C105,"0"),IF('01_Master_Data'!D105&lt;&gt;"","PID|"&amp;TRIM('01_Master_Data'!D105&amp;""),"")))</f>
        <v/>
      </c>
      <c r="C105">
        <f>IF('01_Master_Data'!B105="","",'01_Master_Data'!B105)</f>
        <v/>
      </c>
      <c r="D105">
        <f>IF('01_Master_Data'!B105="","",'01_Master_Data'!C105)</f>
        <v/>
      </c>
      <c r="E105">
        <f>IF('01_Master_Data'!B105="","",'01_Master_Data'!D105)</f>
        <v/>
      </c>
      <c r="F105">
        <f>IF('01_Master_Data'!B105="","",'01_Master_Data'!E105)</f>
        <v/>
      </c>
      <c r="G105">
        <f>IF('01_Master_Data'!B105="","",IFERROR(VLOOKUP(TRIM('01_Master_Data'!E105&amp;""),'02_Configuration'!$A$40:$B$44,2,FALSE),UPPER(TRIM('01_Master_Data'!E105&amp;""))))</f>
        <v/>
      </c>
      <c r="H105">
        <f>IF('01_Master_Data'!B105="","",IF('01_Master_Data'!U105="","",TRIM('01_Master_Data'!U105&amp;"")))</f>
        <v/>
      </c>
      <c r="I105">
        <f>IF('01_Master_Data'!B105="","",TRIM('01_Master_Data'!F105&amp;""))</f>
        <v/>
      </c>
      <c r="J105">
        <f>IF('01_Master_Data'!B105="","",TRIM('01_Master_Data'!G105&amp;""))</f>
        <v/>
      </c>
      <c r="K105">
        <f>IF('01_Master_Data'!B105="","",'01_Master_Data'!H105)</f>
        <v/>
      </c>
      <c r="L105">
        <f>IF('01_Master_Data'!B105="","",IF(LOWER(TRIM('01_Master_Data'!V105&amp;""))="yes",1,0))</f>
        <v/>
      </c>
      <c r="M105">
        <f>IF('01_Master_Data'!B105="","",IF(LOWER(TRIM('01_Master_Data'!W105&amp;""))="yes",1,0))</f>
        <v/>
      </c>
      <c r="N105">
        <f>IF('01_Master_Data'!B105="","",IF(LOWER(TRIM('01_Master_Data'!X105&amp;""))="yes",1,0))</f>
        <v/>
      </c>
      <c r="O105">
        <f>IF('01_Master_Data'!B105="","",IF(LOWER(TRIM('01_Master_Data'!Y105&amp;""))="yes",1,0))</f>
        <v/>
      </c>
      <c r="P105">
        <f>IF('01_Master_Data'!B105="","",IF(LOWER(TRIM('01_Master_Data'!Z105&amp;""))="yes",1,0))</f>
        <v/>
      </c>
      <c r="Q105">
        <f>IF(A105="","",L105+M105+N105+O105+P105)</f>
        <v/>
      </c>
      <c r="R105">
        <f>IF(A105="","",IF(Q105&gt;1,"Yes","No"))</f>
        <v/>
      </c>
      <c r="S105">
        <f>IF(A105="","",TEXTJOIN(", ",TRUE,IF(L105=1,"ICICI",""),IF(M105=1,"Propelld",""),IF(N105=1,"Study4Buddy",""),IF(O105=1,"Poonawala Fincorp",""),IF(P105=1,"GyanDhan","")))</f>
        <v/>
      </c>
      <c r="T105">
        <f>IF(A105="","",IF(L105=1,"ICICI",IF(M105=1,"Propelld",IF(P105=1,"GyanDhan",IF(N105=1,"Study4Buddy",IF(O105=1,"Poonawala Fincorp",IF(ISNUMBER(SEARCH("GyanDhan",W105&amp;"")),"GyanDhan",IF(ISNUMBER(SEARCH("Icici",W105&amp;"")),"ICICI",IF(ISNUMBER(SEARCH("Propelld",W105&amp;"")),"Propelld",IF(ISNUMBER(SEARCH("vidyalakshmi",LOWER(W105&amp;"")),"PM Vidyalakshmi","—"))))))))))</f>
        <v/>
      </c>
      <c r="U105">
        <f>IF(A105="","",TRIM('01_Master_Data'!AA105&amp;""))</f>
        <v/>
      </c>
      <c r="V105">
        <f>IF(A105="","",TRIM('01_Master_Data'!AG105&amp;""))</f>
        <v/>
      </c>
      <c r="W105">
        <f>IF(A105="","",TRIM('01_Master_Data'!AH105&amp;""))</f>
        <v/>
      </c>
      <c r="X105">
        <f>IF(A105="","",IF(OR(LOWER(H105)="refund",LOWER(U105)="refund case"),"Refund",IF(OR(LOWER(H105)="dnp",LOWER(U105)="dnp"),"DNP",IF(OR(LOWER(V105)="disbursed",ISNUMBER(SEARCH("Disbursed",W105&amp;""))),"Disbursed",IF(OR(LOWER(V105)="loan proccessed/accepted",ISNUMBER(SEARCH("sanctioned",LOWER(W105&amp;"")))),"Sanctioned",IF(OR(LOWER(V105)="rejected",ISNUMBER(SEARCH("Not eligbile",W105&amp;"")),ISNUMBER(SEARCH("Not eligible",W105&amp;""))),"Rejected",IF(ISNUMBER(SEARCH("Docs Pending",W105&amp;"")),"Documents Pending",IF(AND(LOWER(H105)="yes",LOWER(V105)="ongoing"),"Processing",IF(AND(LOWER(H105)="yes",Q105&gt;0,OR(V105="",LOWER(V105)="not even started")),"Vendor Assigned",IF(AND(LOWER(H105)="yes",LOWER(V105)="not even started"),"Need Loan",IF(LOWER(H105)="yes","Loan Started",IF(LOWER(H105)="not sure","Interested",IF(OR(LOWER(H105)="no",LOWER(V105)="not required"),"Not Required","Unclassified")))))))))))))</f>
        <v/>
      </c>
      <c r="Y105">
        <f>IF(A105="","",IF(OR(X105="Sanctioned",X105="Disbursed",X105="Approved"),"Approved",IF(X105="Rejected","Rejected",IF(OR(X105="Processing",X105="Documents Pending",X105="Vendor Assigned"),"In Progress",IF(X105="Need Loan","Pending Start","—"))))</f>
        <v/>
      </c>
      <c r="Z105">
        <f>IF(A105="","",IF(X105="Disbursed","Disbursed",IF(X105="Sanctioned","Sanctioned - Awaiting Disbursement","Not Disbursed")))</f>
        <v/>
      </c>
      <c r="AA105">
        <f>IF(A105="","",IF(LOWER(TRIM('01_Master_Data'!AI105&amp;""))="yes","Need FLDG",IF(LOWER(TRIM('01_Master_Data'!AK105&amp;""))="yes","Need Vidyalakshmi",IF(LOWER(TRIM('01_Master_Data'!AJ105&amp;""))="yes","Need Review",IF(LOWER(J105)="critical","Critical",IF(LOWER(U105)="risk","Risk Case",IF(X105="Refund","Refund","Normal")))))))</f>
        <v/>
      </c>
      <c r="AB105">
        <f>IF(A105="","",IF(OR(LOWER(J105)="critical",LOWER(TRIM('01_Master_Data'!AI105&amp;""))="yes",LOWER(TRIM('01_Master_Data'!AK105&amp;""))="yes",LOWER(U105)="risk"),"Yes","No"))</f>
        <v/>
      </c>
      <c r="AC105">
        <f>IF(A105="","",IF(LOWER(TRIM('01_Master_Data'!AI105&amp;""))="yes","Yes","No"))</f>
        <v/>
      </c>
      <c r="AD105">
        <f>IF(A105="","",IF(LOWER(TRIM('01_Master_Data'!AK105&amp;""))="yes","Yes","No"))</f>
        <v/>
      </c>
      <c r="AE105">
        <f>IF(A105="","",IF(LOWER(TRIM('01_Master_Data'!AJ105&amp;""))="yes","Yes","No"))</f>
        <v/>
      </c>
      <c r="AF105">
        <f>IF(A105="","",TRIM('01_Master_Data'!AL105&amp;""))</f>
        <v/>
      </c>
      <c r="AG105">
        <f>IF(A105="","",IF(AF105="","—",IF(ISNUMBER(SEARCH("DNP",AF105)),"Unreachable / DNP",IF(ISNUMBER(SEARCH("interest",LOWER(AF105))),"High Interest / Terms",IF(OR(ISNUMBER(SEARCH("eligib",LOWER(AF105))),ISNUMBER(SEARCH("income",LOWER(AF105)))),"Eligibility / Income",IF(OR(ISNUMBER(SEARCH("start",LOWER(AF105))),ISNUMBER(SEARCH("Newer",AF105)),ISNUMBER(SEARCH("Will start",AF105))),"Process Yet to Start",IF(ISNUMBER(SEARCH("sure",LOWER(AF105))),"Undecided",IF(OR(ISNUMBER(SEARCH("reject",LOWER(AF105))),ISNUMBER(SEARCH("SBI",AF105))),"Rejected Elsewhere",IF(ISNUMBER(SEARCH("call",LOWER(AF105))),"Bank Communication",IF(OR(ISNUMBER(SEARCH("father",LOWER(AF105))),ISNUMBER(SEARCH("sister",LOWER(AF105)))),"Family / Dependency","Other"))))))))))</f>
        <v/>
      </c>
      <c r="AH105">
        <f>IF(A105="","",'01_Master_Data'!AC105)</f>
        <v/>
      </c>
      <c r="AI105">
        <f>IF(A105="","",IF(OR(AH105="",NOT(ISNUMBER(AH105))),"",MAX(0,'02_Configuration'!$B$82-AH105)))</f>
        <v/>
      </c>
      <c r="AJ105">
        <f>IF(A105="","",IF(AI105="","Unknown",IF(AI105&lt;=3,"0–3 Days",IF(AI105&lt;=7,"4–7 Days",IF(AI105&lt;=15,"8–15 Days",IF(AI105&lt;=30,"16–30 Days","30+ Days"))))))</f>
        <v/>
      </c>
      <c r="AK105">
        <f>IF(A105="","",IF(LOWER(H105)="yes","Yes","No"))</f>
        <v/>
      </c>
      <c r="AL105">
        <f>IF(A105="","",'01_Master_Data'!T105)</f>
        <v/>
      </c>
      <c r="AM105">
        <f>IF(A105="","",'01_Master_Data'!S105)</f>
        <v/>
      </c>
      <c r="AN105">
        <f>IF(A105="","",'01_Master_Data'!I105)</f>
        <v/>
      </c>
      <c r="AO105">
        <f>IF(A105="","",'01_Master_Data'!M105)</f>
        <v/>
      </c>
      <c r="AP105">
        <f>IF(A105="","",IF(ISNUMBER(SEARCH("Icici",W105&amp;"")),1,0))</f>
        <v/>
      </c>
      <c r="AQ105">
        <f>IF(A105="","",IF(ISNUMBER(SEARCH("Propelld",W105&amp;"")),1,0))</f>
        <v/>
      </c>
      <c r="AR105">
        <f>IF(A105="","",IF(ISNUMBER(SEARCH("GyanDhan",W105&amp;"")),1,0))</f>
        <v/>
      </c>
      <c r="AS105">
        <f>IF(A105="","",IF(ISNUMBER(SEARCH("vidyalakshmi",LOWER(W105&amp;""))),1,0))</f>
        <v/>
      </c>
      <c r="AT105">
        <f>IF(A105="","",IF(ISNUMBER(SEARCH("other bank",LOWER(W105&amp;""))),1,0))</f>
        <v/>
      </c>
      <c r="AU105">
        <f>IF(A105="","",IF(ISNUMBER(SEARCH("sanctioned",LOWER(W105&amp;""))),1,0))</f>
        <v/>
      </c>
      <c r="AV105">
        <f>IF(A105="","",IF(ISNUMBER(SEARCH("Docs Pending",W105&amp;"")),1,0))</f>
        <v/>
      </c>
      <c r="AW105">
        <f>IF(A105="","",IF(OR(X105="Rejected",ISNUMBER(SEARCH("Not eligbile",W105&amp;""))),1,0))</f>
        <v/>
      </c>
    </row>
    <row r="106">
      <c r="A106">
        <f>IF('01_Master_Data'!B106="","",105)</f>
        <v/>
      </c>
      <c r="B106">
        <f>IF('01_Master_Data'!B106="","",IF('01_Master_Data'!C106&lt;&gt;"","MOB|"&amp;TEXT('01_Master_Data'!C106,"0"),IF('01_Master_Data'!D106&lt;&gt;"","PID|"&amp;TRIM('01_Master_Data'!D106&amp;""),"")))</f>
        <v/>
      </c>
      <c r="C106">
        <f>IF('01_Master_Data'!B106="","",'01_Master_Data'!B106)</f>
        <v/>
      </c>
      <c r="D106">
        <f>IF('01_Master_Data'!B106="","",'01_Master_Data'!C106)</f>
        <v/>
      </c>
      <c r="E106">
        <f>IF('01_Master_Data'!B106="","",'01_Master_Data'!D106)</f>
        <v/>
      </c>
      <c r="F106">
        <f>IF('01_Master_Data'!B106="","",'01_Master_Data'!E106)</f>
        <v/>
      </c>
      <c r="G106">
        <f>IF('01_Master_Data'!B106="","",IFERROR(VLOOKUP(TRIM('01_Master_Data'!E106&amp;""),'02_Configuration'!$A$40:$B$44,2,FALSE),UPPER(TRIM('01_Master_Data'!E106&amp;""))))</f>
        <v/>
      </c>
      <c r="H106">
        <f>IF('01_Master_Data'!B106="","",IF('01_Master_Data'!U106="","",TRIM('01_Master_Data'!U106&amp;"")))</f>
        <v/>
      </c>
      <c r="I106">
        <f>IF('01_Master_Data'!B106="","",TRIM('01_Master_Data'!F106&amp;""))</f>
        <v/>
      </c>
      <c r="J106">
        <f>IF('01_Master_Data'!B106="","",TRIM('01_Master_Data'!G106&amp;""))</f>
        <v/>
      </c>
      <c r="K106">
        <f>IF('01_Master_Data'!B106="","",'01_Master_Data'!H106)</f>
        <v/>
      </c>
      <c r="L106">
        <f>IF('01_Master_Data'!B106="","",IF(LOWER(TRIM('01_Master_Data'!V106&amp;""))="yes",1,0))</f>
        <v/>
      </c>
      <c r="M106">
        <f>IF('01_Master_Data'!B106="","",IF(LOWER(TRIM('01_Master_Data'!W106&amp;""))="yes",1,0))</f>
        <v/>
      </c>
      <c r="N106">
        <f>IF('01_Master_Data'!B106="","",IF(LOWER(TRIM('01_Master_Data'!X106&amp;""))="yes",1,0))</f>
        <v/>
      </c>
      <c r="O106">
        <f>IF('01_Master_Data'!B106="","",IF(LOWER(TRIM('01_Master_Data'!Y106&amp;""))="yes",1,0))</f>
        <v/>
      </c>
      <c r="P106">
        <f>IF('01_Master_Data'!B106="","",IF(LOWER(TRIM('01_Master_Data'!Z106&amp;""))="yes",1,0))</f>
        <v/>
      </c>
      <c r="Q106">
        <f>IF(A106="","",L106+M106+N106+O106+P106)</f>
        <v/>
      </c>
      <c r="R106">
        <f>IF(A106="","",IF(Q106&gt;1,"Yes","No"))</f>
        <v/>
      </c>
      <c r="S106">
        <f>IF(A106="","",TEXTJOIN(", ",TRUE,IF(L106=1,"ICICI",""),IF(M106=1,"Propelld",""),IF(N106=1,"Study4Buddy",""),IF(O106=1,"Poonawala Fincorp",""),IF(P106=1,"GyanDhan","")))</f>
        <v/>
      </c>
      <c r="T106">
        <f>IF(A106="","",IF(L106=1,"ICICI",IF(M106=1,"Propelld",IF(P106=1,"GyanDhan",IF(N106=1,"Study4Buddy",IF(O106=1,"Poonawala Fincorp",IF(ISNUMBER(SEARCH("GyanDhan",W106&amp;"")),"GyanDhan",IF(ISNUMBER(SEARCH("Icici",W106&amp;"")),"ICICI",IF(ISNUMBER(SEARCH("Propelld",W106&amp;"")),"Propelld",IF(ISNUMBER(SEARCH("vidyalakshmi",LOWER(W106&amp;"")),"PM Vidyalakshmi","—"))))))))))</f>
        <v/>
      </c>
      <c r="U106">
        <f>IF(A106="","",TRIM('01_Master_Data'!AA106&amp;""))</f>
        <v/>
      </c>
      <c r="V106">
        <f>IF(A106="","",TRIM('01_Master_Data'!AG106&amp;""))</f>
        <v/>
      </c>
      <c r="W106">
        <f>IF(A106="","",TRIM('01_Master_Data'!AH106&amp;""))</f>
        <v/>
      </c>
      <c r="X106">
        <f>IF(A106="","",IF(OR(LOWER(H106)="refund",LOWER(U106)="refund case"),"Refund",IF(OR(LOWER(H106)="dnp",LOWER(U106)="dnp"),"DNP",IF(OR(LOWER(V106)="disbursed",ISNUMBER(SEARCH("Disbursed",W106&amp;""))),"Disbursed",IF(OR(LOWER(V106)="loan proccessed/accepted",ISNUMBER(SEARCH("sanctioned",LOWER(W106&amp;"")))),"Sanctioned",IF(OR(LOWER(V106)="rejected",ISNUMBER(SEARCH("Not eligbile",W106&amp;"")),ISNUMBER(SEARCH("Not eligible",W106&amp;""))),"Rejected",IF(ISNUMBER(SEARCH("Docs Pending",W106&amp;"")),"Documents Pending",IF(AND(LOWER(H106)="yes",LOWER(V106)="ongoing"),"Processing",IF(AND(LOWER(H106)="yes",Q106&gt;0,OR(V106="",LOWER(V106)="not even started")),"Vendor Assigned",IF(AND(LOWER(H106)="yes",LOWER(V106)="not even started"),"Need Loan",IF(LOWER(H106)="yes","Loan Started",IF(LOWER(H106)="not sure","Interested",IF(OR(LOWER(H106)="no",LOWER(V106)="not required"),"Not Required","Unclassified")))))))))))))</f>
        <v/>
      </c>
      <c r="Y106">
        <f>IF(A106="","",IF(OR(X106="Sanctioned",X106="Disbursed",X106="Approved"),"Approved",IF(X106="Rejected","Rejected",IF(OR(X106="Processing",X106="Documents Pending",X106="Vendor Assigned"),"In Progress",IF(X106="Need Loan","Pending Start","—"))))</f>
        <v/>
      </c>
      <c r="Z106">
        <f>IF(A106="","",IF(X106="Disbursed","Disbursed",IF(X106="Sanctioned","Sanctioned - Awaiting Disbursement","Not Disbursed")))</f>
        <v/>
      </c>
      <c r="AA106">
        <f>IF(A106="","",IF(LOWER(TRIM('01_Master_Data'!AI106&amp;""))="yes","Need FLDG",IF(LOWER(TRIM('01_Master_Data'!AK106&amp;""))="yes","Need Vidyalakshmi",IF(LOWER(TRIM('01_Master_Data'!AJ106&amp;""))="yes","Need Review",IF(LOWER(J106)="critical","Critical",IF(LOWER(U106)="risk","Risk Case",IF(X106="Refund","Refund","Normal")))))))</f>
        <v/>
      </c>
      <c r="AB106">
        <f>IF(A106="","",IF(OR(LOWER(J106)="critical",LOWER(TRIM('01_Master_Data'!AI106&amp;""))="yes",LOWER(TRIM('01_Master_Data'!AK106&amp;""))="yes",LOWER(U106)="risk"),"Yes","No"))</f>
        <v/>
      </c>
      <c r="AC106">
        <f>IF(A106="","",IF(LOWER(TRIM('01_Master_Data'!AI106&amp;""))="yes","Yes","No"))</f>
        <v/>
      </c>
      <c r="AD106">
        <f>IF(A106="","",IF(LOWER(TRIM('01_Master_Data'!AK106&amp;""))="yes","Yes","No"))</f>
        <v/>
      </c>
      <c r="AE106">
        <f>IF(A106="","",IF(LOWER(TRIM('01_Master_Data'!AJ106&amp;""))="yes","Yes","No"))</f>
        <v/>
      </c>
      <c r="AF106">
        <f>IF(A106="","",TRIM('01_Master_Data'!AL106&amp;""))</f>
        <v/>
      </c>
      <c r="AG106">
        <f>IF(A106="","",IF(AF106="","—",IF(ISNUMBER(SEARCH("DNP",AF106)),"Unreachable / DNP",IF(ISNUMBER(SEARCH("interest",LOWER(AF106))),"High Interest / Terms",IF(OR(ISNUMBER(SEARCH("eligib",LOWER(AF106))),ISNUMBER(SEARCH("income",LOWER(AF106)))),"Eligibility / Income",IF(OR(ISNUMBER(SEARCH("start",LOWER(AF106))),ISNUMBER(SEARCH("Newer",AF106)),ISNUMBER(SEARCH("Will start",AF106))),"Process Yet to Start",IF(ISNUMBER(SEARCH("sure",LOWER(AF106))),"Undecided",IF(OR(ISNUMBER(SEARCH("reject",LOWER(AF106))),ISNUMBER(SEARCH("SBI",AF106))),"Rejected Elsewhere",IF(ISNUMBER(SEARCH("call",LOWER(AF106))),"Bank Communication",IF(OR(ISNUMBER(SEARCH("father",LOWER(AF106))),ISNUMBER(SEARCH("sister",LOWER(AF106)))),"Family / Dependency","Other"))))))))))</f>
        <v/>
      </c>
      <c r="AH106">
        <f>IF(A106="","",'01_Master_Data'!AC106)</f>
        <v/>
      </c>
      <c r="AI106">
        <f>IF(A106="","",IF(OR(AH106="",NOT(ISNUMBER(AH106))),"",MAX(0,'02_Configuration'!$B$82-AH106)))</f>
        <v/>
      </c>
      <c r="AJ106">
        <f>IF(A106="","",IF(AI106="","Unknown",IF(AI106&lt;=3,"0–3 Days",IF(AI106&lt;=7,"4–7 Days",IF(AI106&lt;=15,"8–15 Days",IF(AI106&lt;=30,"16–30 Days","30+ Days"))))))</f>
        <v/>
      </c>
      <c r="AK106">
        <f>IF(A106="","",IF(LOWER(H106)="yes","Yes","No"))</f>
        <v/>
      </c>
      <c r="AL106">
        <f>IF(A106="","",'01_Master_Data'!T106)</f>
        <v/>
      </c>
      <c r="AM106">
        <f>IF(A106="","",'01_Master_Data'!S106)</f>
        <v/>
      </c>
      <c r="AN106">
        <f>IF(A106="","",'01_Master_Data'!I106)</f>
        <v/>
      </c>
      <c r="AO106">
        <f>IF(A106="","",'01_Master_Data'!M106)</f>
        <v/>
      </c>
      <c r="AP106">
        <f>IF(A106="","",IF(ISNUMBER(SEARCH("Icici",W106&amp;"")),1,0))</f>
        <v/>
      </c>
      <c r="AQ106">
        <f>IF(A106="","",IF(ISNUMBER(SEARCH("Propelld",W106&amp;"")),1,0))</f>
        <v/>
      </c>
      <c r="AR106">
        <f>IF(A106="","",IF(ISNUMBER(SEARCH("GyanDhan",W106&amp;"")),1,0))</f>
        <v/>
      </c>
      <c r="AS106">
        <f>IF(A106="","",IF(ISNUMBER(SEARCH("vidyalakshmi",LOWER(W106&amp;""))),1,0))</f>
        <v/>
      </c>
      <c r="AT106">
        <f>IF(A106="","",IF(ISNUMBER(SEARCH("other bank",LOWER(W106&amp;""))),1,0))</f>
        <v/>
      </c>
      <c r="AU106">
        <f>IF(A106="","",IF(ISNUMBER(SEARCH("sanctioned",LOWER(W106&amp;""))),1,0))</f>
        <v/>
      </c>
      <c r="AV106">
        <f>IF(A106="","",IF(ISNUMBER(SEARCH("Docs Pending",W106&amp;"")),1,0))</f>
        <v/>
      </c>
      <c r="AW106">
        <f>IF(A106="","",IF(OR(X106="Rejected",ISNUMBER(SEARCH("Not eligbile",W106&amp;""))),1,0))</f>
        <v/>
      </c>
    </row>
    <row r="107">
      <c r="A107">
        <f>IF('01_Master_Data'!B107="","",106)</f>
        <v/>
      </c>
      <c r="B107">
        <f>IF('01_Master_Data'!B107="","",IF('01_Master_Data'!C107&lt;&gt;"","MOB|"&amp;TEXT('01_Master_Data'!C107,"0"),IF('01_Master_Data'!D107&lt;&gt;"","PID|"&amp;TRIM('01_Master_Data'!D107&amp;""),"")))</f>
        <v/>
      </c>
      <c r="C107">
        <f>IF('01_Master_Data'!B107="","",'01_Master_Data'!B107)</f>
        <v/>
      </c>
      <c r="D107">
        <f>IF('01_Master_Data'!B107="","",'01_Master_Data'!C107)</f>
        <v/>
      </c>
      <c r="E107">
        <f>IF('01_Master_Data'!B107="","",'01_Master_Data'!D107)</f>
        <v/>
      </c>
      <c r="F107">
        <f>IF('01_Master_Data'!B107="","",'01_Master_Data'!E107)</f>
        <v/>
      </c>
      <c r="G107">
        <f>IF('01_Master_Data'!B107="","",IFERROR(VLOOKUP(TRIM('01_Master_Data'!E107&amp;""),'02_Configuration'!$A$40:$B$44,2,FALSE),UPPER(TRIM('01_Master_Data'!E107&amp;""))))</f>
        <v/>
      </c>
      <c r="H107">
        <f>IF('01_Master_Data'!B107="","",IF('01_Master_Data'!U107="","",TRIM('01_Master_Data'!U107&amp;"")))</f>
        <v/>
      </c>
      <c r="I107">
        <f>IF('01_Master_Data'!B107="","",TRIM('01_Master_Data'!F107&amp;""))</f>
        <v/>
      </c>
      <c r="J107">
        <f>IF('01_Master_Data'!B107="","",TRIM('01_Master_Data'!G107&amp;""))</f>
        <v/>
      </c>
      <c r="K107">
        <f>IF('01_Master_Data'!B107="","",'01_Master_Data'!H107)</f>
        <v/>
      </c>
      <c r="L107">
        <f>IF('01_Master_Data'!B107="","",IF(LOWER(TRIM('01_Master_Data'!V107&amp;""))="yes",1,0))</f>
        <v/>
      </c>
      <c r="M107">
        <f>IF('01_Master_Data'!B107="","",IF(LOWER(TRIM('01_Master_Data'!W107&amp;""))="yes",1,0))</f>
        <v/>
      </c>
      <c r="N107">
        <f>IF('01_Master_Data'!B107="","",IF(LOWER(TRIM('01_Master_Data'!X107&amp;""))="yes",1,0))</f>
        <v/>
      </c>
      <c r="O107">
        <f>IF('01_Master_Data'!B107="","",IF(LOWER(TRIM('01_Master_Data'!Y107&amp;""))="yes",1,0))</f>
        <v/>
      </c>
      <c r="P107">
        <f>IF('01_Master_Data'!B107="","",IF(LOWER(TRIM('01_Master_Data'!Z107&amp;""))="yes",1,0))</f>
        <v/>
      </c>
      <c r="Q107">
        <f>IF(A107="","",L107+M107+N107+O107+P107)</f>
        <v/>
      </c>
      <c r="R107">
        <f>IF(A107="","",IF(Q107&gt;1,"Yes","No"))</f>
        <v/>
      </c>
      <c r="S107">
        <f>IF(A107="","",TEXTJOIN(", ",TRUE,IF(L107=1,"ICICI",""),IF(M107=1,"Propelld",""),IF(N107=1,"Study4Buddy",""),IF(O107=1,"Poonawala Fincorp",""),IF(P107=1,"GyanDhan","")))</f>
        <v/>
      </c>
      <c r="T107">
        <f>IF(A107="","",IF(L107=1,"ICICI",IF(M107=1,"Propelld",IF(P107=1,"GyanDhan",IF(N107=1,"Study4Buddy",IF(O107=1,"Poonawala Fincorp",IF(ISNUMBER(SEARCH("GyanDhan",W107&amp;"")),"GyanDhan",IF(ISNUMBER(SEARCH("Icici",W107&amp;"")),"ICICI",IF(ISNUMBER(SEARCH("Propelld",W107&amp;"")),"Propelld",IF(ISNUMBER(SEARCH("vidyalakshmi",LOWER(W107&amp;"")),"PM Vidyalakshmi","—"))))))))))</f>
        <v/>
      </c>
      <c r="U107">
        <f>IF(A107="","",TRIM('01_Master_Data'!AA107&amp;""))</f>
        <v/>
      </c>
      <c r="V107">
        <f>IF(A107="","",TRIM('01_Master_Data'!AG107&amp;""))</f>
        <v/>
      </c>
      <c r="W107">
        <f>IF(A107="","",TRIM('01_Master_Data'!AH107&amp;""))</f>
        <v/>
      </c>
      <c r="X107">
        <f>IF(A107="","",IF(OR(LOWER(H107)="refund",LOWER(U107)="refund case"),"Refund",IF(OR(LOWER(H107)="dnp",LOWER(U107)="dnp"),"DNP",IF(OR(LOWER(V107)="disbursed",ISNUMBER(SEARCH("Disbursed",W107&amp;""))),"Disbursed",IF(OR(LOWER(V107)="loan proccessed/accepted",ISNUMBER(SEARCH("sanctioned",LOWER(W107&amp;"")))),"Sanctioned",IF(OR(LOWER(V107)="rejected",ISNUMBER(SEARCH("Not eligbile",W107&amp;"")),ISNUMBER(SEARCH("Not eligible",W107&amp;""))),"Rejected",IF(ISNUMBER(SEARCH("Docs Pending",W107&amp;"")),"Documents Pending",IF(AND(LOWER(H107)="yes",LOWER(V107)="ongoing"),"Processing",IF(AND(LOWER(H107)="yes",Q107&gt;0,OR(V107="",LOWER(V107)="not even started")),"Vendor Assigned",IF(AND(LOWER(H107)="yes",LOWER(V107)="not even started"),"Need Loan",IF(LOWER(H107)="yes","Loan Started",IF(LOWER(H107)="not sure","Interested",IF(OR(LOWER(H107)="no",LOWER(V107)="not required"),"Not Required","Unclassified")))))))))))))</f>
        <v/>
      </c>
      <c r="Y107">
        <f>IF(A107="","",IF(OR(X107="Sanctioned",X107="Disbursed",X107="Approved"),"Approved",IF(X107="Rejected","Rejected",IF(OR(X107="Processing",X107="Documents Pending",X107="Vendor Assigned"),"In Progress",IF(X107="Need Loan","Pending Start","—"))))</f>
        <v/>
      </c>
      <c r="Z107">
        <f>IF(A107="","",IF(X107="Disbursed","Disbursed",IF(X107="Sanctioned","Sanctioned - Awaiting Disbursement","Not Disbursed")))</f>
        <v/>
      </c>
      <c r="AA107">
        <f>IF(A107="","",IF(LOWER(TRIM('01_Master_Data'!AI107&amp;""))="yes","Need FLDG",IF(LOWER(TRIM('01_Master_Data'!AK107&amp;""))="yes","Need Vidyalakshmi",IF(LOWER(TRIM('01_Master_Data'!AJ107&amp;""))="yes","Need Review",IF(LOWER(J107)="critical","Critical",IF(LOWER(U107)="risk","Risk Case",IF(X107="Refund","Refund","Normal")))))))</f>
        <v/>
      </c>
      <c r="AB107">
        <f>IF(A107="","",IF(OR(LOWER(J107)="critical",LOWER(TRIM('01_Master_Data'!AI107&amp;""))="yes",LOWER(TRIM('01_Master_Data'!AK107&amp;""))="yes",LOWER(U107)="risk"),"Yes","No"))</f>
        <v/>
      </c>
      <c r="AC107">
        <f>IF(A107="","",IF(LOWER(TRIM('01_Master_Data'!AI107&amp;""))="yes","Yes","No"))</f>
        <v/>
      </c>
      <c r="AD107">
        <f>IF(A107="","",IF(LOWER(TRIM('01_Master_Data'!AK107&amp;""))="yes","Yes","No"))</f>
        <v/>
      </c>
      <c r="AE107">
        <f>IF(A107="","",IF(LOWER(TRIM('01_Master_Data'!AJ107&amp;""))="yes","Yes","No"))</f>
        <v/>
      </c>
      <c r="AF107">
        <f>IF(A107="","",TRIM('01_Master_Data'!AL107&amp;""))</f>
        <v/>
      </c>
      <c r="AG107">
        <f>IF(A107="","",IF(AF107="","—",IF(ISNUMBER(SEARCH("DNP",AF107)),"Unreachable / DNP",IF(ISNUMBER(SEARCH("interest",LOWER(AF107))),"High Interest / Terms",IF(OR(ISNUMBER(SEARCH("eligib",LOWER(AF107))),ISNUMBER(SEARCH("income",LOWER(AF107)))),"Eligibility / Income",IF(OR(ISNUMBER(SEARCH("start",LOWER(AF107))),ISNUMBER(SEARCH("Newer",AF107)),ISNUMBER(SEARCH("Will start",AF107))),"Process Yet to Start",IF(ISNUMBER(SEARCH("sure",LOWER(AF107))),"Undecided",IF(OR(ISNUMBER(SEARCH("reject",LOWER(AF107))),ISNUMBER(SEARCH("SBI",AF107))),"Rejected Elsewhere",IF(ISNUMBER(SEARCH("call",LOWER(AF107))),"Bank Communication",IF(OR(ISNUMBER(SEARCH("father",LOWER(AF107))),ISNUMBER(SEARCH("sister",LOWER(AF107)))),"Family / Dependency","Other"))))))))))</f>
        <v/>
      </c>
      <c r="AH107">
        <f>IF(A107="","",'01_Master_Data'!AC107)</f>
        <v/>
      </c>
      <c r="AI107">
        <f>IF(A107="","",IF(OR(AH107="",NOT(ISNUMBER(AH107))),"",MAX(0,'02_Configuration'!$B$82-AH107)))</f>
        <v/>
      </c>
      <c r="AJ107">
        <f>IF(A107="","",IF(AI107="","Unknown",IF(AI107&lt;=3,"0–3 Days",IF(AI107&lt;=7,"4–7 Days",IF(AI107&lt;=15,"8–15 Days",IF(AI107&lt;=30,"16–30 Days","30+ Days"))))))</f>
        <v/>
      </c>
      <c r="AK107">
        <f>IF(A107="","",IF(LOWER(H107)="yes","Yes","No"))</f>
        <v/>
      </c>
      <c r="AL107">
        <f>IF(A107="","",'01_Master_Data'!T107)</f>
        <v/>
      </c>
      <c r="AM107">
        <f>IF(A107="","",'01_Master_Data'!S107)</f>
        <v/>
      </c>
      <c r="AN107">
        <f>IF(A107="","",'01_Master_Data'!I107)</f>
        <v/>
      </c>
      <c r="AO107">
        <f>IF(A107="","",'01_Master_Data'!M107)</f>
        <v/>
      </c>
      <c r="AP107">
        <f>IF(A107="","",IF(ISNUMBER(SEARCH("Icici",W107&amp;"")),1,0))</f>
        <v/>
      </c>
      <c r="AQ107">
        <f>IF(A107="","",IF(ISNUMBER(SEARCH("Propelld",W107&amp;"")),1,0))</f>
        <v/>
      </c>
      <c r="AR107">
        <f>IF(A107="","",IF(ISNUMBER(SEARCH("GyanDhan",W107&amp;"")),1,0))</f>
        <v/>
      </c>
      <c r="AS107">
        <f>IF(A107="","",IF(ISNUMBER(SEARCH("vidyalakshmi",LOWER(W107&amp;""))),1,0))</f>
        <v/>
      </c>
      <c r="AT107">
        <f>IF(A107="","",IF(ISNUMBER(SEARCH("other bank",LOWER(W107&amp;""))),1,0))</f>
        <v/>
      </c>
      <c r="AU107">
        <f>IF(A107="","",IF(ISNUMBER(SEARCH("sanctioned",LOWER(W107&amp;""))),1,0))</f>
        <v/>
      </c>
      <c r="AV107">
        <f>IF(A107="","",IF(ISNUMBER(SEARCH("Docs Pending",W107&amp;"")),1,0))</f>
        <v/>
      </c>
      <c r="AW107">
        <f>IF(A107="","",IF(OR(X107="Rejected",ISNUMBER(SEARCH("Not eligbile",W107&amp;""))),1,0))</f>
        <v/>
      </c>
    </row>
    <row r="108">
      <c r="A108">
        <f>IF('01_Master_Data'!B108="","",107)</f>
        <v/>
      </c>
      <c r="B108">
        <f>IF('01_Master_Data'!B108="","",IF('01_Master_Data'!C108&lt;&gt;"","MOB|"&amp;TEXT('01_Master_Data'!C108,"0"),IF('01_Master_Data'!D108&lt;&gt;"","PID|"&amp;TRIM('01_Master_Data'!D108&amp;""),"")))</f>
        <v/>
      </c>
      <c r="C108">
        <f>IF('01_Master_Data'!B108="","",'01_Master_Data'!B108)</f>
        <v/>
      </c>
      <c r="D108">
        <f>IF('01_Master_Data'!B108="","",'01_Master_Data'!C108)</f>
        <v/>
      </c>
      <c r="E108">
        <f>IF('01_Master_Data'!B108="","",'01_Master_Data'!D108)</f>
        <v/>
      </c>
      <c r="F108">
        <f>IF('01_Master_Data'!B108="","",'01_Master_Data'!E108)</f>
        <v/>
      </c>
      <c r="G108">
        <f>IF('01_Master_Data'!B108="","",IFERROR(VLOOKUP(TRIM('01_Master_Data'!E108&amp;""),'02_Configuration'!$A$40:$B$44,2,FALSE),UPPER(TRIM('01_Master_Data'!E108&amp;""))))</f>
        <v/>
      </c>
      <c r="H108">
        <f>IF('01_Master_Data'!B108="","",IF('01_Master_Data'!U108="","",TRIM('01_Master_Data'!U108&amp;"")))</f>
        <v/>
      </c>
      <c r="I108">
        <f>IF('01_Master_Data'!B108="","",TRIM('01_Master_Data'!F108&amp;""))</f>
        <v/>
      </c>
      <c r="J108">
        <f>IF('01_Master_Data'!B108="","",TRIM('01_Master_Data'!G108&amp;""))</f>
        <v/>
      </c>
      <c r="K108">
        <f>IF('01_Master_Data'!B108="","",'01_Master_Data'!H108)</f>
        <v/>
      </c>
      <c r="L108">
        <f>IF('01_Master_Data'!B108="","",IF(LOWER(TRIM('01_Master_Data'!V108&amp;""))="yes",1,0))</f>
        <v/>
      </c>
      <c r="M108">
        <f>IF('01_Master_Data'!B108="","",IF(LOWER(TRIM('01_Master_Data'!W108&amp;""))="yes",1,0))</f>
        <v/>
      </c>
      <c r="N108">
        <f>IF('01_Master_Data'!B108="","",IF(LOWER(TRIM('01_Master_Data'!X108&amp;""))="yes",1,0))</f>
        <v/>
      </c>
      <c r="O108">
        <f>IF('01_Master_Data'!B108="","",IF(LOWER(TRIM('01_Master_Data'!Y108&amp;""))="yes",1,0))</f>
        <v/>
      </c>
      <c r="P108">
        <f>IF('01_Master_Data'!B108="","",IF(LOWER(TRIM('01_Master_Data'!Z108&amp;""))="yes",1,0))</f>
        <v/>
      </c>
      <c r="Q108">
        <f>IF(A108="","",L108+M108+N108+O108+P108)</f>
        <v/>
      </c>
      <c r="R108">
        <f>IF(A108="","",IF(Q108&gt;1,"Yes","No"))</f>
        <v/>
      </c>
      <c r="S108">
        <f>IF(A108="","",TEXTJOIN(", ",TRUE,IF(L108=1,"ICICI",""),IF(M108=1,"Propelld",""),IF(N108=1,"Study4Buddy",""),IF(O108=1,"Poonawala Fincorp",""),IF(P108=1,"GyanDhan","")))</f>
        <v/>
      </c>
      <c r="T108">
        <f>IF(A108="","",IF(L108=1,"ICICI",IF(M108=1,"Propelld",IF(P108=1,"GyanDhan",IF(N108=1,"Study4Buddy",IF(O108=1,"Poonawala Fincorp",IF(ISNUMBER(SEARCH("GyanDhan",W108&amp;"")),"GyanDhan",IF(ISNUMBER(SEARCH("Icici",W108&amp;"")),"ICICI",IF(ISNUMBER(SEARCH("Propelld",W108&amp;"")),"Propelld",IF(ISNUMBER(SEARCH("vidyalakshmi",LOWER(W108&amp;"")),"PM Vidyalakshmi","—"))))))))))</f>
        <v/>
      </c>
      <c r="U108">
        <f>IF(A108="","",TRIM('01_Master_Data'!AA108&amp;""))</f>
        <v/>
      </c>
      <c r="V108">
        <f>IF(A108="","",TRIM('01_Master_Data'!AG108&amp;""))</f>
        <v/>
      </c>
      <c r="W108">
        <f>IF(A108="","",TRIM('01_Master_Data'!AH108&amp;""))</f>
        <v/>
      </c>
      <c r="X108">
        <f>IF(A108="","",IF(OR(LOWER(H108)="refund",LOWER(U108)="refund case"),"Refund",IF(OR(LOWER(H108)="dnp",LOWER(U108)="dnp"),"DNP",IF(OR(LOWER(V108)="disbursed",ISNUMBER(SEARCH("Disbursed",W108&amp;""))),"Disbursed",IF(OR(LOWER(V108)="loan proccessed/accepted",ISNUMBER(SEARCH("sanctioned",LOWER(W108&amp;"")))),"Sanctioned",IF(OR(LOWER(V108)="rejected",ISNUMBER(SEARCH("Not eligbile",W108&amp;"")),ISNUMBER(SEARCH("Not eligible",W108&amp;""))),"Rejected",IF(ISNUMBER(SEARCH("Docs Pending",W108&amp;"")),"Documents Pending",IF(AND(LOWER(H108)="yes",LOWER(V108)="ongoing"),"Processing",IF(AND(LOWER(H108)="yes",Q108&gt;0,OR(V108="",LOWER(V108)="not even started")),"Vendor Assigned",IF(AND(LOWER(H108)="yes",LOWER(V108)="not even started"),"Need Loan",IF(LOWER(H108)="yes","Loan Started",IF(LOWER(H108)="not sure","Interested",IF(OR(LOWER(H108)="no",LOWER(V108)="not required"),"Not Required","Unclassified")))))))))))))</f>
        <v/>
      </c>
      <c r="Y108">
        <f>IF(A108="","",IF(OR(X108="Sanctioned",X108="Disbursed",X108="Approved"),"Approved",IF(X108="Rejected","Rejected",IF(OR(X108="Processing",X108="Documents Pending",X108="Vendor Assigned"),"In Progress",IF(X108="Need Loan","Pending Start","—"))))</f>
        <v/>
      </c>
      <c r="Z108">
        <f>IF(A108="","",IF(X108="Disbursed","Disbursed",IF(X108="Sanctioned","Sanctioned - Awaiting Disbursement","Not Disbursed")))</f>
        <v/>
      </c>
      <c r="AA108">
        <f>IF(A108="","",IF(LOWER(TRIM('01_Master_Data'!AI108&amp;""))="yes","Need FLDG",IF(LOWER(TRIM('01_Master_Data'!AK108&amp;""))="yes","Need Vidyalakshmi",IF(LOWER(TRIM('01_Master_Data'!AJ108&amp;""))="yes","Need Review",IF(LOWER(J108)="critical","Critical",IF(LOWER(U108)="risk","Risk Case",IF(X108="Refund","Refund","Normal")))))))</f>
        <v/>
      </c>
      <c r="AB108">
        <f>IF(A108="","",IF(OR(LOWER(J108)="critical",LOWER(TRIM('01_Master_Data'!AI108&amp;""))="yes",LOWER(TRIM('01_Master_Data'!AK108&amp;""))="yes",LOWER(U108)="risk"),"Yes","No"))</f>
        <v/>
      </c>
      <c r="AC108">
        <f>IF(A108="","",IF(LOWER(TRIM('01_Master_Data'!AI108&amp;""))="yes","Yes","No"))</f>
        <v/>
      </c>
      <c r="AD108">
        <f>IF(A108="","",IF(LOWER(TRIM('01_Master_Data'!AK108&amp;""))="yes","Yes","No"))</f>
        <v/>
      </c>
      <c r="AE108">
        <f>IF(A108="","",IF(LOWER(TRIM('01_Master_Data'!AJ108&amp;""))="yes","Yes","No"))</f>
        <v/>
      </c>
      <c r="AF108">
        <f>IF(A108="","",TRIM('01_Master_Data'!AL108&amp;""))</f>
        <v/>
      </c>
      <c r="AG108">
        <f>IF(A108="","",IF(AF108="","—",IF(ISNUMBER(SEARCH("DNP",AF108)),"Unreachable / DNP",IF(ISNUMBER(SEARCH("interest",LOWER(AF108))),"High Interest / Terms",IF(OR(ISNUMBER(SEARCH("eligib",LOWER(AF108))),ISNUMBER(SEARCH("income",LOWER(AF108)))),"Eligibility / Income",IF(OR(ISNUMBER(SEARCH("start",LOWER(AF108))),ISNUMBER(SEARCH("Newer",AF108)),ISNUMBER(SEARCH("Will start",AF108))),"Process Yet to Start",IF(ISNUMBER(SEARCH("sure",LOWER(AF108))),"Undecided",IF(OR(ISNUMBER(SEARCH("reject",LOWER(AF108))),ISNUMBER(SEARCH("SBI",AF108))),"Rejected Elsewhere",IF(ISNUMBER(SEARCH("call",LOWER(AF108))),"Bank Communication",IF(OR(ISNUMBER(SEARCH("father",LOWER(AF108))),ISNUMBER(SEARCH("sister",LOWER(AF108)))),"Family / Dependency","Other"))))))))))</f>
        <v/>
      </c>
      <c r="AH108">
        <f>IF(A108="","",'01_Master_Data'!AC108)</f>
        <v/>
      </c>
      <c r="AI108">
        <f>IF(A108="","",IF(OR(AH108="",NOT(ISNUMBER(AH108))),"",MAX(0,'02_Configuration'!$B$82-AH108)))</f>
        <v/>
      </c>
      <c r="AJ108">
        <f>IF(A108="","",IF(AI108="","Unknown",IF(AI108&lt;=3,"0–3 Days",IF(AI108&lt;=7,"4–7 Days",IF(AI108&lt;=15,"8–15 Days",IF(AI108&lt;=30,"16–30 Days","30+ Days"))))))</f>
        <v/>
      </c>
      <c r="AK108">
        <f>IF(A108="","",IF(LOWER(H108)="yes","Yes","No"))</f>
        <v/>
      </c>
      <c r="AL108">
        <f>IF(A108="","",'01_Master_Data'!T108)</f>
        <v/>
      </c>
      <c r="AM108">
        <f>IF(A108="","",'01_Master_Data'!S108)</f>
        <v/>
      </c>
      <c r="AN108">
        <f>IF(A108="","",'01_Master_Data'!I108)</f>
        <v/>
      </c>
      <c r="AO108">
        <f>IF(A108="","",'01_Master_Data'!M108)</f>
        <v/>
      </c>
      <c r="AP108">
        <f>IF(A108="","",IF(ISNUMBER(SEARCH("Icici",W108&amp;"")),1,0))</f>
        <v/>
      </c>
      <c r="AQ108">
        <f>IF(A108="","",IF(ISNUMBER(SEARCH("Propelld",W108&amp;"")),1,0))</f>
        <v/>
      </c>
      <c r="AR108">
        <f>IF(A108="","",IF(ISNUMBER(SEARCH("GyanDhan",W108&amp;"")),1,0))</f>
        <v/>
      </c>
      <c r="AS108">
        <f>IF(A108="","",IF(ISNUMBER(SEARCH("vidyalakshmi",LOWER(W108&amp;""))),1,0))</f>
        <v/>
      </c>
      <c r="AT108">
        <f>IF(A108="","",IF(ISNUMBER(SEARCH("other bank",LOWER(W108&amp;""))),1,0))</f>
        <v/>
      </c>
      <c r="AU108">
        <f>IF(A108="","",IF(ISNUMBER(SEARCH("sanctioned",LOWER(W108&amp;""))),1,0))</f>
        <v/>
      </c>
      <c r="AV108">
        <f>IF(A108="","",IF(ISNUMBER(SEARCH("Docs Pending",W108&amp;"")),1,0))</f>
        <v/>
      </c>
      <c r="AW108">
        <f>IF(A108="","",IF(OR(X108="Rejected",ISNUMBER(SEARCH("Not eligbile",W108&amp;""))),1,0))</f>
        <v/>
      </c>
    </row>
    <row r="109">
      <c r="A109">
        <f>IF('01_Master_Data'!B109="","",108)</f>
        <v/>
      </c>
      <c r="B109">
        <f>IF('01_Master_Data'!B109="","",IF('01_Master_Data'!C109&lt;&gt;"","MOB|"&amp;TEXT('01_Master_Data'!C109,"0"),IF('01_Master_Data'!D109&lt;&gt;"","PID|"&amp;TRIM('01_Master_Data'!D109&amp;""),"")))</f>
        <v/>
      </c>
      <c r="C109">
        <f>IF('01_Master_Data'!B109="","",'01_Master_Data'!B109)</f>
        <v/>
      </c>
      <c r="D109">
        <f>IF('01_Master_Data'!B109="","",'01_Master_Data'!C109)</f>
        <v/>
      </c>
      <c r="E109">
        <f>IF('01_Master_Data'!B109="","",'01_Master_Data'!D109)</f>
        <v/>
      </c>
      <c r="F109">
        <f>IF('01_Master_Data'!B109="","",'01_Master_Data'!E109)</f>
        <v/>
      </c>
      <c r="G109">
        <f>IF('01_Master_Data'!B109="","",IFERROR(VLOOKUP(TRIM('01_Master_Data'!E109&amp;""),'02_Configuration'!$A$40:$B$44,2,FALSE),UPPER(TRIM('01_Master_Data'!E109&amp;""))))</f>
        <v/>
      </c>
      <c r="H109">
        <f>IF('01_Master_Data'!B109="","",IF('01_Master_Data'!U109="","",TRIM('01_Master_Data'!U109&amp;"")))</f>
        <v/>
      </c>
      <c r="I109">
        <f>IF('01_Master_Data'!B109="","",TRIM('01_Master_Data'!F109&amp;""))</f>
        <v/>
      </c>
      <c r="J109">
        <f>IF('01_Master_Data'!B109="","",TRIM('01_Master_Data'!G109&amp;""))</f>
        <v/>
      </c>
      <c r="K109">
        <f>IF('01_Master_Data'!B109="","",'01_Master_Data'!H109)</f>
        <v/>
      </c>
      <c r="L109">
        <f>IF('01_Master_Data'!B109="","",IF(LOWER(TRIM('01_Master_Data'!V109&amp;""))="yes",1,0))</f>
        <v/>
      </c>
      <c r="M109">
        <f>IF('01_Master_Data'!B109="","",IF(LOWER(TRIM('01_Master_Data'!W109&amp;""))="yes",1,0))</f>
        <v/>
      </c>
      <c r="N109">
        <f>IF('01_Master_Data'!B109="","",IF(LOWER(TRIM('01_Master_Data'!X109&amp;""))="yes",1,0))</f>
        <v/>
      </c>
      <c r="O109">
        <f>IF('01_Master_Data'!B109="","",IF(LOWER(TRIM('01_Master_Data'!Y109&amp;""))="yes",1,0))</f>
        <v/>
      </c>
      <c r="P109">
        <f>IF('01_Master_Data'!B109="","",IF(LOWER(TRIM('01_Master_Data'!Z109&amp;""))="yes",1,0))</f>
        <v/>
      </c>
      <c r="Q109">
        <f>IF(A109="","",L109+M109+N109+O109+P109)</f>
        <v/>
      </c>
      <c r="R109">
        <f>IF(A109="","",IF(Q109&gt;1,"Yes","No"))</f>
        <v/>
      </c>
      <c r="S109">
        <f>IF(A109="","",TEXTJOIN(", ",TRUE,IF(L109=1,"ICICI",""),IF(M109=1,"Propelld",""),IF(N109=1,"Study4Buddy",""),IF(O109=1,"Poonawala Fincorp",""),IF(P109=1,"GyanDhan","")))</f>
        <v/>
      </c>
      <c r="T109">
        <f>IF(A109="","",IF(L109=1,"ICICI",IF(M109=1,"Propelld",IF(P109=1,"GyanDhan",IF(N109=1,"Study4Buddy",IF(O109=1,"Poonawala Fincorp",IF(ISNUMBER(SEARCH("GyanDhan",W109&amp;"")),"GyanDhan",IF(ISNUMBER(SEARCH("Icici",W109&amp;"")),"ICICI",IF(ISNUMBER(SEARCH("Propelld",W109&amp;"")),"Propelld",IF(ISNUMBER(SEARCH("vidyalakshmi",LOWER(W109&amp;"")),"PM Vidyalakshmi","—"))))))))))</f>
        <v/>
      </c>
      <c r="U109">
        <f>IF(A109="","",TRIM('01_Master_Data'!AA109&amp;""))</f>
        <v/>
      </c>
      <c r="V109">
        <f>IF(A109="","",TRIM('01_Master_Data'!AG109&amp;""))</f>
        <v/>
      </c>
      <c r="W109">
        <f>IF(A109="","",TRIM('01_Master_Data'!AH109&amp;""))</f>
        <v/>
      </c>
      <c r="X109">
        <f>IF(A109="","",IF(OR(LOWER(H109)="refund",LOWER(U109)="refund case"),"Refund",IF(OR(LOWER(H109)="dnp",LOWER(U109)="dnp"),"DNP",IF(OR(LOWER(V109)="disbursed",ISNUMBER(SEARCH("Disbursed",W109&amp;""))),"Disbursed",IF(OR(LOWER(V109)="loan proccessed/accepted",ISNUMBER(SEARCH("sanctioned",LOWER(W109&amp;"")))),"Sanctioned",IF(OR(LOWER(V109)="rejected",ISNUMBER(SEARCH("Not eligbile",W109&amp;"")),ISNUMBER(SEARCH("Not eligible",W109&amp;""))),"Rejected",IF(ISNUMBER(SEARCH("Docs Pending",W109&amp;"")),"Documents Pending",IF(AND(LOWER(H109)="yes",LOWER(V109)="ongoing"),"Processing",IF(AND(LOWER(H109)="yes",Q109&gt;0,OR(V109="",LOWER(V109)="not even started")),"Vendor Assigned",IF(AND(LOWER(H109)="yes",LOWER(V109)="not even started"),"Need Loan",IF(LOWER(H109)="yes","Loan Started",IF(LOWER(H109)="not sure","Interested",IF(OR(LOWER(H109)="no",LOWER(V109)="not required"),"Not Required","Unclassified")))))))))))))</f>
        <v/>
      </c>
      <c r="Y109">
        <f>IF(A109="","",IF(OR(X109="Sanctioned",X109="Disbursed",X109="Approved"),"Approved",IF(X109="Rejected","Rejected",IF(OR(X109="Processing",X109="Documents Pending",X109="Vendor Assigned"),"In Progress",IF(X109="Need Loan","Pending Start","—"))))</f>
        <v/>
      </c>
      <c r="Z109">
        <f>IF(A109="","",IF(X109="Disbursed","Disbursed",IF(X109="Sanctioned","Sanctioned - Awaiting Disbursement","Not Disbursed")))</f>
        <v/>
      </c>
      <c r="AA109">
        <f>IF(A109="","",IF(LOWER(TRIM('01_Master_Data'!AI109&amp;""))="yes","Need FLDG",IF(LOWER(TRIM('01_Master_Data'!AK109&amp;""))="yes","Need Vidyalakshmi",IF(LOWER(TRIM('01_Master_Data'!AJ109&amp;""))="yes","Need Review",IF(LOWER(J109)="critical","Critical",IF(LOWER(U109)="risk","Risk Case",IF(X109="Refund","Refund","Normal")))))))</f>
        <v/>
      </c>
      <c r="AB109">
        <f>IF(A109="","",IF(OR(LOWER(J109)="critical",LOWER(TRIM('01_Master_Data'!AI109&amp;""))="yes",LOWER(TRIM('01_Master_Data'!AK109&amp;""))="yes",LOWER(U109)="risk"),"Yes","No"))</f>
        <v/>
      </c>
      <c r="AC109">
        <f>IF(A109="","",IF(LOWER(TRIM('01_Master_Data'!AI109&amp;""))="yes","Yes","No"))</f>
        <v/>
      </c>
      <c r="AD109">
        <f>IF(A109="","",IF(LOWER(TRIM('01_Master_Data'!AK109&amp;""))="yes","Yes","No"))</f>
        <v/>
      </c>
      <c r="AE109">
        <f>IF(A109="","",IF(LOWER(TRIM('01_Master_Data'!AJ109&amp;""))="yes","Yes","No"))</f>
        <v/>
      </c>
      <c r="AF109">
        <f>IF(A109="","",TRIM('01_Master_Data'!AL109&amp;""))</f>
        <v/>
      </c>
      <c r="AG109">
        <f>IF(A109="","",IF(AF109="","—",IF(ISNUMBER(SEARCH("DNP",AF109)),"Unreachable / DNP",IF(ISNUMBER(SEARCH("interest",LOWER(AF109))),"High Interest / Terms",IF(OR(ISNUMBER(SEARCH("eligib",LOWER(AF109))),ISNUMBER(SEARCH("income",LOWER(AF109)))),"Eligibility / Income",IF(OR(ISNUMBER(SEARCH("start",LOWER(AF109))),ISNUMBER(SEARCH("Newer",AF109)),ISNUMBER(SEARCH("Will start",AF109))),"Process Yet to Start",IF(ISNUMBER(SEARCH("sure",LOWER(AF109))),"Undecided",IF(OR(ISNUMBER(SEARCH("reject",LOWER(AF109))),ISNUMBER(SEARCH("SBI",AF109))),"Rejected Elsewhere",IF(ISNUMBER(SEARCH("call",LOWER(AF109))),"Bank Communication",IF(OR(ISNUMBER(SEARCH("father",LOWER(AF109))),ISNUMBER(SEARCH("sister",LOWER(AF109)))),"Family / Dependency","Other"))))))))))</f>
        <v/>
      </c>
      <c r="AH109">
        <f>IF(A109="","",'01_Master_Data'!AC109)</f>
        <v/>
      </c>
      <c r="AI109">
        <f>IF(A109="","",IF(OR(AH109="",NOT(ISNUMBER(AH109))),"",MAX(0,'02_Configuration'!$B$82-AH109)))</f>
        <v/>
      </c>
      <c r="AJ109">
        <f>IF(A109="","",IF(AI109="","Unknown",IF(AI109&lt;=3,"0–3 Days",IF(AI109&lt;=7,"4–7 Days",IF(AI109&lt;=15,"8–15 Days",IF(AI109&lt;=30,"16–30 Days","30+ Days"))))))</f>
        <v/>
      </c>
      <c r="AK109">
        <f>IF(A109="","",IF(LOWER(H109)="yes","Yes","No"))</f>
        <v/>
      </c>
      <c r="AL109">
        <f>IF(A109="","",'01_Master_Data'!T109)</f>
        <v/>
      </c>
      <c r="AM109">
        <f>IF(A109="","",'01_Master_Data'!S109)</f>
        <v/>
      </c>
      <c r="AN109">
        <f>IF(A109="","",'01_Master_Data'!I109)</f>
        <v/>
      </c>
      <c r="AO109">
        <f>IF(A109="","",'01_Master_Data'!M109)</f>
        <v/>
      </c>
      <c r="AP109">
        <f>IF(A109="","",IF(ISNUMBER(SEARCH("Icici",W109&amp;"")),1,0))</f>
        <v/>
      </c>
      <c r="AQ109">
        <f>IF(A109="","",IF(ISNUMBER(SEARCH("Propelld",W109&amp;"")),1,0))</f>
        <v/>
      </c>
      <c r="AR109">
        <f>IF(A109="","",IF(ISNUMBER(SEARCH("GyanDhan",W109&amp;"")),1,0))</f>
        <v/>
      </c>
      <c r="AS109">
        <f>IF(A109="","",IF(ISNUMBER(SEARCH("vidyalakshmi",LOWER(W109&amp;""))),1,0))</f>
        <v/>
      </c>
      <c r="AT109">
        <f>IF(A109="","",IF(ISNUMBER(SEARCH("other bank",LOWER(W109&amp;""))),1,0))</f>
        <v/>
      </c>
      <c r="AU109">
        <f>IF(A109="","",IF(ISNUMBER(SEARCH("sanctioned",LOWER(W109&amp;""))),1,0))</f>
        <v/>
      </c>
      <c r="AV109">
        <f>IF(A109="","",IF(ISNUMBER(SEARCH("Docs Pending",W109&amp;"")),1,0))</f>
        <v/>
      </c>
      <c r="AW109">
        <f>IF(A109="","",IF(OR(X109="Rejected",ISNUMBER(SEARCH("Not eligbile",W109&amp;""))),1,0))</f>
        <v/>
      </c>
    </row>
    <row r="110">
      <c r="A110">
        <f>IF('01_Master_Data'!B110="","",109)</f>
        <v/>
      </c>
      <c r="B110">
        <f>IF('01_Master_Data'!B110="","",IF('01_Master_Data'!C110&lt;&gt;"","MOB|"&amp;TEXT('01_Master_Data'!C110,"0"),IF('01_Master_Data'!D110&lt;&gt;"","PID|"&amp;TRIM('01_Master_Data'!D110&amp;""),"")))</f>
        <v/>
      </c>
      <c r="C110">
        <f>IF('01_Master_Data'!B110="","",'01_Master_Data'!B110)</f>
        <v/>
      </c>
      <c r="D110">
        <f>IF('01_Master_Data'!B110="","",'01_Master_Data'!C110)</f>
        <v/>
      </c>
      <c r="E110">
        <f>IF('01_Master_Data'!B110="","",'01_Master_Data'!D110)</f>
        <v/>
      </c>
      <c r="F110">
        <f>IF('01_Master_Data'!B110="","",'01_Master_Data'!E110)</f>
        <v/>
      </c>
      <c r="G110">
        <f>IF('01_Master_Data'!B110="","",IFERROR(VLOOKUP(TRIM('01_Master_Data'!E110&amp;""),'02_Configuration'!$A$40:$B$44,2,FALSE),UPPER(TRIM('01_Master_Data'!E110&amp;""))))</f>
        <v/>
      </c>
      <c r="H110">
        <f>IF('01_Master_Data'!B110="","",IF('01_Master_Data'!U110="","",TRIM('01_Master_Data'!U110&amp;"")))</f>
        <v/>
      </c>
      <c r="I110">
        <f>IF('01_Master_Data'!B110="","",TRIM('01_Master_Data'!F110&amp;""))</f>
        <v/>
      </c>
      <c r="J110">
        <f>IF('01_Master_Data'!B110="","",TRIM('01_Master_Data'!G110&amp;""))</f>
        <v/>
      </c>
      <c r="K110">
        <f>IF('01_Master_Data'!B110="","",'01_Master_Data'!H110)</f>
        <v/>
      </c>
      <c r="L110">
        <f>IF('01_Master_Data'!B110="","",IF(LOWER(TRIM('01_Master_Data'!V110&amp;""))="yes",1,0))</f>
        <v/>
      </c>
      <c r="M110">
        <f>IF('01_Master_Data'!B110="","",IF(LOWER(TRIM('01_Master_Data'!W110&amp;""))="yes",1,0))</f>
        <v/>
      </c>
      <c r="N110">
        <f>IF('01_Master_Data'!B110="","",IF(LOWER(TRIM('01_Master_Data'!X110&amp;""))="yes",1,0))</f>
        <v/>
      </c>
      <c r="O110">
        <f>IF('01_Master_Data'!B110="","",IF(LOWER(TRIM('01_Master_Data'!Y110&amp;""))="yes",1,0))</f>
        <v/>
      </c>
      <c r="P110">
        <f>IF('01_Master_Data'!B110="","",IF(LOWER(TRIM('01_Master_Data'!Z110&amp;""))="yes",1,0))</f>
        <v/>
      </c>
      <c r="Q110">
        <f>IF(A110="","",L110+M110+N110+O110+P110)</f>
        <v/>
      </c>
      <c r="R110">
        <f>IF(A110="","",IF(Q110&gt;1,"Yes","No"))</f>
        <v/>
      </c>
      <c r="S110">
        <f>IF(A110="","",TEXTJOIN(", ",TRUE,IF(L110=1,"ICICI",""),IF(M110=1,"Propelld",""),IF(N110=1,"Study4Buddy",""),IF(O110=1,"Poonawala Fincorp",""),IF(P110=1,"GyanDhan","")))</f>
        <v/>
      </c>
      <c r="T110">
        <f>IF(A110="","",IF(L110=1,"ICICI",IF(M110=1,"Propelld",IF(P110=1,"GyanDhan",IF(N110=1,"Study4Buddy",IF(O110=1,"Poonawala Fincorp",IF(ISNUMBER(SEARCH("GyanDhan",W110&amp;"")),"GyanDhan",IF(ISNUMBER(SEARCH("Icici",W110&amp;"")),"ICICI",IF(ISNUMBER(SEARCH("Propelld",W110&amp;"")),"Propelld",IF(ISNUMBER(SEARCH("vidyalakshmi",LOWER(W110&amp;"")),"PM Vidyalakshmi","—"))))))))))</f>
        <v/>
      </c>
      <c r="U110">
        <f>IF(A110="","",TRIM('01_Master_Data'!AA110&amp;""))</f>
        <v/>
      </c>
      <c r="V110">
        <f>IF(A110="","",TRIM('01_Master_Data'!AG110&amp;""))</f>
        <v/>
      </c>
      <c r="W110">
        <f>IF(A110="","",TRIM('01_Master_Data'!AH110&amp;""))</f>
        <v/>
      </c>
      <c r="X110">
        <f>IF(A110="","",IF(OR(LOWER(H110)="refund",LOWER(U110)="refund case"),"Refund",IF(OR(LOWER(H110)="dnp",LOWER(U110)="dnp"),"DNP",IF(OR(LOWER(V110)="disbursed",ISNUMBER(SEARCH("Disbursed",W110&amp;""))),"Disbursed",IF(OR(LOWER(V110)="loan proccessed/accepted",ISNUMBER(SEARCH("sanctioned",LOWER(W110&amp;"")))),"Sanctioned",IF(OR(LOWER(V110)="rejected",ISNUMBER(SEARCH("Not eligbile",W110&amp;"")),ISNUMBER(SEARCH("Not eligible",W110&amp;""))),"Rejected",IF(ISNUMBER(SEARCH("Docs Pending",W110&amp;"")),"Documents Pending",IF(AND(LOWER(H110)="yes",LOWER(V110)="ongoing"),"Processing",IF(AND(LOWER(H110)="yes",Q110&gt;0,OR(V110="",LOWER(V110)="not even started")),"Vendor Assigned",IF(AND(LOWER(H110)="yes",LOWER(V110)="not even started"),"Need Loan",IF(LOWER(H110)="yes","Loan Started",IF(LOWER(H110)="not sure","Interested",IF(OR(LOWER(H110)="no",LOWER(V110)="not required"),"Not Required","Unclassified")))))))))))))</f>
        <v/>
      </c>
      <c r="Y110">
        <f>IF(A110="","",IF(OR(X110="Sanctioned",X110="Disbursed",X110="Approved"),"Approved",IF(X110="Rejected","Rejected",IF(OR(X110="Processing",X110="Documents Pending",X110="Vendor Assigned"),"In Progress",IF(X110="Need Loan","Pending Start","—"))))</f>
        <v/>
      </c>
      <c r="Z110">
        <f>IF(A110="","",IF(X110="Disbursed","Disbursed",IF(X110="Sanctioned","Sanctioned - Awaiting Disbursement","Not Disbursed")))</f>
        <v/>
      </c>
      <c r="AA110">
        <f>IF(A110="","",IF(LOWER(TRIM('01_Master_Data'!AI110&amp;""))="yes","Need FLDG",IF(LOWER(TRIM('01_Master_Data'!AK110&amp;""))="yes","Need Vidyalakshmi",IF(LOWER(TRIM('01_Master_Data'!AJ110&amp;""))="yes","Need Review",IF(LOWER(J110)="critical","Critical",IF(LOWER(U110)="risk","Risk Case",IF(X110="Refund","Refund","Normal")))))))</f>
        <v/>
      </c>
      <c r="AB110">
        <f>IF(A110="","",IF(OR(LOWER(J110)="critical",LOWER(TRIM('01_Master_Data'!AI110&amp;""))="yes",LOWER(TRIM('01_Master_Data'!AK110&amp;""))="yes",LOWER(U110)="risk"),"Yes","No"))</f>
        <v/>
      </c>
      <c r="AC110">
        <f>IF(A110="","",IF(LOWER(TRIM('01_Master_Data'!AI110&amp;""))="yes","Yes","No"))</f>
        <v/>
      </c>
      <c r="AD110">
        <f>IF(A110="","",IF(LOWER(TRIM('01_Master_Data'!AK110&amp;""))="yes","Yes","No"))</f>
        <v/>
      </c>
      <c r="AE110">
        <f>IF(A110="","",IF(LOWER(TRIM('01_Master_Data'!AJ110&amp;""))="yes","Yes","No"))</f>
        <v/>
      </c>
      <c r="AF110">
        <f>IF(A110="","",TRIM('01_Master_Data'!AL110&amp;""))</f>
        <v/>
      </c>
      <c r="AG110">
        <f>IF(A110="","",IF(AF110="","—",IF(ISNUMBER(SEARCH("DNP",AF110)),"Unreachable / DNP",IF(ISNUMBER(SEARCH("interest",LOWER(AF110))),"High Interest / Terms",IF(OR(ISNUMBER(SEARCH("eligib",LOWER(AF110))),ISNUMBER(SEARCH("income",LOWER(AF110)))),"Eligibility / Income",IF(OR(ISNUMBER(SEARCH("start",LOWER(AF110))),ISNUMBER(SEARCH("Newer",AF110)),ISNUMBER(SEARCH("Will start",AF110))),"Process Yet to Start",IF(ISNUMBER(SEARCH("sure",LOWER(AF110))),"Undecided",IF(OR(ISNUMBER(SEARCH("reject",LOWER(AF110))),ISNUMBER(SEARCH("SBI",AF110))),"Rejected Elsewhere",IF(ISNUMBER(SEARCH("call",LOWER(AF110))),"Bank Communication",IF(OR(ISNUMBER(SEARCH("father",LOWER(AF110))),ISNUMBER(SEARCH("sister",LOWER(AF110)))),"Family / Dependency","Other"))))))))))</f>
        <v/>
      </c>
      <c r="AH110">
        <f>IF(A110="","",'01_Master_Data'!AC110)</f>
        <v/>
      </c>
      <c r="AI110">
        <f>IF(A110="","",IF(OR(AH110="",NOT(ISNUMBER(AH110))),"",MAX(0,'02_Configuration'!$B$82-AH110)))</f>
        <v/>
      </c>
      <c r="AJ110">
        <f>IF(A110="","",IF(AI110="","Unknown",IF(AI110&lt;=3,"0–3 Days",IF(AI110&lt;=7,"4–7 Days",IF(AI110&lt;=15,"8–15 Days",IF(AI110&lt;=30,"16–30 Days","30+ Days"))))))</f>
        <v/>
      </c>
      <c r="AK110">
        <f>IF(A110="","",IF(LOWER(H110)="yes","Yes","No"))</f>
        <v/>
      </c>
      <c r="AL110">
        <f>IF(A110="","",'01_Master_Data'!T110)</f>
        <v/>
      </c>
      <c r="AM110">
        <f>IF(A110="","",'01_Master_Data'!S110)</f>
        <v/>
      </c>
      <c r="AN110">
        <f>IF(A110="","",'01_Master_Data'!I110)</f>
        <v/>
      </c>
      <c r="AO110">
        <f>IF(A110="","",'01_Master_Data'!M110)</f>
        <v/>
      </c>
      <c r="AP110">
        <f>IF(A110="","",IF(ISNUMBER(SEARCH("Icici",W110&amp;"")),1,0))</f>
        <v/>
      </c>
      <c r="AQ110">
        <f>IF(A110="","",IF(ISNUMBER(SEARCH("Propelld",W110&amp;"")),1,0))</f>
        <v/>
      </c>
      <c r="AR110">
        <f>IF(A110="","",IF(ISNUMBER(SEARCH("GyanDhan",W110&amp;"")),1,0))</f>
        <v/>
      </c>
      <c r="AS110">
        <f>IF(A110="","",IF(ISNUMBER(SEARCH("vidyalakshmi",LOWER(W110&amp;""))),1,0))</f>
        <v/>
      </c>
      <c r="AT110">
        <f>IF(A110="","",IF(ISNUMBER(SEARCH("other bank",LOWER(W110&amp;""))),1,0))</f>
        <v/>
      </c>
      <c r="AU110">
        <f>IF(A110="","",IF(ISNUMBER(SEARCH("sanctioned",LOWER(W110&amp;""))),1,0))</f>
        <v/>
      </c>
      <c r="AV110">
        <f>IF(A110="","",IF(ISNUMBER(SEARCH("Docs Pending",W110&amp;"")),1,0))</f>
        <v/>
      </c>
      <c r="AW110">
        <f>IF(A110="","",IF(OR(X110="Rejected",ISNUMBER(SEARCH("Not eligbile",W110&amp;""))),1,0))</f>
        <v/>
      </c>
    </row>
    <row r="111">
      <c r="A111">
        <f>IF('01_Master_Data'!B111="","",110)</f>
        <v/>
      </c>
      <c r="B111">
        <f>IF('01_Master_Data'!B111="","",IF('01_Master_Data'!C111&lt;&gt;"","MOB|"&amp;TEXT('01_Master_Data'!C111,"0"),IF('01_Master_Data'!D111&lt;&gt;"","PID|"&amp;TRIM('01_Master_Data'!D111&amp;""),"")))</f>
        <v/>
      </c>
      <c r="C111">
        <f>IF('01_Master_Data'!B111="","",'01_Master_Data'!B111)</f>
        <v/>
      </c>
      <c r="D111">
        <f>IF('01_Master_Data'!B111="","",'01_Master_Data'!C111)</f>
        <v/>
      </c>
      <c r="E111">
        <f>IF('01_Master_Data'!B111="","",'01_Master_Data'!D111)</f>
        <v/>
      </c>
      <c r="F111">
        <f>IF('01_Master_Data'!B111="","",'01_Master_Data'!E111)</f>
        <v/>
      </c>
      <c r="G111">
        <f>IF('01_Master_Data'!B111="","",IFERROR(VLOOKUP(TRIM('01_Master_Data'!E111&amp;""),'02_Configuration'!$A$40:$B$44,2,FALSE),UPPER(TRIM('01_Master_Data'!E111&amp;""))))</f>
        <v/>
      </c>
      <c r="H111">
        <f>IF('01_Master_Data'!B111="","",IF('01_Master_Data'!U111="","",TRIM('01_Master_Data'!U111&amp;"")))</f>
        <v/>
      </c>
      <c r="I111">
        <f>IF('01_Master_Data'!B111="","",TRIM('01_Master_Data'!F111&amp;""))</f>
        <v/>
      </c>
      <c r="J111">
        <f>IF('01_Master_Data'!B111="","",TRIM('01_Master_Data'!G111&amp;""))</f>
        <v/>
      </c>
      <c r="K111">
        <f>IF('01_Master_Data'!B111="","",'01_Master_Data'!H111)</f>
        <v/>
      </c>
      <c r="L111">
        <f>IF('01_Master_Data'!B111="","",IF(LOWER(TRIM('01_Master_Data'!V111&amp;""))="yes",1,0))</f>
        <v/>
      </c>
      <c r="M111">
        <f>IF('01_Master_Data'!B111="","",IF(LOWER(TRIM('01_Master_Data'!W111&amp;""))="yes",1,0))</f>
        <v/>
      </c>
      <c r="N111">
        <f>IF('01_Master_Data'!B111="","",IF(LOWER(TRIM('01_Master_Data'!X111&amp;""))="yes",1,0))</f>
        <v/>
      </c>
      <c r="O111">
        <f>IF('01_Master_Data'!B111="","",IF(LOWER(TRIM('01_Master_Data'!Y111&amp;""))="yes",1,0))</f>
        <v/>
      </c>
      <c r="P111">
        <f>IF('01_Master_Data'!B111="","",IF(LOWER(TRIM('01_Master_Data'!Z111&amp;""))="yes",1,0))</f>
        <v/>
      </c>
      <c r="Q111">
        <f>IF(A111="","",L111+M111+N111+O111+P111)</f>
        <v/>
      </c>
      <c r="R111">
        <f>IF(A111="","",IF(Q111&gt;1,"Yes","No"))</f>
        <v/>
      </c>
      <c r="S111">
        <f>IF(A111="","",TEXTJOIN(", ",TRUE,IF(L111=1,"ICICI",""),IF(M111=1,"Propelld",""),IF(N111=1,"Study4Buddy",""),IF(O111=1,"Poonawala Fincorp",""),IF(P111=1,"GyanDhan","")))</f>
        <v/>
      </c>
      <c r="T111">
        <f>IF(A111="","",IF(L111=1,"ICICI",IF(M111=1,"Propelld",IF(P111=1,"GyanDhan",IF(N111=1,"Study4Buddy",IF(O111=1,"Poonawala Fincorp",IF(ISNUMBER(SEARCH("GyanDhan",W111&amp;"")),"GyanDhan",IF(ISNUMBER(SEARCH("Icici",W111&amp;"")),"ICICI",IF(ISNUMBER(SEARCH("Propelld",W111&amp;"")),"Propelld",IF(ISNUMBER(SEARCH("vidyalakshmi",LOWER(W111&amp;"")),"PM Vidyalakshmi","—"))))))))))</f>
        <v/>
      </c>
      <c r="U111">
        <f>IF(A111="","",TRIM('01_Master_Data'!AA111&amp;""))</f>
        <v/>
      </c>
      <c r="V111">
        <f>IF(A111="","",TRIM('01_Master_Data'!AG111&amp;""))</f>
        <v/>
      </c>
      <c r="W111">
        <f>IF(A111="","",TRIM('01_Master_Data'!AH111&amp;""))</f>
        <v/>
      </c>
      <c r="X111">
        <f>IF(A111="","",IF(OR(LOWER(H111)="refund",LOWER(U111)="refund case"),"Refund",IF(OR(LOWER(H111)="dnp",LOWER(U111)="dnp"),"DNP",IF(OR(LOWER(V111)="disbursed",ISNUMBER(SEARCH("Disbursed",W111&amp;""))),"Disbursed",IF(OR(LOWER(V111)="loan proccessed/accepted",ISNUMBER(SEARCH("sanctioned",LOWER(W111&amp;"")))),"Sanctioned",IF(OR(LOWER(V111)="rejected",ISNUMBER(SEARCH("Not eligbile",W111&amp;"")),ISNUMBER(SEARCH("Not eligible",W111&amp;""))),"Rejected",IF(ISNUMBER(SEARCH("Docs Pending",W111&amp;"")),"Documents Pending",IF(AND(LOWER(H111)="yes",LOWER(V111)="ongoing"),"Processing",IF(AND(LOWER(H111)="yes",Q111&gt;0,OR(V111="",LOWER(V111)="not even started")),"Vendor Assigned",IF(AND(LOWER(H111)="yes",LOWER(V111)="not even started"),"Need Loan",IF(LOWER(H111)="yes","Loan Started",IF(LOWER(H111)="not sure","Interested",IF(OR(LOWER(H111)="no",LOWER(V111)="not required"),"Not Required","Unclassified")))))))))))))</f>
        <v/>
      </c>
      <c r="Y111">
        <f>IF(A111="","",IF(OR(X111="Sanctioned",X111="Disbursed",X111="Approved"),"Approved",IF(X111="Rejected","Rejected",IF(OR(X111="Processing",X111="Documents Pending",X111="Vendor Assigned"),"In Progress",IF(X111="Need Loan","Pending Start","—"))))</f>
        <v/>
      </c>
      <c r="Z111">
        <f>IF(A111="","",IF(X111="Disbursed","Disbursed",IF(X111="Sanctioned","Sanctioned - Awaiting Disbursement","Not Disbursed")))</f>
        <v/>
      </c>
      <c r="AA111">
        <f>IF(A111="","",IF(LOWER(TRIM('01_Master_Data'!AI111&amp;""))="yes","Need FLDG",IF(LOWER(TRIM('01_Master_Data'!AK111&amp;""))="yes","Need Vidyalakshmi",IF(LOWER(TRIM('01_Master_Data'!AJ111&amp;""))="yes","Need Review",IF(LOWER(J111)="critical","Critical",IF(LOWER(U111)="risk","Risk Case",IF(X111="Refund","Refund","Normal")))))))</f>
        <v/>
      </c>
      <c r="AB111">
        <f>IF(A111="","",IF(OR(LOWER(J111)="critical",LOWER(TRIM('01_Master_Data'!AI111&amp;""))="yes",LOWER(TRIM('01_Master_Data'!AK111&amp;""))="yes",LOWER(U111)="risk"),"Yes","No"))</f>
        <v/>
      </c>
      <c r="AC111">
        <f>IF(A111="","",IF(LOWER(TRIM('01_Master_Data'!AI111&amp;""))="yes","Yes","No"))</f>
        <v/>
      </c>
      <c r="AD111">
        <f>IF(A111="","",IF(LOWER(TRIM('01_Master_Data'!AK111&amp;""))="yes","Yes","No"))</f>
        <v/>
      </c>
      <c r="AE111">
        <f>IF(A111="","",IF(LOWER(TRIM('01_Master_Data'!AJ111&amp;""))="yes","Yes","No"))</f>
        <v/>
      </c>
      <c r="AF111">
        <f>IF(A111="","",TRIM('01_Master_Data'!AL111&amp;""))</f>
        <v/>
      </c>
      <c r="AG111">
        <f>IF(A111="","",IF(AF111="","—",IF(ISNUMBER(SEARCH("DNP",AF111)),"Unreachable / DNP",IF(ISNUMBER(SEARCH("interest",LOWER(AF111))),"High Interest / Terms",IF(OR(ISNUMBER(SEARCH("eligib",LOWER(AF111))),ISNUMBER(SEARCH("income",LOWER(AF111)))),"Eligibility / Income",IF(OR(ISNUMBER(SEARCH("start",LOWER(AF111))),ISNUMBER(SEARCH("Newer",AF111)),ISNUMBER(SEARCH("Will start",AF111))),"Process Yet to Start",IF(ISNUMBER(SEARCH("sure",LOWER(AF111))),"Undecided",IF(OR(ISNUMBER(SEARCH("reject",LOWER(AF111))),ISNUMBER(SEARCH("SBI",AF111))),"Rejected Elsewhere",IF(ISNUMBER(SEARCH("call",LOWER(AF111))),"Bank Communication",IF(OR(ISNUMBER(SEARCH("father",LOWER(AF111))),ISNUMBER(SEARCH("sister",LOWER(AF111)))),"Family / Dependency","Other"))))))))))</f>
        <v/>
      </c>
      <c r="AH111">
        <f>IF(A111="","",'01_Master_Data'!AC111)</f>
        <v/>
      </c>
      <c r="AI111">
        <f>IF(A111="","",IF(OR(AH111="",NOT(ISNUMBER(AH111))),"",MAX(0,'02_Configuration'!$B$82-AH111)))</f>
        <v/>
      </c>
      <c r="AJ111">
        <f>IF(A111="","",IF(AI111="","Unknown",IF(AI111&lt;=3,"0–3 Days",IF(AI111&lt;=7,"4–7 Days",IF(AI111&lt;=15,"8–15 Days",IF(AI111&lt;=30,"16–30 Days","30+ Days"))))))</f>
        <v/>
      </c>
      <c r="AK111">
        <f>IF(A111="","",IF(LOWER(H111)="yes","Yes","No"))</f>
        <v/>
      </c>
      <c r="AL111">
        <f>IF(A111="","",'01_Master_Data'!T111)</f>
        <v/>
      </c>
      <c r="AM111">
        <f>IF(A111="","",'01_Master_Data'!S111)</f>
        <v/>
      </c>
      <c r="AN111">
        <f>IF(A111="","",'01_Master_Data'!I111)</f>
        <v/>
      </c>
      <c r="AO111">
        <f>IF(A111="","",'01_Master_Data'!M111)</f>
        <v/>
      </c>
      <c r="AP111">
        <f>IF(A111="","",IF(ISNUMBER(SEARCH("Icici",W111&amp;"")),1,0))</f>
        <v/>
      </c>
      <c r="AQ111">
        <f>IF(A111="","",IF(ISNUMBER(SEARCH("Propelld",W111&amp;"")),1,0))</f>
        <v/>
      </c>
      <c r="AR111">
        <f>IF(A111="","",IF(ISNUMBER(SEARCH("GyanDhan",W111&amp;"")),1,0))</f>
        <v/>
      </c>
      <c r="AS111">
        <f>IF(A111="","",IF(ISNUMBER(SEARCH("vidyalakshmi",LOWER(W111&amp;""))),1,0))</f>
        <v/>
      </c>
      <c r="AT111">
        <f>IF(A111="","",IF(ISNUMBER(SEARCH("other bank",LOWER(W111&amp;""))),1,0))</f>
        <v/>
      </c>
      <c r="AU111">
        <f>IF(A111="","",IF(ISNUMBER(SEARCH("sanctioned",LOWER(W111&amp;""))),1,0))</f>
        <v/>
      </c>
      <c r="AV111">
        <f>IF(A111="","",IF(ISNUMBER(SEARCH("Docs Pending",W111&amp;"")),1,0))</f>
        <v/>
      </c>
      <c r="AW111">
        <f>IF(A111="","",IF(OR(X111="Rejected",ISNUMBER(SEARCH("Not eligbile",W111&amp;""))),1,0))</f>
        <v/>
      </c>
    </row>
    <row r="112">
      <c r="A112">
        <f>IF('01_Master_Data'!B112="","",111)</f>
        <v/>
      </c>
      <c r="B112">
        <f>IF('01_Master_Data'!B112="","",IF('01_Master_Data'!C112&lt;&gt;"","MOB|"&amp;TEXT('01_Master_Data'!C112,"0"),IF('01_Master_Data'!D112&lt;&gt;"","PID|"&amp;TRIM('01_Master_Data'!D112&amp;""),"")))</f>
        <v/>
      </c>
      <c r="C112">
        <f>IF('01_Master_Data'!B112="","",'01_Master_Data'!B112)</f>
        <v/>
      </c>
      <c r="D112">
        <f>IF('01_Master_Data'!B112="","",'01_Master_Data'!C112)</f>
        <v/>
      </c>
      <c r="E112">
        <f>IF('01_Master_Data'!B112="","",'01_Master_Data'!D112)</f>
        <v/>
      </c>
      <c r="F112">
        <f>IF('01_Master_Data'!B112="","",'01_Master_Data'!E112)</f>
        <v/>
      </c>
      <c r="G112">
        <f>IF('01_Master_Data'!B112="","",IFERROR(VLOOKUP(TRIM('01_Master_Data'!E112&amp;""),'02_Configuration'!$A$40:$B$44,2,FALSE),UPPER(TRIM('01_Master_Data'!E112&amp;""))))</f>
        <v/>
      </c>
      <c r="H112">
        <f>IF('01_Master_Data'!B112="","",IF('01_Master_Data'!U112="","",TRIM('01_Master_Data'!U112&amp;"")))</f>
        <v/>
      </c>
      <c r="I112">
        <f>IF('01_Master_Data'!B112="","",TRIM('01_Master_Data'!F112&amp;""))</f>
        <v/>
      </c>
      <c r="J112">
        <f>IF('01_Master_Data'!B112="","",TRIM('01_Master_Data'!G112&amp;""))</f>
        <v/>
      </c>
      <c r="K112">
        <f>IF('01_Master_Data'!B112="","",'01_Master_Data'!H112)</f>
        <v/>
      </c>
      <c r="L112">
        <f>IF('01_Master_Data'!B112="","",IF(LOWER(TRIM('01_Master_Data'!V112&amp;""))="yes",1,0))</f>
        <v/>
      </c>
      <c r="M112">
        <f>IF('01_Master_Data'!B112="","",IF(LOWER(TRIM('01_Master_Data'!W112&amp;""))="yes",1,0))</f>
        <v/>
      </c>
      <c r="N112">
        <f>IF('01_Master_Data'!B112="","",IF(LOWER(TRIM('01_Master_Data'!X112&amp;""))="yes",1,0))</f>
        <v/>
      </c>
      <c r="O112">
        <f>IF('01_Master_Data'!B112="","",IF(LOWER(TRIM('01_Master_Data'!Y112&amp;""))="yes",1,0))</f>
        <v/>
      </c>
      <c r="P112">
        <f>IF('01_Master_Data'!B112="","",IF(LOWER(TRIM('01_Master_Data'!Z112&amp;""))="yes",1,0))</f>
        <v/>
      </c>
      <c r="Q112">
        <f>IF(A112="","",L112+M112+N112+O112+P112)</f>
        <v/>
      </c>
      <c r="R112">
        <f>IF(A112="","",IF(Q112&gt;1,"Yes","No"))</f>
        <v/>
      </c>
      <c r="S112">
        <f>IF(A112="","",TEXTJOIN(", ",TRUE,IF(L112=1,"ICICI",""),IF(M112=1,"Propelld",""),IF(N112=1,"Study4Buddy",""),IF(O112=1,"Poonawala Fincorp",""),IF(P112=1,"GyanDhan","")))</f>
        <v/>
      </c>
      <c r="T112">
        <f>IF(A112="","",IF(L112=1,"ICICI",IF(M112=1,"Propelld",IF(P112=1,"GyanDhan",IF(N112=1,"Study4Buddy",IF(O112=1,"Poonawala Fincorp",IF(ISNUMBER(SEARCH("GyanDhan",W112&amp;"")),"GyanDhan",IF(ISNUMBER(SEARCH("Icici",W112&amp;"")),"ICICI",IF(ISNUMBER(SEARCH("Propelld",W112&amp;"")),"Propelld",IF(ISNUMBER(SEARCH("vidyalakshmi",LOWER(W112&amp;"")),"PM Vidyalakshmi","—"))))))))))</f>
        <v/>
      </c>
      <c r="U112">
        <f>IF(A112="","",TRIM('01_Master_Data'!AA112&amp;""))</f>
        <v/>
      </c>
      <c r="V112">
        <f>IF(A112="","",TRIM('01_Master_Data'!AG112&amp;""))</f>
        <v/>
      </c>
      <c r="W112">
        <f>IF(A112="","",TRIM('01_Master_Data'!AH112&amp;""))</f>
        <v/>
      </c>
      <c r="X112">
        <f>IF(A112="","",IF(OR(LOWER(H112)="refund",LOWER(U112)="refund case"),"Refund",IF(OR(LOWER(H112)="dnp",LOWER(U112)="dnp"),"DNP",IF(OR(LOWER(V112)="disbursed",ISNUMBER(SEARCH("Disbursed",W112&amp;""))),"Disbursed",IF(OR(LOWER(V112)="loan proccessed/accepted",ISNUMBER(SEARCH("sanctioned",LOWER(W112&amp;"")))),"Sanctioned",IF(OR(LOWER(V112)="rejected",ISNUMBER(SEARCH("Not eligbile",W112&amp;"")),ISNUMBER(SEARCH("Not eligible",W112&amp;""))),"Rejected",IF(ISNUMBER(SEARCH("Docs Pending",W112&amp;"")),"Documents Pending",IF(AND(LOWER(H112)="yes",LOWER(V112)="ongoing"),"Processing",IF(AND(LOWER(H112)="yes",Q112&gt;0,OR(V112="",LOWER(V112)="not even started")),"Vendor Assigned",IF(AND(LOWER(H112)="yes",LOWER(V112)="not even started"),"Need Loan",IF(LOWER(H112)="yes","Loan Started",IF(LOWER(H112)="not sure","Interested",IF(OR(LOWER(H112)="no",LOWER(V112)="not required"),"Not Required","Unclassified")))))))))))))</f>
        <v/>
      </c>
      <c r="Y112">
        <f>IF(A112="","",IF(OR(X112="Sanctioned",X112="Disbursed",X112="Approved"),"Approved",IF(X112="Rejected","Rejected",IF(OR(X112="Processing",X112="Documents Pending",X112="Vendor Assigned"),"In Progress",IF(X112="Need Loan","Pending Start","—"))))</f>
        <v/>
      </c>
      <c r="Z112">
        <f>IF(A112="","",IF(X112="Disbursed","Disbursed",IF(X112="Sanctioned","Sanctioned - Awaiting Disbursement","Not Disbursed")))</f>
        <v/>
      </c>
      <c r="AA112">
        <f>IF(A112="","",IF(LOWER(TRIM('01_Master_Data'!AI112&amp;""))="yes","Need FLDG",IF(LOWER(TRIM('01_Master_Data'!AK112&amp;""))="yes","Need Vidyalakshmi",IF(LOWER(TRIM('01_Master_Data'!AJ112&amp;""))="yes","Need Review",IF(LOWER(J112)="critical","Critical",IF(LOWER(U112)="risk","Risk Case",IF(X112="Refund","Refund","Normal")))))))</f>
        <v/>
      </c>
      <c r="AB112">
        <f>IF(A112="","",IF(OR(LOWER(J112)="critical",LOWER(TRIM('01_Master_Data'!AI112&amp;""))="yes",LOWER(TRIM('01_Master_Data'!AK112&amp;""))="yes",LOWER(U112)="risk"),"Yes","No"))</f>
        <v/>
      </c>
      <c r="AC112">
        <f>IF(A112="","",IF(LOWER(TRIM('01_Master_Data'!AI112&amp;""))="yes","Yes","No"))</f>
        <v/>
      </c>
      <c r="AD112">
        <f>IF(A112="","",IF(LOWER(TRIM('01_Master_Data'!AK112&amp;""))="yes","Yes","No"))</f>
        <v/>
      </c>
      <c r="AE112">
        <f>IF(A112="","",IF(LOWER(TRIM('01_Master_Data'!AJ112&amp;""))="yes","Yes","No"))</f>
        <v/>
      </c>
      <c r="AF112">
        <f>IF(A112="","",TRIM('01_Master_Data'!AL112&amp;""))</f>
        <v/>
      </c>
      <c r="AG112">
        <f>IF(A112="","",IF(AF112="","—",IF(ISNUMBER(SEARCH("DNP",AF112)),"Unreachable / DNP",IF(ISNUMBER(SEARCH("interest",LOWER(AF112))),"High Interest / Terms",IF(OR(ISNUMBER(SEARCH("eligib",LOWER(AF112))),ISNUMBER(SEARCH("income",LOWER(AF112)))),"Eligibility / Income",IF(OR(ISNUMBER(SEARCH("start",LOWER(AF112))),ISNUMBER(SEARCH("Newer",AF112)),ISNUMBER(SEARCH("Will start",AF112))),"Process Yet to Start",IF(ISNUMBER(SEARCH("sure",LOWER(AF112))),"Undecided",IF(OR(ISNUMBER(SEARCH("reject",LOWER(AF112))),ISNUMBER(SEARCH("SBI",AF112))),"Rejected Elsewhere",IF(ISNUMBER(SEARCH("call",LOWER(AF112))),"Bank Communication",IF(OR(ISNUMBER(SEARCH("father",LOWER(AF112))),ISNUMBER(SEARCH("sister",LOWER(AF112)))),"Family / Dependency","Other"))))))))))</f>
        <v/>
      </c>
      <c r="AH112">
        <f>IF(A112="","",'01_Master_Data'!AC112)</f>
        <v/>
      </c>
      <c r="AI112">
        <f>IF(A112="","",IF(OR(AH112="",NOT(ISNUMBER(AH112))),"",MAX(0,'02_Configuration'!$B$82-AH112)))</f>
        <v/>
      </c>
      <c r="AJ112">
        <f>IF(A112="","",IF(AI112="","Unknown",IF(AI112&lt;=3,"0–3 Days",IF(AI112&lt;=7,"4–7 Days",IF(AI112&lt;=15,"8–15 Days",IF(AI112&lt;=30,"16–30 Days","30+ Days"))))))</f>
        <v/>
      </c>
      <c r="AK112">
        <f>IF(A112="","",IF(LOWER(H112)="yes","Yes","No"))</f>
        <v/>
      </c>
      <c r="AL112">
        <f>IF(A112="","",'01_Master_Data'!T112)</f>
        <v/>
      </c>
      <c r="AM112">
        <f>IF(A112="","",'01_Master_Data'!S112)</f>
        <v/>
      </c>
      <c r="AN112">
        <f>IF(A112="","",'01_Master_Data'!I112)</f>
        <v/>
      </c>
      <c r="AO112">
        <f>IF(A112="","",'01_Master_Data'!M112)</f>
        <v/>
      </c>
      <c r="AP112">
        <f>IF(A112="","",IF(ISNUMBER(SEARCH("Icici",W112&amp;"")),1,0))</f>
        <v/>
      </c>
      <c r="AQ112">
        <f>IF(A112="","",IF(ISNUMBER(SEARCH("Propelld",W112&amp;"")),1,0))</f>
        <v/>
      </c>
      <c r="AR112">
        <f>IF(A112="","",IF(ISNUMBER(SEARCH("GyanDhan",W112&amp;"")),1,0))</f>
        <v/>
      </c>
      <c r="AS112">
        <f>IF(A112="","",IF(ISNUMBER(SEARCH("vidyalakshmi",LOWER(W112&amp;""))),1,0))</f>
        <v/>
      </c>
      <c r="AT112">
        <f>IF(A112="","",IF(ISNUMBER(SEARCH("other bank",LOWER(W112&amp;""))),1,0))</f>
        <v/>
      </c>
      <c r="AU112">
        <f>IF(A112="","",IF(ISNUMBER(SEARCH("sanctioned",LOWER(W112&amp;""))),1,0))</f>
        <v/>
      </c>
      <c r="AV112">
        <f>IF(A112="","",IF(ISNUMBER(SEARCH("Docs Pending",W112&amp;"")),1,0))</f>
        <v/>
      </c>
      <c r="AW112">
        <f>IF(A112="","",IF(OR(X112="Rejected",ISNUMBER(SEARCH("Not eligbile",W112&amp;""))),1,0))</f>
        <v/>
      </c>
    </row>
    <row r="113">
      <c r="A113">
        <f>IF('01_Master_Data'!B113="","",112)</f>
        <v/>
      </c>
      <c r="B113">
        <f>IF('01_Master_Data'!B113="","",IF('01_Master_Data'!C113&lt;&gt;"","MOB|"&amp;TEXT('01_Master_Data'!C113,"0"),IF('01_Master_Data'!D113&lt;&gt;"","PID|"&amp;TRIM('01_Master_Data'!D113&amp;""),"")))</f>
        <v/>
      </c>
      <c r="C113">
        <f>IF('01_Master_Data'!B113="","",'01_Master_Data'!B113)</f>
        <v/>
      </c>
      <c r="D113">
        <f>IF('01_Master_Data'!B113="","",'01_Master_Data'!C113)</f>
        <v/>
      </c>
      <c r="E113">
        <f>IF('01_Master_Data'!B113="","",'01_Master_Data'!D113)</f>
        <v/>
      </c>
      <c r="F113">
        <f>IF('01_Master_Data'!B113="","",'01_Master_Data'!E113)</f>
        <v/>
      </c>
      <c r="G113">
        <f>IF('01_Master_Data'!B113="","",IFERROR(VLOOKUP(TRIM('01_Master_Data'!E113&amp;""),'02_Configuration'!$A$40:$B$44,2,FALSE),UPPER(TRIM('01_Master_Data'!E113&amp;""))))</f>
        <v/>
      </c>
      <c r="H113">
        <f>IF('01_Master_Data'!B113="","",IF('01_Master_Data'!U113="","",TRIM('01_Master_Data'!U113&amp;"")))</f>
        <v/>
      </c>
      <c r="I113">
        <f>IF('01_Master_Data'!B113="","",TRIM('01_Master_Data'!F113&amp;""))</f>
        <v/>
      </c>
      <c r="J113">
        <f>IF('01_Master_Data'!B113="","",TRIM('01_Master_Data'!G113&amp;""))</f>
        <v/>
      </c>
      <c r="K113">
        <f>IF('01_Master_Data'!B113="","",'01_Master_Data'!H113)</f>
        <v/>
      </c>
      <c r="L113">
        <f>IF('01_Master_Data'!B113="","",IF(LOWER(TRIM('01_Master_Data'!V113&amp;""))="yes",1,0))</f>
        <v/>
      </c>
      <c r="M113">
        <f>IF('01_Master_Data'!B113="","",IF(LOWER(TRIM('01_Master_Data'!W113&amp;""))="yes",1,0))</f>
        <v/>
      </c>
      <c r="N113">
        <f>IF('01_Master_Data'!B113="","",IF(LOWER(TRIM('01_Master_Data'!X113&amp;""))="yes",1,0))</f>
        <v/>
      </c>
      <c r="O113">
        <f>IF('01_Master_Data'!B113="","",IF(LOWER(TRIM('01_Master_Data'!Y113&amp;""))="yes",1,0))</f>
        <v/>
      </c>
      <c r="P113">
        <f>IF('01_Master_Data'!B113="","",IF(LOWER(TRIM('01_Master_Data'!Z113&amp;""))="yes",1,0))</f>
        <v/>
      </c>
      <c r="Q113">
        <f>IF(A113="","",L113+M113+N113+O113+P113)</f>
        <v/>
      </c>
      <c r="R113">
        <f>IF(A113="","",IF(Q113&gt;1,"Yes","No"))</f>
        <v/>
      </c>
      <c r="S113">
        <f>IF(A113="","",TEXTJOIN(", ",TRUE,IF(L113=1,"ICICI",""),IF(M113=1,"Propelld",""),IF(N113=1,"Study4Buddy",""),IF(O113=1,"Poonawala Fincorp",""),IF(P113=1,"GyanDhan","")))</f>
        <v/>
      </c>
      <c r="T113">
        <f>IF(A113="","",IF(L113=1,"ICICI",IF(M113=1,"Propelld",IF(P113=1,"GyanDhan",IF(N113=1,"Study4Buddy",IF(O113=1,"Poonawala Fincorp",IF(ISNUMBER(SEARCH("GyanDhan",W113&amp;"")),"GyanDhan",IF(ISNUMBER(SEARCH("Icici",W113&amp;"")),"ICICI",IF(ISNUMBER(SEARCH("Propelld",W113&amp;"")),"Propelld",IF(ISNUMBER(SEARCH("vidyalakshmi",LOWER(W113&amp;"")),"PM Vidyalakshmi","—"))))))))))</f>
        <v/>
      </c>
      <c r="U113">
        <f>IF(A113="","",TRIM('01_Master_Data'!AA113&amp;""))</f>
        <v/>
      </c>
      <c r="V113">
        <f>IF(A113="","",TRIM('01_Master_Data'!AG113&amp;""))</f>
        <v/>
      </c>
      <c r="W113">
        <f>IF(A113="","",TRIM('01_Master_Data'!AH113&amp;""))</f>
        <v/>
      </c>
      <c r="X113">
        <f>IF(A113="","",IF(OR(LOWER(H113)="refund",LOWER(U113)="refund case"),"Refund",IF(OR(LOWER(H113)="dnp",LOWER(U113)="dnp"),"DNP",IF(OR(LOWER(V113)="disbursed",ISNUMBER(SEARCH("Disbursed",W113&amp;""))),"Disbursed",IF(OR(LOWER(V113)="loan proccessed/accepted",ISNUMBER(SEARCH("sanctioned",LOWER(W113&amp;"")))),"Sanctioned",IF(OR(LOWER(V113)="rejected",ISNUMBER(SEARCH("Not eligbile",W113&amp;"")),ISNUMBER(SEARCH("Not eligible",W113&amp;""))),"Rejected",IF(ISNUMBER(SEARCH("Docs Pending",W113&amp;"")),"Documents Pending",IF(AND(LOWER(H113)="yes",LOWER(V113)="ongoing"),"Processing",IF(AND(LOWER(H113)="yes",Q113&gt;0,OR(V113="",LOWER(V113)="not even started")),"Vendor Assigned",IF(AND(LOWER(H113)="yes",LOWER(V113)="not even started"),"Need Loan",IF(LOWER(H113)="yes","Loan Started",IF(LOWER(H113)="not sure","Interested",IF(OR(LOWER(H113)="no",LOWER(V113)="not required"),"Not Required","Unclassified")))))))))))))</f>
        <v/>
      </c>
      <c r="Y113">
        <f>IF(A113="","",IF(OR(X113="Sanctioned",X113="Disbursed",X113="Approved"),"Approved",IF(X113="Rejected","Rejected",IF(OR(X113="Processing",X113="Documents Pending",X113="Vendor Assigned"),"In Progress",IF(X113="Need Loan","Pending Start","—"))))</f>
        <v/>
      </c>
      <c r="Z113">
        <f>IF(A113="","",IF(X113="Disbursed","Disbursed",IF(X113="Sanctioned","Sanctioned - Awaiting Disbursement","Not Disbursed")))</f>
        <v/>
      </c>
      <c r="AA113">
        <f>IF(A113="","",IF(LOWER(TRIM('01_Master_Data'!AI113&amp;""))="yes","Need FLDG",IF(LOWER(TRIM('01_Master_Data'!AK113&amp;""))="yes","Need Vidyalakshmi",IF(LOWER(TRIM('01_Master_Data'!AJ113&amp;""))="yes","Need Review",IF(LOWER(J113)="critical","Critical",IF(LOWER(U113)="risk","Risk Case",IF(X113="Refund","Refund","Normal")))))))</f>
        <v/>
      </c>
      <c r="AB113">
        <f>IF(A113="","",IF(OR(LOWER(J113)="critical",LOWER(TRIM('01_Master_Data'!AI113&amp;""))="yes",LOWER(TRIM('01_Master_Data'!AK113&amp;""))="yes",LOWER(U113)="risk"),"Yes","No"))</f>
        <v/>
      </c>
      <c r="AC113">
        <f>IF(A113="","",IF(LOWER(TRIM('01_Master_Data'!AI113&amp;""))="yes","Yes","No"))</f>
        <v/>
      </c>
      <c r="AD113">
        <f>IF(A113="","",IF(LOWER(TRIM('01_Master_Data'!AK113&amp;""))="yes","Yes","No"))</f>
        <v/>
      </c>
      <c r="AE113">
        <f>IF(A113="","",IF(LOWER(TRIM('01_Master_Data'!AJ113&amp;""))="yes","Yes","No"))</f>
        <v/>
      </c>
      <c r="AF113">
        <f>IF(A113="","",TRIM('01_Master_Data'!AL113&amp;""))</f>
        <v/>
      </c>
      <c r="AG113">
        <f>IF(A113="","",IF(AF113="","—",IF(ISNUMBER(SEARCH("DNP",AF113)),"Unreachable / DNP",IF(ISNUMBER(SEARCH("interest",LOWER(AF113))),"High Interest / Terms",IF(OR(ISNUMBER(SEARCH("eligib",LOWER(AF113))),ISNUMBER(SEARCH("income",LOWER(AF113)))),"Eligibility / Income",IF(OR(ISNUMBER(SEARCH("start",LOWER(AF113))),ISNUMBER(SEARCH("Newer",AF113)),ISNUMBER(SEARCH("Will start",AF113))),"Process Yet to Start",IF(ISNUMBER(SEARCH("sure",LOWER(AF113))),"Undecided",IF(OR(ISNUMBER(SEARCH("reject",LOWER(AF113))),ISNUMBER(SEARCH("SBI",AF113))),"Rejected Elsewhere",IF(ISNUMBER(SEARCH("call",LOWER(AF113))),"Bank Communication",IF(OR(ISNUMBER(SEARCH("father",LOWER(AF113))),ISNUMBER(SEARCH("sister",LOWER(AF113)))),"Family / Dependency","Other"))))))))))</f>
        <v/>
      </c>
      <c r="AH113">
        <f>IF(A113="","",'01_Master_Data'!AC113)</f>
        <v/>
      </c>
      <c r="AI113">
        <f>IF(A113="","",IF(OR(AH113="",NOT(ISNUMBER(AH113))),"",MAX(0,'02_Configuration'!$B$82-AH113)))</f>
        <v/>
      </c>
      <c r="AJ113">
        <f>IF(A113="","",IF(AI113="","Unknown",IF(AI113&lt;=3,"0–3 Days",IF(AI113&lt;=7,"4–7 Days",IF(AI113&lt;=15,"8–15 Days",IF(AI113&lt;=30,"16–30 Days","30+ Days"))))))</f>
        <v/>
      </c>
      <c r="AK113">
        <f>IF(A113="","",IF(LOWER(H113)="yes","Yes","No"))</f>
        <v/>
      </c>
      <c r="AL113">
        <f>IF(A113="","",'01_Master_Data'!T113)</f>
        <v/>
      </c>
      <c r="AM113">
        <f>IF(A113="","",'01_Master_Data'!S113)</f>
        <v/>
      </c>
      <c r="AN113">
        <f>IF(A113="","",'01_Master_Data'!I113)</f>
        <v/>
      </c>
      <c r="AO113">
        <f>IF(A113="","",'01_Master_Data'!M113)</f>
        <v/>
      </c>
      <c r="AP113">
        <f>IF(A113="","",IF(ISNUMBER(SEARCH("Icici",W113&amp;"")),1,0))</f>
        <v/>
      </c>
      <c r="AQ113">
        <f>IF(A113="","",IF(ISNUMBER(SEARCH("Propelld",W113&amp;"")),1,0))</f>
        <v/>
      </c>
      <c r="AR113">
        <f>IF(A113="","",IF(ISNUMBER(SEARCH("GyanDhan",W113&amp;"")),1,0))</f>
        <v/>
      </c>
      <c r="AS113">
        <f>IF(A113="","",IF(ISNUMBER(SEARCH("vidyalakshmi",LOWER(W113&amp;""))),1,0))</f>
        <v/>
      </c>
      <c r="AT113">
        <f>IF(A113="","",IF(ISNUMBER(SEARCH("other bank",LOWER(W113&amp;""))),1,0))</f>
        <v/>
      </c>
      <c r="AU113">
        <f>IF(A113="","",IF(ISNUMBER(SEARCH("sanctioned",LOWER(W113&amp;""))),1,0))</f>
        <v/>
      </c>
      <c r="AV113">
        <f>IF(A113="","",IF(ISNUMBER(SEARCH("Docs Pending",W113&amp;"")),1,0))</f>
        <v/>
      </c>
      <c r="AW113">
        <f>IF(A113="","",IF(OR(X113="Rejected",ISNUMBER(SEARCH("Not eligbile",W113&amp;""))),1,0))</f>
        <v/>
      </c>
    </row>
    <row r="114">
      <c r="A114">
        <f>IF('01_Master_Data'!B114="","",113)</f>
        <v/>
      </c>
      <c r="B114">
        <f>IF('01_Master_Data'!B114="","",IF('01_Master_Data'!C114&lt;&gt;"","MOB|"&amp;TEXT('01_Master_Data'!C114,"0"),IF('01_Master_Data'!D114&lt;&gt;"","PID|"&amp;TRIM('01_Master_Data'!D114&amp;""),"")))</f>
        <v/>
      </c>
      <c r="C114">
        <f>IF('01_Master_Data'!B114="","",'01_Master_Data'!B114)</f>
        <v/>
      </c>
      <c r="D114">
        <f>IF('01_Master_Data'!B114="","",'01_Master_Data'!C114)</f>
        <v/>
      </c>
      <c r="E114">
        <f>IF('01_Master_Data'!B114="","",'01_Master_Data'!D114)</f>
        <v/>
      </c>
      <c r="F114">
        <f>IF('01_Master_Data'!B114="","",'01_Master_Data'!E114)</f>
        <v/>
      </c>
      <c r="G114">
        <f>IF('01_Master_Data'!B114="","",IFERROR(VLOOKUP(TRIM('01_Master_Data'!E114&amp;""),'02_Configuration'!$A$40:$B$44,2,FALSE),UPPER(TRIM('01_Master_Data'!E114&amp;""))))</f>
        <v/>
      </c>
      <c r="H114">
        <f>IF('01_Master_Data'!B114="","",IF('01_Master_Data'!U114="","",TRIM('01_Master_Data'!U114&amp;"")))</f>
        <v/>
      </c>
      <c r="I114">
        <f>IF('01_Master_Data'!B114="","",TRIM('01_Master_Data'!F114&amp;""))</f>
        <v/>
      </c>
      <c r="J114">
        <f>IF('01_Master_Data'!B114="","",TRIM('01_Master_Data'!G114&amp;""))</f>
        <v/>
      </c>
      <c r="K114">
        <f>IF('01_Master_Data'!B114="","",'01_Master_Data'!H114)</f>
        <v/>
      </c>
      <c r="L114">
        <f>IF('01_Master_Data'!B114="","",IF(LOWER(TRIM('01_Master_Data'!V114&amp;""))="yes",1,0))</f>
        <v/>
      </c>
      <c r="M114">
        <f>IF('01_Master_Data'!B114="","",IF(LOWER(TRIM('01_Master_Data'!W114&amp;""))="yes",1,0))</f>
        <v/>
      </c>
      <c r="N114">
        <f>IF('01_Master_Data'!B114="","",IF(LOWER(TRIM('01_Master_Data'!X114&amp;""))="yes",1,0))</f>
        <v/>
      </c>
      <c r="O114">
        <f>IF('01_Master_Data'!B114="","",IF(LOWER(TRIM('01_Master_Data'!Y114&amp;""))="yes",1,0))</f>
        <v/>
      </c>
      <c r="P114">
        <f>IF('01_Master_Data'!B114="","",IF(LOWER(TRIM('01_Master_Data'!Z114&amp;""))="yes",1,0))</f>
        <v/>
      </c>
      <c r="Q114">
        <f>IF(A114="","",L114+M114+N114+O114+P114)</f>
        <v/>
      </c>
      <c r="R114">
        <f>IF(A114="","",IF(Q114&gt;1,"Yes","No"))</f>
        <v/>
      </c>
      <c r="S114">
        <f>IF(A114="","",TEXTJOIN(", ",TRUE,IF(L114=1,"ICICI",""),IF(M114=1,"Propelld",""),IF(N114=1,"Study4Buddy",""),IF(O114=1,"Poonawala Fincorp",""),IF(P114=1,"GyanDhan","")))</f>
        <v/>
      </c>
      <c r="T114">
        <f>IF(A114="","",IF(L114=1,"ICICI",IF(M114=1,"Propelld",IF(P114=1,"GyanDhan",IF(N114=1,"Study4Buddy",IF(O114=1,"Poonawala Fincorp",IF(ISNUMBER(SEARCH("GyanDhan",W114&amp;"")),"GyanDhan",IF(ISNUMBER(SEARCH("Icici",W114&amp;"")),"ICICI",IF(ISNUMBER(SEARCH("Propelld",W114&amp;"")),"Propelld",IF(ISNUMBER(SEARCH("vidyalakshmi",LOWER(W114&amp;"")),"PM Vidyalakshmi","—"))))))))))</f>
        <v/>
      </c>
      <c r="U114">
        <f>IF(A114="","",TRIM('01_Master_Data'!AA114&amp;""))</f>
        <v/>
      </c>
      <c r="V114">
        <f>IF(A114="","",TRIM('01_Master_Data'!AG114&amp;""))</f>
        <v/>
      </c>
      <c r="W114">
        <f>IF(A114="","",TRIM('01_Master_Data'!AH114&amp;""))</f>
        <v/>
      </c>
      <c r="X114">
        <f>IF(A114="","",IF(OR(LOWER(H114)="refund",LOWER(U114)="refund case"),"Refund",IF(OR(LOWER(H114)="dnp",LOWER(U114)="dnp"),"DNP",IF(OR(LOWER(V114)="disbursed",ISNUMBER(SEARCH("Disbursed",W114&amp;""))),"Disbursed",IF(OR(LOWER(V114)="loan proccessed/accepted",ISNUMBER(SEARCH("sanctioned",LOWER(W114&amp;"")))),"Sanctioned",IF(OR(LOWER(V114)="rejected",ISNUMBER(SEARCH("Not eligbile",W114&amp;"")),ISNUMBER(SEARCH("Not eligible",W114&amp;""))),"Rejected",IF(ISNUMBER(SEARCH("Docs Pending",W114&amp;"")),"Documents Pending",IF(AND(LOWER(H114)="yes",LOWER(V114)="ongoing"),"Processing",IF(AND(LOWER(H114)="yes",Q114&gt;0,OR(V114="",LOWER(V114)="not even started")),"Vendor Assigned",IF(AND(LOWER(H114)="yes",LOWER(V114)="not even started"),"Need Loan",IF(LOWER(H114)="yes","Loan Started",IF(LOWER(H114)="not sure","Interested",IF(OR(LOWER(H114)="no",LOWER(V114)="not required"),"Not Required","Unclassified")))))))))))))</f>
        <v/>
      </c>
      <c r="Y114">
        <f>IF(A114="","",IF(OR(X114="Sanctioned",X114="Disbursed",X114="Approved"),"Approved",IF(X114="Rejected","Rejected",IF(OR(X114="Processing",X114="Documents Pending",X114="Vendor Assigned"),"In Progress",IF(X114="Need Loan","Pending Start","—"))))</f>
        <v/>
      </c>
      <c r="Z114">
        <f>IF(A114="","",IF(X114="Disbursed","Disbursed",IF(X114="Sanctioned","Sanctioned - Awaiting Disbursement","Not Disbursed")))</f>
        <v/>
      </c>
      <c r="AA114">
        <f>IF(A114="","",IF(LOWER(TRIM('01_Master_Data'!AI114&amp;""))="yes","Need FLDG",IF(LOWER(TRIM('01_Master_Data'!AK114&amp;""))="yes","Need Vidyalakshmi",IF(LOWER(TRIM('01_Master_Data'!AJ114&amp;""))="yes","Need Review",IF(LOWER(J114)="critical","Critical",IF(LOWER(U114)="risk","Risk Case",IF(X114="Refund","Refund","Normal")))))))</f>
        <v/>
      </c>
      <c r="AB114">
        <f>IF(A114="","",IF(OR(LOWER(J114)="critical",LOWER(TRIM('01_Master_Data'!AI114&amp;""))="yes",LOWER(TRIM('01_Master_Data'!AK114&amp;""))="yes",LOWER(U114)="risk"),"Yes","No"))</f>
        <v/>
      </c>
      <c r="AC114">
        <f>IF(A114="","",IF(LOWER(TRIM('01_Master_Data'!AI114&amp;""))="yes","Yes","No"))</f>
        <v/>
      </c>
      <c r="AD114">
        <f>IF(A114="","",IF(LOWER(TRIM('01_Master_Data'!AK114&amp;""))="yes","Yes","No"))</f>
        <v/>
      </c>
      <c r="AE114">
        <f>IF(A114="","",IF(LOWER(TRIM('01_Master_Data'!AJ114&amp;""))="yes","Yes","No"))</f>
        <v/>
      </c>
      <c r="AF114">
        <f>IF(A114="","",TRIM('01_Master_Data'!AL114&amp;""))</f>
        <v/>
      </c>
      <c r="AG114">
        <f>IF(A114="","",IF(AF114="","—",IF(ISNUMBER(SEARCH("DNP",AF114)),"Unreachable / DNP",IF(ISNUMBER(SEARCH("interest",LOWER(AF114))),"High Interest / Terms",IF(OR(ISNUMBER(SEARCH("eligib",LOWER(AF114))),ISNUMBER(SEARCH("income",LOWER(AF114)))),"Eligibility / Income",IF(OR(ISNUMBER(SEARCH("start",LOWER(AF114))),ISNUMBER(SEARCH("Newer",AF114)),ISNUMBER(SEARCH("Will start",AF114))),"Process Yet to Start",IF(ISNUMBER(SEARCH("sure",LOWER(AF114))),"Undecided",IF(OR(ISNUMBER(SEARCH("reject",LOWER(AF114))),ISNUMBER(SEARCH("SBI",AF114))),"Rejected Elsewhere",IF(ISNUMBER(SEARCH("call",LOWER(AF114))),"Bank Communication",IF(OR(ISNUMBER(SEARCH("father",LOWER(AF114))),ISNUMBER(SEARCH("sister",LOWER(AF114)))),"Family / Dependency","Other"))))))))))</f>
        <v/>
      </c>
      <c r="AH114">
        <f>IF(A114="","",'01_Master_Data'!AC114)</f>
        <v/>
      </c>
      <c r="AI114">
        <f>IF(A114="","",IF(OR(AH114="",NOT(ISNUMBER(AH114))),"",MAX(0,'02_Configuration'!$B$82-AH114)))</f>
        <v/>
      </c>
      <c r="AJ114">
        <f>IF(A114="","",IF(AI114="","Unknown",IF(AI114&lt;=3,"0–3 Days",IF(AI114&lt;=7,"4–7 Days",IF(AI114&lt;=15,"8–15 Days",IF(AI114&lt;=30,"16–30 Days","30+ Days"))))))</f>
        <v/>
      </c>
      <c r="AK114">
        <f>IF(A114="","",IF(LOWER(H114)="yes","Yes","No"))</f>
        <v/>
      </c>
      <c r="AL114">
        <f>IF(A114="","",'01_Master_Data'!T114)</f>
        <v/>
      </c>
      <c r="AM114">
        <f>IF(A114="","",'01_Master_Data'!S114)</f>
        <v/>
      </c>
      <c r="AN114">
        <f>IF(A114="","",'01_Master_Data'!I114)</f>
        <v/>
      </c>
      <c r="AO114">
        <f>IF(A114="","",'01_Master_Data'!M114)</f>
        <v/>
      </c>
      <c r="AP114">
        <f>IF(A114="","",IF(ISNUMBER(SEARCH("Icici",W114&amp;"")),1,0))</f>
        <v/>
      </c>
      <c r="AQ114">
        <f>IF(A114="","",IF(ISNUMBER(SEARCH("Propelld",W114&amp;"")),1,0))</f>
        <v/>
      </c>
      <c r="AR114">
        <f>IF(A114="","",IF(ISNUMBER(SEARCH("GyanDhan",W114&amp;"")),1,0))</f>
        <v/>
      </c>
      <c r="AS114">
        <f>IF(A114="","",IF(ISNUMBER(SEARCH("vidyalakshmi",LOWER(W114&amp;""))),1,0))</f>
        <v/>
      </c>
      <c r="AT114">
        <f>IF(A114="","",IF(ISNUMBER(SEARCH("other bank",LOWER(W114&amp;""))),1,0))</f>
        <v/>
      </c>
      <c r="AU114">
        <f>IF(A114="","",IF(ISNUMBER(SEARCH("sanctioned",LOWER(W114&amp;""))),1,0))</f>
        <v/>
      </c>
      <c r="AV114">
        <f>IF(A114="","",IF(ISNUMBER(SEARCH("Docs Pending",W114&amp;"")),1,0))</f>
        <v/>
      </c>
      <c r="AW114">
        <f>IF(A114="","",IF(OR(X114="Rejected",ISNUMBER(SEARCH("Not eligbile",W114&amp;""))),1,0))</f>
        <v/>
      </c>
    </row>
    <row r="115">
      <c r="A115">
        <f>IF('01_Master_Data'!B115="","",114)</f>
        <v/>
      </c>
      <c r="B115">
        <f>IF('01_Master_Data'!B115="","",IF('01_Master_Data'!C115&lt;&gt;"","MOB|"&amp;TEXT('01_Master_Data'!C115,"0"),IF('01_Master_Data'!D115&lt;&gt;"","PID|"&amp;TRIM('01_Master_Data'!D115&amp;""),"")))</f>
        <v/>
      </c>
      <c r="C115">
        <f>IF('01_Master_Data'!B115="","",'01_Master_Data'!B115)</f>
        <v/>
      </c>
      <c r="D115">
        <f>IF('01_Master_Data'!B115="","",'01_Master_Data'!C115)</f>
        <v/>
      </c>
      <c r="E115">
        <f>IF('01_Master_Data'!B115="","",'01_Master_Data'!D115)</f>
        <v/>
      </c>
      <c r="F115">
        <f>IF('01_Master_Data'!B115="","",'01_Master_Data'!E115)</f>
        <v/>
      </c>
      <c r="G115">
        <f>IF('01_Master_Data'!B115="","",IFERROR(VLOOKUP(TRIM('01_Master_Data'!E115&amp;""),'02_Configuration'!$A$40:$B$44,2,FALSE),UPPER(TRIM('01_Master_Data'!E115&amp;""))))</f>
        <v/>
      </c>
      <c r="H115">
        <f>IF('01_Master_Data'!B115="","",IF('01_Master_Data'!U115="","",TRIM('01_Master_Data'!U115&amp;"")))</f>
        <v/>
      </c>
      <c r="I115">
        <f>IF('01_Master_Data'!B115="","",TRIM('01_Master_Data'!F115&amp;""))</f>
        <v/>
      </c>
      <c r="J115">
        <f>IF('01_Master_Data'!B115="","",TRIM('01_Master_Data'!G115&amp;""))</f>
        <v/>
      </c>
      <c r="K115">
        <f>IF('01_Master_Data'!B115="","",'01_Master_Data'!H115)</f>
        <v/>
      </c>
      <c r="L115">
        <f>IF('01_Master_Data'!B115="","",IF(LOWER(TRIM('01_Master_Data'!V115&amp;""))="yes",1,0))</f>
        <v/>
      </c>
      <c r="M115">
        <f>IF('01_Master_Data'!B115="","",IF(LOWER(TRIM('01_Master_Data'!W115&amp;""))="yes",1,0))</f>
        <v/>
      </c>
      <c r="N115">
        <f>IF('01_Master_Data'!B115="","",IF(LOWER(TRIM('01_Master_Data'!X115&amp;""))="yes",1,0))</f>
        <v/>
      </c>
      <c r="O115">
        <f>IF('01_Master_Data'!B115="","",IF(LOWER(TRIM('01_Master_Data'!Y115&amp;""))="yes",1,0))</f>
        <v/>
      </c>
      <c r="P115">
        <f>IF('01_Master_Data'!B115="","",IF(LOWER(TRIM('01_Master_Data'!Z115&amp;""))="yes",1,0))</f>
        <v/>
      </c>
      <c r="Q115">
        <f>IF(A115="","",L115+M115+N115+O115+P115)</f>
        <v/>
      </c>
      <c r="R115">
        <f>IF(A115="","",IF(Q115&gt;1,"Yes","No"))</f>
        <v/>
      </c>
      <c r="S115">
        <f>IF(A115="","",TEXTJOIN(", ",TRUE,IF(L115=1,"ICICI",""),IF(M115=1,"Propelld",""),IF(N115=1,"Study4Buddy",""),IF(O115=1,"Poonawala Fincorp",""),IF(P115=1,"GyanDhan","")))</f>
        <v/>
      </c>
      <c r="T115">
        <f>IF(A115="","",IF(L115=1,"ICICI",IF(M115=1,"Propelld",IF(P115=1,"GyanDhan",IF(N115=1,"Study4Buddy",IF(O115=1,"Poonawala Fincorp",IF(ISNUMBER(SEARCH("GyanDhan",W115&amp;"")),"GyanDhan",IF(ISNUMBER(SEARCH("Icici",W115&amp;"")),"ICICI",IF(ISNUMBER(SEARCH("Propelld",W115&amp;"")),"Propelld",IF(ISNUMBER(SEARCH("vidyalakshmi",LOWER(W115&amp;"")),"PM Vidyalakshmi","—"))))))))))</f>
        <v/>
      </c>
      <c r="U115">
        <f>IF(A115="","",TRIM('01_Master_Data'!AA115&amp;""))</f>
        <v/>
      </c>
      <c r="V115">
        <f>IF(A115="","",TRIM('01_Master_Data'!AG115&amp;""))</f>
        <v/>
      </c>
      <c r="W115">
        <f>IF(A115="","",TRIM('01_Master_Data'!AH115&amp;""))</f>
        <v/>
      </c>
      <c r="X115">
        <f>IF(A115="","",IF(OR(LOWER(H115)="refund",LOWER(U115)="refund case"),"Refund",IF(OR(LOWER(H115)="dnp",LOWER(U115)="dnp"),"DNP",IF(OR(LOWER(V115)="disbursed",ISNUMBER(SEARCH("Disbursed",W115&amp;""))),"Disbursed",IF(OR(LOWER(V115)="loan proccessed/accepted",ISNUMBER(SEARCH("sanctioned",LOWER(W115&amp;"")))),"Sanctioned",IF(OR(LOWER(V115)="rejected",ISNUMBER(SEARCH("Not eligbile",W115&amp;"")),ISNUMBER(SEARCH("Not eligible",W115&amp;""))),"Rejected",IF(ISNUMBER(SEARCH("Docs Pending",W115&amp;"")),"Documents Pending",IF(AND(LOWER(H115)="yes",LOWER(V115)="ongoing"),"Processing",IF(AND(LOWER(H115)="yes",Q115&gt;0,OR(V115="",LOWER(V115)="not even started")),"Vendor Assigned",IF(AND(LOWER(H115)="yes",LOWER(V115)="not even started"),"Need Loan",IF(LOWER(H115)="yes","Loan Started",IF(LOWER(H115)="not sure","Interested",IF(OR(LOWER(H115)="no",LOWER(V115)="not required"),"Not Required","Unclassified")))))))))))))</f>
        <v/>
      </c>
      <c r="Y115">
        <f>IF(A115="","",IF(OR(X115="Sanctioned",X115="Disbursed",X115="Approved"),"Approved",IF(X115="Rejected","Rejected",IF(OR(X115="Processing",X115="Documents Pending",X115="Vendor Assigned"),"In Progress",IF(X115="Need Loan","Pending Start","—"))))</f>
        <v/>
      </c>
      <c r="Z115">
        <f>IF(A115="","",IF(X115="Disbursed","Disbursed",IF(X115="Sanctioned","Sanctioned - Awaiting Disbursement","Not Disbursed")))</f>
        <v/>
      </c>
      <c r="AA115">
        <f>IF(A115="","",IF(LOWER(TRIM('01_Master_Data'!AI115&amp;""))="yes","Need FLDG",IF(LOWER(TRIM('01_Master_Data'!AK115&amp;""))="yes","Need Vidyalakshmi",IF(LOWER(TRIM('01_Master_Data'!AJ115&amp;""))="yes","Need Review",IF(LOWER(J115)="critical","Critical",IF(LOWER(U115)="risk","Risk Case",IF(X115="Refund","Refund","Normal")))))))</f>
        <v/>
      </c>
      <c r="AB115">
        <f>IF(A115="","",IF(OR(LOWER(J115)="critical",LOWER(TRIM('01_Master_Data'!AI115&amp;""))="yes",LOWER(TRIM('01_Master_Data'!AK115&amp;""))="yes",LOWER(U115)="risk"),"Yes","No"))</f>
        <v/>
      </c>
      <c r="AC115">
        <f>IF(A115="","",IF(LOWER(TRIM('01_Master_Data'!AI115&amp;""))="yes","Yes","No"))</f>
        <v/>
      </c>
      <c r="AD115">
        <f>IF(A115="","",IF(LOWER(TRIM('01_Master_Data'!AK115&amp;""))="yes","Yes","No"))</f>
        <v/>
      </c>
      <c r="AE115">
        <f>IF(A115="","",IF(LOWER(TRIM('01_Master_Data'!AJ115&amp;""))="yes","Yes","No"))</f>
        <v/>
      </c>
      <c r="AF115">
        <f>IF(A115="","",TRIM('01_Master_Data'!AL115&amp;""))</f>
        <v/>
      </c>
      <c r="AG115">
        <f>IF(A115="","",IF(AF115="","—",IF(ISNUMBER(SEARCH("DNP",AF115)),"Unreachable / DNP",IF(ISNUMBER(SEARCH("interest",LOWER(AF115))),"High Interest / Terms",IF(OR(ISNUMBER(SEARCH("eligib",LOWER(AF115))),ISNUMBER(SEARCH("income",LOWER(AF115)))),"Eligibility / Income",IF(OR(ISNUMBER(SEARCH("start",LOWER(AF115))),ISNUMBER(SEARCH("Newer",AF115)),ISNUMBER(SEARCH("Will start",AF115))),"Process Yet to Start",IF(ISNUMBER(SEARCH("sure",LOWER(AF115))),"Undecided",IF(OR(ISNUMBER(SEARCH("reject",LOWER(AF115))),ISNUMBER(SEARCH("SBI",AF115))),"Rejected Elsewhere",IF(ISNUMBER(SEARCH("call",LOWER(AF115))),"Bank Communication",IF(OR(ISNUMBER(SEARCH("father",LOWER(AF115))),ISNUMBER(SEARCH("sister",LOWER(AF115)))),"Family / Dependency","Other"))))))))))</f>
        <v/>
      </c>
      <c r="AH115">
        <f>IF(A115="","",'01_Master_Data'!AC115)</f>
        <v/>
      </c>
      <c r="AI115">
        <f>IF(A115="","",IF(OR(AH115="",NOT(ISNUMBER(AH115))),"",MAX(0,'02_Configuration'!$B$82-AH115)))</f>
        <v/>
      </c>
      <c r="AJ115">
        <f>IF(A115="","",IF(AI115="","Unknown",IF(AI115&lt;=3,"0–3 Days",IF(AI115&lt;=7,"4–7 Days",IF(AI115&lt;=15,"8–15 Days",IF(AI115&lt;=30,"16–30 Days","30+ Days"))))))</f>
        <v/>
      </c>
      <c r="AK115">
        <f>IF(A115="","",IF(LOWER(H115)="yes","Yes","No"))</f>
        <v/>
      </c>
      <c r="AL115">
        <f>IF(A115="","",'01_Master_Data'!T115)</f>
        <v/>
      </c>
      <c r="AM115">
        <f>IF(A115="","",'01_Master_Data'!S115)</f>
        <v/>
      </c>
      <c r="AN115">
        <f>IF(A115="","",'01_Master_Data'!I115)</f>
        <v/>
      </c>
      <c r="AO115">
        <f>IF(A115="","",'01_Master_Data'!M115)</f>
        <v/>
      </c>
      <c r="AP115">
        <f>IF(A115="","",IF(ISNUMBER(SEARCH("Icici",W115&amp;"")),1,0))</f>
        <v/>
      </c>
      <c r="AQ115">
        <f>IF(A115="","",IF(ISNUMBER(SEARCH("Propelld",W115&amp;"")),1,0))</f>
        <v/>
      </c>
      <c r="AR115">
        <f>IF(A115="","",IF(ISNUMBER(SEARCH("GyanDhan",W115&amp;"")),1,0))</f>
        <v/>
      </c>
      <c r="AS115">
        <f>IF(A115="","",IF(ISNUMBER(SEARCH("vidyalakshmi",LOWER(W115&amp;""))),1,0))</f>
        <v/>
      </c>
      <c r="AT115">
        <f>IF(A115="","",IF(ISNUMBER(SEARCH("other bank",LOWER(W115&amp;""))),1,0))</f>
        <v/>
      </c>
      <c r="AU115">
        <f>IF(A115="","",IF(ISNUMBER(SEARCH("sanctioned",LOWER(W115&amp;""))),1,0))</f>
        <v/>
      </c>
      <c r="AV115">
        <f>IF(A115="","",IF(ISNUMBER(SEARCH("Docs Pending",W115&amp;"")),1,0))</f>
        <v/>
      </c>
      <c r="AW115">
        <f>IF(A115="","",IF(OR(X115="Rejected",ISNUMBER(SEARCH("Not eligbile",W115&amp;""))),1,0))</f>
        <v/>
      </c>
    </row>
    <row r="116">
      <c r="A116">
        <f>IF('01_Master_Data'!B116="","",115)</f>
        <v/>
      </c>
      <c r="B116">
        <f>IF('01_Master_Data'!B116="","",IF('01_Master_Data'!C116&lt;&gt;"","MOB|"&amp;TEXT('01_Master_Data'!C116,"0"),IF('01_Master_Data'!D116&lt;&gt;"","PID|"&amp;TRIM('01_Master_Data'!D116&amp;""),"")))</f>
        <v/>
      </c>
      <c r="C116">
        <f>IF('01_Master_Data'!B116="","",'01_Master_Data'!B116)</f>
        <v/>
      </c>
      <c r="D116">
        <f>IF('01_Master_Data'!B116="","",'01_Master_Data'!C116)</f>
        <v/>
      </c>
      <c r="E116">
        <f>IF('01_Master_Data'!B116="","",'01_Master_Data'!D116)</f>
        <v/>
      </c>
      <c r="F116">
        <f>IF('01_Master_Data'!B116="","",'01_Master_Data'!E116)</f>
        <v/>
      </c>
      <c r="G116">
        <f>IF('01_Master_Data'!B116="","",IFERROR(VLOOKUP(TRIM('01_Master_Data'!E116&amp;""),'02_Configuration'!$A$40:$B$44,2,FALSE),UPPER(TRIM('01_Master_Data'!E116&amp;""))))</f>
        <v/>
      </c>
      <c r="H116">
        <f>IF('01_Master_Data'!B116="","",IF('01_Master_Data'!U116="","",TRIM('01_Master_Data'!U116&amp;"")))</f>
        <v/>
      </c>
      <c r="I116">
        <f>IF('01_Master_Data'!B116="","",TRIM('01_Master_Data'!F116&amp;""))</f>
        <v/>
      </c>
      <c r="J116">
        <f>IF('01_Master_Data'!B116="","",TRIM('01_Master_Data'!G116&amp;""))</f>
        <v/>
      </c>
      <c r="K116">
        <f>IF('01_Master_Data'!B116="","",'01_Master_Data'!H116)</f>
        <v/>
      </c>
      <c r="L116">
        <f>IF('01_Master_Data'!B116="","",IF(LOWER(TRIM('01_Master_Data'!V116&amp;""))="yes",1,0))</f>
        <v/>
      </c>
      <c r="M116">
        <f>IF('01_Master_Data'!B116="","",IF(LOWER(TRIM('01_Master_Data'!W116&amp;""))="yes",1,0))</f>
        <v/>
      </c>
      <c r="N116">
        <f>IF('01_Master_Data'!B116="","",IF(LOWER(TRIM('01_Master_Data'!X116&amp;""))="yes",1,0))</f>
        <v/>
      </c>
      <c r="O116">
        <f>IF('01_Master_Data'!B116="","",IF(LOWER(TRIM('01_Master_Data'!Y116&amp;""))="yes",1,0))</f>
        <v/>
      </c>
      <c r="P116">
        <f>IF('01_Master_Data'!B116="","",IF(LOWER(TRIM('01_Master_Data'!Z116&amp;""))="yes",1,0))</f>
        <v/>
      </c>
      <c r="Q116">
        <f>IF(A116="","",L116+M116+N116+O116+P116)</f>
        <v/>
      </c>
      <c r="R116">
        <f>IF(A116="","",IF(Q116&gt;1,"Yes","No"))</f>
        <v/>
      </c>
      <c r="S116">
        <f>IF(A116="","",TEXTJOIN(", ",TRUE,IF(L116=1,"ICICI",""),IF(M116=1,"Propelld",""),IF(N116=1,"Study4Buddy",""),IF(O116=1,"Poonawala Fincorp",""),IF(P116=1,"GyanDhan","")))</f>
        <v/>
      </c>
      <c r="T116">
        <f>IF(A116="","",IF(L116=1,"ICICI",IF(M116=1,"Propelld",IF(P116=1,"GyanDhan",IF(N116=1,"Study4Buddy",IF(O116=1,"Poonawala Fincorp",IF(ISNUMBER(SEARCH("GyanDhan",W116&amp;"")),"GyanDhan",IF(ISNUMBER(SEARCH("Icici",W116&amp;"")),"ICICI",IF(ISNUMBER(SEARCH("Propelld",W116&amp;"")),"Propelld",IF(ISNUMBER(SEARCH("vidyalakshmi",LOWER(W116&amp;"")),"PM Vidyalakshmi","—"))))))))))</f>
        <v/>
      </c>
      <c r="U116">
        <f>IF(A116="","",TRIM('01_Master_Data'!AA116&amp;""))</f>
        <v/>
      </c>
      <c r="V116">
        <f>IF(A116="","",TRIM('01_Master_Data'!AG116&amp;""))</f>
        <v/>
      </c>
      <c r="W116">
        <f>IF(A116="","",TRIM('01_Master_Data'!AH116&amp;""))</f>
        <v/>
      </c>
      <c r="X116">
        <f>IF(A116="","",IF(OR(LOWER(H116)="refund",LOWER(U116)="refund case"),"Refund",IF(OR(LOWER(H116)="dnp",LOWER(U116)="dnp"),"DNP",IF(OR(LOWER(V116)="disbursed",ISNUMBER(SEARCH("Disbursed",W116&amp;""))),"Disbursed",IF(OR(LOWER(V116)="loan proccessed/accepted",ISNUMBER(SEARCH("sanctioned",LOWER(W116&amp;"")))),"Sanctioned",IF(OR(LOWER(V116)="rejected",ISNUMBER(SEARCH("Not eligbile",W116&amp;"")),ISNUMBER(SEARCH("Not eligible",W116&amp;""))),"Rejected",IF(ISNUMBER(SEARCH("Docs Pending",W116&amp;"")),"Documents Pending",IF(AND(LOWER(H116)="yes",LOWER(V116)="ongoing"),"Processing",IF(AND(LOWER(H116)="yes",Q116&gt;0,OR(V116="",LOWER(V116)="not even started")),"Vendor Assigned",IF(AND(LOWER(H116)="yes",LOWER(V116)="not even started"),"Need Loan",IF(LOWER(H116)="yes","Loan Started",IF(LOWER(H116)="not sure","Interested",IF(OR(LOWER(H116)="no",LOWER(V116)="not required"),"Not Required","Unclassified")))))))))))))</f>
        <v/>
      </c>
      <c r="Y116">
        <f>IF(A116="","",IF(OR(X116="Sanctioned",X116="Disbursed",X116="Approved"),"Approved",IF(X116="Rejected","Rejected",IF(OR(X116="Processing",X116="Documents Pending",X116="Vendor Assigned"),"In Progress",IF(X116="Need Loan","Pending Start","—"))))</f>
        <v/>
      </c>
      <c r="Z116">
        <f>IF(A116="","",IF(X116="Disbursed","Disbursed",IF(X116="Sanctioned","Sanctioned - Awaiting Disbursement","Not Disbursed")))</f>
        <v/>
      </c>
      <c r="AA116">
        <f>IF(A116="","",IF(LOWER(TRIM('01_Master_Data'!AI116&amp;""))="yes","Need FLDG",IF(LOWER(TRIM('01_Master_Data'!AK116&amp;""))="yes","Need Vidyalakshmi",IF(LOWER(TRIM('01_Master_Data'!AJ116&amp;""))="yes","Need Review",IF(LOWER(J116)="critical","Critical",IF(LOWER(U116)="risk","Risk Case",IF(X116="Refund","Refund","Normal")))))))</f>
        <v/>
      </c>
      <c r="AB116">
        <f>IF(A116="","",IF(OR(LOWER(J116)="critical",LOWER(TRIM('01_Master_Data'!AI116&amp;""))="yes",LOWER(TRIM('01_Master_Data'!AK116&amp;""))="yes",LOWER(U116)="risk"),"Yes","No"))</f>
        <v/>
      </c>
      <c r="AC116">
        <f>IF(A116="","",IF(LOWER(TRIM('01_Master_Data'!AI116&amp;""))="yes","Yes","No"))</f>
        <v/>
      </c>
      <c r="AD116">
        <f>IF(A116="","",IF(LOWER(TRIM('01_Master_Data'!AK116&amp;""))="yes","Yes","No"))</f>
        <v/>
      </c>
      <c r="AE116">
        <f>IF(A116="","",IF(LOWER(TRIM('01_Master_Data'!AJ116&amp;""))="yes","Yes","No"))</f>
        <v/>
      </c>
      <c r="AF116">
        <f>IF(A116="","",TRIM('01_Master_Data'!AL116&amp;""))</f>
        <v/>
      </c>
      <c r="AG116">
        <f>IF(A116="","",IF(AF116="","—",IF(ISNUMBER(SEARCH("DNP",AF116)),"Unreachable / DNP",IF(ISNUMBER(SEARCH("interest",LOWER(AF116))),"High Interest / Terms",IF(OR(ISNUMBER(SEARCH("eligib",LOWER(AF116))),ISNUMBER(SEARCH("income",LOWER(AF116)))),"Eligibility / Income",IF(OR(ISNUMBER(SEARCH("start",LOWER(AF116))),ISNUMBER(SEARCH("Newer",AF116)),ISNUMBER(SEARCH("Will start",AF116))),"Process Yet to Start",IF(ISNUMBER(SEARCH("sure",LOWER(AF116))),"Undecided",IF(OR(ISNUMBER(SEARCH("reject",LOWER(AF116))),ISNUMBER(SEARCH("SBI",AF116))),"Rejected Elsewhere",IF(ISNUMBER(SEARCH("call",LOWER(AF116))),"Bank Communication",IF(OR(ISNUMBER(SEARCH("father",LOWER(AF116))),ISNUMBER(SEARCH("sister",LOWER(AF116)))),"Family / Dependency","Other"))))))))))</f>
        <v/>
      </c>
      <c r="AH116">
        <f>IF(A116="","",'01_Master_Data'!AC116)</f>
        <v/>
      </c>
      <c r="AI116">
        <f>IF(A116="","",IF(OR(AH116="",NOT(ISNUMBER(AH116))),"",MAX(0,'02_Configuration'!$B$82-AH116)))</f>
        <v/>
      </c>
      <c r="AJ116">
        <f>IF(A116="","",IF(AI116="","Unknown",IF(AI116&lt;=3,"0–3 Days",IF(AI116&lt;=7,"4–7 Days",IF(AI116&lt;=15,"8–15 Days",IF(AI116&lt;=30,"16–30 Days","30+ Days"))))))</f>
        <v/>
      </c>
      <c r="AK116">
        <f>IF(A116="","",IF(LOWER(H116)="yes","Yes","No"))</f>
        <v/>
      </c>
      <c r="AL116">
        <f>IF(A116="","",'01_Master_Data'!T116)</f>
        <v/>
      </c>
      <c r="AM116">
        <f>IF(A116="","",'01_Master_Data'!S116)</f>
        <v/>
      </c>
      <c r="AN116">
        <f>IF(A116="","",'01_Master_Data'!I116)</f>
        <v/>
      </c>
      <c r="AO116">
        <f>IF(A116="","",'01_Master_Data'!M116)</f>
        <v/>
      </c>
      <c r="AP116">
        <f>IF(A116="","",IF(ISNUMBER(SEARCH("Icici",W116&amp;"")),1,0))</f>
        <v/>
      </c>
      <c r="AQ116">
        <f>IF(A116="","",IF(ISNUMBER(SEARCH("Propelld",W116&amp;"")),1,0))</f>
        <v/>
      </c>
      <c r="AR116">
        <f>IF(A116="","",IF(ISNUMBER(SEARCH("GyanDhan",W116&amp;"")),1,0))</f>
        <v/>
      </c>
      <c r="AS116">
        <f>IF(A116="","",IF(ISNUMBER(SEARCH("vidyalakshmi",LOWER(W116&amp;""))),1,0))</f>
        <v/>
      </c>
      <c r="AT116">
        <f>IF(A116="","",IF(ISNUMBER(SEARCH("other bank",LOWER(W116&amp;""))),1,0))</f>
        <v/>
      </c>
      <c r="AU116">
        <f>IF(A116="","",IF(ISNUMBER(SEARCH("sanctioned",LOWER(W116&amp;""))),1,0))</f>
        <v/>
      </c>
      <c r="AV116">
        <f>IF(A116="","",IF(ISNUMBER(SEARCH("Docs Pending",W116&amp;"")),1,0))</f>
        <v/>
      </c>
      <c r="AW116">
        <f>IF(A116="","",IF(OR(X116="Rejected",ISNUMBER(SEARCH("Not eligbile",W116&amp;""))),1,0))</f>
        <v/>
      </c>
    </row>
    <row r="117">
      <c r="A117">
        <f>IF('01_Master_Data'!B117="","",116)</f>
        <v/>
      </c>
      <c r="B117">
        <f>IF('01_Master_Data'!B117="","",IF('01_Master_Data'!C117&lt;&gt;"","MOB|"&amp;TEXT('01_Master_Data'!C117,"0"),IF('01_Master_Data'!D117&lt;&gt;"","PID|"&amp;TRIM('01_Master_Data'!D117&amp;""),"")))</f>
        <v/>
      </c>
      <c r="C117">
        <f>IF('01_Master_Data'!B117="","",'01_Master_Data'!B117)</f>
        <v/>
      </c>
      <c r="D117">
        <f>IF('01_Master_Data'!B117="","",'01_Master_Data'!C117)</f>
        <v/>
      </c>
      <c r="E117">
        <f>IF('01_Master_Data'!B117="","",'01_Master_Data'!D117)</f>
        <v/>
      </c>
      <c r="F117">
        <f>IF('01_Master_Data'!B117="","",'01_Master_Data'!E117)</f>
        <v/>
      </c>
      <c r="G117">
        <f>IF('01_Master_Data'!B117="","",IFERROR(VLOOKUP(TRIM('01_Master_Data'!E117&amp;""),'02_Configuration'!$A$40:$B$44,2,FALSE),UPPER(TRIM('01_Master_Data'!E117&amp;""))))</f>
        <v/>
      </c>
      <c r="H117">
        <f>IF('01_Master_Data'!B117="","",IF('01_Master_Data'!U117="","",TRIM('01_Master_Data'!U117&amp;"")))</f>
        <v/>
      </c>
      <c r="I117">
        <f>IF('01_Master_Data'!B117="","",TRIM('01_Master_Data'!F117&amp;""))</f>
        <v/>
      </c>
      <c r="J117">
        <f>IF('01_Master_Data'!B117="","",TRIM('01_Master_Data'!G117&amp;""))</f>
        <v/>
      </c>
      <c r="K117">
        <f>IF('01_Master_Data'!B117="","",'01_Master_Data'!H117)</f>
        <v/>
      </c>
      <c r="L117">
        <f>IF('01_Master_Data'!B117="","",IF(LOWER(TRIM('01_Master_Data'!V117&amp;""))="yes",1,0))</f>
        <v/>
      </c>
      <c r="M117">
        <f>IF('01_Master_Data'!B117="","",IF(LOWER(TRIM('01_Master_Data'!W117&amp;""))="yes",1,0))</f>
        <v/>
      </c>
      <c r="N117">
        <f>IF('01_Master_Data'!B117="","",IF(LOWER(TRIM('01_Master_Data'!X117&amp;""))="yes",1,0))</f>
        <v/>
      </c>
      <c r="O117">
        <f>IF('01_Master_Data'!B117="","",IF(LOWER(TRIM('01_Master_Data'!Y117&amp;""))="yes",1,0))</f>
        <v/>
      </c>
      <c r="P117">
        <f>IF('01_Master_Data'!B117="","",IF(LOWER(TRIM('01_Master_Data'!Z117&amp;""))="yes",1,0))</f>
        <v/>
      </c>
      <c r="Q117">
        <f>IF(A117="","",L117+M117+N117+O117+P117)</f>
        <v/>
      </c>
      <c r="R117">
        <f>IF(A117="","",IF(Q117&gt;1,"Yes","No"))</f>
        <v/>
      </c>
      <c r="S117">
        <f>IF(A117="","",TEXTJOIN(", ",TRUE,IF(L117=1,"ICICI",""),IF(M117=1,"Propelld",""),IF(N117=1,"Study4Buddy",""),IF(O117=1,"Poonawala Fincorp",""),IF(P117=1,"GyanDhan","")))</f>
        <v/>
      </c>
      <c r="T117">
        <f>IF(A117="","",IF(L117=1,"ICICI",IF(M117=1,"Propelld",IF(P117=1,"GyanDhan",IF(N117=1,"Study4Buddy",IF(O117=1,"Poonawala Fincorp",IF(ISNUMBER(SEARCH("GyanDhan",W117&amp;"")),"GyanDhan",IF(ISNUMBER(SEARCH("Icici",W117&amp;"")),"ICICI",IF(ISNUMBER(SEARCH("Propelld",W117&amp;"")),"Propelld",IF(ISNUMBER(SEARCH("vidyalakshmi",LOWER(W117&amp;"")),"PM Vidyalakshmi","—"))))))))))</f>
        <v/>
      </c>
      <c r="U117">
        <f>IF(A117="","",TRIM('01_Master_Data'!AA117&amp;""))</f>
        <v/>
      </c>
      <c r="V117">
        <f>IF(A117="","",TRIM('01_Master_Data'!AG117&amp;""))</f>
        <v/>
      </c>
      <c r="W117">
        <f>IF(A117="","",TRIM('01_Master_Data'!AH117&amp;""))</f>
        <v/>
      </c>
      <c r="X117">
        <f>IF(A117="","",IF(OR(LOWER(H117)="refund",LOWER(U117)="refund case"),"Refund",IF(OR(LOWER(H117)="dnp",LOWER(U117)="dnp"),"DNP",IF(OR(LOWER(V117)="disbursed",ISNUMBER(SEARCH("Disbursed",W117&amp;""))),"Disbursed",IF(OR(LOWER(V117)="loan proccessed/accepted",ISNUMBER(SEARCH("sanctioned",LOWER(W117&amp;"")))),"Sanctioned",IF(OR(LOWER(V117)="rejected",ISNUMBER(SEARCH("Not eligbile",W117&amp;"")),ISNUMBER(SEARCH("Not eligible",W117&amp;""))),"Rejected",IF(ISNUMBER(SEARCH("Docs Pending",W117&amp;"")),"Documents Pending",IF(AND(LOWER(H117)="yes",LOWER(V117)="ongoing"),"Processing",IF(AND(LOWER(H117)="yes",Q117&gt;0,OR(V117="",LOWER(V117)="not even started")),"Vendor Assigned",IF(AND(LOWER(H117)="yes",LOWER(V117)="not even started"),"Need Loan",IF(LOWER(H117)="yes","Loan Started",IF(LOWER(H117)="not sure","Interested",IF(OR(LOWER(H117)="no",LOWER(V117)="not required"),"Not Required","Unclassified")))))))))))))</f>
        <v/>
      </c>
      <c r="Y117">
        <f>IF(A117="","",IF(OR(X117="Sanctioned",X117="Disbursed",X117="Approved"),"Approved",IF(X117="Rejected","Rejected",IF(OR(X117="Processing",X117="Documents Pending",X117="Vendor Assigned"),"In Progress",IF(X117="Need Loan","Pending Start","—"))))</f>
        <v/>
      </c>
      <c r="Z117">
        <f>IF(A117="","",IF(X117="Disbursed","Disbursed",IF(X117="Sanctioned","Sanctioned - Awaiting Disbursement","Not Disbursed")))</f>
        <v/>
      </c>
      <c r="AA117">
        <f>IF(A117="","",IF(LOWER(TRIM('01_Master_Data'!AI117&amp;""))="yes","Need FLDG",IF(LOWER(TRIM('01_Master_Data'!AK117&amp;""))="yes","Need Vidyalakshmi",IF(LOWER(TRIM('01_Master_Data'!AJ117&amp;""))="yes","Need Review",IF(LOWER(J117)="critical","Critical",IF(LOWER(U117)="risk","Risk Case",IF(X117="Refund","Refund","Normal")))))))</f>
        <v/>
      </c>
      <c r="AB117">
        <f>IF(A117="","",IF(OR(LOWER(J117)="critical",LOWER(TRIM('01_Master_Data'!AI117&amp;""))="yes",LOWER(TRIM('01_Master_Data'!AK117&amp;""))="yes",LOWER(U117)="risk"),"Yes","No"))</f>
        <v/>
      </c>
      <c r="AC117">
        <f>IF(A117="","",IF(LOWER(TRIM('01_Master_Data'!AI117&amp;""))="yes","Yes","No"))</f>
        <v/>
      </c>
      <c r="AD117">
        <f>IF(A117="","",IF(LOWER(TRIM('01_Master_Data'!AK117&amp;""))="yes","Yes","No"))</f>
        <v/>
      </c>
      <c r="AE117">
        <f>IF(A117="","",IF(LOWER(TRIM('01_Master_Data'!AJ117&amp;""))="yes","Yes","No"))</f>
        <v/>
      </c>
      <c r="AF117">
        <f>IF(A117="","",TRIM('01_Master_Data'!AL117&amp;""))</f>
        <v/>
      </c>
      <c r="AG117">
        <f>IF(A117="","",IF(AF117="","—",IF(ISNUMBER(SEARCH("DNP",AF117)),"Unreachable / DNP",IF(ISNUMBER(SEARCH("interest",LOWER(AF117))),"High Interest / Terms",IF(OR(ISNUMBER(SEARCH("eligib",LOWER(AF117))),ISNUMBER(SEARCH("income",LOWER(AF117)))),"Eligibility / Income",IF(OR(ISNUMBER(SEARCH("start",LOWER(AF117))),ISNUMBER(SEARCH("Newer",AF117)),ISNUMBER(SEARCH("Will start",AF117))),"Process Yet to Start",IF(ISNUMBER(SEARCH("sure",LOWER(AF117))),"Undecided",IF(OR(ISNUMBER(SEARCH("reject",LOWER(AF117))),ISNUMBER(SEARCH("SBI",AF117))),"Rejected Elsewhere",IF(ISNUMBER(SEARCH("call",LOWER(AF117))),"Bank Communication",IF(OR(ISNUMBER(SEARCH("father",LOWER(AF117))),ISNUMBER(SEARCH("sister",LOWER(AF117)))),"Family / Dependency","Other"))))))))))</f>
        <v/>
      </c>
      <c r="AH117">
        <f>IF(A117="","",'01_Master_Data'!AC117)</f>
        <v/>
      </c>
      <c r="AI117">
        <f>IF(A117="","",IF(OR(AH117="",NOT(ISNUMBER(AH117))),"",MAX(0,'02_Configuration'!$B$82-AH117)))</f>
        <v/>
      </c>
      <c r="AJ117">
        <f>IF(A117="","",IF(AI117="","Unknown",IF(AI117&lt;=3,"0–3 Days",IF(AI117&lt;=7,"4–7 Days",IF(AI117&lt;=15,"8–15 Days",IF(AI117&lt;=30,"16–30 Days","30+ Days"))))))</f>
        <v/>
      </c>
      <c r="AK117">
        <f>IF(A117="","",IF(LOWER(H117)="yes","Yes","No"))</f>
        <v/>
      </c>
      <c r="AL117">
        <f>IF(A117="","",'01_Master_Data'!T117)</f>
        <v/>
      </c>
      <c r="AM117">
        <f>IF(A117="","",'01_Master_Data'!S117)</f>
        <v/>
      </c>
      <c r="AN117">
        <f>IF(A117="","",'01_Master_Data'!I117)</f>
        <v/>
      </c>
      <c r="AO117">
        <f>IF(A117="","",'01_Master_Data'!M117)</f>
        <v/>
      </c>
      <c r="AP117">
        <f>IF(A117="","",IF(ISNUMBER(SEARCH("Icici",W117&amp;"")),1,0))</f>
        <v/>
      </c>
      <c r="AQ117">
        <f>IF(A117="","",IF(ISNUMBER(SEARCH("Propelld",W117&amp;"")),1,0))</f>
        <v/>
      </c>
      <c r="AR117">
        <f>IF(A117="","",IF(ISNUMBER(SEARCH("GyanDhan",W117&amp;"")),1,0))</f>
        <v/>
      </c>
      <c r="AS117">
        <f>IF(A117="","",IF(ISNUMBER(SEARCH("vidyalakshmi",LOWER(W117&amp;""))),1,0))</f>
        <v/>
      </c>
      <c r="AT117">
        <f>IF(A117="","",IF(ISNUMBER(SEARCH("other bank",LOWER(W117&amp;""))),1,0))</f>
        <v/>
      </c>
      <c r="AU117">
        <f>IF(A117="","",IF(ISNUMBER(SEARCH("sanctioned",LOWER(W117&amp;""))),1,0))</f>
        <v/>
      </c>
      <c r="AV117">
        <f>IF(A117="","",IF(ISNUMBER(SEARCH("Docs Pending",W117&amp;"")),1,0))</f>
        <v/>
      </c>
      <c r="AW117">
        <f>IF(A117="","",IF(OR(X117="Rejected",ISNUMBER(SEARCH("Not eligbile",W117&amp;""))),1,0))</f>
        <v/>
      </c>
    </row>
    <row r="118">
      <c r="A118">
        <f>IF('01_Master_Data'!B118="","",117)</f>
        <v/>
      </c>
      <c r="B118">
        <f>IF('01_Master_Data'!B118="","",IF('01_Master_Data'!C118&lt;&gt;"","MOB|"&amp;TEXT('01_Master_Data'!C118,"0"),IF('01_Master_Data'!D118&lt;&gt;"","PID|"&amp;TRIM('01_Master_Data'!D118&amp;""),"")))</f>
        <v/>
      </c>
      <c r="C118">
        <f>IF('01_Master_Data'!B118="","",'01_Master_Data'!B118)</f>
        <v/>
      </c>
      <c r="D118">
        <f>IF('01_Master_Data'!B118="","",'01_Master_Data'!C118)</f>
        <v/>
      </c>
      <c r="E118">
        <f>IF('01_Master_Data'!B118="","",'01_Master_Data'!D118)</f>
        <v/>
      </c>
      <c r="F118">
        <f>IF('01_Master_Data'!B118="","",'01_Master_Data'!E118)</f>
        <v/>
      </c>
      <c r="G118">
        <f>IF('01_Master_Data'!B118="","",IFERROR(VLOOKUP(TRIM('01_Master_Data'!E118&amp;""),'02_Configuration'!$A$40:$B$44,2,FALSE),UPPER(TRIM('01_Master_Data'!E118&amp;""))))</f>
        <v/>
      </c>
      <c r="H118">
        <f>IF('01_Master_Data'!B118="","",IF('01_Master_Data'!U118="","",TRIM('01_Master_Data'!U118&amp;"")))</f>
        <v/>
      </c>
      <c r="I118">
        <f>IF('01_Master_Data'!B118="","",TRIM('01_Master_Data'!F118&amp;""))</f>
        <v/>
      </c>
      <c r="J118">
        <f>IF('01_Master_Data'!B118="","",TRIM('01_Master_Data'!G118&amp;""))</f>
        <v/>
      </c>
      <c r="K118">
        <f>IF('01_Master_Data'!B118="","",'01_Master_Data'!H118)</f>
        <v/>
      </c>
      <c r="L118">
        <f>IF('01_Master_Data'!B118="","",IF(LOWER(TRIM('01_Master_Data'!V118&amp;""))="yes",1,0))</f>
        <v/>
      </c>
      <c r="M118">
        <f>IF('01_Master_Data'!B118="","",IF(LOWER(TRIM('01_Master_Data'!W118&amp;""))="yes",1,0))</f>
        <v/>
      </c>
      <c r="N118">
        <f>IF('01_Master_Data'!B118="","",IF(LOWER(TRIM('01_Master_Data'!X118&amp;""))="yes",1,0))</f>
        <v/>
      </c>
      <c r="O118">
        <f>IF('01_Master_Data'!B118="","",IF(LOWER(TRIM('01_Master_Data'!Y118&amp;""))="yes",1,0))</f>
        <v/>
      </c>
      <c r="P118">
        <f>IF('01_Master_Data'!B118="","",IF(LOWER(TRIM('01_Master_Data'!Z118&amp;""))="yes",1,0))</f>
        <v/>
      </c>
      <c r="Q118">
        <f>IF(A118="","",L118+M118+N118+O118+P118)</f>
        <v/>
      </c>
      <c r="R118">
        <f>IF(A118="","",IF(Q118&gt;1,"Yes","No"))</f>
        <v/>
      </c>
      <c r="S118">
        <f>IF(A118="","",TEXTJOIN(", ",TRUE,IF(L118=1,"ICICI",""),IF(M118=1,"Propelld",""),IF(N118=1,"Study4Buddy",""),IF(O118=1,"Poonawala Fincorp",""),IF(P118=1,"GyanDhan","")))</f>
        <v/>
      </c>
      <c r="T118">
        <f>IF(A118="","",IF(L118=1,"ICICI",IF(M118=1,"Propelld",IF(P118=1,"GyanDhan",IF(N118=1,"Study4Buddy",IF(O118=1,"Poonawala Fincorp",IF(ISNUMBER(SEARCH("GyanDhan",W118&amp;"")),"GyanDhan",IF(ISNUMBER(SEARCH("Icici",W118&amp;"")),"ICICI",IF(ISNUMBER(SEARCH("Propelld",W118&amp;"")),"Propelld",IF(ISNUMBER(SEARCH("vidyalakshmi",LOWER(W118&amp;"")),"PM Vidyalakshmi","—"))))))))))</f>
        <v/>
      </c>
      <c r="U118">
        <f>IF(A118="","",TRIM('01_Master_Data'!AA118&amp;""))</f>
        <v/>
      </c>
      <c r="V118">
        <f>IF(A118="","",TRIM('01_Master_Data'!AG118&amp;""))</f>
        <v/>
      </c>
      <c r="W118">
        <f>IF(A118="","",TRIM('01_Master_Data'!AH118&amp;""))</f>
        <v/>
      </c>
      <c r="X118">
        <f>IF(A118="","",IF(OR(LOWER(H118)="refund",LOWER(U118)="refund case"),"Refund",IF(OR(LOWER(H118)="dnp",LOWER(U118)="dnp"),"DNP",IF(OR(LOWER(V118)="disbursed",ISNUMBER(SEARCH("Disbursed",W118&amp;""))),"Disbursed",IF(OR(LOWER(V118)="loan proccessed/accepted",ISNUMBER(SEARCH("sanctioned",LOWER(W118&amp;"")))),"Sanctioned",IF(OR(LOWER(V118)="rejected",ISNUMBER(SEARCH("Not eligbile",W118&amp;"")),ISNUMBER(SEARCH("Not eligible",W118&amp;""))),"Rejected",IF(ISNUMBER(SEARCH("Docs Pending",W118&amp;"")),"Documents Pending",IF(AND(LOWER(H118)="yes",LOWER(V118)="ongoing"),"Processing",IF(AND(LOWER(H118)="yes",Q118&gt;0,OR(V118="",LOWER(V118)="not even started")),"Vendor Assigned",IF(AND(LOWER(H118)="yes",LOWER(V118)="not even started"),"Need Loan",IF(LOWER(H118)="yes","Loan Started",IF(LOWER(H118)="not sure","Interested",IF(OR(LOWER(H118)="no",LOWER(V118)="not required"),"Not Required","Unclassified")))))))))))))</f>
        <v/>
      </c>
      <c r="Y118">
        <f>IF(A118="","",IF(OR(X118="Sanctioned",X118="Disbursed",X118="Approved"),"Approved",IF(X118="Rejected","Rejected",IF(OR(X118="Processing",X118="Documents Pending",X118="Vendor Assigned"),"In Progress",IF(X118="Need Loan","Pending Start","—"))))</f>
        <v/>
      </c>
      <c r="Z118">
        <f>IF(A118="","",IF(X118="Disbursed","Disbursed",IF(X118="Sanctioned","Sanctioned - Awaiting Disbursement","Not Disbursed")))</f>
        <v/>
      </c>
      <c r="AA118">
        <f>IF(A118="","",IF(LOWER(TRIM('01_Master_Data'!AI118&amp;""))="yes","Need FLDG",IF(LOWER(TRIM('01_Master_Data'!AK118&amp;""))="yes","Need Vidyalakshmi",IF(LOWER(TRIM('01_Master_Data'!AJ118&amp;""))="yes","Need Review",IF(LOWER(J118)="critical","Critical",IF(LOWER(U118)="risk","Risk Case",IF(X118="Refund","Refund","Normal")))))))</f>
        <v/>
      </c>
      <c r="AB118">
        <f>IF(A118="","",IF(OR(LOWER(J118)="critical",LOWER(TRIM('01_Master_Data'!AI118&amp;""))="yes",LOWER(TRIM('01_Master_Data'!AK118&amp;""))="yes",LOWER(U118)="risk"),"Yes","No"))</f>
        <v/>
      </c>
      <c r="AC118">
        <f>IF(A118="","",IF(LOWER(TRIM('01_Master_Data'!AI118&amp;""))="yes","Yes","No"))</f>
        <v/>
      </c>
      <c r="AD118">
        <f>IF(A118="","",IF(LOWER(TRIM('01_Master_Data'!AK118&amp;""))="yes","Yes","No"))</f>
        <v/>
      </c>
      <c r="AE118">
        <f>IF(A118="","",IF(LOWER(TRIM('01_Master_Data'!AJ118&amp;""))="yes","Yes","No"))</f>
        <v/>
      </c>
      <c r="AF118">
        <f>IF(A118="","",TRIM('01_Master_Data'!AL118&amp;""))</f>
        <v/>
      </c>
      <c r="AG118">
        <f>IF(A118="","",IF(AF118="","—",IF(ISNUMBER(SEARCH("DNP",AF118)),"Unreachable / DNP",IF(ISNUMBER(SEARCH("interest",LOWER(AF118))),"High Interest / Terms",IF(OR(ISNUMBER(SEARCH("eligib",LOWER(AF118))),ISNUMBER(SEARCH("income",LOWER(AF118)))),"Eligibility / Income",IF(OR(ISNUMBER(SEARCH("start",LOWER(AF118))),ISNUMBER(SEARCH("Newer",AF118)),ISNUMBER(SEARCH("Will start",AF118))),"Process Yet to Start",IF(ISNUMBER(SEARCH("sure",LOWER(AF118))),"Undecided",IF(OR(ISNUMBER(SEARCH("reject",LOWER(AF118))),ISNUMBER(SEARCH("SBI",AF118))),"Rejected Elsewhere",IF(ISNUMBER(SEARCH("call",LOWER(AF118))),"Bank Communication",IF(OR(ISNUMBER(SEARCH("father",LOWER(AF118))),ISNUMBER(SEARCH("sister",LOWER(AF118)))),"Family / Dependency","Other"))))))))))</f>
        <v/>
      </c>
      <c r="AH118">
        <f>IF(A118="","",'01_Master_Data'!AC118)</f>
        <v/>
      </c>
      <c r="AI118">
        <f>IF(A118="","",IF(OR(AH118="",NOT(ISNUMBER(AH118))),"",MAX(0,'02_Configuration'!$B$82-AH118)))</f>
        <v/>
      </c>
      <c r="AJ118">
        <f>IF(A118="","",IF(AI118="","Unknown",IF(AI118&lt;=3,"0–3 Days",IF(AI118&lt;=7,"4–7 Days",IF(AI118&lt;=15,"8–15 Days",IF(AI118&lt;=30,"16–30 Days","30+ Days"))))))</f>
        <v/>
      </c>
      <c r="AK118">
        <f>IF(A118="","",IF(LOWER(H118)="yes","Yes","No"))</f>
        <v/>
      </c>
      <c r="AL118">
        <f>IF(A118="","",'01_Master_Data'!T118)</f>
        <v/>
      </c>
      <c r="AM118">
        <f>IF(A118="","",'01_Master_Data'!S118)</f>
        <v/>
      </c>
      <c r="AN118">
        <f>IF(A118="","",'01_Master_Data'!I118)</f>
        <v/>
      </c>
      <c r="AO118">
        <f>IF(A118="","",'01_Master_Data'!M118)</f>
        <v/>
      </c>
      <c r="AP118">
        <f>IF(A118="","",IF(ISNUMBER(SEARCH("Icici",W118&amp;"")),1,0))</f>
        <v/>
      </c>
      <c r="AQ118">
        <f>IF(A118="","",IF(ISNUMBER(SEARCH("Propelld",W118&amp;"")),1,0))</f>
        <v/>
      </c>
      <c r="AR118">
        <f>IF(A118="","",IF(ISNUMBER(SEARCH("GyanDhan",W118&amp;"")),1,0))</f>
        <v/>
      </c>
      <c r="AS118">
        <f>IF(A118="","",IF(ISNUMBER(SEARCH("vidyalakshmi",LOWER(W118&amp;""))),1,0))</f>
        <v/>
      </c>
      <c r="AT118">
        <f>IF(A118="","",IF(ISNUMBER(SEARCH("other bank",LOWER(W118&amp;""))),1,0))</f>
        <v/>
      </c>
      <c r="AU118">
        <f>IF(A118="","",IF(ISNUMBER(SEARCH("sanctioned",LOWER(W118&amp;""))),1,0))</f>
        <v/>
      </c>
      <c r="AV118">
        <f>IF(A118="","",IF(ISNUMBER(SEARCH("Docs Pending",W118&amp;"")),1,0))</f>
        <v/>
      </c>
      <c r="AW118">
        <f>IF(A118="","",IF(OR(X118="Rejected",ISNUMBER(SEARCH("Not eligbile",W118&amp;""))),1,0))</f>
        <v/>
      </c>
    </row>
    <row r="119">
      <c r="A119">
        <f>IF('01_Master_Data'!B119="","",118)</f>
        <v/>
      </c>
      <c r="B119">
        <f>IF('01_Master_Data'!B119="","",IF('01_Master_Data'!C119&lt;&gt;"","MOB|"&amp;TEXT('01_Master_Data'!C119,"0"),IF('01_Master_Data'!D119&lt;&gt;"","PID|"&amp;TRIM('01_Master_Data'!D119&amp;""),"")))</f>
        <v/>
      </c>
      <c r="C119">
        <f>IF('01_Master_Data'!B119="","",'01_Master_Data'!B119)</f>
        <v/>
      </c>
      <c r="D119">
        <f>IF('01_Master_Data'!B119="","",'01_Master_Data'!C119)</f>
        <v/>
      </c>
      <c r="E119">
        <f>IF('01_Master_Data'!B119="","",'01_Master_Data'!D119)</f>
        <v/>
      </c>
      <c r="F119">
        <f>IF('01_Master_Data'!B119="","",'01_Master_Data'!E119)</f>
        <v/>
      </c>
      <c r="G119">
        <f>IF('01_Master_Data'!B119="","",IFERROR(VLOOKUP(TRIM('01_Master_Data'!E119&amp;""),'02_Configuration'!$A$40:$B$44,2,FALSE),UPPER(TRIM('01_Master_Data'!E119&amp;""))))</f>
        <v/>
      </c>
      <c r="H119">
        <f>IF('01_Master_Data'!B119="","",IF('01_Master_Data'!U119="","",TRIM('01_Master_Data'!U119&amp;"")))</f>
        <v/>
      </c>
      <c r="I119">
        <f>IF('01_Master_Data'!B119="","",TRIM('01_Master_Data'!F119&amp;""))</f>
        <v/>
      </c>
      <c r="J119">
        <f>IF('01_Master_Data'!B119="","",TRIM('01_Master_Data'!G119&amp;""))</f>
        <v/>
      </c>
      <c r="K119">
        <f>IF('01_Master_Data'!B119="","",'01_Master_Data'!H119)</f>
        <v/>
      </c>
      <c r="L119">
        <f>IF('01_Master_Data'!B119="","",IF(LOWER(TRIM('01_Master_Data'!V119&amp;""))="yes",1,0))</f>
        <v/>
      </c>
      <c r="M119">
        <f>IF('01_Master_Data'!B119="","",IF(LOWER(TRIM('01_Master_Data'!W119&amp;""))="yes",1,0))</f>
        <v/>
      </c>
      <c r="N119">
        <f>IF('01_Master_Data'!B119="","",IF(LOWER(TRIM('01_Master_Data'!X119&amp;""))="yes",1,0))</f>
        <v/>
      </c>
      <c r="O119">
        <f>IF('01_Master_Data'!B119="","",IF(LOWER(TRIM('01_Master_Data'!Y119&amp;""))="yes",1,0))</f>
        <v/>
      </c>
      <c r="P119">
        <f>IF('01_Master_Data'!B119="","",IF(LOWER(TRIM('01_Master_Data'!Z119&amp;""))="yes",1,0))</f>
        <v/>
      </c>
      <c r="Q119">
        <f>IF(A119="","",L119+M119+N119+O119+P119)</f>
        <v/>
      </c>
      <c r="R119">
        <f>IF(A119="","",IF(Q119&gt;1,"Yes","No"))</f>
        <v/>
      </c>
      <c r="S119">
        <f>IF(A119="","",TEXTJOIN(", ",TRUE,IF(L119=1,"ICICI",""),IF(M119=1,"Propelld",""),IF(N119=1,"Study4Buddy",""),IF(O119=1,"Poonawala Fincorp",""),IF(P119=1,"GyanDhan","")))</f>
        <v/>
      </c>
      <c r="T119">
        <f>IF(A119="","",IF(L119=1,"ICICI",IF(M119=1,"Propelld",IF(P119=1,"GyanDhan",IF(N119=1,"Study4Buddy",IF(O119=1,"Poonawala Fincorp",IF(ISNUMBER(SEARCH("GyanDhan",W119&amp;"")),"GyanDhan",IF(ISNUMBER(SEARCH("Icici",W119&amp;"")),"ICICI",IF(ISNUMBER(SEARCH("Propelld",W119&amp;"")),"Propelld",IF(ISNUMBER(SEARCH("vidyalakshmi",LOWER(W119&amp;"")),"PM Vidyalakshmi","—"))))))))))</f>
        <v/>
      </c>
      <c r="U119">
        <f>IF(A119="","",TRIM('01_Master_Data'!AA119&amp;""))</f>
        <v/>
      </c>
      <c r="V119">
        <f>IF(A119="","",TRIM('01_Master_Data'!AG119&amp;""))</f>
        <v/>
      </c>
      <c r="W119">
        <f>IF(A119="","",TRIM('01_Master_Data'!AH119&amp;""))</f>
        <v/>
      </c>
      <c r="X119">
        <f>IF(A119="","",IF(OR(LOWER(H119)="refund",LOWER(U119)="refund case"),"Refund",IF(OR(LOWER(H119)="dnp",LOWER(U119)="dnp"),"DNP",IF(OR(LOWER(V119)="disbursed",ISNUMBER(SEARCH("Disbursed",W119&amp;""))),"Disbursed",IF(OR(LOWER(V119)="loan proccessed/accepted",ISNUMBER(SEARCH("sanctioned",LOWER(W119&amp;"")))),"Sanctioned",IF(OR(LOWER(V119)="rejected",ISNUMBER(SEARCH("Not eligbile",W119&amp;"")),ISNUMBER(SEARCH("Not eligible",W119&amp;""))),"Rejected",IF(ISNUMBER(SEARCH("Docs Pending",W119&amp;"")),"Documents Pending",IF(AND(LOWER(H119)="yes",LOWER(V119)="ongoing"),"Processing",IF(AND(LOWER(H119)="yes",Q119&gt;0,OR(V119="",LOWER(V119)="not even started")),"Vendor Assigned",IF(AND(LOWER(H119)="yes",LOWER(V119)="not even started"),"Need Loan",IF(LOWER(H119)="yes","Loan Started",IF(LOWER(H119)="not sure","Interested",IF(OR(LOWER(H119)="no",LOWER(V119)="not required"),"Not Required","Unclassified")))))))))))))</f>
        <v/>
      </c>
      <c r="Y119">
        <f>IF(A119="","",IF(OR(X119="Sanctioned",X119="Disbursed",X119="Approved"),"Approved",IF(X119="Rejected","Rejected",IF(OR(X119="Processing",X119="Documents Pending",X119="Vendor Assigned"),"In Progress",IF(X119="Need Loan","Pending Start","—"))))</f>
        <v/>
      </c>
      <c r="Z119">
        <f>IF(A119="","",IF(X119="Disbursed","Disbursed",IF(X119="Sanctioned","Sanctioned - Awaiting Disbursement","Not Disbursed")))</f>
        <v/>
      </c>
      <c r="AA119">
        <f>IF(A119="","",IF(LOWER(TRIM('01_Master_Data'!AI119&amp;""))="yes","Need FLDG",IF(LOWER(TRIM('01_Master_Data'!AK119&amp;""))="yes","Need Vidyalakshmi",IF(LOWER(TRIM('01_Master_Data'!AJ119&amp;""))="yes","Need Review",IF(LOWER(J119)="critical","Critical",IF(LOWER(U119)="risk","Risk Case",IF(X119="Refund","Refund","Normal")))))))</f>
        <v/>
      </c>
      <c r="AB119">
        <f>IF(A119="","",IF(OR(LOWER(J119)="critical",LOWER(TRIM('01_Master_Data'!AI119&amp;""))="yes",LOWER(TRIM('01_Master_Data'!AK119&amp;""))="yes",LOWER(U119)="risk"),"Yes","No"))</f>
        <v/>
      </c>
      <c r="AC119">
        <f>IF(A119="","",IF(LOWER(TRIM('01_Master_Data'!AI119&amp;""))="yes","Yes","No"))</f>
        <v/>
      </c>
      <c r="AD119">
        <f>IF(A119="","",IF(LOWER(TRIM('01_Master_Data'!AK119&amp;""))="yes","Yes","No"))</f>
        <v/>
      </c>
      <c r="AE119">
        <f>IF(A119="","",IF(LOWER(TRIM('01_Master_Data'!AJ119&amp;""))="yes","Yes","No"))</f>
        <v/>
      </c>
      <c r="AF119">
        <f>IF(A119="","",TRIM('01_Master_Data'!AL119&amp;""))</f>
        <v/>
      </c>
      <c r="AG119">
        <f>IF(A119="","",IF(AF119="","—",IF(ISNUMBER(SEARCH("DNP",AF119)),"Unreachable / DNP",IF(ISNUMBER(SEARCH("interest",LOWER(AF119))),"High Interest / Terms",IF(OR(ISNUMBER(SEARCH("eligib",LOWER(AF119))),ISNUMBER(SEARCH("income",LOWER(AF119)))),"Eligibility / Income",IF(OR(ISNUMBER(SEARCH("start",LOWER(AF119))),ISNUMBER(SEARCH("Newer",AF119)),ISNUMBER(SEARCH("Will start",AF119))),"Process Yet to Start",IF(ISNUMBER(SEARCH("sure",LOWER(AF119))),"Undecided",IF(OR(ISNUMBER(SEARCH("reject",LOWER(AF119))),ISNUMBER(SEARCH("SBI",AF119))),"Rejected Elsewhere",IF(ISNUMBER(SEARCH("call",LOWER(AF119))),"Bank Communication",IF(OR(ISNUMBER(SEARCH("father",LOWER(AF119))),ISNUMBER(SEARCH("sister",LOWER(AF119)))),"Family / Dependency","Other"))))))))))</f>
        <v/>
      </c>
      <c r="AH119">
        <f>IF(A119="","",'01_Master_Data'!AC119)</f>
        <v/>
      </c>
      <c r="AI119">
        <f>IF(A119="","",IF(OR(AH119="",NOT(ISNUMBER(AH119))),"",MAX(0,'02_Configuration'!$B$82-AH119)))</f>
        <v/>
      </c>
      <c r="AJ119">
        <f>IF(A119="","",IF(AI119="","Unknown",IF(AI119&lt;=3,"0–3 Days",IF(AI119&lt;=7,"4–7 Days",IF(AI119&lt;=15,"8–15 Days",IF(AI119&lt;=30,"16–30 Days","30+ Days"))))))</f>
        <v/>
      </c>
      <c r="AK119">
        <f>IF(A119="","",IF(LOWER(H119)="yes","Yes","No"))</f>
        <v/>
      </c>
      <c r="AL119">
        <f>IF(A119="","",'01_Master_Data'!T119)</f>
        <v/>
      </c>
      <c r="AM119">
        <f>IF(A119="","",'01_Master_Data'!S119)</f>
        <v/>
      </c>
      <c r="AN119">
        <f>IF(A119="","",'01_Master_Data'!I119)</f>
        <v/>
      </c>
      <c r="AO119">
        <f>IF(A119="","",'01_Master_Data'!M119)</f>
        <v/>
      </c>
      <c r="AP119">
        <f>IF(A119="","",IF(ISNUMBER(SEARCH("Icici",W119&amp;"")),1,0))</f>
        <v/>
      </c>
      <c r="AQ119">
        <f>IF(A119="","",IF(ISNUMBER(SEARCH("Propelld",W119&amp;"")),1,0))</f>
        <v/>
      </c>
      <c r="AR119">
        <f>IF(A119="","",IF(ISNUMBER(SEARCH("GyanDhan",W119&amp;"")),1,0))</f>
        <v/>
      </c>
      <c r="AS119">
        <f>IF(A119="","",IF(ISNUMBER(SEARCH("vidyalakshmi",LOWER(W119&amp;""))),1,0))</f>
        <v/>
      </c>
      <c r="AT119">
        <f>IF(A119="","",IF(ISNUMBER(SEARCH("other bank",LOWER(W119&amp;""))),1,0))</f>
        <v/>
      </c>
      <c r="AU119">
        <f>IF(A119="","",IF(ISNUMBER(SEARCH("sanctioned",LOWER(W119&amp;""))),1,0))</f>
        <v/>
      </c>
      <c r="AV119">
        <f>IF(A119="","",IF(ISNUMBER(SEARCH("Docs Pending",W119&amp;"")),1,0))</f>
        <v/>
      </c>
      <c r="AW119">
        <f>IF(A119="","",IF(OR(X119="Rejected",ISNUMBER(SEARCH("Not eligbile",W119&amp;""))),1,0))</f>
        <v/>
      </c>
    </row>
    <row r="120">
      <c r="A120">
        <f>IF('01_Master_Data'!B120="","",119)</f>
        <v/>
      </c>
      <c r="B120">
        <f>IF('01_Master_Data'!B120="","",IF('01_Master_Data'!C120&lt;&gt;"","MOB|"&amp;TEXT('01_Master_Data'!C120,"0"),IF('01_Master_Data'!D120&lt;&gt;"","PID|"&amp;TRIM('01_Master_Data'!D120&amp;""),"")))</f>
        <v/>
      </c>
      <c r="C120">
        <f>IF('01_Master_Data'!B120="","",'01_Master_Data'!B120)</f>
        <v/>
      </c>
      <c r="D120">
        <f>IF('01_Master_Data'!B120="","",'01_Master_Data'!C120)</f>
        <v/>
      </c>
      <c r="E120">
        <f>IF('01_Master_Data'!B120="","",'01_Master_Data'!D120)</f>
        <v/>
      </c>
      <c r="F120">
        <f>IF('01_Master_Data'!B120="","",'01_Master_Data'!E120)</f>
        <v/>
      </c>
      <c r="G120">
        <f>IF('01_Master_Data'!B120="","",IFERROR(VLOOKUP(TRIM('01_Master_Data'!E120&amp;""),'02_Configuration'!$A$40:$B$44,2,FALSE),UPPER(TRIM('01_Master_Data'!E120&amp;""))))</f>
        <v/>
      </c>
      <c r="H120">
        <f>IF('01_Master_Data'!B120="","",IF('01_Master_Data'!U120="","",TRIM('01_Master_Data'!U120&amp;"")))</f>
        <v/>
      </c>
      <c r="I120">
        <f>IF('01_Master_Data'!B120="","",TRIM('01_Master_Data'!F120&amp;""))</f>
        <v/>
      </c>
      <c r="J120">
        <f>IF('01_Master_Data'!B120="","",TRIM('01_Master_Data'!G120&amp;""))</f>
        <v/>
      </c>
      <c r="K120">
        <f>IF('01_Master_Data'!B120="","",'01_Master_Data'!H120)</f>
        <v/>
      </c>
      <c r="L120">
        <f>IF('01_Master_Data'!B120="","",IF(LOWER(TRIM('01_Master_Data'!V120&amp;""))="yes",1,0))</f>
        <v/>
      </c>
      <c r="M120">
        <f>IF('01_Master_Data'!B120="","",IF(LOWER(TRIM('01_Master_Data'!W120&amp;""))="yes",1,0))</f>
        <v/>
      </c>
      <c r="N120">
        <f>IF('01_Master_Data'!B120="","",IF(LOWER(TRIM('01_Master_Data'!X120&amp;""))="yes",1,0))</f>
        <v/>
      </c>
      <c r="O120">
        <f>IF('01_Master_Data'!B120="","",IF(LOWER(TRIM('01_Master_Data'!Y120&amp;""))="yes",1,0))</f>
        <v/>
      </c>
      <c r="P120">
        <f>IF('01_Master_Data'!B120="","",IF(LOWER(TRIM('01_Master_Data'!Z120&amp;""))="yes",1,0))</f>
        <v/>
      </c>
      <c r="Q120">
        <f>IF(A120="","",L120+M120+N120+O120+P120)</f>
        <v/>
      </c>
      <c r="R120">
        <f>IF(A120="","",IF(Q120&gt;1,"Yes","No"))</f>
        <v/>
      </c>
      <c r="S120">
        <f>IF(A120="","",TEXTJOIN(", ",TRUE,IF(L120=1,"ICICI",""),IF(M120=1,"Propelld",""),IF(N120=1,"Study4Buddy",""),IF(O120=1,"Poonawala Fincorp",""),IF(P120=1,"GyanDhan","")))</f>
        <v/>
      </c>
      <c r="T120">
        <f>IF(A120="","",IF(L120=1,"ICICI",IF(M120=1,"Propelld",IF(P120=1,"GyanDhan",IF(N120=1,"Study4Buddy",IF(O120=1,"Poonawala Fincorp",IF(ISNUMBER(SEARCH("GyanDhan",W120&amp;"")),"GyanDhan",IF(ISNUMBER(SEARCH("Icici",W120&amp;"")),"ICICI",IF(ISNUMBER(SEARCH("Propelld",W120&amp;"")),"Propelld",IF(ISNUMBER(SEARCH("vidyalakshmi",LOWER(W120&amp;"")),"PM Vidyalakshmi","—"))))))))))</f>
        <v/>
      </c>
      <c r="U120">
        <f>IF(A120="","",TRIM('01_Master_Data'!AA120&amp;""))</f>
        <v/>
      </c>
      <c r="V120">
        <f>IF(A120="","",TRIM('01_Master_Data'!AG120&amp;""))</f>
        <v/>
      </c>
      <c r="W120">
        <f>IF(A120="","",TRIM('01_Master_Data'!AH120&amp;""))</f>
        <v/>
      </c>
      <c r="X120">
        <f>IF(A120="","",IF(OR(LOWER(H120)="refund",LOWER(U120)="refund case"),"Refund",IF(OR(LOWER(H120)="dnp",LOWER(U120)="dnp"),"DNP",IF(OR(LOWER(V120)="disbursed",ISNUMBER(SEARCH("Disbursed",W120&amp;""))),"Disbursed",IF(OR(LOWER(V120)="loan proccessed/accepted",ISNUMBER(SEARCH("sanctioned",LOWER(W120&amp;"")))),"Sanctioned",IF(OR(LOWER(V120)="rejected",ISNUMBER(SEARCH("Not eligbile",W120&amp;"")),ISNUMBER(SEARCH("Not eligible",W120&amp;""))),"Rejected",IF(ISNUMBER(SEARCH("Docs Pending",W120&amp;"")),"Documents Pending",IF(AND(LOWER(H120)="yes",LOWER(V120)="ongoing"),"Processing",IF(AND(LOWER(H120)="yes",Q120&gt;0,OR(V120="",LOWER(V120)="not even started")),"Vendor Assigned",IF(AND(LOWER(H120)="yes",LOWER(V120)="not even started"),"Need Loan",IF(LOWER(H120)="yes","Loan Started",IF(LOWER(H120)="not sure","Interested",IF(OR(LOWER(H120)="no",LOWER(V120)="not required"),"Not Required","Unclassified")))))))))))))</f>
        <v/>
      </c>
      <c r="Y120">
        <f>IF(A120="","",IF(OR(X120="Sanctioned",X120="Disbursed",X120="Approved"),"Approved",IF(X120="Rejected","Rejected",IF(OR(X120="Processing",X120="Documents Pending",X120="Vendor Assigned"),"In Progress",IF(X120="Need Loan","Pending Start","—"))))</f>
        <v/>
      </c>
      <c r="Z120">
        <f>IF(A120="","",IF(X120="Disbursed","Disbursed",IF(X120="Sanctioned","Sanctioned - Awaiting Disbursement","Not Disbursed")))</f>
        <v/>
      </c>
      <c r="AA120">
        <f>IF(A120="","",IF(LOWER(TRIM('01_Master_Data'!AI120&amp;""))="yes","Need FLDG",IF(LOWER(TRIM('01_Master_Data'!AK120&amp;""))="yes","Need Vidyalakshmi",IF(LOWER(TRIM('01_Master_Data'!AJ120&amp;""))="yes","Need Review",IF(LOWER(J120)="critical","Critical",IF(LOWER(U120)="risk","Risk Case",IF(X120="Refund","Refund","Normal")))))))</f>
        <v/>
      </c>
      <c r="AB120">
        <f>IF(A120="","",IF(OR(LOWER(J120)="critical",LOWER(TRIM('01_Master_Data'!AI120&amp;""))="yes",LOWER(TRIM('01_Master_Data'!AK120&amp;""))="yes",LOWER(U120)="risk"),"Yes","No"))</f>
        <v/>
      </c>
      <c r="AC120">
        <f>IF(A120="","",IF(LOWER(TRIM('01_Master_Data'!AI120&amp;""))="yes","Yes","No"))</f>
        <v/>
      </c>
      <c r="AD120">
        <f>IF(A120="","",IF(LOWER(TRIM('01_Master_Data'!AK120&amp;""))="yes","Yes","No"))</f>
        <v/>
      </c>
      <c r="AE120">
        <f>IF(A120="","",IF(LOWER(TRIM('01_Master_Data'!AJ120&amp;""))="yes","Yes","No"))</f>
        <v/>
      </c>
      <c r="AF120">
        <f>IF(A120="","",TRIM('01_Master_Data'!AL120&amp;""))</f>
        <v/>
      </c>
      <c r="AG120">
        <f>IF(A120="","",IF(AF120="","—",IF(ISNUMBER(SEARCH("DNP",AF120)),"Unreachable / DNP",IF(ISNUMBER(SEARCH("interest",LOWER(AF120))),"High Interest / Terms",IF(OR(ISNUMBER(SEARCH("eligib",LOWER(AF120))),ISNUMBER(SEARCH("income",LOWER(AF120)))),"Eligibility / Income",IF(OR(ISNUMBER(SEARCH("start",LOWER(AF120))),ISNUMBER(SEARCH("Newer",AF120)),ISNUMBER(SEARCH("Will start",AF120))),"Process Yet to Start",IF(ISNUMBER(SEARCH("sure",LOWER(AF120))),"Undecided",IF(OR(ISNUMBER(SEARCH("reject",LOWER(AF120))),ISNUMBER(SEARCH("SBI",AF120))),"Rejected Elsewhere",IF(ISNUMBER(SEARCH("call",LOWER(AF120))),"Bank Communication",IF(OR(ISNUMBER(SEARCH("father",LOWER(AF120))),ISNUMBER(SEARCH("sister",LOWER(AF120)))),"Family / Dependency","Other"))))))))))</f>
        <v/>
      </c>
      <c r="AH120">
        <f>IF(A120="","",'01_Master_Data'!AC120)</f>
        <v/>
      </c>
      <c r="AI120">
        <f>IF(A120="","",IF(OR(AH120="",NOT(ISNUMBER(AH120))),"",MAX(0,'02_Configuration'!$B$82-AH120)))</f>
        <v/>
      </c>
      <c r="AJ120">
        <f>IF(A120="","",IF(AI120="","Unknown",IF(AI120&lt;=3,"0–3 Days",IF(AI120&lt;=7,"4–7 Days",IF(AI120&lt;=15,"8–15 Days",IF(AI120&lt;=30,"16–30 Days","30+ Days"))))))</f>
        <v/>
      </c>
      <c r="AK120">
        <f>IF(A120="","",IF(LOWER(H120)="yes","Yes","No"))</f>
        <v/>
      </c>
      <c r="AL120">
        <f>IF(A120="","",'01_Master_Data'!T120)</f>
        <v/>
      </c>
      <c r="AM120">
        <f>IF(A120="","",'01_Master_Data'!S120)</f>
        <v/>
      </c>
      <c r="AN120">
        <f>IF(A120="","",'01_Master_Data'!I120)</f>
        <v/>
      </c>
      <c r="AO120">
        <f>IF(A120="","",'01_Master_Data'!M120)</f>
        <v/>
      </c>
      <c r="AP120">
        <f>IF(A120="","",IF(ISNUMBER(SEARCH("Icici",W120&amp;"")),1,0))</f>
        <v/>
      </c>
      <c r="AQ120">
        <f>IF(A120="","",IF(ISNUMBER(SEARCH("Propelld",W120&amp;"")),1,0))</f>
        <v/>
      </c>
      <c r="AR120">
        <f>IF(A120="","",IF(ISNUMBER(SEARCH("GyanDhan",W120&amp;"")),1,0))</f>
        <v/>
      </c>
      <c r="AS120">
        <f>IF(A120="","",IF(ISNUMBER(SEARCH("vidyalakshmi",LOWER(W120&amp;""))),1,0))</f>
        <v/>
      </c>
      <c r="AT120">
        <f>IF(A120="","",IF(ISNUMBER(SEARCH("other bank",LOWER(W120&amp;""))),1,0))</f>
        <v/>
      </c>
      <c r="AU120">
        <f>IF(A120="","",IF(ISNUMBER(SEARCH("sanctioned",LOWER(W120&amp;""))),1,0))</f>
        <v/>
      </c>
      <c r="AV120">
        <f>IF(A120="","",IF(ISNUMBER(SEARCH("Docs Pending",W120&amp;"")),1,0))</f>
        <v/>
      </c>
      <c r="AW120">
        <f>IF(A120="","",IF(OR(X120="Rejected",ISNUMBER(SEARCH("Not eligbile",W120&amp;""))),1,0))</f>
        <v/>
      </c>
    </row>
    <row r="121">
      <c r="A121">
        <f>IF('01_Master_Data'!B121="","",120)</f>
        <v/>
      </c>
      <c r="B121">
        <f>IF('01_Master_Data'!B121="","",IF('01_Master_Data'!C121&lt;&gt;"","MOB|"&amp;TEXT('01_Master_Data'!C121,"0"),IF('01_Master_Data'!D121&lt;&gt;"","PID|"&amp;TRIM('01_Master_Data'!D121&amp;""),"")))</f>
        <v/>
      </c>
      <c r="C121">
        <f>IF('01_Master_Data'!B121="","",'01_Master_Data'!B121)</f>
        <v/>
      </c>
      <c r="D121">
        <f>IF('01_Master_Data'!B121="","",'01_Master_Data'!C121)</f>
        <v/>
      </c>
      <c r="E121">
        <f>IF('01_Master_Data'!B121="","",'01_Master_Data'!D121)</f>
        <v/>
      </c>
      <c r="F121">
        <f>IF('01_Master_Data'!B121="","",'01_Master_Data'!E121)</f>
        <v/>
      </c>
      <c r="G121">
        <f>IF('01_Master_Data'!B121="","",IFERROR(VLOOKUP(TRIM('01_Master_Data'!E121&amp;""),'02_Configuration'!$A$40:$B$44,2,FALSE),UPPER(TRIM('01_Master_Data'!E121&amp;""))))</f>
        <v/>
      </c>
      <c r="H121">
        <f>IF('01_Master_Data'!B121="","",IF('01_Master_Data'!U121="","",TRIM('01_Master_Data'!U121&amp;"")))</f>
        <v/>
      </c>
      <c r="I121">
        <f>IF('01_Master_Data'!B121="","",TRIM('01_Master_Data'!F121&amp;""))</f>
        <v/>
      </c>
      <c r="J121">
        <f>IF('01_Master_Data'!B121="","",TRIM('01_Master_Data'!G121&amp;""))</f>
        <v/>
      </c>
      <c r="K121">
        <f>IF('01_Master_Data'!B121="","",'01_Master_Data'!H121)</f>
        <v/>
      </c>
      <c r="L121">
        <f>IF('01_Master_Data'!B121="","",IF(LOWER(TRIM('01_Master_Data'!V121&amp;""))="yes",1,0))</f>
        <v/>
      </c>
      <c r="M121">
        <f>IF('01_Master_Data'!B121="","",IF(LOWER(TRIM('01_Master_Data'!W121&amp;""))="yes",1,0))</f>
        <v/>
      </c>
      <c r="N121">
        <f>IF('01_Master_Data'!B121="","",IF(LOWER(TRIM('01_Master_Data'!X121&amp;""))="yes",1,0))</f>
        <v/>
      </c>
      <c r="O121">
        <f>IF('01_Master_Data'!B121="","",IF(LOWER(TRIM('01_Master_Data'!Y121&amp;""))="yes",1,0))</f>
        <v/>
      </c>
      <c r="P121">
        <f>IF('01_Master_Data'!B121="","",IF(LOWER(TRIM('01_Master_Data'!Z121&amp;""))="yes",1,0))</f>
        <v/>
      </c>
      <c r="Q121">
        <f>IF(A121="","",L121+M121+N121+O121+P121)</f>
        <v/>
      </c>
      <c r="R121">
        <f>IF(A121="","",IF(Q121&gt;1,"Yes","No"))</f>
        <v/>
      </c>
      <c r="S121">
        <f>IF(A121="","",TEXTJOIN(", ",TRUE,IF(L121=1,"ICICI",""),IF(M121=1,"Propelld",""),IF(N121=1,"Study4Buddy",""),IF(O121=1,"Poonawala Fincorp",""),IF(P121=1,"GyanDhan","")))</f>
        <v/>
      </c>
      <c r="T121">
        <f>IF(A121="","",IF(L121=1,"ICICI",IF(M121=1,"Propelld",IF(P121=1,"GyanDhan",IF(N121=1,"Study4Buddy",IF(O121=1,"Poonawala Fincorp",IF(ISNUMBER(SEARCH("GyanDhan",W121&amp;"")),"GyanDhan",IF(ISNUMBER(SEARCH("Icici",W121&amp;"")),"ICICI",IF(ISNUMBER(SEARCH("Propelld",W121&amp;"")),"Propelld",IF(ISNUMBER(SEARCH("vidyalakshmi",LOWER(W121&amp;"")),"PM Vidyalakshmi","—"))))))))))</f>
        <v/>
      </c>
      <c r="U121">
        <f>IF(A121="","",TRIM('01_Master_Data'!AA121&amp;""))</f>
        <v/>
      </c>
      <c r="V121">
        <f>IF(A121="","",TRIM('01_Master_Data'!AG121&amp;""))</f>
        <v/>
      </c>
      <c r="W121">
        <f>IF(A121="","",TRIM('01_Master_Data'!AH121&amp;""))</f>
        <v/>
      </c>
      <c r="X121">
        <f>IF(A121="","",IF(OR(LOWER(H121)="refund",LOWER(U121)="refund case"),"Refund",IF(OR(LOWER(H121)="dnp",LOWER(U121)="dnp"),"DNP",IF(OR(LOWER(V121)="disbursed",ISNUMBER(SEARCH("Disbursed",W121&amp;""))),"Disbursed",IF(OR(LOWER(V121)="loan proccessed/accepted",ISNUMBER(SEARCH("sanctioned",LOWER(W121&amp;"")))),"Sanctioned",IF(OR(LOWER(V121)="rejected",ISNUMBER(SEARCH("Not eligbile",W121&amp;"")),ISNUMBER(SEARCH("Not eligible",W121&amp;""))),"Rejected",IF(ISNUMBER(SEARCH("Docs Pending",W121&amp;"")),"Documents Pending",IF(AND(LOWER(H121)="yes",LOWER(V121)="ongoing"),"Processing",IF(AND(LOWER(H121)="yes",Q121&gt;0,OR(V121="",LOWER(V121)="not even started")),"Vendor Assigned",IF(AND(LOWER(H121)="yes",LOWER(V121)="not even started"),"Need Loan",IF(LOWER(H121)="yes","Loan Started",IF(LOWER(H121)="not sure","Interested",IF(OR(LOWER(H121)="no",LOWER(V121)="not required"),"Not Required","Unclassified")))))))))))))</f>
        <v/>
      </c>
      <c r="Y121">
        <f>IF(A121="","",IF(OR(X121="Sanctioned",X121="Disbursed",X121="Approved"),"Approved",IF(X121="Rejected","Rejected",IF(OR(X121="Processing",X121="Documents Pending",X121="Vendor Assigned"),"In Progress",IF(X121="Need Loan","Pending Start","—"))))</f>
        <v/>
      </c>
      <c r="Z121">
        <f>IF(A121="","",IF(X121="Disbursed","Disbursed",IF(X121="Sanctioned","Sanctioned - Awaiting Disbursement","Not Disbursed")))</f>
        <v/>
      </c>
      <c r="AA121">
        <f>IF(A121="","",IF(LOWER(TRIM('01_Master_Data'!AI121&amp;""))="yes","Need FLDG",IF(LOWER(TRIM('01_Master_Data'!AK121&amp;""))="yes","Need Vidyalakshmi",IF(LOWER(TRIM('01_Master_Data'!AJ121&amp;""))="yes","Need Review",IF(LOWER(J121)="critical","Critical",IF(LOWER(U121)="risk","Risk Case",IF(X121="Refund","Refund","Normal")))))))</f>
        <v/>
      </c>
      <c r="AB121">
        <f>IF(A121="","",IF(OR(LOWER(J121)="critical",LOWER(TRIM('01_Master_Data'!AI121&amp;""))="yes",LOWER(TRIM('01_Master_Data'!AK121&amp;""))="yes",LOWER(U121)="risk"),"Yes","No"))</f>
        <v/>
      </c>
      <c r="AC121">
        <f>IF(A121="","",IF(LOWER(TRIM('01_Master_Data'!AI121&amp;""))="yes","Yes","No"))</f>
        <v/>
      </c>
      <c r="AD121">
        <f>IF(A121="","",IF(LOWER(TRIM('01_Master_Data'!AK121&amp;""))="yes","Yes","No"))</f>
        <v/>
      </c>
      <c r="AE121">
        <f>IF(A121="","",IF(LOWER(TRIM('01_Master_Data'!AJ121&amp;""))="yes","Yes","No"))</f>
        <v/>
      </c>
      <c r="AF121">
        <f>IF(A121="","",TRIM('01_Master_Data'!AL121&amp;""))</f>
        <v/>
      </c>
      <c r="AG121">
        <f>IF(A121="","",IF(AF121="","—",IF(ISNUMBER(SEARCH("DNP",AF121)),"Unreachable / DNP",IF(ISNUMBER(SEARCH("interest",LOWER(AF121))),"High Interest / Terms",IF(OR(ISNUMBER(SEARCH("eligib",LOWER(AF121))),ISNUMBER(SEARCH("income",LOWER(AF121)))),"Eligibility / Income",IF(OR(ISNUMBER(SEARCH("start",LOWER(AF121))),ISNUMBER(SEARCH("Newer",AF121)),ISNUMBER(SEARCH("Will start",AF121))),"Process Yet to Start",IF(ISNUMBER(SEARCH("sure",LOWER(AF121))),"Undecided",IF(OR(ISNUMBER(SEARCH("reject",LOWER(AF121))),ISNUMBER(SEARCH("SBI",AF121))),"Rejected Elsewhere",IF(ISNUMBER(SEARCH("call",LOWER(AF121))),"Bank Communication",IF(OR(ISNUMBER(SEARCH("father",LOWER(AF121))),ISNUMBER(SEARCH("sister",LOWER(AF121)))),"Family / Dependency","Other"))))))))))</f>
        <v/>
      </c>
      <c r="AH121">
        <f>IF(A121="","",'01_Master_Data'!AC121)</f>
        <v/>
      </c>
      <c r="AI121">
        <f>IF(A121="","",IF(OR(AH121="",NOT(ISNUMBER(AH121))),"",MAX(0,'02_Configuration'!$B$82-AH121)))</f>
        <v/>
      </c>
      <c r="AJ121">
        <f>IF(A121="","",IF(AI121="","Unknown",IF(AI121&lt;=3,"0–3 Days",IF(AI121&lt;=7,"4–7 Days",IF(AI121&lt;=15,"8–15 Days",IF(AI121&lt;=30,"16–30 Days","30+ Days"))))))</f>
        <v/>
      </c>
      <c r="AK121">
        <f>IF(A121="","",IF(LOWER(H121)="yes","Yes","No"))</f>
        <v/>
      </c>
      <c r="AL121">
        <f>IF(A121="","",'01_Master_Data'!T121)</f>
        <v/>
      </c>
      <c r="AM121">
        <f>IF(A121="","",'01_Master_Data'!S121)</f>
        <v/>
      </c>
      <c r="AN121">
        <f>IF(A121="","",'01_Master_Data'!I121)</f>
        <v/>
      </c>
      <c r="AO121">
        <f>IF(A121="","",'01_Master_Data'!M121)</f>
        <v/>
      </c>
      <c r="AP121">
        <f>IF(A121="","",IF(ISNUMBER(SEARCH("Icici",W121&amp;"")),1,0))</f>
        <v/>
      </c>
      <c r="AQ121">
        <f>IF(A121="","",IF(ISNUMBER(SEARCH("Propelld",W121&amp;"")),1,0))</f>
        <v/>
      </c>
      <c r="AR121">
        <f>IF(A121="","",IF(ISNUMBER(SEARCH("GyanDhan",W121&amp;"")),1,0))</f>
        <v/>
      </c>
      <c r="AS121">
        <f>IF(A121="","",IF(ISNUMBER(SEARCH("vidyalakshmi",LOWER(W121&amp;""))),1,0))</f>
        <v/>
      </c>
      <c r="AT121">
        <f>IF(A121="","",IF(ISNUMBER(SEARCH("other bank",LOWER(W121&amp;""))),1,0))</f>
        <v/>
      </c>
      <c r="AU121">
        <f>IF(A121="","",IF(ISNUMBER(SEARCH("sanctioned",LOWER(W121&amp;""))),1,0))</f>
        <v/>
      </c>
      <c r="AV121">
        <f>IF(A121="","",IF(ISNUMBER(SEARCH("Docs Pending",W121&amp;"")),1,0))</f>
        <v/>
      </c>
      <c r="AW121">
        <f>IF(A121="","",IF(OR(X121="Rejected",ISNUMBER(SEARCH("Not eligbile",W121&amp;""))),1,0))</f>
        <v/>
      </c>
    </row>
    <row r="122">
      <c r="A122">
        <f>IF('01_Master_Data'!B122="","",121)</f>
        <v/>
      </c>
      <c r="B122">
        <f>IF('01_Master_Data'!B122="","",IF('01_Master_Data'!C122&lt;&gt;"","MOB|"&amp;TEXT('01_Master_Data'!C122,"0"),IF('01_Master_Data'!D122&lt;&gt;"","PID|"&amp;TRIM('01_Master_Data'!D122&amp;""),"")))</f>
        <v/>
      </c>
      <c r="C122">
        <f>IF('01_Master_Data'!B122="","",'01_Master_Data'!B122)</f>
        <v/>
      </c>
      <c r="D122">
        <f>IF('01_Master_Data'!B122="","",'01_Master_Data'!C122)</f>
        <v/>
      </c>
      <c r="E122">
        <f>IF('01_Master_Data'!B122="","",'01_Master_Data'!D122)</f>
        <v/>
      </c>
      <c r="F122">
        <f>IF('01_Master_Data'!B122="","",'01_Master_Data'!E122)</f>
        <v/>
      </c>
      <c r="G122">
        <f>IF('01_Master_Data'!B122="","",IFERROR(VLOOKUP(TRIM('01_Master_Data'!E122&amp;""),'02_Configuration'!$A$40:$B$44,2,FALSE),UPPER(TRIM('01_Master_Data'!E122&amp;""))))</f>
        <v/>
      </c>
      <c r="H122">
        <f>IF('01_Master_Data'!B122="","",IF('01_Master_Data'!U122="","",TRIM('01_Master_Data'!U122&amp;"")))</f>
        <v/>
      </c>
      <c r="I122">
        <f>IF('01_Master_Data'!B122="","",TRIM('01_Master_Data'!F122&amp;""))</f>
        <v/>
      </c>
      <c r="J122">
        <f>IF('01_Master_Data'!B122="","",TRIM('01_Master_Data'!G122&amp;""))</f>
        <v/>
      </c>
      <c r="K122">
        <f>IF('01_Master_Data'!B122="","",'01_Master_Data'!H122)</f>
        <v/>
      </c>
      <c r="L122">
        <f>IF('01_Master_Data'!B122="","",IF(LOWER(TRIM('01_Master_Data'!V122&amp;""))="yes",1,0))</f>
        <v/>
      </c>
      <c r="M122">
        <f>IF('01_Master_Data'!B122="","",IF(LOWER(TRIM('01_Master_Data'!W122&amp;""))="yes",1,0))</f>
        <v/>
      </c>
      <c r="N122">
        <f>IF('01_Master_Data'!B122="","",IF(LOWER(TRIM('01_Master_Data'!X122&amp;""))="yes",1,0))</f>
        <v/>
      </c>
      <c r="O122">
        <f>IF('01_Master_Data'!B122="","",IF(LOWER(TRIM('01_Master_Data'!Y122&amp;""))="yes",1,0))</f>
        <v/>
      </c>
      <c r="P122">
        <f>IF('01_Master_Data'!B122="","",IF(LOWER(TRIM('01_Master_Data'!Z122&amp;""))="yes",1,0))</f>
        <v/>
      </c>
      <c r="Q122">
        <f>IF(A122="","",L122+M122+N122+O122+P122)</f>
        <v/>
      </c>
      <c r="R122">
        <f>IF(A122="","",IF(Q122&gt;1,"Yes","No"))</f>
        <v/>
      </c>
      <c r="S122">
        <f>IF(A122="","",TEXTJOIN(", ",TRUE,IF(L122=1,"ICICI",""),IF(M122=1,"Propelld",""),IF(N122=1,"Study4Buddy",""),IF(O122=1,"Poonawala Fincorp",""),IF(P122=1,"GyanDhan","")))</f>
        <v/>
      </c>
      <c r="T122">
        <f>IF(A122="","",IF(L122=1,"ICICI",IF(M122=1,"Propelld",IF(P122=1,"GyanDhan",IF(N122=1,"Study4Buddy",IF(O122=1,"Poonawala Fincorp",IF(ISNUMBER(SEARCH("GyanDhan",W122&amp;"")),"GyanDhan",IF(ISNUMBER(SEARCH("Icici",W122&amp;"")),"ICICI",IF(ISNUMBER(SEARCH("Propelld",W122&amp;"")),"Propelld",IF(ISNUMBER(SEARCH("vidyalakshmi",LOWER(W122&amp;"")),"PM Vidyalakshmi","—"))))))))))</f>
        <v/>
      </c>
      <c r="U122">
        <f>IF(A122="","",TRIM('01_Master_Data'!AA122&amp;""))</f>
        <v/>
      </c>
      <c r="V122">
        <f>IF(A122="","",TRIM('01_Master_Data'!AG122&amp;""))</f>
        <v/>
      </c>
      <c r="W122">
        <f>IF(A122="","",TRIM('01_Master_Data'!AH122&amp;""))</f>
        <v/>
      </c>
      <c r="X122">
        <f>IF(A122="","",IF(OR(LOWER(H122)="refund",LOWER(U122)="refund case"),"Refund",IF(OR(LOWER(H122)="dnp",LOWER(U122)="dnp"),"DNP",IF(OR(LOWER(V122)="disbursed",ISNUMBER(SEARCH("Disbursed",W122&amp;""))),"Disbursed",IF(OR(LOWER(V122)="loan proccessed/accepted",ISNUMBER(SEARCH("sanctioned",LOWER(W122&amp;"")))),"Sanctioned",IF(OR(LOWER(V122)="rejected",ISNUMBER(SEARCH("Not eligbile",W122&amp;"")),ISNUMBER(SEARCH("Not eligible",W122&amp;""))),"Rejected",IF(ISNUMBER(SEARCH("Docs Pending",W122&amp;"")),"Documents Pending",IF(AND(LOWER(H122)="yes",LOWER(V122)="ongoing"),"Processing",IF(AND(LOWER(H122)="yes",Q122&gt;0,OR(V122="",LOWER(V122)="not even started")),"Vendor Assigned",IF(AND(LOWER(H122)="yes",LOWER(V122)="not even started"),"Need Loan",IF(LOWER(H122)="yes","Loan Started",IF(LOWER(H122)="not sure","Interested",IF(OR(LOWER(H122)="no",LOWER(V122)="not required"),"Not Required","Unclassified")))))))))))))</f>
        <v/>
      </c>
      <c r="Y122">
        <f>IF(A122="","",IF(OR(X122="Sanctioned",X122="Disbursed",X122="Approved"),"Approved",IF(X122="Rejected","Rejected",IF(OR(X122="Processing",X122="Documents Pending",X122="Vendor Assigned"),"In Progress",IF(X122="Need Loan","Pending Start","—"))))</f>
        <v/>
      </c>
      <c r="Z122">
        <f>IF(A122="","",IF(X122="Disbursed","Disbursed",IF(X122="Sanctioned","Sanctioned - Awaiting Disbursement","Not Disbursed")))</f>
        <v/>
      </c>
      <c r="AA122">
        <f>IF(A122="","",IF(LOWER(TRIM('01_Master_Data'!AI122&amp;""))="yes","Need FLDG",IF(LOWER(TRIM('01_Master_Data'!AK122&amp;""))="yes","Need Vidyalakshmi",IF(LOWER(TRIM('01_Master_Data'!AJ122&amp;""))="yes","Need Review",IF(LOWER(J122)="critical","Critical",IF(LOWER(U122)="risk","Risk Case",IF(X122="Refund","Refund","Normal")))))))</f>
        <v/>
      </c>
      <c r="AB122">
        <f>IF(A122="","",IF(OR(LOWER(J122)="critical",LOWER(TRIM('01_Master_Data'!AI122&amp;""))="yes",LOWER(TRIM('01_Master_Data'!AK122&amp;""))="yes",LOWER(U122)="risk"),"Yes","No"))</f>
        <v/>
      </c>
      <c r="AC122">
        <f>IF(A122="","",IF(LOWER(TRIM('01_Master_Data'!AI122&amp;""))="yes","Yes","No"))</f>
        <v/>
      </c>
      <c r="AD122">
        <f>IF(A122="","",IF(LOWER(TRIM('01_Master_Data'!AK122&amp;""))="yes","Yes","No"))</f>
        <v/>
      </c>
      <c r="AE122">
        <f>IF(A122="","",IF(LOWER(TRIM('01_Master_Data'!AJ122&amp;""))="yes","Yes","No"))</f>
        <v/>
      </c>
      <c r="AF122">
        <f>IF(A122="","",TRIM('01_Master_Data'!AL122&amp;""))</f>
        <v/>
      </c>
      <c r="AG122">
        <f>IF(A122="","",IF(AF122="","—",IF(ISNUMBER(SEARCH("DNP",AF122)),"Unreachable / DNP",IF(ISNUMBER(SEARCH("interest",LOWER(AF122))),"High Interest / Terms",IF(OR(ISNUMBER(SEARCH("eligib",LOWER(AF122))),ISNUMBER(SEARCH("income",LOWER(AF122)))),"Eligibility / Income",IF(OR(ISNUMBER(SEARCH("start",LOWER(AF122))),ISNUMBER(SEARCH("Newer",AF122)),ISNUMBER(SEARCH("Will start",AF122))),"Process Yet to Start",IF(ISNUMBER(SEARCH("sure",LOWER(AF122))),"Undecided",IF(OR(ISNUMBER(SEARCH("reject",LOWER(AF122))),ISNUMBER(SEARCH("SBI",AF122))),"Rejected Elsewhere",IF(ISNUMBER(SEARCH("call",LOWER(AF122))),"Bank Communication",IF(OR(ISNUMBER(SEARCH("father",LOWER(AF122))),ISNUMBER(SEARCH("sister",LOWER(AF122)))),"Family / Dependency","Other"))))))))))</f>
        <v/>
      </c>
      <c r="AH122">
        <f>IF(A122="","",'01_Master_Data'!AC122)</f>
        <v/>
      </c>
      <c r="AI122">
        <f>IF(A122="","",IF(OR(AH122="",NOT(ISNUMBER(AH122))),"",MAX(0,'02_Configuration'!$B$82-AH122)))</f>
        <v/>
      </c>
      <c r="AJ122">
        <f>IF(A122="","",IF(AI122="","Unknown",IF(AI122&lt;=3,"0–3 Days",IF(AI122&lt;=7,"4–7 Days",IF(AI122&lt;=15,"8–15 Days",IF(AI122&lt;=30,"16–30 Days","30+ Days"))))))</f>
        <v/>
      </c>
      <c r="AK122">
        <f>IF(A122="","",IF(LOWER(H122)="yes","Yes","No"))</f>
        <v/>
      </c>
      <c r="AL122">
        <f>IF(A122="","",'01_Master_Data'!T122)</f>
        <v/>
      </c>
      <c r="AM122">
        <f>IF(A122="","",'01_Master_Data'!S122)</f>
        <v/>
      </c>
      <c r="AN122">
        <f>IF(A122="","",'01_Master_Data'!I122)</f>
        <v/>
      </c>
      <c r="AO122">
        <f>IF(A122="","",'01_Master_Data'!M122)</f>
        <v/>
      </c>
      <c r="AP122">
        <f>IF(A122="","",IF(ISNUMBER(SEARCH("Icici",W122&amp;"")),1,0))</f>
        <v/>
      </c>
      <c r="AQ122">
        <f>IF(A122="","",IF(ISNUMBER(SEARCH("Propelld",W122&amp;"")),1,0))</f>
        <v/>
      </c>
      <c r="AR122">
        <f>IF(A122="","",IF(ISNUMBER(SEARCH("GyanDhan",W122&amp;"")),1,0))</f>
        <v/>
      </c>
      <c r="AS122">
        <f>IF(A122="","",IF(ISNUMBER(SEARCH("vidyalakshmi",LOWER(W122&amp;""))),1,0))</f>
        <v/>
      </c>
      <c r="AT122">
        <f>IF(A122="","",IF(ISNUMBER(SEARCH("other bank",LOWER(W122&amp;""))),1,0))</f>
        <v/>
      </c>
      <c r="AU122">
        <f>IF(A122="","",IF(ISNUMBER(SEARCH("sanctioned",LOWER(W122&amp;""))),1,0))</f>
        <v/>
      </c>
      <c r="AV122">
        <f>IF(A122="","",IF(ISNUMBER(SEARCH("Docs Pending",W122&amp;"")),1,0))</f>
        <v/>
      </c>
      <c r="AW122">
        <f>IF(A122="","",IF(OR(X122="Rejected",ISNUMBER(SEARCH("Not eligbile",W122&amp;""))),1,0))</f>
        <v/>
      </c>
    </row>
    <row r="123">
      <c r="A123">
        <f>IF('01_Master_Data'!B123="","",122)</f>
        <v/>
      </c>
      <c r="B123">
        <f>IF('01_Master_Data'!B123="","",IF('01_Master_Data'!C123&lt;&gt;"","MOB|"&amp;TEXT('01_Master_Data'!C123,"0"),IF('01_Master_Data'!D123&lt;&gt;"","PID|"&amp;TRIM('01_Master_Data'!D123&amp;""),"")))</f>
        <v/>
      </c>
      <c r="C123">
        <f>IF('01_Master_Data'!B123="","",'01_Master_Data'!B123)</f>
        <v/>
      </c>
      <c r="D123">
        <f>IF('01_Master_Data'!B123="","",'01_Master_Data'!C123)</f>
        <v/>
      </c>
      <c r="E123">
        <f>IF('01_Master_Data'!B123="","",'01_Master_Data'!D123)</f>
        <v/>
      </c>
      <c r="F123">
        <f>IF('01_Master_Data'!B123="","",'01_Master_Data'!E123)</f>
        <v/>
      </c>
      <c r="G123">
        <f>IF('01_Master_Data'!B123="","",IFERROR(VLOOKUP(TRIM('01_Master_Data'!E123&amp;""),'02_Configuration'!$A$40:$B$44,2,FALSE),UPPER(TRIM('01_Master_Data'!E123&amp;""))))</f>
        <v/>
      </c>
      <c r="H123">
        <f>IF('01_Master_Data'!B123="","",IF('01_Master_Data'!U123="","",TRIM('01_Master_Data'!U123&amp;"")))</f>
        <v/>
      </c>
      <c r="I123">
        <f>IF('01_Master_Data'!B123="","",TRIM('01_Master_Data'!F123&amp;""))</f>
        <v/>
      </c>
      <c r="J123">
        <f>IF('01_Master_Data'!B123="","",TRIM('01_Master_Data'!G123&amp;""))</f>
        <v/>
      </c>
      <c r="K123">
        <f>IF('01_Master_Data'!B123="","",'01_Master_Data'!H123)</f>
        <v/>
      </c>
      <c r="L123">
        <f>IF('01_Master_Data'!B123="","",IF(LOWER(TRIM('01_Master_Data'!V123&amp;""))="yes",1,0))</f>
        <v/>
      </c>
      <c r="M123">
        <f>IF('01_Master_Data'!B123="","",IF(LOWER(TRIM('01_Master_Data'!W123&amp;""))="yes",1,0))</f>
        <v/>
      </c>
      <c r="N123">
        <f>IF('01_Master_Data'!B123="","",IF(LOWER(TRIM('01_Master_Data'!X123&amp;""))="yes",1,0))</f>
        <v/>
      </c>
      <c r="O123">
        <f>IF('01_Master_Data'!B123="","",IF(LOWER(TRIM('01_Master_Data'!Y123&amp;""))="yes",1,0))</f>
        <v/>
      </c>
      <c r="P123">
        <f>IF('01_Master_Data'!B123="","",IF(LOWER(TRIM('01_Master_Data'!Z123&amp;""))="yes",1,0))</f>
        <v/>
      </c>
      <c r="Q123">
        <f>IF(A123="","",L123+M123+N123+O123+P123)</f>
        <v/>
      </c>
      <c r="R123">
        <f>IF(A123="","",IF(Q123&gt;1,"Yes","No"))</f>
        <v/>
      </c>
      <c r="S123">
        <f>IF(A123="","",TEXTJOIN(", ",TRUE,IF(L123=1,"ICICI",""),IF(M123=1,"Propelld",""),IF(N123=1,"Study4Buddy",""),IF(O123=1,"Poonawala Fincorp",""),IF(P123=1,"GyanDhan","")))</f>
        <v/>
      </c>
      <c r="T123">
        <f>IF(A123="","",IF(L123=1,"ICICI",IF(M123=1,"Propelld",IF(P123=1,"GyanDhan",IF(N123=1,"Study4Buddy",IF(O123=1,"Poonawala Fincorp",IF(ISNUMBER(SEARCH("GyanDhan",W123&amp;"")),"GyanDhan",IF(ISNUMBER(SEARCH("Icici",W123&amp;"")),"ICICI",IF(ISNUMBER(SEARCH("Propelld",W123&amp;"")),"Propelld",IF(ISNUMBER(SEARCH("vidyalakshmi",LOWER(W123&amp;"")),"PM Vidyalakshmi","—"))))))))))</f>
        <v/>
      </c>
      <c r="U123">
        <f>IF(A123="","",TRIM('01_Master_Data'!AA123&amp;""))</f>
        <v/>
      </c>
      <c r="V123">
        <f>IF(A123="","",TRIM('01_Master_Data'!AG123&amp;""))</f>
        <v/>
      </c>
      <c r="W123">
        <f>IF(A123="","",TRIM('01_Master_Data'!AH123&amp;""))</f>
        <v/>
      </c>
      <c r="X123">
        <f>IF(A123="","",IF(OR(LOWER(H123)="refund",LOWER(U123)="refund case"),"Refund",IF(OR(LOWER(H123)="dnp",LOWER(U123)="dnp"),"DNP",IF(OR(LOWER(V123)="disbursed",ISNUMBER(SEARCH("Disbursed",W123&amp;""))),"Disbursed",IF(OR(LOWER(V123)="loan proccessed/accepted",ISNUMBER(SEARCH("sanctioned",LOWER(W123&amp;"")))),"Sanctioned",IF(OR(LOWER(V123)="rejected",ISNUMBER(SEARCH("Not eligbile",W123&amp;"")),ISNUMBER(SEARCH("Not eligible",W123&amp;""))),"Rejected",IF(ISNUMBER(SEARCH("Docs Pending",W123&amp;"")),"Documents Pending",IF(AND(LOWER(H123)="yes",LOWER(V123)="ongoing"),"Processing",IF(AND(LOWER(H123)="yes",Q123&gt;0,OR(V123="",LOWER(V123)="not even started")),"Vendor Assigned",IF(AND(LOWER(H123)="yes",LOWER(V123)="not even started"),"Need Loan",IF(LOWER(H123)="yes","Loan Started",IF(LOWER(H123)="not sure","Interested",IF(OR(LOWER(H123)="no",LOWER(V123)="not required"),"Not Required","Unclassified")))))))))))))</f>
        <v/>
      </c>
      <c r="Y123">
        <f>IF(A123="","",IF(OR(X123="Sanctioned",X123="Disbursed",X123="Approved"),"Approved",IF(X123="Rejected","Rejected",IF(OR(X123="Processing",X123="Documents Pending",X123="Vendor Assigned"),"In Progress",IF(X123="Need Loan","Pending Start","—"))))</f>
        <v/>
      </c>
      <c r="Z123">
        <f>IF(A123="","",IF(X123="Disbursed","Disbursed",IF(X123="Sanctioned","Sanctioned - Awaiting Disbursement","Not Disbursed")))</f>
        <v/>
      </c>
      <c r="AA123">
        <f>IF(A123="","",IF(LOWER(TRIM('01_Master_Data'!AI123&amp;""))="yes","Need FLDG",IF(LOWER(TRIM('01_Master_Data'!AK123&amp;""))="yes","Need Vidyalakshmi",IF(LOWER(TRIM('01_Master_Data'!AJ123&amp;""))="yes","Need Review",IF(LOWER(J123)="critical","Critical",IF(LOWER(U123)="risk","Risk Case",IF(X123="Refund","Refund","Normal")))))))</f>
        <v/>
      </c>
      <c r="AB123">
        <f>IF(A123="","",IF(OR(LOWER(J123)="critical",LOWER(TRIM('01_Master_Data'!AI123&amp;""))="yes",LOWER(TRIM('01_Master_Data'!AK123&amp;""))="yes",LOWER(U123)="risk"),"Yes","No"))</f>
        <v/>
      </c>
      <c r="AC123">
        <f>IF(A123="","",IF(LOWER(TRIM('01_Master_Data'!AI123&amp;""))="yes","Yes","No"))</f>
        <v/>
      </c>
      <c r="AD123">
        <f>IF(A123="","",IF(LOWER(TRIM('01_Master_Data'!AK123&amp;""))="yes","Yes","No"))</f>
        <v/>
      </c>
      <c r="AE123">
        <f>IF(A123="","",IF(LOWER(TRIM('01_Master_Data'!AJ123&amp;""))="yes","Yes","No"))</f>
        <v/>
      </c>
      <c r="AF123">
        <f>IF(A123="","",TRIM('01_Master_Data'!AL123&amp;""))</f>
        <v/>
      </c>
      <c r="AG123">
        <f>IF(A123="","",IF(AF123="","—",IF(ISNUMBER(SEARCH("DNP",AF123)),"Unreachable / DNP",IF(ISNUMBER(SEARCH("interest",LOWER(AF123))),"High Interest / Terms",IF(OR(ISNUMBER(SEARCH("eligib",LOWER(AF123))),ISNUMBER(SEARCH("income",LOWER(AF123)))),"Eligibility / Income",IF(OR(ISNUMBER(SEARCH("start",LOWER(AF123))),ISNUMBER(SEARCH("Newer",AF123)),ISNUMBER(SEARCH("Will start",AF123))),"Process Yet to Start",IF(ISNUMBER(SEARCH("sure",LOWER(AF123))),"Undecided",IF(OR(ISNUMBER(SEARCH("reject",LOWER(AF123))),ISNUMBER(SEARCH("SBI",AF123))),"Rejected Elsewhere",IF(ISNUMBER(SEARCH("call",LOWER(AF123))),"Bank Communication",IF(OR(ISNUMBER(SEARCH("father",LOWER(AF123))),ISNUMBER(SEARCH("sister",LOWER(AF123)))),"Family / Dependency","Other"))))))))))</f>
        <v/>
      </c>
      <c r="AH123">
        <f>IF(A123="","",'01_Master_Data'!AC123)</f>
        <v/>
      </c>
      <c r="AI123">
        <f>IF(A123="","",IF(OR(AH123="",NOT(ISNUMBER(AH123))),"",MAX(0,'02_Configuration'!$B$82-AH123)))</f>
        <v/>
      </c>
      <c r="AJ123">
        <f>IF(A123="","",IF(AI123="","Unknown",IF(AI123&lt;=3,"0–3 Days",IF(AI123&lt;=7,"4–7 Days",IF(AI123&lt;=15,"8–15 Days",IF(AI123&lt;=30,"16–30 Days","30+ Days"))))))</f>
        <v/>
      </c>
      <c r="AK123">
        <f>IF(A123="","",IF(LOWER(H123)="yes","Yes","No"))</f>
        <v/>
      </c>
      <c r="AL123">
        <f>IF(A123="","",'01_Master_Data'!T123)</f>
        <v/>
      </c>
      <c r="AM123">
        <f>IF(A123="","",'01_Master_Data'!S123)</f>
        <v/>
      </c>
      <c r="AN123">
        <f>IF(A123="","",'01_Master_Data'!I123)</f>
        <v/>
      </c>
      <c r="AO123">
        <f>IF(A123="","",'01_Master_Data'!M123)</f>
        <v/>
      </c>
      <c r="AP123">
        <f>IF(A123="","",IF(ISNUMBER(SEARCH("Icici",W123&amp;"")),1,0))</f>
        <v/>
      </c>
      <c r="AQ123">
        <f>IF(A123="","",IF(ISNUMBER(SEARCH("Propelld",W123&amp;"")),1,0))</f>
        <v/>
      </c>
      <c r="AR123">
        <f>IF(A123="","",IF(ISNUMBER(SEARCH("GyanDhan",W123&amp;"")),1,0))</f>
        <v/>
      </c>
      <c r="AS123">
        <f>IF(A123="","",IF(ISNUMBER(SEARCH("vidyalakshmi",LOWER(W123&amp;""))),1,0))</f>
        <v/>
      </c>
      <c r="AT123">
        <f>IF(A123="","",IF(ISNUMBER(SEARCH("other bank",LOWER(W123&amp;""))),1,0))</f>
        <v/>
      </c>
      <c r="AU123">
        <f>IF(A123="","",IF(ISNUMBER(SEARCH("sanctioned",LOWER(W123&amp;""))),1,0))</f>
        <v/>
      </c>
      <c r="AV123">
        <f>IF(A123="","",IF(ISNUMBER(SEARCH("Docs Pending",W123&amp;"")),1,0))</f>
        <v/>
      </c>
      <c r="AW123">
        <f>IF(A123="","",IF(OR(X123="Rejected",ISNUMBER(SEARCH("Not eligbile",W123&amp;""))),1,0))</f>
        <v/>
      </c>
    </row>
    <row r="124">
      <c r="A124">
        <f>IF('01_Master_Data'!B124="","",123)</f>
        <v/>
      </c>
      <c r="B124">
        <f>IF('01_Master_Data'!B124="","",IF('01_Master_Data'!C124&lt;&gt;"","MOB|"&amp;TEXT('01_Master_Data'!C124,"0"),IF('01_Master_Data'!D124&lt;&gt;"","PID|"&amp;TRIM('01_Master_Data'!D124&amp;""),"")))</f>
        <v/>
      </c>
      <c r="C124">
        <f>IF('01_Master_Data'!B124="","",'01_Master_Data'!B124)</f>
        <v/>
      </c>
      <c r="D124">
        <f>IF('01_Master_Data'!B124="","",'01_Master_Data'!C124)</f>
        <v/>
      </c>
      <c r="E124">
        <f>IF('01_Master_Data'!B124="","",'01_Master_Data'!D124)</f>
        <v/>
      </c>
      <c r="F124">
        <f>IF('01_Master_Data'!B124="","",'01_Master_Data'!E124)</f>
        <v/>
      </c>
      <c r="G124">
        <f>IF('01_Master_Data'!B124="","",IFERROR(VLOOKUP(TRIM('01_Master_Data'!E124&amp;""),'02_Configuration'!$A$40:$B$44,2,FALSE),UPPER(TRIM('01_Master_Data'!E124&amp;""))))</f>
        <v/>
      </c>
      <c r="H124">
        <f>IF('01_Master_Data'!B124="","",IF('01_Master_Data'!U124="","",TRIM('01_Master_Data'!U124&amp;"")))</f>
        <v/>
      </c>
      <c r="I124">
        <f>IF('01_Master_Data'!B124="","",TRIM('01_Master_Data'!F124&amp;""))</f>
        <v/>
      </c>
      <c r="J124">
        <f>IF('01_Master_Data'!B124="","",TRIM('01_Master_Data'!G124&amp;""))</f>
        <v/>
      </c>
      <c r="K124">
        <f>IF('01_Master_Data'!B124="","",'01_Master_Data'!H124)</f>
        <v/>
      </c>
      <c r="L124">
        <f>IF('01_Master_Data'!B124="","",IF(LOWER(TRIM('01_Master_Data'!V124&amp;""))="yes",1,0))</f>
        <v/>
      </c>
      <c r="M124">
        <f>IF('01_Master_Data'!B124="","",IF(LOWER(TRIM('01_Master_Data'!W124&amp;""))="yes",1,0))</f>
        <v/>
      </c>
      <c r="N124">
        <f>IF('01_Master_Data'!B124="","",IF(LOWER(TRIM('01_Master_Data'!X124&amp;""))="yes",1,0))</f>
        <v/>
      </c>
      <c r="O124">
        <f>IF('01_Master_Data'!B124="","",IF(LOWER(TRIM('01_Master_Data'!Y124&amp;""))="yes",1,0))</f>
        <v/>
      </c>
      <c r="P124">
        <f>IF('01_Master_Data'!B124="","",IF(LOWER(TRIM('01_Master_Data'!Z124&amp;""))="yes",1,0))</f>
        <v/>
      </c>
      <c r="Q124">
        <f>IF(A124="","",L124+M124+N124+O124+P124)</f>
        <v/>
      </c>
      <c r="R124">
        <f>IF(A124="","",IF(Q124&gt;1,"Yes","No"))</f>
        <v/>
      </c>
      <c r="S124">
        <f>IF(A124="","",TEXTJOIN(", ",TRUE,IF(L124=1,"ICICI",""),IF(M124=1,"Propelld",""),IF(N124=1,"Study4Buddy",""),IF(O124=1,"Poonawala Fincorp",""),IF(P124=1,"GyanDhan","")))</f>
        <v/>
      </c>
      <c r="T124">
        <f>IF(A124="","",IF(L124=1,"ICICI",IF(M124=1,"Propelld",IF(P124=1,"GyanDhan",IF(N124=1,"Study4Buddy",IF(O124=1,"Poonawala Fincorp",IF(ISNUMBER(SEARCH("GyanDhan",W124&amp;"")),"GyanDhan",IF(ISNUMBER(SEARCH("Icici",W124&amp;"")),"ICICI",IF(ISNUMBER(SEARCH("Propelld",W124&amp;"")),"Propelld",IF(ISNUMBER(SEARCH("vidyalakshmi",LOWER(W124&amp;"")),"PM Vidyalakshmi","—"))))))))))</f>
        <v/>
      </c>
      <c r="U124">
        <f>IF(A124="","",TRIM('01_Master_Data'!AA124&amp;""))</f>
        <v/>
      </c>
      <c r="V124">
        <f>IF(A124="","",TRIM('01_Master_Data'!AG124&amp;""))</f>
        <v/>
      </c>
      <c r="W124">
        <f>IF(A124="","",TRIM('01_Master_Data'!AH124&amp;""))</f>
        <v/>
      </c>
      <c r="X124">
        <f>IF(A124="","",IF(OR(LOWER(H124)="refund",LOWER(U124)="refund case"),"Refund",IF(OR(LOWER(H124)="dnp",LOWER(U124)="dnp"),"DNP",IF(OR(LOWER(V124)="disbursed",ISNUMBER(SEARCH("Disbursed",W124&amp;""))),"Disbursed",IF(OR(LOWER(V124)="loan proccessed/accepted",ISNUMBER(SEARCH("sanctioned",LOWER(W124&amp;"")))),"Sanctioned",IF(OR(LOWER(V124)="rejected",ISNUMBER(SEARCH("Not eligbile",W124&amp;"")),ISNUMBER(SEARCH("Not eligible",W124&amp;""))),"Rejected",IF(ISNUMBER(SEARCH("Docs Pending",W124&amp;"")),"Documents Pending",IF(AND(LOWER(H124)="yes",LOWER(V124)="ongoing"),"Processing",IF(AND(LOWER(H124)="yes",Q124&gt;0,OR(V124="",LOWER(V124)="not even started")),"Vendor Assigned",IF(AND(LOWER(H124)="yes",LOWER(V124)="not even started"),"Need Loan",IF(LOWER(H124)="yes","Loan Started",IF(LOWER(H124)="not sure","Interested",IF(OR(LOWER(H124)="no",LOWER(V124)="not required"),"Not Required","Unclassified")))))))))))))</f>
        <v/>
      </c>
      <c r="Y124">
        <f>IF(A124="","",IF(OR(X124="Sanctioned",X124="Disbursed",X124="Approved"),"Approved",IF(X124="Rejected","Rejected",IF(OR(X124="Processing",X124="Documents Pending",X124="Vendor Assigned"),"In Progress",IF(X124="Need Loan","Pending Start","—"))))</f>
        <v/>
      </c>
      <c r="Z124">
        <f>IF(A124="","",IF(X124="Disbursed","Disbursed",IF(X124="Sanctioned","Sanctioned - Awaiting Disbursement","Not Disbursed")))</f>
        <v/>
      </c>
      <c r="AA124">
        <f>IF(A124="","",IF(LOWER(TRIM('01_Master_Data'!AI124&amp;""))="yes","Need FLDG",IF(LOWER(TRIM('01_Master_Data'!AK124&amp;""))="yes","Need Vidyalakshmi",IF(LOWER(TRIM('01_Master_Data'!AJ124&amp;""))="yes","Need Review",IF(LOWER(J124)="critical","Critical",IF(LOWER(U124)="risk","Risk Case",IF(X124="Refund","Refund","Normal")))))))</f>
        <v/>
      </c>
      <c r="AB124">
        <f>IF(A124="","",IF(OR(LOWER(J124)="critical",LOWER(TRIM('01_Master_Data'!AI124&amp;""))="yes",LOWER(TRIM('01_Master_Data'!AK124&amp;""))="yes",LOWER(U124)="risk"),"Yes","No"))</f>
        <v/>
      </c>
      <c r="AC124">
        <f>IF(A124="","",IF(LOWER(TRIM('01_Master_Data'!AI124&amp;""))="yes","Yes","No"))</f>
        <v/>
      </c>
      <c r="AD124">
        <f>IF(A124="","",IF(LOWER(TRIM('01_Master_Data'!AK124&amp;""))="yes","Yes","No"))</f>
        <v/>
      </c>
      <c r="AE124">
        <f>IF(A124="","",IF(LOWER(TRIM('01_Master_Data'!AJ124&amp;""))="yes","Yes","No"))</f>
        <v/>
      </c>
      <c r="AF124">
        <f>IF(A124="","",TRIM('01_Master_Data'!AL124&amp;""))</f>
        <v/>
      </c>
      <c r="AG124">
        <f>IF(A124="","",IF(AF124="","—",IF(ISNUMBER(SEARCH("DNP",AF124)),"Unreachable / DNP",IF(ISNUMBER(SEARCH("interest",LOWER(AF124))),"High Interest / Terms",IF(OR(ISNUMBER(SEARCH("eligib",LOWER(AF124))),ISNUMBER(SEARCH("income",LOWER(AF124)))),"Eligibility / Income",IF(OR(ISNUMBER(SEARCH("start",LOWER(AF124))),ISNUMBER(SEARCH("Newer",AF124)),ISNUMBER(SEARCH("Will start",AF124))),"Process Yet to Start",IF(ISNUMBER(SEARCH("sure",LOWER(AF124))),"Undecided",IF(OR(ISNUMBER(SEARCH("reject",LOWER(AF124))),ISNUMBER(SEARCH("SBI",AF124))),"Rejected Elsewhere",IF(ISNUMBER(SEARCH("call",LOWER(AF124))),"Bank Communication",IF(OR(ISNUMBER(SEARCH("father",LOWER(AF124))),ISNUMBER(SEARCH("sister",LOWER(AF124)))),"Family / Dependency","Other"))))))))))</f>
        <v/>
      </c>
      <c r="AH124">
        <f>IF(A124="","",'01_Master_Data'!AC124)</f>
        <v/>
      </c>
      <c r="AI124">
        <f>IF(A124="","",IF(OR(AH124="",NOT(ISNUMBER(AH124))),"",MAX(0,'02_Configuration'!$B$82-AH124)))</f>
        <v/>
      </c>
      <c r="AJ124">
        <f>IF(A124="","",IF(AI124="","Unknown",IF(AI124&lt;=3,"0–3 Days",IF(AI124&lt;=7,"4–7 Days",IF(AI124&lt;=15,"8–15 Days",IF(AI124&lt;=30,"16–30 Days","30+ Days"))))))</f>
        <v/>
      </c>
      <c r="AK124">
        <f>IF(A124="","",IF(LOWER(H124)="yes","Yes","No"))</f>
        <v/>
      </c>
      <c r="AL124">
        <f>IF(A124="","",'01_Master_Data'!T124)</f>
        <v/>
      </c>
      <c r="AM124">
        <f>IF(A124="","",'01_Master_Data'!S124)</f>
        <v/>
      </c>
      <c r="AN124">
        <f>IF(A124="","",'01_Master_Data'!I124)</f>
        <v/>
      </c>
      <c r="AO124">
        <f>IF(A124="","",'01_Master_Data'!M124)</f>
        <v/>
      </c>
      <c r="AP124">
        <f>IF(A124="","",IF(ISNUMBER(SEARCH("Icici",W124&amp;"")),1,0))</f>
        <v/>
      </c>
      <c r="AQ124">
        <f>IF(A124="","",IF(ISNUMBER(SEARCH("Propelld",W124&amp;"")),1,0))</f>
        <v/>
      </c>
      <c r="AR124">
        <f>IF(A124="","",IF(ISNUMBER(SEARCH("GyanDhan",W124&amp;"")),1,0))</f>
        <v/>
      </c>
      <c r="AS124">
        <f>IF(A124="","",IF(ISNUMBER(SEARCH("vidyalakshmi",LOWER(W124&amp;""))),1,0))</f>
        <v/>
      </c>
      <c r="AT124">
        <f>IF(A124="","",IF(ISNUMBER(SEARCH("other bank",LOWER(W124&amp;""))),1,0))</f>
        <v/>
      </c>
      <c r="AU124">
        <f>IF(A124="","",IF(ISNUMBER(SEARCH("sanctioned",LOWER(W124&amp;""))),1,0))</f>
        <v/>
      </c>
      <c r="AV124">
        <f>IF(A124="","",IF(ISNUMBER(SEARCH("Docs Pending",W124&amp;"")),1,0))</f>
        <v/>
      </c>
      <c r="AW124">
        <f>IF(A124="","",IF(OR(X124="Rejected",ISNUMBER(SEARCH("Not eligbile",W124&amp;""))),1,0))</f>
        <v/>
      </c>
    </row>
    <row r="125">
      <c r="A125">
        <f>IF('01_Master_Data'!B125="","",124)</f>
        <v/>
      </c>
      <c r="B125">
        <f>IF('01_Master_Data'!B125="","",IF('01_Master_Data'!C125&lt;&gt;"","MOB|"&amp;TEXT('01_Master_Data'!C125,"0"),IF('01_Master_Data'!D125&lt;&gt;"","PID|"&amp;TRIM('01_Master_Data'!D125&amp;""),"")))</f>
        <v/>
      </c>
      <c r="C125">
        <f>IF('01_Master_Data'!B125="","",'01_Master_Data'!B125)</f>
        <v/>
      </c>
      <c r="D125">
        <f>IF('01_Master_Data'!B125="","",'01_Master_Data'!C125)</f>
        <v/>
      </c>
      <c r="E125">
        <f>IF('01_Master_Data'!B125="","",'01_Master_Data'!D125)</f>
        <v/>
      </c>
      <c r="F125">
        <f>IF('01_Master_Data'!B125="","",'01_Master_Data'!E125)</f>
        <v/>
      </c>
      <c r="G125">
        <f>IF('01_Master_Data'!B125="","",IFERROR(VLOOKUP(TRIM('01_Master_Data'!E125&amp;""),'02_Configuration'!$A$40:$B$44,2,FALSE),UPPER(TRIM('01_Master_Data'!E125&amp;""))))</f>
        <v/>
      </c>
      <c r="H125">
        <f>IF('01_Master_Data'!B125="","",IF('01_Master_Data'!U125="","",TRIM('01_Master_Data'!U125&amp;"")))</f>
        <v/>
      </c>
      <c r="I125">
        <f>IF('01_Master_Data'!B125="","",TRIM('01_Master_Data'!F125&amp;""))</f>
        <v/>
      </c>
      <c r="J125">
        <f>IF('01_Master_Data'!B125="","",TRIM('01_Master_Data'!G125&amp;""))</f>
        <v/>
      </c>
      <c r="K125">
        <f>IF('01_Master_Data'!B125="","",'01_Master_Data'!H125)</f>
        <v/>
      </c>
      <c r="L125">
        <f>IF('01_Master_Data'!B125="","",IF(LOWER(TRIM('01_Master_Data'!V125&amp;""))="yes",1,0))</f>
        <v/>
      </c>
      <c r="M125">
        <f>IF('01_Master_Data'!B125="","",IF(LOWER(TRIM('01_Master_Data'!W125&amp;""))="yes",1,0))</f>
        <v/>
      </c>
      <c r="N125">
        <f>IF('01_Master_Data'!B125="","",IF(LOWER(TRIM('01_Master_Data'!X125&amp;""))="yes",1,0))</f>
        <v/>
      </c>
      <c r="O125">
        <f>IF('01_Master_Data'!B125="","",IF(LOWER(TRIM('01_Master_Data'!Y125&amp;""))="yes",1,0))</f>
        <v/>
      </c>
      <c r="P125">
        <f>IF('01_Master_Data'!B125="","",IF(LOWER(TRIM('01_Master_Data'!Z125&amp;""))="yes",1,0))</f>
        <v/>
      </c>
      <c r="Q125">
        <f>IF(A125="","",L125+M125+N125+O125+P125)</f>
        <v/>
      </c>
      <c r="R125">
        <f>IF(A125="","",IF(Q125&gt;1,"Yes","No"))</f>
        <v/>
      </c>
      <c r="S125">
        <f>IF(A125="","",TEXTJOIN(", ",TRUE,IF(L125=1,"ICICI",""),IF(M125=1,"Propelld",""),IF(N125=1,"Study4Buddy",""),IF(O125=1,"Poonawala Fincorp",""),IF(P125=1,"GyanDhan","")))</f>
        <v/>
      </c>
      <c r="T125">
        <f>IF(A125="","",IF(L125=1,"ICICI",IF(M125=1,"Propelld",IF(P125=1,"GyanDhan",IF(N125=1,"Study4Buddy",IF(O125=1,"Poonawala Fincorp",IF(ISNUMBER(SEARCH("GyanDhan",W125&amp;"")),"GyanDhan",IF(ISNUMBER(SEARCH("Icici",W125&amp;"")),"ICICI",IF(ISNUMBER(SEARCH("Propelld",W125&amp;"")),"Propelld",IF(ISNUMBER(SEARCH("vidyalakshmi",LOWER(W125&amp;"")),"PM Vidyalakshmi","—"))))))))))</f>
        <v/>
      </c>
      <c r="U125">
        <f>IF(A125="","",TRIM('01_Master_Data'!AA125&amp;""))</f>
        <v/>
      </c>
      <c r="V125">
        <f>IF(A125="","",TRIM('01_Master_Data'!AG125&amp;""))</f>
        <v/>
      </c>
      <c r="W125">
        <f>IF(A125="","",TRIM('01_Master_Data'!AH125&amp;""))</f>
        <v/>
      </c>
      <c r="X125">
        <f>IF(A125="","",IF(OR(LOWER(H125)="refund",LOWER(U125)="refund case"),"Refund",IF(OR(LOWER(H125)="dnp",LOWER(U125)="dnp"),"DNP",IF(OR(LOWER(V125)="disbursed",ISNUMBER(SEARCH("Disbursed",W125&amp;""))),"Disbursed",IF(OR(LOWER(V125)="loan proccessed/accepted",ISNUMBER(SEARCH("sanctioned",LOWER(W125&amp;"")))),"Sanctioned",IF(OR(LOWER(V125)="rejected",ISNUMBER(SEARCH("Not eligbile",W125&amp;"")),ISNUMBER(SEARCH("Not eligible",W125&amp;""))),"Rejected",IF(ISNUMBER(SEARCH("Docs Pending",W125&amp;"")),"Documents Pending",IF(AND(LOWER(H125)="yes",LOWER(V125)="ongoing"),"Processing",IF(AND(LOWER(H125)="yes",Q125&gt;0,OR(V125="",LOWER(V125)="not even started")),"Vendor Assigned",IF(AND(LOWER(H125)="yes",LOWER(V125)="not even started"),"Need Loan",IF(LOWER(H125)="yes","Loan Started",IF(LOWER(H125)="not sure","Interested",IF(OR(LOWER(H125)="no",LOWER(V125)="not required"),"Not Required","Unclassified")))))))))))))</f>
        <v/>
      </c>
      <c r="Y125">
        <f>IF(A125="","",IF(OR(X125="Sanctioned",X125="Disbursed",X125="Approved"),"Approved",IF(X125="Rejected","Rejected",IF(OR(X125="Processing",X125="Documents Pending",X125="Vendor Assigned"),"In Progress",IF(X125="Need Loan","Pending Start","—"))))</f>
        <v/>
      </c>
      <c r="Z125">
        <f>IF(A125="","",IF(X125="Disbursed","Disbursed",IF(X125="Sanctioned","Sanctioned - Awaiting Disbursement","Not Disbursed")))</f>
        <v/>
      </c>
      <c r="AA125">
        <f>IF(A125="","",IF(LOWER(TRIM('01_Master_Data'!AI125&amp;""))="yes","Need FLDG",IF(LOWER(TRIM('01_Master_Data'!AK125&amp;""))="yes","Need Vidyalakshmi",IF(LOWER(TRIM('01_Master_Data'!AJ125&amp;""))="yes","Need Review",IF(LOWER(J125)="critical","Critical",IF(LOWER(U125)="risk","Risk Case",IF(X125="Refund","Refund","Normal")))))))</f>
        <v/>
      </c>
      <c r="AB125">
        <f>IF(A125="","",IF(OR(LOWER(J125)="critical",LOWER(TRIM('01_Master_Data'!AI125&amp;""))="yes",LOWER(TRIM('01_Master_Data'!AK125&amp;""))="yes",LOWER(U125)="risk"),"Yes","No"))</f>
        <v/>
      </c>
      <c r="AC125">
        <f>IF(A125="","",IF(LOWER(TRIM('01_Master_Data'!AI125&amp;""))="yes","Yes","No"))</f>
        <v/>
      </c>
      <c r="AD125">
        <f>IF(A125="","",IF(LOWER(TRIM('01_Master_Data'!AK125&amp;""))="yes","Yes","No"))</f>
        <v/>
      </c>
      <c r="AE125">
        <f>IF(A125="","",IF(LOWER(TRIM('01_Master_Data'!AJ125&amp;""))="yes","Yes","No"))</f>
        <v/>
      </c>
      <c r="AF125">
        <f>IF(A125="","",TRIM('01_Master_Data'!AL125&amp;""))</f>
        <v/>
      </c>
      <c r="AG125">
        <f>IF(A125="","",IF(AF125="","—",IF(ISNUMBER(SEARCH("DNP",AF125)),"Unreachable / DNP",IF(ISNUMBER(SEARCH("interest",LOWER(AF125))),"High Interest / Terms",IF(OR(ISNUMBER(SEARCH("eligib",LOWER(AF125))),ISNUMBER(SEARCH("income",LOWER(AF125)))),"Eligibility / Income",IF(OR(ISNUMBER(SEARCH("start",LOWER(AF125))),ISNUMBER(SEARCH("Newer",AF125)),ISNUMBER(SEARCH("Will start",AF125))),"Process Yet to Start",IF(ISNUMBER(SEARCH("sure",LOWER(AF125))),"Undecided",IF(OR(ISNUMBER(SEARCH("reject",LOWER(AF125))),ISNUMBER(SEARCH("SBI",AF125))),"Rejected Elsewhere",IF(ISNUMBER(SEARCH("call",LOWER(AF125))),"Bank Communication",IF(OR(ISNUMBER(SEARCH("father",LOWER(AF125))),ISNUMBER(SEARCH("sister",LOWER(AF125)))),"Family / Dependency","Other"))))))))))</f>
        <v/>
      </c>
      <c r="AH125">
        <f>IF(A125="","",'01_Master_Data'!AC125)</f>
        <v/>
      </c>
      <c r="AI125">
        <f>IF(A125="","",IF(OR(AH125="",NOT(ISNUMBER(AH125))),"",MAX(0,'02_Configuration'!$B$82-AH125)))</f>
        <v/>
      </c>
      <c r="AJ125">
        <f>IF(A125="","",IF(AI125="","Unknown",IF(AI125&lt;=3,"0–3 Days",IF(AI125&lt;=7,"4–7 Days",IF(AI125&lt;=15,"8–15 Days",IF(AI125&lt;=30,"16–30 Days","30+ Days"))))))</f>
        <v/>
      </c>
      <c r="AK125">
        <f>IF(A125="","",IF(LOWER(H125)="yes","Yes","No"))</f>
        <v/>
      </c>
      <c r="AL125">
        <f>IF(A125="","",'01_Master_Data'!T125)</f>
        <v/>
      </c>
      <c r="AM125">
        <f>IF(A125="","",'01_Master_Data'!S125)</f>
        <v/>
      </c>
      <c r="AN125">
        <f>IF(A125="","",'01_Master_Data'!I125)</f>
        <v/>
      </c>
      <c r="AO125">
        <f>IF(A125="","",'01_Master_Data'!M125)</f>
        <v/>
      </c>
      <c r="AP125">
        <f>IF(A125="","",IF(ISNUMBER(SEARCH("Icici",W125&amp;"")),1,0))</f>
        <v/>
      </c>
      <c r="AQ125">
        <f>IF(A125="","",IF(ISNUMBER(SEARCH("Propelld",W125&amp;"")),1,0))</f>
        <v/>
      </c>
      <c r="AR125">
        <f>IF(A125="","",IF(ISNUMBER(SEARCH("GyanDhan",W125&amp;"")),1,0))</f>
        <v/>
      </c>
      <c r="AS125">
        <f>IF(A125="","",IF(ISNUMBER(SEARCH("vidyalakshmi",LOWER(W125&amp;""))),1,0))</f>
        <v/>
      </c>
      <c r="AT125">
        <f>IF(A125="","",IF(ISNUMBER(SEARCH("other bank",LOWER(W125&amp;""))),1,0))</f>
        <v/>
      </c>
      <c r="AU125">
        <f>IF(A125="","",IF(ISNUMBER(SEARCH("sanctioned",LOWER(W125&amp;""))),1,0))</f>
        <v/>
      </c>
      <c r="AV125">
        <f>IF(A125="","",IF(ISNUMBER(SEARCH("Docs Pending",W125&amp;"")),1,0))</f>
        <v/>
      </c>
      <c r="AW125">
        <f>IF(A125="","",IF(OR(X125="Rejected",ISNUMBER(SEARCH("Not eligbile",W125&amp;""))),1,0))</f>
        <v/>
      </c>
    </row>
    <row r="126">
      <c r="A126">
        <f>IF('01_Master_Data'!B126="","",125)</f>
        <v/>
      </c>
      <c r="B126">
        <f>IF('01_Master_Data'!B126="","",IF('01_Master_Data'!C126&lt;&gt;"","MOB|"&amp;TEXT('01_Master_Data'!C126,"0"),IF('01_Master_Data'!D126&lt;&gt;"","PID|"&amp;TRIM('01_Master_Data'!D126&amp;""),"")))</f>
        <v/>
      </c>
      <c r="C126">
        <f>IF('01_Master_Data'!B126="","",'01_Master_Data'!B126)</f>
        <v/>
      </c>
      <c r="D126">
        <f>IF('01_Master_Data'!B126="","",'01_Master_Data'!C126)</f>
        <v/>
      </c>
      <c r="E126">
        <f>IF('01_Master_Data'!B126="","",'01_Master_Data'!D126)</f>
        <v/>
      </c>
      <c r="F126">
        <f>IF('01_Master_Data'!B126="","",'01_Master_Data'!E126)</f>
        <v/>
      </c>
      <c r="G126">
        <f>IF('01_Master_Data'!B126="","",IFERROR(VLOOKUP(TRIM('01_Master_Data'!E126&amp;""),'02_Configuration'!$A$40:$B$44,2,FALSE),UPPER(TRIM('01_Master_Data'!E126&amp;""))))</f>
        <v/>
      </c>
      <c r="H126">
        <f>IF('01_Master_Data'!B126="","",IF('01_Master_Data'!U126="","",TRIM('01_Master_Data'!U126&amp;"")))</f>
        <v/>
      </c>
      <c r="I126">
        <f>IF('01_Master_Data'!B126="","",TRIM('01_Master_Data'!F126&amp;""))</f>
        <v/>
      </c>
      <c r="J126">
        <f>IF('01_Master_Data'!B126="","",TRIM('01_Master_Data'!G126&amp;""))</f>
        <v/>
      </c>
      <c r="K126">
        <f>IF('01_Master_Data'!B126="","",'01_Master_Data'!H126)</f>
        <v/>
      </c>
      <c r="L126">
        <f>IF('01_Master_Data'!B126="","",IF(LOWER(TRIM('01_Master_Data'!V126&amp;""))="yes",1,0))</f>
        <v/>
      </c>
      <c r="M126">
        <f>IF('01_Master_Data'!B126="","",IF(LOWER(TRIM('01_Master_Data'!W126&amp;""))="yes",1,0))</f>
        <v/>
      </c>
      <c r="N126">
        <f>IF('01_Master_Data'!B126="","",IF(LOWER(TRIM('01_Master_Data'!X126&amp;""))="yes",1,0))</f>
        <v/>
      </c>
      <c r="O126">
        <f>IF('01_Master_Data'!B126="","",IF(LOWER(TRIM('01_Master_Data'!Y126&amp;""))="yes",1,0))</f>
        <v/>
      </c>
      <c r="P126">
        <f>IF('01_Master_Data'!B126="","",IF(LOWER(TRIM('01_Master_Data'!Z126&amp;""))="yes",1,0))</f>
        <v/>
      </c>
      <c r="Q126">
        <f>IF(A126="","",L126+M126+N126+O126+P126)</f>
        <v/>
      </c>
      <c r="R126">
        <f>IF(A126="","",IF(Q126&gt;1,"Yes","No"))</f>
        <v/>
      </c>
      <c r="S126">
        <f>IF(A126="","",TEXTJOIN(", ",TRUE,IF(L126=1,"ICICI",""),IF(M126=1,"Propelld",""),IF(N126=1,"Study4Buddy",""),IF(O126=1,"Poonawala Fincorp",""),IF(P126=1,"GyanDhan","")))</f>
        <v/>
      </c>
      <c r="T126">
        <f>IF(A126="","",IF(L126=1,"ICICI",IF(M126=1,"Propelld",IF(P126=1,"GyanDhan",IF(N126=1,"Study4Buddy",IF(O126=1,"Poonawala Fincorp",IF(ISNUMBER(SEARCH("GyanDhan",W126&amp;"")),"GyanDhan",IF(ISNUMBER(SEARCH("Icici",W126&amp;"")),"ICICI",IF(ISNUMBER(SEARCH("Propelld",W126&amp;"")),"Propelld",IF(ISNUMBER(SEARCH("vidyalakshmi",LOWER(W126&amp;"")),"PM Vidyalakshmi","—"))))))))))</f>
        <v/>
      </c>
      <c r="U126">
        <f>IF(A126="","",TRIM('01_Master_Data'!AA126&amp;""))</f>
        <v/>
      </c>
      <c r="V126">
        <f>IF(A126="","",TRIM('01_Master_Data'!AG126&amp;""))</f>
        <v/>
      </c>
      <c r="W126">
        <f>IF(A126="","",TRIM('01_Master_Data'!AH126&amp;""))</f>
        <v/>
      </c>
      <c r="X126">
        <f>IF(A126="","",IF(OR(LOWER(H126)="refund",LOWER(U126)="refund case"),"Refund",IF(OR(LOWER(H126)="dnp",LOWER(U126)="dnp"),"DNP",IF(OR(LOWER(V126)="disbursed",ISNUMBER(SEARCH("Disbursed",W126&amp;""))),"Disbursed",IF(OR(LOWER(V126)="loan proccessed/accepted",ISNUMBER(SEARCH("sanctioned",LOWER(W126&amp;"")))),"Sanctioned",IF(OR(LOWER(V126)="rejected",ISNUMBER(SEARCH("Not eligbile",W126&amp;"")),ISNUMBER(SEARCH("Not eligible",W126&amp;""))),"Rejected",IF(ISNUMBER(SEARCH("Docs Pending",W126&amp;"")),"Documents Pending",IF(AND(LOWER(H126)="yes",LOWER(V126)="ongoing"),"Processing",IF(AND(LOWER(H126)="yes",Q126&gt;0,OR(V126="",LOWER(V126)="not even started")),"Vendor Assigned",IF(AND(LOWER(H126)="yes",LOWER(V126)="not even started"),"Need Loan",IF(LOWER(H126)="yes","Loan Started",IF(LOWER(H126)="not sure","Interested",IF(OR(LOWER(H126)="no",LOWER(V126)="not required"),"Not Required","Unclassified")))))))))))))</f>
        <v/>
      </c>
      <c r="Y126">
        <f>IF(A126="","",IF(OR(X126="Sanctioned",X126="Disbursed",X126="Approved"),"Approved",IF(X126="Rejected","Rejected",IF(OR(X126="Processing",X126="Documents Pending",X126="Vendor Assigned"),"In Progress",IF(X126="Need Loan","Pending Start","—"))))</f>
        <v/>
      </c>
      <c r="Z126">
        <f>IF(A126="","",IF(X126="Disbursed","Disbursed",IF(X126="Sanctioned","Sanctioned - Awaiting Disbursement","Not Disbursed")))</f>
        <v/>
      </c>
      <c r="AA126">
        <f>IF(A126="","",IF(LOWER(TRIM('01_Master_Data'!AI126&amp;""))="yes","Need FLDG",IF(LOWER(TRIM('01_Master_Data'!AK126&amp;""))="yes","Need Vidyalakshmi",IF(LOWER(TRIM('01_Master_Data'!AJ126&amp;""))="yes","Need Review",IF(LOWER(J126)="critical","Critical",IF(LOWER(U126)="risk","Risk Case",IF(X126="Refund","Refund","Normal")))))))</f>
        <v/>
      </c>
      <c r="AB126">
        <f>IF(A126="","",IF(OR(LOWER(J126)="critical",LOWER(TRIM('01_Master_Data'!AI126&amp;""))="yes",LOWER(TRIM('01_Master_Data'!AK126&amp;""))="yes",LOWER(U126)="risk"),"Yes","No"))</f>
        <v/>
      </c>
      <c r="AC126">
        <f>IF(A126="","",IF(LOWER(TRIM('01_Master_Data'!AI126&amp;""))="yes","Yes","No"))</f>
        <v/>
      </c>
      <c r="AD126">
        <f>IF(A126="","",IF(LOWER(TRIM('01_Master_Data'!AK126&amp;""))="yes","Yes","No"))</f>
        <v/>
      </c>
      <c r="AE126">
        <f>IF(A126="","",IF(LOWER(TRIM('01_Master_Data'!AJ126&amp;""))="yes","Yes","No"))</f>
        <v/>
      </c>
      <c r="AF126">
        <f>IF(A126="","",TRIM('01_Master_Data'!AL126&amp;""))</f>
        <v/>
      </c>
      <c r="AG126">
        <f>IF(A126="","",IF(AF126="","—",IF(ISNUMBER(SEARCH("DNP",AF126)),"Unreachable / DNP",IF(ISNUMBER(SEARCH("interest",LOWER(AF126))),"High Interest / Terms",IF(OR(ISNUMBER(SEARCH("eligib",LOWER(AF126))),ISNUMBER(SEARCH("income",LOWER(AF126)))),"Eligibility / Income",IF(OR(ISNUMBER(SEARCH("start",LOWER(AF126))),ISNUMBER(SEARCH("Newer",AF126)),ISNUMBER(SEARCH("Will start",AF126))),"Process Yet to Start",IF(ISNUMBER(SEARCH("sure",LOWER(AF126))),"Undecided",IF(OR(ISNUMBER(SEARCH("reject",LOWER(AF126))),ISNUMBER(SEARCH("SBI",AF126))),"Rejected Elsewhere",IF(ISNUMBER(SEARCH("call",LOWER(AF126))),"Bank Communication",IF(OR(ISNUMBER(SEARCH("father",LOWER(AF126))),ISNUMBER(SEARCH("sister",LOWER(AF126)))),"Family / Dependency","Other"))))))))))</f>
        <v/>
      </c>
      <c r="AH126">
        <f>IF(A126="","",'01_Master_Data'!AC126)</f>
        <v/>
      </c>
      <c r="AI126">
        <f>IF(A126="","",IF(OR(AH126="",NOT(ISNUMBER(AH126))),"",MAX(0,'02_Configuration'!$B$82-AH126)))</f>
        <v/>
      </c>
      <c r="AJ126">
        <f>IF(A126="","",IF(AI126="","Unknown",IF(AI126&lt;=3,"0–3 Days",IF(AI126&lt;=7,"4–7 Days",IF(AI126&lt;=15,"8–15 Days",IF(AI126&lt;=30,"16–30 Days","30+ Days"))))))</f>
        <v/>
      </c>
      <c r="AK126">
        <f>IF(A126="","",IF(LOWER(H126)="yes","Yes","No"))</f>
        <v/>
      </c>
      <c r="AL126">
        <f>IF(A126="","",'01_Master_Data'!T126)</f>
        <v/>
      </c>
      <c r="AM126">
        <f>IF(A126="","",'01_Master_Data'!S126)</f>
        <v/>
      </c>
      <c r="AN126">
        <f>IF(A126="","",'01_Master_Data'!I126)</f>
        <v/>
      </c>
      <c r="AO126">
        <f>IF(A126="","",'01_Master_Data'!M126)</f>
        <v/>
      </c>
      <c r="AP126">
        <f>IF(A126="","",IF(ISNUMBER(SEARCH("Icici",W126&amp;"")),1,0))</f>
        <v/>
      </c>
      <c r="AQ126">
        <f>IF(A126="","",IF(ISNUMBER(SEARCH("Propelld",W126&amp;"")),1,0))</f>
        <v/>
      </c>
      <c r="AR126">
        <f>IF(A126="","",IF(ISNUMBER(SEARCH("GyanDhan",W126&amp;"")),1,0))</f>
        <v/>
      </c>
      <c r="AS126">
        <f>IF(A126="","",IF(ISNUMBER(SEARCH("vidyalakshmi",LOWER(W126&amp;""))),1,0))</f>
        <v/>
      </c>
      <c r="AT126">
        <f>IF(A126="","",IF(ISNUMBER(SEARCH("other bank",LOWER(W126&amp;""))),1,0))</f>
        <v/>
      </c>
      <c r="AU126">
        <f>IF(A126="","",IF(ISNUMBER(SEARCH("sanctioned",LOWER(W126&amp;""))),1,0))</f>
        <v/>
      </c>
      <c r="AV126">
        <f>IF(A126="","",IF(ISNUMBER(SEARCH("Docs Pending",W126&amp;"")),1,0))</f>
        <v/>
      </c>
      <c r="AW126">
        <f>IF(A126="","",IF(OR(X126="Rejected",ISNUMBER(SEARCH("Not eligbile",W126&amp;""))),1,0))</f>
        <v/>
      </c>
    </row>
    <row r="127">
      <c r="A127">
        <f>IF('01_Master_Data'!B127="","",126)</f>
        <v/>
      </c>
      <c r="B127">
        <f>IF('01_Master_Data'!B127="","",IF('01_Master_Data'!C127&lt;&gt;"","MOB|"&amp;TEXT('01_Master_Data'!C127,"0"),IF('01_Master_Data'!D127&lt;&gt;"","PID|"&amp;TRIM('01_Master_Data'!D127&amp;""),"")))</f>
        <v/>
      </c>
      <c r="C127">
        <f>IF('01_Master_Data'!B127="","",'01_Master_Data'!B127)</f>
        <v/>
      </c>
      <c r="D127">
        <f>IF('01_Master_Data'!B127="","",'01_Master_Data'!C127)</f>
        <v/>
      </c>
      <c r="E127">
        <f>IF('01_Master_Data'!B127="","",'01_Master_Data'!D127)</f>
        <v/>
      </c>
      <c r="F127">
        <f>IF('01_Master_Data'!B127="","",'01_Master_Data'!E127)</f>
        <v/>
      </c>
      <c r="G127">
        <f>IF('01_Master_Data'!B127="","",IFERROR(VLOOKUP(TRIM('01_Master_Data'!E127&amp;""),'02_Configuration'!$A$40:$B$44,2,FALSE),UPPER(TRIM('01_Master_Data'!E127&amp;""))))</f>
        <v/>
      </c>
      <c r="H127">
        <f>IF('01_Master_Data'!B127="","",IF('01_Master_Data'!U127="","",TRIM('01_Master_Data'!U127&amp;"")))</f>
        <v/>
      </c>
      <c r="I127">
        <f>IF('01_Master_Data'!B127="","",TRIM('01_Master_Data'!F127&amp;""))</f>
        <v/>
      </c>
      <c r="J127">
        <f>IF('01_Master_Data'!B127="","",TRIM('01_Master_Data'!G127&amp;""))</f>
        <v/>
      </c>
      <c r="K127">
        <f>IF('01_Master_Data'!B127="","",'01_Master_Data'!H127)</f>
        <v/>
      </c>
      <c r="L127">
        <f>IF('01_Master_Data'!B127="","",IF(LOWER(TRIM('01_Master_Data'!V127&amp;""))="yes",1,0))</f>
        <v/>
      </c>
      <c r="M127">
        <f>IF('01_Master_Data'!B127="","",IF(LOWER(TRIM('01_Master_Data'!W127&amp;""))="yes",1,0))</f>
        <v/>
      </c>
      <c r="N127">
        <f>IF('01_Master_Data'!B127="","",IF(LOWER(TRIM('01_Master_Data'!X127&amp;""))="yes",1,0))</f>
        <v/>
      </c>
      <c r="O127">
        <f>IF('01_Master_Data'!B127="","",IF(LOWER(TRIM('01_Master_Data'!Y127&amp;""))="yes",1,0))</f>
        <v/>
      </c>
      <c r="P127">
        <f>IF('01_Master_Data'!B127="","",IF(LOWER(TRIM('01_Master_Data'!Z127&amp;""))="yes",1,0))</f>
        <v/>
      </c>
      <c r="Q127">
        <f>IF(A127="","",L127+M127+N127+O127+P127)</f>
        <v/>
      </c>
      <c r="R127">
        <f>IF(A127="","",IF(Q127&gt;1,"Yes","No"))</f>
        <v/>
      </c>
      <c r="S127">
        <f>IF(A127="","",TEXTJOIN(", ",TRUE,IF(L127=1,"ICICI",""),IF(M127=1,"Propelld",""),IF(N127=1,"Study4Buddy",""),IF(O127=1,"Poonawala Fincorp",""),IF(P127=1,"GyanDhan","")))</f>
        <v/>
      </c>
      <c r="T127">
        <f>IF(A127="","",IF(L127=1,"ICICI",IF(M127=1,"Propelld",IF(P127=1,"GyanDhan",IF(N127=1,"Study4Buddy",IF(O127=1,"Poonawala Fincorp",IF(ISNUMBER(SEARCH("GyanDhan",W127&amp;"")),"GyanDhan",IF(ISNUMBER(SEARCH("Icici",W127&amp;"")),"ICICI",IF(ISNUMBER(SEARCH("Propelld",W127&amp;"")),"Propelld",IF(ISNUMBER(SEARCH("vidyalakshmi",LOWER(W127&amp;"")),"PM Vidyalakshmi","—"))))))))))</f>
        <v/>
      </c>
      <c r="U127">
        <f>IF(A127="","",TRIM('01_Master_Data'!AA127&amp;""))</f>
        <v/>
      </c>
      <c r="V127">
        <f>IF(A127="","",TRIM('01_Master_Data'!AG127&amp;""))</f>
        <v/>
      </c>
      <c r="W127">
        <f>IF(A127="","",TRIM('01_Master_Data'!AH127&amp;""))</f>
        <v/>
      </c>
      <c r="X127">
        <f>IF(A127="","",IF(OR(LOWER(H127)="refund",LOWER(U127)="refund case"),"Refund",IF(OR(LOWER(H127)="dnp",LOWER(U127)="dnp"),"DNP",IF(OR(LOWER(V127)="disbursed",ISNUMBER(SEARCH("Disbursed",W127&amp;""))),"Disbursed",IF(OR(LOWER(V127)="loan proccessed/accepted",ISNUMBER(SEARCH("sanctioned",LOWER(W127&amp;"")))),"Sanctioned",IF(OR(LOWER(V127)="rejected",ISNUMBER(SEARCH("Not eligbile",W127&amp;"")),ISNUMBER(SEARCH("Not eligible",W127&amp;""))),"Rejected",IF(ISNUMBER(SEARCH("Docs Pending",W127&amp;"")),"Documents Pending",IF(AND(LOWER(H127)="yes",LOWER(V127)="ongoing"),"Processing",IF(AND(LOWER(H127)="yes",Q127&gt;0,OR(V127="",LOWER(V127)="not even started")),"Vendor Assigned",IF(AND(LOWER(H127)="yes",LOWER(V127)="not even started"),"Need Loan",IF(LOWER(H127)="yes","Loan Started",IF(LOWER(H127)="not sure","Interested",IF(OR(LOWER(H127)="no",LOWER(V127)="not required"),"Not Required","Unclassified")))))))))))))</f>
        <v/>
      </c>
      <c r="Y127">
        <f>IF(A127="","",IF(OR(X127="Sanctioned",X127="Disbursed",X127="Approved"),"Approved",IF(X127="Rejected","Rejected",IF(OR(X127="Processing",X127="Documents Pending",X127="Vendor Assigned"),"In Progress",IF(X127="Need Loan","Pending Start","—"))))</f>
        <v/>
      </c>
      <c r="Z127">
        <f>IF(A127="","",IF(X127="Disbursed","Disbursed",IF(X127="Sanctioned","Sanctioned - Awaiting Disbursement","Not Disbursed")))</f>
        <v/>
      </c>
      <c r="AA127">
        <f>IF(A127="","",IF(LOWER(TRIM('01_Master_Data'!AI127&amp;""))="yes","Need FLDG",IF(LOWER(TRIM('01_Master_Data'!AK127&amp;""))="yes","Need Vidyalakshmi",IF(LOWER(TRIM('01_Master_Data'!AJ127&amp;""))="yes","Need Review",IF(LOWER(J127)="critical","Critical",IF(LOWER(U127)="risk","Risk Case",IF(X127="Refund","Refund","Normal")))))))</f>
        <v/>
      </c>
      <c r="AB127">
        <f>IF(A127="","",IF(OR(LOWER(J127)="critical",LOWER(TRIM('01_Master_Data'!AI127&amp;""))="yes",LOWER(TRIM('01_Master_Data'!AK127&amp;""))="yes",LOWER(U127)="risk"),"Yes","No"))</f>
        <v/>
      </c>
      <c r="AC127">
        <f>IF(A127="","",IF(LOWER(TRIM('01_Master_Data'!AI127&amp;""))="yes","Yes","No"))</f>
        <v/>
      </c>
      <c r="AD127">
        <f>IF(A127="","",IF(LOWER(TRIM('01_Master_Data'!AK127&amp;""))="yes","Yes","No"))</f>
        <v/>
      </c>
      <c r="AE127">
        <f>IF(A127="","",IF(LOWER(TRIM('01_Master_Data'!AJ127&amp;""))="yes","Yes","No"))</f>
        <v/>
      </c>
      <c r="AF127">
        <f>IF(A127="","",TRIM('01_Master_Data'!AL127&amp;""))</f>
        <v/>
      </c>
      <c r="AG127">
        <f>IF(A127="","",IF(AF127="","—",IF(ISNUMBER(SEARCH("DNP",AF127)),"Unreachable / DNP",IF(ISNUMBER(SEARCH("interest",LOWER(AF127))),"High Interest / Terms",IF(OR(ISNUMBER(SEARCH("eligib",LOWER(AF127))),ISNUMBER(SEARCH("income",LOWER(AF127)))),"Eligibility / Income",IF(OR(ISNUMBER(SEARCH("start",LOWER(AF127))),ISNUMBER(SEARCH("Newer",AF127)),ISNUMBER(SEARCH("Will start",AF127))),"Process Yet to Start",IF(ISNUMBER(SEARCH("sure",LOWER(AF127))),"Undecided",IF(OR(ISNUMBER(SEARCH("reject",LOWER(AF127))),ISNUMBER(SEARCH("SBI",AF127))),"Rejected Elsewhere",IF(ISNUMBER(SEARCH("call",LOWER(AF127))),"Bank Communication",IF(OR(ISNUMBER(SEARCH("father",LOWER(AF127))),ISNUMBER(SEARCH("sister",LOWER(AF127)))),"Family / Dependency","Other"))))))))))</f>
        <v/>
      </c>
      <c r="AH127">
        <f>IF(A127="","",'01_Master_Data'!AC127)</f>
        <v/>
      </c>
      <c r="AI127">
        <f>IF(A127="","",IF(OR(AH127="",NOT(ISNUMBER(AH127))),"",MAX(0,'02_Configuration'!$B$82-AH127)))</f>
        <v/>
      </c>
      <c r="AJ127">
        <f>IF(A127="","",IF(AI127="","Unknown",IF(AI127&lt;=3,"0–3 Days",IF(AI127&lt;=7,"4–7 Days",IF(AI127&lt;=15,"8–15 Days",IF(AI127&lt;=30,"16–30 Days","30+ Days"))))))</f>
        <v/>
      </c>
      <c r="AK127">
        <f>IF(A127="","",IF(LOWER(H127)="yes","Yes","No"))</f>
        <v/>
      </c>
      <c r="AL127">
        <f>IF(A127="","",'01_Master_Data'!T127)</f>
        <v/>
      </c>
      <c r="AM127">
        <f>IF(A127="","",'01_Master_Data'!S127)</f>
        <v/>
      </c>
      <c r="AN127">
        <f>IF(A127="","",'01_Master_Data'!I127)</f>
        <v/>
      </c>
      <c r="AO127">
        <f>IF(A127="","",'01_Master_Data'!M127)</f>
        <v/>
      </c>
      <c r="AP127">
        <f>IF(A127="","",IF(ISNUMBER(SEARCH("Icici",W127&amp;"")),1,0))</f>
        <v/>
      </c>
      <c r="AQ127">
        <f>IF(A127="","",IF(ISNUMBER(SEARCH("Propelld",W127&amp;"")),1,0))</f>
        <v/>
      </c>
      <c r="AR127">
        <f>IF(A127="","",IF(ISNUMBER(SEARCH("GyanDhan",W127&amp;"")),1,0))</f>
        <v/>
      </c>
      <c r="AS127">
        <f>IF(A127="","",IF(ISNUMBER(SEARCH("vidyalakshmi",LOWER(W127&amp;""))),1,0))</f>
        <v/>
      </c>
      <c r="AT127">
        <f>IF(A127="","",IF(ISNUMBER(SEARCH("other bank",LOWER(W127&amp;""))),1,0))</f>
        <v/>
      </c>
      <c r="AU127">
        <f>IF(A127="","",IF(ISNUMBER(SEARCH("sanctioned",LOWER(W127&amp;""))),1,0))</f>
        <v/>
      </c>
      <c r="AV127">
        <f>IF(A127="","",IF(ISNUMBER(SEARCH("Docs Pending",W127&amp;"")),1,0))</f>
        <v/>
      </c>
      <c r="AW127">
        <f>IF(A127="","",IF(OR(X127="Rejected",ISNUMBER(SEARCH("Not eligbile",W127&amp;""))),1,0))</f>
        <v/>
      </c>
    </row>
    <row r="128">
      <c r="A128">
        <f>IF('01_Master_Data'!B128="","",127)</f>
        <v/>
      </c>
      <c r="B128">
        <f>IF('01_Master_Data'!B128="","",IF('01_Master_Data'!C128&lt;&gt;"","MOB|"&amp;TEXT('01_Master_Data'!C128,"0"),IF('01_Master_Data'!D128&lt;&gt;"","PID|"&amp;TRIM('01_Master_Data'!D128&amp;""),"")))</f>
        <v/>
      </c>
      <c r="C128">
        <f>IF('01_Master_Data'!B128="","",'01_Master_Data'!B128)</f>
        <v/>
      </c>
      <c r="D128">
        <f>IF('01_Master_Data'!B128="","",'01_Master_Data'!C128)</f>
        <v/>
      </c>
      <c r="E128">
        <f>IF('01_Master_Data'!B128="","",'01_Master_Data'!D128)</f>
        <v/>
      </c>
      <c r="F128">
        <f>IF('01_Master_Data'!B128="","",'01_Master_Data'!E128)</f>
        <v/>
      </c>
      <c r="G128">
        <f>IF('01_Master_Data'!B128="","",IFERROR(VLOOKUP(TRIM('01_Master_Data'!E128&amp;""),'02_Configuration'!$A$40:$B$44,2,FALSE),UPPER(TRIM('01_Master_Data'!E128&amp;""))))</f>
        <v/>
      </c>
      <c r="H128">
        <f>IF('01_Master_Data'!B128="","",IF('01_Master_Data'!U128="","",TRIM('01_Master_Data'!U128&amp;"")))</f>
        <v/>
      </c>
      <c r="I128">
        <f>IF('01_Master_Data'!B128="","",TRIM('01_Master_Data'!F128&amp;""))</f>
        <v/>
      </c>
      <c r="J128">
        <f>IF('01_Master_Data'!B128="","",TRIM('01_Master_Data'!G128&amp;""))</f>
        <v/>
      </c>
      <c r="K128">
        <f>IF('01_Master_Data'!B128="","",'01_Master_Data'!H128)</f>
        <v/>
      </c>
      <c r="L128">
        <f>IF('01_Master_Data'!B128="","",IF(LOWER(TRIM('01_Master_Data'!V128&amp;""))="yes",1,0))</f>
        <v/>
      </c>
      <c r="M128">
        <f>IF('01_Master_Data'!B128="","",IF(LOWER(TRIM('01_Master_Data'!W128&amp;""))="yes",1,0))</f>
        <v/>
      </c>
      <c r="N128">
        <f>IF('01_Master_Data'!B128="","",IF(LOWER(TRIM('01_Master_Data'!X128&amp;""))="yes",1,0))</f>
        <v/>
      </c>
      <c r="O128">
        <f>IF('01_Master_Data'!B128="","",IF(LOWER(TRIM('01_Master_Data'!Y128&amp;""))="yes",1,0))</f>
        <v/>
      </c>
      <c r="P128">
        <f>IF('01_Master_Data'!B128="","",IF(LOWER(TRIM('01_Master_Data'!Z128&amp;""))="yes",1,0))</f>
        <v/>
      </c>
      <c r="Q128">
        <f>IF(A128="","",L128+M128+N128+O128+P128)</f>
        <v/>
      </c>
      <c r="R128">
        <f>IF(A128="","",IF(Q128&gt;1,"Yes","No"))</f>
        <v/>
      </c>
      <c r="S128">
        <f>IF(A128="","",TEXTJOIN(", ",TRUE,IF(L128=1,"ICICI",""),IF(M128=1,"Propelld",""),IF(N128=1,"Study4Buddy",""),IF(O128=1,"Poonawala Fincorp",""),IF(P128=1,"GyanDhan","")))</f>
        <v/>
      </c>
      <c r="T128">
        <f>IF(A128="","",IF(L128=1,"ICICI",IF(M128=1,"Propelld",IF(P128=1,"GyanDhan",IF(N128=1,"Study4Buddy",IF(O128=1,"Poonawala Fincorp",IF(ISNUMBER(SEARCH("GyanDhan",W128&amp;"")),"GyanDhan",IF(ISNUMBER(SEARCH("Icici",W128&amp;"")),"ICICI",IF(ISNUMBER(SEARCH("Propelld",W128&amp;"")),"Propelld",IF(ISNUMBER(SEARCH("vidyalakshmi",LOWER(W128&amp;"")),"PM Vidyalakshmi","—"))))))))))</f>
        <v/>
      </c>
      <c r="U128">
        <f>IF(A128="","",TRIM('01_Master_Data'!AA128&amp;""))</f>
        <v/>
      </c>
      <c r="V128">
        <f>IF(A128="","",TRIM('01_Master_Data'!AG128&amp;""))</f>
        <v/>
      </c>
      <c r="W128">
        <f>IF(A128="","",TRIM('01_Master_Data'!AH128&amp;""))</f>
        <v/>
      </c>
      <c r="X128">
        <f>IF(A128="","",IF(OR(LOWER(H128)="refund",LOWER(U128)="refund case"),"Refund",IF(OR(LOWER(H128)="dnp",LOWER(U128)="dnp"),"DNP",IF(OR(LOWER(V128)="disbursed",ISNUMBER(SEARCH("Disbursed",W128&amp;""))),"Disbursed",IF(OR(LOWER(V128)="loan proccessed/accepted",ISNUMBER(SEARCH("sanctioned",LOWER(W128&amp;"")))),"Sanctioned",IF(OR(LOWER(V128)="rejected",ISNUMBER(SEARCH("Not eligbile",W128&amp;"")),ISNUMBER(SEARCH("Not eligible",W128&amp;""))),"Rejected",IF(ISNUMBER(SEARCH("Docs Pending",W128&amp;"")),"Documents Pending",IF(AND(LOWER(H128)="yes",LOWER(V128)="ongoing"),"Processing",IF(AND(LOWER(H128)="yes",Q128&gt;0,OR(V128="",LOWER(V128)="not even started")),"Vendor Assigned",IF(AND(LOWER(H128)="yes",LOWER(V128)="not even started"),"Need Loan",IF(LOWER(H128)="yes","Loan Started",IF(LOWER(H128)="not sure","Interested",IF(OR(LOWER(H128)="no",LOWER(V128)="not required"),"Not Required","Unclassified")))))))))))))</f>
        <v/>
      </c>
      <c r="Y128">
        <f>IF(A128="","",IF(OR(X128="Sanctioned",X128="Disbursed",X128="Approved"),"Approved",IF(X128="Rejected","Rejected",IF(OR(X128="Processing",X128="Documents Pending",X128="Vendor Assigned"),"In Progress",IF(X128="Need Loan","Pending Start","—"))))</f>
        <v/>
      </c>
      <c r="Z128">
        <f>IF(A128="","",IF(X128="Disbursed","Disbursed",IF(X128="Sanctioned","Sanctioned - Awaiting Disbursement","Not Disbursed")))</f>
        <v/>
      </c>
      <c r="AA128">
        <f>IF(A128="","",IF(LOWER(TRIM('01_Master_Data'!AI128&amp;""))="yes","Need FLDG",IF(LOWER(TRIM('01_Master_Data'!AK128&amp;""))="yes","Need Vidyalakshmi",IF(LOWER(TRIM('01_Master_Data'!AJ128&amp;""))="yes","Need Review",IF(LOWER(J128)="critical","Critical",IF(LOWER(U128)="risk","Risk Case",IF(X128="Refund","Refund","Normal")))))))</f>
        <v/>
      </c>
      <c r="AB128">
        <f>IF(A128="","",IF(OR(LOWER(J128)="critical",LOWER(TRIM('01_Master_Data'!AI128&amp;""))="yes",LOWER(TRIM('01_Master_Data'!AK128&amp;""))="yes",LOWER(U128)="risk"),"Yes","No"))</f>
        <v/>
      </c>
      <c r="AC128">
        <f>IF(A128="","",IF(LOWER(TRIM('01_Master_Data'!AI128&amp;""))="yes","Yes","No"))</f>
        <v/>
      </c>
      <c r="AD128">
        <f>IF(A128="","",IF(LOWER(TRIM('01_Master_Data'!AK128&amp;""))="yes","Yes","No"))</f>
        <v/>
      </c>
      <c r="AE128">
        <f>IF(A128="","",IF(LOWER(TRIM('01_Master_Data'!AJ128&amp;""))="yes","Yes","No"))</f>
        <v/>
      </c>
      <c r="AF128">
        <f>IF(A128="","",TRIM('01_Master_Data'!AL128&amp;""))</f>
        <v/>
      </c>
      <c r="AG128">
        <f>IF(A128="","",IF(AF128="","—",IF(ISNUMBER(SEARCH("DNP",AF128)),"Unreachable / DNP",IF(ISNUMBER(SEARCH("interest",LOWER(AF128))),"High Interest / Terms",IF(OR(ISNUMBER(SEARCH("eligib",LOWER(AF128))),ISNUMBER(SEARCH("income",LOWER(AF128)))),"Eligibility / Income",IF(OR(ISNUMBER(SEARCH("start",LOWER(AF128))),ISNUMBER(SEARCH("Newer",AF128)),ISNUMBER(SEARCH("Will start",AF128))),"Process Yet to Start",IF(ISNUMBER(SEARCH("sure",LOWER(AF128))),"Undecided",IF(OR(ISNUMBER(SEARCH("reject",LOWER(AF128))),ISNUMBER(SEARCH("SBI",AF128))),"Rejected Elsewhere",IF(ISNUMBER(SEARCH("call",LOWER(AF128))),"Bank Communication",IF(OR(ISNUMBER(SEARCH("father",LOWER(AF128))),ISNUMBER(SEARCH("sister",LOWER(AF128)))),"Family / Dependency","Other"))))))))))</f>
        <v/>
      </c>
      <c r="AH128">
        <f>IF(A128="","",'01_Master_Data'!AC128)</f>
        <v/>
      </c>
      <c r="AI128">
        <f>IF(A128="","",IF(OR(AH128="",NOT(ISNUMBER(AH128))),"",MAX(0,'02_Configuration'!$B$82-AH128)))</f>
        <v/>
      </c>
      <c r="AJ128">
        <f>IF(A128="","",IF(AI128="","Unknown",IF(AI128&lt;=3,"0–3 Days",IF(AI128&lt;=7,"4–7 Days",IF(AI128&lt;=15,"8–15 Days",IF(AI128&lt;=30,"16–30 Days","30+ Days"))))))</f>
        <v/>
      </c>
      <c r="AK128">
        <f>IF(A128="","",IF(LOWER(H128)="yes","Yes","No"))</f>
        <v/>
      </c>
      <c r="AL128">
        <f>IF(A128="","",'01_Master_Data'!T128)</f>
        <v/>
      </c>
      <c r="AM128">
        <f>IF(A128="","",'01_Master_Data'!S128)</f>
        <v/>
      </c>
      <c r="AN128">
        <f>IF(A128="","",'01_Master_Data'!I128)</f>
        <v/>
      </c>
      <c r="AO128">
        <f>IF(A128="","",'01_Master_Data'!M128)</f>
        <v/>
      </c>
      <c r="AP128">
        <f>IF(A128="","",IF(ISNUMBER(SEARCH("Icici",W128&amp;"")),1,0))</f>
        <v/>
      </c>
      <c r="AQ128">
        <f>IF(A128="","",IF(ISNUMBER(SEARCH("Propelld",W128&amp;"")),1,0))</f>
        <v/>
      </c>
      <c r="AR128">
        <f>IF(A128="","",IF(ISNUMBER(SEARCH("GyanDhan",W128&amp;"")),1,0))</f>
        <v/>
      </c>
      <c r="AS128">
        <f>IF(A128="","",IF(ISNUMBER(SEARCH("vidyalakshmi",LOWER(W128&amp;""))),1,0))</f>
        <v/>
      </c>
      <c r="AT128">
        <f>IF(A128="","",IF(ISNUMBER(SEARCH("other bank",LOWER(W128&amp;""))),1,0))</f>
        <v/>
      </c>
      <c r="AU128">
        <f>IF(A128="","",IF(ISNUMBER(SEARCH("sanctioned",LOWER(W128&amp;""))),1,0))</f>
        <v/>
      </c>
      <c r="AV128">
        <f>IF(A128="","",IF(ISNUMBER(SEARCH("Docs Pending",W128&amp;"")),1,0))</f>
        <v/>
      </c>
      <c r="AW128">
        <f>IF(A128="","",IF(OR(X128="Rejected",ISNUMBER(SEARCH("Not eligbile",W128&amp;""))),1,0))</f>
        <v/>
      </c>
    </row>
    <row r="129">
      <c r="A129">
        <f>IF('01_Master_Data'!B129="","",128)</f>
        <v/>
      </c>
      <c r="B129">
        <f>IF('01_Master_Data'!B129="","",IF('01_Master_Data'!C129&lt;&gt;"","MOB|"&amp;TEXT('01_Master_Data'!C129,"0"),IF('01_Master_Data'!D129&lt;&gt;"","PID|"&amp;TRIM('01_Master_Data'!D129&amp;""),"")))</f>
        <v/>
      </c>
      <c r="C129">
        <f>IF('01_Master_Data'!B129="","",'01_Master_Data'!B129)</f>
        <v/>
      </c>
      <c r="D129">
        <f>IF('01_Master_Data'!B129="","",'01_Master_Data'!C129)</f>
        <v/>
      </c>
      <c r="E129">
        <f>IF('01_Master_Data'!B129="","",'01_Master_Data'!D129)</f>
        <v/>
      </c>
      <c r="F129">
        <f>IF('01_Master_Data'!B129="","",'01_Master_Data'!E129)</f>
        <v/>
      </c>
      <c r="G129">
        <f>IF('01_Master_Data'!B129="","",IFERROR(VLOOKUP(TRIM('01_Master_Data'!E129&amp;""),'02_Configuration'!$A$40:$B$44,2,FALSE),UPPER(TRIM('01_Master_Data'!E129&amp;""))))</f>
        <v/>
      </c>
      <c r="H129">
        <f>IF('01_Master_Data'!B129="","",IF('01_Master_Data'!U129="","",TRIM('01_Master_Data'!U129&amp;"")))</f>
        <v/>
      </c>
      <c r="I129">
        <f>IF('01_Master_Data'!B129="","",TRIM('01_Master_Data'!F129&amp;""))</f>
        <v/>
      </c>
      <c r="J129">
        <f>IF('01_Master_Data'!B129="","",TRIM('01_Master_Data'!G129&amp;""))</f>
        <v/>
      </c>
      <c r="K129">
        <f>IF('01_Master_Data'!B129="","",'01_Master_Data'!H129)</f>
        <v/>
      </c>
      <c r="L129">
        <f>IF('01_Master_Data'!B129="","",IF(LOWER(TRIM('01_Master_Data'!V129&amp;""))="yes",1,0))</f>
        <v/>
      </c>
      <c r="M129">
        <f>IF('01_Master_Data'!B129="","",IF(LOWER(TRIM('01_Master_Data'!W129&amp;""))="yes",1,0))</f>
        <v/>
      </c>
      <c r="N129">
        <f>IF('01_Master_Data'!B129="","",IF(LOWER(TRIM('01_Master_Data'!X129&amp;""))="yes",1,0))</f>
        <v/>
      </c>
      <c r="O129">
        <f>IF('01_Master_Data'!B129="","",IF(LOWER(TRIM('01_Master_Data'!Y129&amp;""))="yes",1,0))</f>
        <v/>
      </c>
      <c r="P129">
        <f>IF('01_Master_Data'!B129="","",IF(LOWER(TRIM('01_Master_Data'!Z129&amp;""))="yes",1,0))</f>
        <v/>
      </c>
      <c r="Q129">
        <f>IF(A129="","",L129+M129+N129+O129+P129)</f>
        <v/>
      </c>
      <c r="R129">
        <f>IF(A129="","",IF(Q129&gt;1,"Yes","No"))</f>
        <v/>
      </c>
      <c r="S129">
        <f>IF(A129="","",TEXTJOIN(", ",TRUE,IF(L129=1,"ICICI",""),IF(M129=1,"Propelld",""),IF(N129=1,"Study4Buddy",""),IF(O129=1,"Poonawala Fincorp",""),IF(P129=1,"GyanDhan","")))</f>
        <v/>
      </c>
      <c r="T129">
        <f>IF(A129="","",IF(L129=1,"ICICI",IF(M129=1,"Propelld",IF(P129=1,"GyanDhan",IF(N129=1,"Study4Buddy",IF(O129=1,"Poonawala Fincorp",IF(ISNUMBER(SEARCH("GyanDhan",W129&amp;"")),"GyanDhan",IF(ISNUMBER(SEARCH("Icici",W129&amp;"")),"ICICI",IF(ISNUMBER(SEARCH("Propelld",W129&amp;"")),"Propelld",IF(ISNUMBER(SEARCH("vidyalakshmi",LOWER(W129&amp;"")),"PM Vidyalakshmi","—"))))))))))</f>
        <v/>
      </c>
      <c r="U129">
        <f>IF(A129="","",TRIM('01_Master_Data'!AA129&amp;""))</f>
        <v/>
      </c>
      <c r="V129">
        <f>IF(A129="","",TRIM('01_Master_Data'!AG129&amp;""))</f>
        <v/>
      </c>
      <c r="W129">
        <f>IF(A129="","",TRIM('01_Master_Data'!AH129&amp;""))</f>
        <v/>
      </c>
      <c r="X129">
        <f>IF(A129="","",IF(OR(LOWER(H129)="refund",LOWER(U129)="refund case"),"Refund",IF(OR(LOWER(H129)="dnp",LOWER(U129)="dnp"),"DNP",IF(OR(LOWER(V129)="disbursed",ISNUMBER(SEARCH("Disbursed",W129&amp;""))),"Disbursed",IF(OR(LOWER(V129)="loan proccessed/accepted",ISNUMBER(SEARCH("sanctioned",LOWER(W129&amp;"")))),"Sanctioned",IF(OR(LOWER(V129)="rejected",ISNUMBER(SEARCH("Not eligbile",W129&amp;"")),ISNUMBER(SEARCH("Not eligible",W129&amp;""))),"Rejected",IF(ISNUMBER(SEARCH("Docs Pending",W129&amp;"")),"Documents Pending",IF(AND(LOWER(H129)="yes",LOWER(V129)="ongoing"),"Processing",IF(AND(LOWER(H129)="yes",Q129&gt;0,OR(V129="",LOWER(V129)="not even started")),"Vendor Assigned",IF(AND(LOWER(H129)="yes",LOWER(V129)="not even started"),"Need Loan",IF(LOWER(H129)="yes","Loan Started",IF(LOWER(H129)="not sure","Interested",IF(OR(LOWER(H129)="no",LOWER(V129)="not required"),"Not Required","Unclassified")))))))))))))</f>
        <v/>
      </c>
      <c r="Y129">
        <f>IF(A129="","",IF(OR(X129="Sanctioned",X129="Disbursed",X129="Approved"),"Approved",IF(X129="Rejected","Rejected",IF(OR(X129="Processing",X129="Documents Pending",X129="Vendor Assigned"),"In Progress",IF(X129="Need Loan","Pending Start","—"))))</f>
        <v/>
      </c>
      <c r="Z129">
        <f>IF(A129="","",IF(X129="Disbursed","Disbursed",IF(X129="Sanctioned","Sanctioned - Awaiting Disbursement","Not Disbursed")))</f>
        <v/>
      </c>
      <c r="AA129">
        <f>IF(A129="","",IF(LOWER(TRIM('01_Master_Data'!AI129&amp;""))="yes","Need FLDG",IF(LOWER(TRIM('01_Master_Data'!AK129&amp;""))="yes","Need Vidyalakshmi",IF(LOWER(TRIM('01_Master_Data'!AJ129&amp;""))="yes","Need Review",IF(LOWER(J129)="critical","Critical",IF(LOWER(U129)="risk","Risk Case",IF(X129="Refund","Refund","Normal")))))))</f>
        <v/>
      </c>
      <c r="AB129">
        <f>IF(A129="","",IF(OR(LOWER(J129)="critical",LOWER(TRIM('01_Master_Data'!AI129&amp;""))="yes",LOWER(TRIM('01_Master_Data'!AK129&amp;""))="yes",LOWER(U129)="risk"),"Yes","No"))</f>
        <v/>
      </c>
      <c r="AC129">
        <f>IF(A129="","",IF(LOWER(TRIM('01_Master_Data'!AI129&amp;""))="yes","Yes","No"))</f>
        <v/>
      </c>
      <c r="AD129">
        <f>IF(A129="","",IF(LOWER(TRIM('01_Master_Data'!AK129&amp;""))="yes","Yes","No"))</f>
        <v/>
      </c>
      <c r="AE129">
        <f>IF(A129="","",IF(LOWER(TRIM('01_Master_Data'!AJ129&amp;""))="yes","Yes","No"))</f>
        <v/>
      </c>
      <c r="AF129">
        <f>IF(A129="","",TRIM('01_Master_Data'!AL129&amp;""))</f>
        <v/>
      </c>
      <c r="AG129">
        <f>IF(A129="","",IF(AF129="","—",IF(ISNUMBER(SEARCH("DNP",AF129)),"Unreachable / DNP",IF(ISNUMBER(SEARCH("interest",LOWER(AF129))),"High Interest / Terms",IF(OR(ISNUMBER(SEARCH("eligib",LOWER(AF129))),ISNUMBER(SEARCH("income",LOWER(AF129)))),"Eligibility / Income",IF(OR(ISNUMBER(SEARCH("start",LOWER(AF129))),ISNUMBER(SEARCH("Newer",AF129)),ISNUMBER(SEARCH("Will start",AF129))),"Process Yet to Start",IF(ISNUMBER(SEARCH("sure",LOWER(AF129))),"Undecided",IF(OR(ISNUMBER(SEARCH("reject",LOWER(AF129))),ISNUMBER(SEARCH("SBI",AF129))),"Rejected Elsewhere",IF(ISNUMBER(SEARCH("call",LOWER(AF129))),"Bank Communication",IF(OR(ISNUMBER(SEARCH("father",LOWER(AF129))),ISNUMBER(SEARCH("sister",LOWER(AF129)))),"Family / Dependency","Other"))))))))))</f>
        <v/>
      </c>
      <c r="AH129">
        <f>IF(A129="","",'01_Master_Data'!AC129)</f>
        <v/>
      </c>
      <c r="AI129">
        <f>IF(A129="","",IF(OR(AH129="",NOT(ISNUMBER(AH129))),"",MAX(0,'02_Configuration'!$B$82-AH129)))</f>
        <v/>
      </c>
      <c r="AJ129">
        <f>IF(A129="","",IF(AI129="","Unknown",IF(AI129&lt;=3,"0–3 Days",IF(AI129&lt;=7,"4–7 Days",IF(AI129&lt;=15,"8–15 Days",IF(AI129&lt;=30,"16–30 Days","30+ Days"))))))</f>
        <v/>
      </c>
      <c r="AK129">
        <f>IF(A129="","",IF(LOWER(H129)="yes","Yes","No"))</f>
        <v/>
      </c>
      <c r="AL129">
        <f>IF(A129="","",'01_Master_Data'!T129)</f>
        <v/>
      </c>
      <c r="AM129">
        <f>IF(A129="","",'01_Master_Data'!S129)</f>
        <v/>
      </c>
      <c r="AN129">
        <f>IF(A129="","",'01_Master_Data'!I129)</f>
        <v/>
      </c>
      <c r="AO129">
        <f>IF(A129="","",'01_Master_Data'!M129)</f>
        <v/>
      </c>
      <c r="AP129">
        <f>IF(A129="","",IF(ISNUMBER(SEARCH("Icici",W129&amp;"")),1,0))</f>
        <v/>
      </c>
      <c r="AQ129">
        <f>IF(A129="","",IF(ISNUMBER(SEARCH("Propelld",W129&amp;"")),1,0))</f>
        <v/>
      </c>
      <c r="AR129">
        <f>IF(A129="","",IF(ISNUMBER(SEARCH("GyanDhan",W129&amp;"")),1,0))</f>
        <v/>
      </c>
      <c r="AS129">
        <f>IF(A129="","",IF(ISNUMBER(SEARCH("vidyalakshmi",LOWER(W129&amp;""))),1,0))</f>
        <v/>
      </c>
      <c r="AT129">
        <f>IF(A129="","",IF(ISNUMBER(SEARCH("other bank",LOWER(W129&amp;""))),1,0))</f>
        <v/>
      </c>
      <c r="AU129">
        <f>IF(A129="","",IF(ISNUMBER(SEARCH("sanctioned",LOWER(W129&amp;""))),1,0))</f>
        <v/>
      </c>
      <c r="AV129">
        <f>IF(A129="","",IF(ISNUMBER(SEARCH("Docs Pending",W129&amp;"")),1,0))</f>
        <v/>
      </c>
      <c r="AW129">
        <f>IF(A129="","",IF(OR(X129="Rejected",ISNUMBER(SEARCH("Not eligbile",W129&amp;""))),1,0))</f>
        <v/>
      </c>
    </row>
    <row r="130">
      <c r="A130">
        <f>IF('01_Master_Data'!B130="","",129)</f>
        <v/>
      </c>
      <c r="B130">
        <f>IF('01_Master_Data'!B130="","",IF('01_Master_Data'!C130&lt;&gt;"","MOB|"&amp;TEXT('01_Master_Data'!C130,"0"),IF('01_Master_Data'!D130&lt;&gt;"","PID|"&amp;TRIM('01_Master_Data'!D130&amp;""),"")))</f>
        <v/>
      </c>
      <c r="C130">
        <f>IF('01_Master_Data'!B130="","",'01_Master_Data'!B130)</f>
        <v/>
      </c>
      <c r="D130">
        <f>IF('01_Master_Data'!B130="","",'01_Master_Data'!C130)</f>
        <v/>
      </c>
      <c r="E130">
        <f>IF('01_Master_Data'!B130="","",'01_Master_Data'!D130)</f>
        <v/>
      </c>
      <c r="F130">
        <f>IF('01_Master_Data'!B130="","",'01_Master_Data'!E130)</f>
        <v/>
      </c>
      <c r="G130">
        <f>IF('01_Master_Data'!B130="","",IFERROR(VLOOKUP(TRIM('01_Master_Data'!E130&amp;""),'02_Configuration'!$A$40:$B$44,2,FALSE),UPPER(TRIM('01_Master_Data'!E130&amp;""))))</f>
        <v/>
      </c>
      <c r="H130">
        <f>IF('01_Master_Data'!B130="","",IF('01_Master_Data'!U130="","",TRIM('01_Master_Data'!U130&amp;"")))</f>
        <v/>
      </c>
      <c r="I130">
        <f>IF('01_Master_Data'!B130="","",TRIM('01_Master_Data'!F130&amp;""))</f>
        <v/>
      </c>
      <c r="J130">
        <f>IF('01_Master_Data'!B130="","",TRIM('01_Master_Data'!G130&amp;""))</f>
        <v/>
      </c>
      <c r="K130">
        <f>IF('01_Master_Data'!B130="","",'01_Master_Data'!H130)</f>
        <v/>
      </c>
      <c r="L130">
        <f>IF('01_Master_Data'!B130="","",IF(LOWER(TRIM('01_Master_Data'!V130&amp;""))="yes",1,0))</f>
        <v/>
      </c>
      <c r="M130">
        <f>IF('01_Master_Data'!B130="","",IF(LOWER(TRIM('01_Master_Data'!W130&amp;""))="yes",1,0))</f>
        <v/>
      </c>
      <c r="N130">
        <f>IF('01_Master_Data'!B130="","",IF(LOWER(TRIM('01_Master_Data'!X130&amp;""))="yes",1,0))</f>
        <v/>
      </c>
      <c r="O130">
        <f>IF('01_Master_Data'!B130="","",IF(LOWER(TRIM('01_Master_Data'!Y130&amp;""))="yes",1,0))</f>
        <v/>
      </c>
      <c r="P130">
        <f>IF('01_Master_Data'!B130="","",IF(LOWER(TRIM('01_Master_Data'!Z130&amp;""))="yes",1,0))</f>
        <v/>
      </c>
      <c r="Q130">
        <f>IF(A130="","",L130+M130+N130+O130+P130)</f>
        <v/>
      </c>
      <c r="R130">
        <f>IF(A130="","",IF(Q130&gt;1,"Yes","No"))</f>
        <v/>
      </c>
      <c r="S130">
        <f>IF(A130="","",TEXTJOIN(", ",TRUE,IF(L130=1,"ICICI",""),IF(M130=1,"Propelld",""),IF(N130=1,"Study4Buddy",""),IF(O130=1,"Poonawala Fincorp",""),IF(P130=1,"GyanDhan","")))</f>
        <v/>
      </c>
      <c r="T130">
        <f>IF(A130="","",IF(L130=1,"ICICI",IF(M130=1,"Propelld",IF(P130=1,"GyanDhan",IF(N130=1,"Study4Buddy",IF(O130=1,"Poonawala Fincorp",IF(ISNUMBER(SEARCH("GyanDhan",W130&amp;"")),"GyanDhan",IF(ISNUMBER(SEARCH("Icici",W130&amp;"")),"ICICI",IF(ISNUMBER(SEARCH("Propelld",W130&amp;"")),"Propelld",IF(ISNUMBER(SEARCH("vidyalakshmi",LOWER(W130&amp;"")),"PM Vidyalakshmi","—"))))))))))</f>
        <v/>
      </c>
      <c r="U130">
        <f>IF(A130="","",TRIM('01_Master_Data'!AA130&amp;""))</f>
        <v/>
      </c>
      <c r="V130">
        <f>IF(A130="","",TRIM('01_Master_Data'!AG130&amp;""))</f>
        <v/>
      </c>
      <c r="W130">
        <f>IF(A130="","",TRIM('01_Master_Data'!AH130&amp;""))</f>
        <v/>
      </c>
      <c r="X130">
        <f>IF(A130="","",IF(OR(LOWER(H130)="refund",LOWER(U130)="refund case"),"Refund",IF(OR(LOWER(H130)="dnp",LOWER(U130)="dnp"),"DNP",IF(OR(LOWER(V130)="disbursed",ISNUMBER(SEARCH("Disbursed",W130&amp;""))),"Disbursed",IF(OR(LOWER(V130)="loan proccessed/accepted",ISNUMBER(SEARCH("sanctioned",LOWER(W130&amp;"")))),"Sanctioned",IF(OR(LOWER(V130)="rejected",ISNUMBER(SEARCH("Not eligbile",W130&amp;"")),ISNUMBER(SEARCH("Not eligible",W130&amp;""))),"Rejected",IF(ISNUMBER(SEARCH("Docs Pending",W130&amp;"")),"Documents Pending",IF(AND(LOWER(H130)="yes",LOWER(V130)="ongoing"),"Processing",IF(AND(LOWER(H130)="yes",Q130&gt;0,OR(V130="",LOWER(V130)="not even started")),"Vendor Assigned",IF(AND(LOWER(H130)="yes",LOWER(V130)="not even started"),"Need Loan",IF(LOWER(H130)="yes","Loan Started",IF(LOWER(H130)="not sure","Interested",IF(OR(LOWER(H130)="no",LOWER(V130)="not required"),"Not Required","Unclassified")))))))))))))</f>
        <v/>
      </c>
      <c r="Y130">
        <f>IF(A130="","",IF(OR(X130="Sanctioned",X130="Disbursed",X130="Approved"),"Approved",IF(X130="Rejected","Rejected",IF(OR(X130="Processing",X130="Documents Pending",X130="Vendor Assigned"),"In Progress",IF(X130="Need Loan","Pending Start","—"))))</f>
        <v/>
      </c>
      <c r="Z130">
        <f>IF(A130="","",IF(X130="Disbursed","Disbursed",IF(X130="Sanctioned","Sanctioned - Awaiting Disbursement","Not Disbursed")))</f>
        <v/>
      </c>
      <c r="AA130">
        <f>IF(A130="","",IF(LOWER(TRIM('01_Master_Data'!AI130&amp;""))="yes","Need FLDG",IF(LOWER(TRIM('01_Master_Data'!AK130&amp;""))="yes","Need Vidyalakshmi",IF(LOWER(TRIM('01_Master_Data'!AJ130&amp;""))="yes","Need Review",IF(LOWER(J130)="critical","Critical",IF(LOWER(U130)="risk","Risk Case",IF(X130="Refund","Refund","Normal")))))))</f>
        <v/>
      </c>
      <c r="AB130">
        <f>IF(A130="","",IF(OR(LOWER(J130)="critical",LOWER(TRIM('01_Master_Data'!AI130&amp;""))="yes",LOWER(TRIM('01_Master_Data'!AK130&amp;""))="yes",LOWER(U130)="risk"),"Yes","No"))</f>
        <v/>
      </c>
      <c r="AC130">
        <f>IF(A130="","",IF(LOWER(TRIM('01_Master_Data'!AI130&amp;""))="yes","Yes","No"))</f>
        <v/>
      </c>
      <c r="AD130">
        <f>IF(A130="","",IF(LOWER(TRIM('01_Master_Data'!AK130&amp;""))="yes","Yes","No"))</f>
        <v/>
      </c>
      <c r="AE130">
        <f>IF(A130="","",IF(LOWER(TRIM('01_Master_Data'!AJ130&amp;""))="yes","Yes","No"))</f>
        <v/>
      </c>
      <c r="AF130">
        <f>IF(A130="","",TRIM('01_Master_Data'!AL130&amp;""))</f>
        <v/>
      </c>
      <c r="AG130">
        <f>IF(A130="","",IF(AF130="","—",IF(ISNUMBER(SEARCH("DNP",AF130)),"Unreachable / DNP",IF(ISNUMBER(SEARCH("interest",LOWER(AF130))),"High Interest / Terms",IF(OR(ISNUMBER(SEARCH("eligib",LOWER(AF130))),ISNUMBER(SEARCH("income",LOWER(AF130)))),"Eligibility / Income",IF(OR(ISNUMBER(SEARCH("start",LOWER(AF130))),ISNUMBER(SEARCH("Newer",AF130)),ISNUMBER(SEARCH("Will start",AF130))),"Process Yet to Start",IF(ISNUMBER(SEARCH("sure",LOWER(AF130))),"Undecided",IF(OR(ISNUMBER(SEARCH("reject",LOWER(AF130))),ISNUMBER(SEARCH("SBI",AF130))),"Rejected Elsewhere",IF(ISNUMBER(SEARCH("call",LOWER(AF130))),"Bank Communication",IF(OR(ISNUMBER(SEARCH("father",LOWER(AF130))),ISNUMBER(SEARCH("sister",LOWER(AF130)))),"Family / Dependency","Other"))))))))))</f>
        <v/>
      </c>
      <c r="AH130">
        <f>IF(A130="","",'01_Master_Data'!AC130)</f>
        <v/>
      </c>
      <c r="AI130">
        <f>IF(A130="","",IF(OR(AH130="",NOT(ISNUMBER(AH130))),"",MAX(0,'02_Configuration'!$B$82-AH130)))</f>
        <v/>
      </c>
      <c r="AJ130">
        <f>IF(A130="","",IF(AI130="","Unknown",IF(AI130&lt;=3,"0–3 Days",IF(AI130&lt;=7,"4–7 Days",IF(AI130&lt;=15,"8–15 Days",IF(AI130&lt;=30,"16–30 Days","30+ Days"))))))</f>
        <v/>
      </c>
      <c r="AK130">
        <f>IF(A130="","",IF(LOWER(H130)="yes","Yes","No"))</f>
        <v/>
      </c>
      <c r="AL130">
        <f>IF(A130="","",'01_Master_Data'!T130)</f>
        <v/>
      </c>
      <c r="AM130">
        <f>IF(A130="","",'01_Master_Data'!S130)</f>
        <v/>
      </c>
      <c r="AN130">
        <f>IF(A130="","",'01_Master_Data'!I130)</f>
        <v/>
      </c>
      <c r="AO130">
        <f>IF(A130="","",'01_Master_Data'!M130)</f>
        <v/>
      </c>
      <c r="AP130">
        <f>IF(A130="","",IF(ISNUMBER(SEARCH("Icici",W130&amp;"")),1,0))</f>
        <v/>
      </c>
      <c r="AQ130">
        <f>IF(A130="","",IF(ISNUMBER(SEARCH("Propelld",W130&amp;"")),1,0))</f>
        <v/>
      </c>
      <c r="AR130">
        <f>IF(A130="","",IF(ISNUMBER(SEARCH("GyanDhan",W130&amp;"")),1,0))</f>
        <v/>
      </c>
      <c r="AS130">
        <f>IF(A130="","",IF(ISNUMBER(SEARCH("vidyalakshmi",LOWER(W130&amp;""))),1,0))</f>
        <v/>
      </c>
      <c r="AT130">
        <f>IF(A130="","",IF(ISNUMBER(SEARCH("other bank",LOWER(W130&amp;""))),1,0))</f>
        <v/>
      </c>
      <c r="AU130">
        <f>IF(A130="","",IF(ISNUMBER(SEARCH("sanctioned",LOWER(W130&amp;""))),1,0))</f>
        <v/>
      </c>
      <c r="AV130">
        <f>IF(A130="","",IF(ISNUMBER(SEARCH("Docs Pending",W130&amp;"")),1,0))</f>
        <v/>
      </c>
      <c r="AW130">
        <f>IF(A130="","",IF(OR(X130="Rejected",ISNUMBER(SEARCH("Not eligbile",W130&amp;""))),1,0))</f>
        <v/>
      </c>
    </row>
    <row r="131">
      <c r="A131">
        <f>IF('01_Master_Data'!B131="","",130)</f>
        <v/>
      </c>
      <c r="B131">
        <f>IF('01_Master_Data'!B131="","",IF('01_Master_Data'!C131&lt;&gt;"","MOB|"&amp;TEXT('01_Master_Data'!C131,"0"),IF('01_Master_Data'!D131&lt;&gt;"","PID|"&amp;TRIM('01_Master_Data'!D131&amp;""),"")))</f>
        <v/>
      </c>
      <c r="C131">
        <f>IF('01_Master_Data'!B131="","",'01_Master_Data'!B131)</f>
        <v/>
      </c>
      <c r="D131">
        <f>IF('01_Master_Data'!B131="","",'01_Master_Data'!C131)</f>
        <v/>
      </c>
      <c r="E131">
        <f>IF('01_Master_Data'!B131="","",'01_Master_Data'!D131)</f>
        <v/>
      </c>
      <c r="F131">
        <f>IF('01_Master_Data'!B131="","",'01_Master_Data'!E131)</f>
        <v/>
      </c>
      <c r="G131">
        <f>IF('01_Master_Data'!B131="","",IFERROR(VLOOKUP(TRIM('01_Master_Data'!E131&amp;""),'02_Configuration'!$A$40:$B$44,2,FALSE),UPPER(TRIM('01_Master_Data'!E131&amp;""))))</f>
        <v/>
      </c>
      <c r="H131">
        <f>IF('01_Master_Data'!B131="","",IF('01_Master_Data'!U131="","",TRIM('01_Master_Data'!U131&amp;"")))</f>
        <v/>
      </c>
      <c r="I131">
        <f>IF('01_Master_Data'!B131="","",TRIM('01_Master_Data'!F131&amp;""))</f>
        <v/>
      </c>
      <c r="J131">
        <f>IF('01_Master_Data'!B131="","",TRIM('01_Master_Data'!G131&amp;""))</f>
        <v/>
      </c>
      <c r="K131">
        <f>IF('01_Master_Data'!B131="","",'01_Master_Data'!H131)</f>
        <v/>
      </c>
      <c r="L131">
        <f>IF('01_Master_Data'!B131="","",IF(LOWER(TRIM('01_Master_Data'!V131&amp;""))="yes",1,0))</f>
        <v/>
      </c>
      <c r="M131">
        <f>IF('01_Master_Data'!B131="","",IF(LOWER(TRIM('01_Master_Data'!W131&amp;""))="yes",1,0))</f>
        <v/>
      </c>
      <c r="N131">
        <f>IF('01_Master_Data'!B131="","",IF(LOWER(TRIM('01_Master_Data'!X131&amp;""))="yes",1,0))</f>
        <v/>
      </c>
      <c r="O131">
        <f>IF('01_Master_Data'!B131="","",IF(LOWER(TRIM('01_Master_Data'!Y131&amp;""))="yes",1,0))</f>
        <v/>
      </c>
      <c r="P131">
        <f>IF('01_Master_Data'!B131="","",IF(LOWER(TRIM('01_Master_Data'!Z131&amp;""))="yes",1,0))</f>
        <v/>
      </c>
      <c r="Q131">
        <f>IF(A131="","",L131+M131+N131+O131+P131)</f>
        <v/>
      </c>
      <c r="R131">
        <f>IF(A131="","",IF(Q131&gt;1,"Yes","No"))</f>
        <v/>
      </c>
      <c r="S131">
        <f>IF(A131="","",TEXTJOIN(", ",TRUE,IF(L131=1,"ICICI",""),IF(M131=1,"Propelld",""),IF(N131=1,"Study4Buddy",""),IF(O131=1,"Poonawala Fincorp",""),IF(P131=1,"GyanDhan","")))</f>
        <v/>
      </c>
      <c r="T131">
        <f>IF(A131="","",IF(L131=1,"ICICI",IF(M131=1,"Propelld",IF(P131=1,"GyanDhan",IF(N131=1,"Study4Buddy",IF(O131=1,"Poonawala Fincorp",IF(ISNUMBER(SEARCH("GyanDhan",W131&amp;"")),"GyanDhan",IF(ISNUMBER(SEARCH("Icici",W131&amp;"")),"ICICI",IF(ISNUMBER(SEARCH("Propelld",W131&amp;"")),"Propelld",IF(ISNUMBER(SEARCH("vidyalakshmi",LOWER(W131&amp;"")),"PM Vidyalakshmi","—"))))))))))</f>
        <v/>
      </c>
      <c r="U131">
        <f>IF(A131="","",TRIM('01_Master_Data'!AA131&amp;""))</f>
        <v/>
      </c>
      <c r="V131">
        <f>IF(A131="","",TRIM('01_Master_Data'!AG131&amp;""))</f>
        <v/>
      </c>
      <c r="W131">
        <f>IF(A131="","",TRIM('01_Master_Data'!AH131&amp;""))</f>
        <v/>
      </c>
      <c r="X131">
        <f>IF(A131="","",IF(OR(LOWER(H131)="refund",LOWER(U131)="refund case"),"Refund",IF(OR(LOWER(H131)="dnp",LOWER(U131)="dnp"),"DNP",IF(OR(LOWER(V131)="disbursed",ISNUMBER(SEARCH("Disbursed",W131&amp;""))),"Disbursed",IF(OR(LOWER(V131)="loan proccessed/accepted",ISNUMBER(SEARCH("sanctioned",LOWER(W131&amp;"")))),"Sanctioned",IF(OR(LOWER(V131)="rejected",ISNUMBER(SEARCH("Not eligbile",W131&amp;"")),ISNUMBER(SEARCH("Not eligible",W131&amp;""))),"Rejected",IF(ISNUMBER(SEARCH("Docs Pending",W131&amp;"")),"Documents Pending",IF(AND(LOWER(H131)="yes",LOWER(V131)="ongoing"),"Processing",IF(AND(LOWER(H131)="yes",Q131&gt;0,OR(V131="",LOWER(V131)="not even started")),"Vendor Assigned",IF(AND(LOWER(H131)="yes",LOWER(V131)="not even started"),"Need Loan",IF(LOWER(H131)="yes","Loan Started",IF(LOWER(H131)="not sure","Interested",IF(OR(LOWER(H131)="no",LOWER(V131)="not required"),"Not Required","Unclassified")))))))))))))</f>
        <v/>
      </c>
      <c r="Y131">
        <f>IF(A131="","",IF(OR(X131="Sanctioned",X131="Disbursed",X131="Approved"),"Approved",IF(X131="Rejected","Rejected",IF(OR(X131="Processing",X131="Documents Pending",X131="Vendor Assigned"),"In Progress",IF(X131="Need Loan","Pending Start","—"))))</f>
        <v/>
      </c>
      <c r="Z131">
        <f>IF(A131="","",IF(X131="Disbursed","Disbursed",IF(X131="Sanctioned","Sanctioned - Awaiting Disbursement","Not Disbursed")))</f>
        <v/>
      </c>
      <c r="AA131">
        <f>IF(A131="","",IF(LOWER(TRIM('01_Master_Data'!AI131&amp;""))="yes","Need FLDG",IF(LOWER(TRIM('01_Master_Data'!AK131&amp;""))="yes","Need Vidyalakshmi",IF(LOWER(TRIM('01_Master_Data'!AJ131&amp;""))="yes","Need Review",IF(LOWER(J131)="critical","Critical",IF(LOWER(U131)="risk","Risk Case",IF(X131="Refund","Refund","Normal")))))))</f>
        <v/>
      </c>
      <c r="AB131">
        <f>IF(A131="","",IF(OR(LOWER(J131)="critical",LOWER(TRIM('01_Master_Data'!AI131&amp;""))="yes",LOWER(TRIM('01_Master_Data'!AK131&amp;""))="yes",LOWER(U131)="risk"),"Yes","No"))</f>
        <v/>
      </c>
      <c r="AC131">
        <f>IF(A131="","",IF(LOWER(TRIM('01_Master_Data'!AI131&amp;""))="yes","Yes","No"))</f>
        <v/>
      </c>
      <c r="AD131">
        <f>IF(A131="","",IF(LOWER(TRIM('01_Master_Data'!AK131&amp;""))="yes","Yes","No"))</f>
        <v/>
      </c>
      <c r="AE131">
        <f>IF(A131="","",IF(LOWER(TRIM('01_Master_Data'!AJ131&amp;""))="yes","Yes","No"))</f>
        <v/>
      </c>
      <c r="AF131">
        <f>IF(A131="","",TRIM('01_Master_Data'!AL131&amp;""))</f>
        <v/>
      </c>
      <c r="AG131">
        <f>IF(A131="","",IF(AF131="","—",IF(ISNUMBER(SEARCH("DNP",AF131)),"Unreachable / DNP",IF(ISNUMBER(SEARCH("interest",LOWER(AF131))),"High Interest / Terms",IF(OR(ISNUMBER(SEARCH("eligib",LOWER(AF131))),ISNUMBER(SEARCH("income",LOWER(AF131)))),"Eligibility / Income",IF(OR(ISNUMBER(SEARCH("start",LOWER(AF131))),ISNUMBER(SEARCH("Newer",AF131)),ISNUMBER(SEARCH("Will start",AF131))),"Process Yet to Start",IF(ISNUMBER(SEARCH("sure",LOWER(AF131))),"Undecided",IF(OR(ISNUMBER(SEARCH("reject",LOWER(AF131))),ISNUMBER(SEARCH("SBI",AF131))),"Rejected Elsewhere",IF(ISNUMBER(SEARCH("call",LOWER(AF131))),"Bank Communication",IF(OR(ISNUMBER(SEARCH("father",LOWER(AF131))),ISNUMBER(SEARCH("sister",LOWER(AF131)))),"Family / Dependency","Other"))))))))))</f>
        <v/>
      </c>
      <c r="AH131">
        <f>IF(A131="","",'01_Master_Data'!AC131)</f>
        <v/>
      </c>
      <c r="AI131">
        <f>IF(A131="","",IF(OR(AH131="",NOT(ISNUMBER(AH131))),"",MAX(0,'02_Configuration'!$B$82-AH131)))</f>
        <v/>
      </c>
      <c r="AJ131">
        <f>IF(A131="","",IF(AI131="","Unknown",IF(AI131&lt;=3,"0–3 Days",IF(AI131&lt;=7,"4–7 Days",IF(AI131&lt;=15,"8–15 Days",IF(AI131&lt;=30,"16–30 Days","30+ Days"))))))</f>
        <v/>
      </c>
      <c r="AK131">
        <f>IF(A131="","",IF(LOWER(H131)="yes","Yes","No"))</f>
        <v/>
      </c>
      <c r="AL131">
        <f>IF(A131="","",'01_Master_Data'!T131)</f>
        <v/>
      </c>
      <c r="AM131">
        <f>IF(A131="","",'01_Master_Data'!S131)</f>
        <v/>
      </c>
      <c r="AN131">
        <f>IF(A131="","",'01_Master_Data'!I131)</f>
        <v/>
      </c>
      <c r="AO131">
        <f>IF(A131="","",'01_Master_Data'!M131)</f>
        <v/>
      </c>
      <c r="AP131">
        <f>IF(A131="","",IF(ISNUMBER(SEARCH("Icici",W131&amp;"")),1,0))</f>
        <v/>
      </c>
      <c r="AQ131">
        <f>IF(A131="","",IF(ISNUMBER(SEARCH("Propelld",W131&amp;"")),1,0))</f>
        <v/>
      </c>
      <c r="AR131">
        <f>IF(A131="","",IF(ISNUMBER(SEARCH("GyanDhan",W131&amp;"")),1,0))</f>
        <v/>
      </c>
      <c r="AS131">
        <f>IF(A131="","",IF(ISNUMBER(SEARCH("vidyalakshmi",LOWER(W131&amp;""))),1,0))</f>
        <v/>
      </c>
      <c r="AT131">
        <f>IF(A131="","",IF(ISNUMBER(SEARCH("other bank",LOWER(W131&amp;""))),1,0))</f>
        <v/>
      </c>
      <c r="AU131">
        <f>IF(A131="","",IF(ISNUMBER(SEARCH("sanctioned",LOWER(W131&amp;""))),1,0))</f>
        <v/>
      </c>
      <c r="AV131">
        <f>IF(A131="","",IF(ISNUMBER(SEARCH("Docs Pending",W131&amp;"")),1,0))</f>
        <v/>
      </c>
      <c r="AW131">
        <f>IF(A131="","",IF(OR(X131="Rejected",ISNUMBER(SEARCH("Not eligbile",W131&amp;""))),1,0))</f>
        <v/>
      </c>
    </row>
    <row r="132">
      <c r="A132">
        <f>IF('01_Master_Data'!B132="","",131)</f>
        <v/>
      </c>
      <c r="B132">
        <f>IF('01_Master_Data'!B132="","",IF('01_Master_Data'!C132&lt;&gt;"","MOB|"&amp;TEXT('01_Master_Data'!C132,"0"),IF('01_Master_Data'!D132&lt;&gt;"","PID|"&amp;TRIM('01_Master_Data'!D132&amp;""),"")))</f>
        <v/>
      </c>
      <c r="C132">
        <f>IF('01_Master_Data'!B132="","",'01_Master_Data'!B132)</f>
        <v/>
      </c>
      <c r="D132">
        <f>IF('01_Master_Data'!B132="","",'01_Master_Data'!C132)</f>
        <v/>
      </c>
      <c r="E132">
        <f>IF('01_Master_Data'!B132="","",'01_Master_Data'!D132)</f>
        <v/>
      </c>
      <c r="F132">
        <f>IF('01_Master_Data'!B132="","",'01_Master_Data'!E132)</f>
        <v/>
      </c>
      <c r="G132">
        <f>IF('01_Master_Data'!B132="","",IFERROR(VLOOKUP(TRIM('01_Master_Data'!E132&amp;""),'02_Configuration'!$A$40:$B$44,2,FALSE),UPPER(TRIM('01_Master_Data'!E132&amp;""))))</f>
        <v/>
      </c>
      <c r="H132">
        <f>IF('01_Master_Data'!B132="","",IF('01_Master_Data'!U132="","",TRIM('01_Master_Data'!U132&amp;"")))</f>
        <v/>
      </c>
      <c r="I132">
        <f>IF('01_Master_Data'!B132="","",TRIM('01_Master_Data'!F132&amp;""))</f>
        <v/>
      </c>
      <c r="J132">
        <f>IF('01_Master_Data'!B132="","",TRIM('01_Master_Data'!G132&amp;""))</f>
        <v/>
      </c>
      <c r="K132">
        <f>IF('01_Master_Data'!B132="","",'01_Master_Data'!H132)</f>
        <v/>
      </c>
      <c r="L132">
        <f>IF('01_Master_Data'!B132="","",IF(LOWER(TRIM('01_Master_Data'!V132&amp;""))="yes",1,0))</f>
        <v/>
      </c>
      <c r="M132">
        <f>IF('01_Master_Data'!B132="","",IF(LOWER(TRIM('01_Master_Data'!W132&amp;""))="yes",1,0))</f>
        <v/>
      </c>
      <c r="N132">
        <f>IF('01_Master_Data'!B132="","",IF(LOWER(TRIM('01_Master_Data'!X132&amp;""))="yes",1,0))</f>
        <v/>
      </c>
      <c r="O132">
        <f>IF('01_Master_Data'!B132="","",IF(LOWER(TRIM('01_Master_Data'!Y132&amp;""))="yes",1,0))</f>
        <v/>
      </c>
      <c r="P132">
        <f>IF('01_Master_Data'!B132="","",IF(LOWER(TRIM('01_Master_Data'!Z132&amp;""))="yes",1,0))</f>
        <v/>
      </c>
      <c r="Q132">
        <f>IF(A132="","",L132+M132+N132+O132+P132)</f>
        <v/>
      </c>
      <c r="R132">
        <f>IF(A132="","",IF(Q132&gt;1,"Yes","No"))</f>
        <v/>
      </c>
      <c r="S132">
        <f>IF(A132="","",TEXTJOIN(", ",TRUE,IF(L132=1,"ICICI",""),IF(M132=1,"Propelld",""),IF(N132=1,"Study4Buddy",""),IF(O132=1,"Poonawala Fincorp",""),IF(P132=1,"GyanDhan","")))</f>
        <v/>
      </c>
      <c r="T132">
        <f>IF(A132="","",IF(L132=1,"ICICI",IF(M132=1,"Propelld",IF(P132=1,"GyanDhan",IF(N132=1,"Study4Buddy",IF(O132=1,"Poonawala Fincorp",IF(ISNUMBER(SEARCH("GyanDhan",W132&amp;"")),"GyanDhan",IF(ISNUMBER(SEARCH("Icici",W132&amp;"")),"ICICI",IF(ISNUMBER(SEARCH("Propelld",W132&amp;"")),"Propelld",IF(ISNUMBER(SEARCH("vidyalakshmi",LOWER(W132&amp;"")),"PM Vidyalakshmi","—"))))))))))</f>
        <v/>
      </c>
      <c r="U132">
        <f>IF(A132="","",TRIM('01_Master_Data'!AA132&amp;""))</f>
        <v/>
      </c>
      <c r="V132">
        <f>IF(A132="","",TRIM('01_Master_Data'!AG132&amp;""))</f>
        <v/>
      </c>
      <c r="W132">
        <f>IF(A132="","",TRIM('01_Master_Data'!AH132&amp;""))</f>
        <v/>
      </c>
      <c r="X132">
        <f>IF(A132="","",IF(OR(LOWER(H132)="refund",LOWER(U132)="refund case"),"Refund",IF(OR(LOWER(H132)="dnp",LOWER(U132)="dnp"),"DNP",IF(OR(LOWER(V132)="disbursed",ISNUMBER(SEARCH("Disbursed",W132&amp;""))),"Disbursed",IF(OR(LOWER(V132)="loan proccessed/accepted",ISNUMBER(SEARCH("sanctioned",LOWER(W132&amp;"")))),"Sanctioned",IF(OR(LOWER(V132)="rejected",ISNUMBER(SEARCH("Not eligbile",W132&amp;"")),ISNUMBER(SEARCH("Not eligible",W132&amp;""))),"Rejected",IF(ISNUMBER(SEARCH("Docs Pending",W132&amp;"")),"Documents Pending",IF(AND(LOWER(H132)="yes",LOWER(V132)="ongoing"),"Processing",IF(AND(LOWER(H132)="yes",Q132&gt;0,OR(V132="",LOWER(V132)="not even started")),"Vendor Assigned",IF(AND(LOWER(H132)="yes",LOWER(V132)="not even started"),"Need Loan",IF(LOWER(H132)="yes","Loan Started",IF(LOWER(H132)="not sure","Interested",IF(OR(LOWER(H132)="no",LOWER(V132)="not required"),"Not Required","Unclassified")))))))))))))</f>
        <v/>
      </c>
      <c r="Y132">
        <f>IF(A132="","",IF(OR(X132="Sanctioned",X132="Disbursed",X132="Approved"),"Approved",IF(X132="Rejected","Rejected",IF(OR(X132="Processing",X132="Documents Pending",X132="Vendor Assigned"),"In Progress",IF(X132="Need Loan","Pending Start","—"))))</f>
        <v/>
      </c>
      <c r="Z132">
        <f>IF(A132="","",IF(X132="Disbursed","Disbursed",IF(X132="Sanctioned","Sanctioned - Awaiting Disbursement","Not Disbursed")))</f>
        <v/>
      </c>
      <c r="AA132">
        <f>IF(A132="","",IF(LOWER(TRIM('01_Master_Data'!AI132&amp;""))="yes","Need FLDG",IF(LOWER(TRIM('01_Master_Data'!AK132&amp;""))="yes","Need Vidyalakshmi",IF(LOWER(TRIM('01_Master_Data'!AJ132&amp;""))="yes","Need Review",IF(LOWER(J132)="critical","Critical",IF(LOWER(U132)="risk","Risk Case",IF(X132="Refund","Refund","Normal")))))))</f>
        <v/>
      </c>
      <c r="AB132">
        <f>IF(A132="","",IF(OR(LOWER(J132)="critical",LOWER(TRIM('01_Master_Data'!AI132&amp;""))="yes",LOWER(TRIM('01_Master_Data'!AK132&amp;""))="yes",LOWER(U132)="risk"),"Yes","No"))</f>
        <v/>
      </c>
      <c r="AC132">
        <f>IF(A132="","",IF(LOWER(TRIM('01_Master_Data'!AI132&amp;""))="yes","Yes","No"))</f>
        <v/>
      </c>
      <c r="AD132">
        <f>IF(A132="","",IF(LOWER(TRIM('01_Master_Data'!AK132&amp;""))="yes","Yes","No"))</f>
        <v/>
      </c>
      <c r="AE132">
        <f>IF(A132="","",IF(LOWER(TRIM('01_Master_Data'!AJ132&amp;""))="yes","Yes","No"))</f>
        <v/>
      </c>
      <c r="AF132">
        <f>IF(A132="","",TRIM('01_Master_Data'!AL132&amp;""))</f>
        <v/>
      </c>
      <c r="AG132">
        <f>IF(A132="","",IF(AF132="","—",IF(ISNUMBER(SEARCH("DNP",AF132)),"Unreachable / DNP",IF(ISNUMBER(SEARCH("interest",LOWER(AF132))),"High Interest / Terms",IF(OR(ISNUMBER(SEARCH("eligib",LOWER(AF132))),ISNUMBER(SEARCH("income",LOWER(AF132)))),"Eligibility / Income",IF(OR(ISNUMBER(SEARCH("start",LOWER(AF132))),ISNUMBER(SEARCH("Newer",AF132)),ISNUMBER(SEARCH("Will start",AF132))),"Process Yet to Start",IF(ISNUMBER(SEARCH("sure",LOWER(AF132))),"Undecided",IF(OR(ISNUMBER(SEARCH("reject",LOWER(AF132))),ISNUMBER(SEARCH("SBI",AF132))),"Rejected Elsewhere",IF(ISNUMBER(SEARCH("call",LOWER(AF132))),"Bank Communication",IF(OR(ISNUMBER(SEARCH("father",LOWER(AF132))),ISNUMBER(SEARCH("sister",LOWER(AF132)))),"Family / Dependency","Other"))))))))))</f>
        <v/>
      </c>
      <c r="AH132">
        <f>IF(A132="","",'01_Master_Data'!AC132)</f>
        <v/>
      </c>
      <c r="AI132">
        <f>IF(A132="","",IF(OR(AH132="",NOT(ISNUMBER(AH132))),"",MAX(0,'02_Configuration'!$B$82-AH132)))</f>
        <v/>
      </c>
      <c r="AJ132">
        <f>IF(A132="","",IF(AI132="","Unknown",IF(AI132&lt;=3,"0–3 Days",IF(AI132&lt;=7,"4–7 Days",IF(AI132&lt;=15,"8–15 Days",IF(AI132&lt;=30,"16–30 Days","30+ Days"))))))</f>
        <v/>
      </c>
      <c r="AK132">
        <f>IF(A132="","",IF(LOWER(H132)="yes","Yes","No"))</f>
        <v/>
      </c>
      <c r="AL132">
        <f>IF(A132="","",'01_Master_Data'!T132)</f>
        <v/>
      </c>
      <c r="AM132">
        <f>IF(A132="","",'01_Master_Data'!S132)</f>
        <v/>
      </c>
      <c r="AN132">
        <f>IF(A132="","",'01_Master_Data'!I132)</f>
        <v/>
      </c>
      <c r="AO132">
        <f>IF(A132="","",'01_Master_Data'!M132)</f>
        <v/>
      </c>
      <c r="AP132">
        <f>IF(A132="","",IF(ISNUMBER(SEARCH("Icici",W132&amp;"")),1,0))</f>
        <v/>
      </c>
      <c r="AQ132">
        <f>IF(A132="","",IF(ISNUMBER(SEARCH("Propelld",W132&amp;"")),1,0))</f>
        <v/>
      </c>
      <c r="AR132">
        <f>IF(A132="","",IF(ISNUMBER(SEARCH("GyanDhan",W132&amp;"")),1,0))</f>
        <v/>
      </c>
      <c r="AS132">
        <f>IF(A132="","",IF(ISNUMBER(SEARCH("vidyalakshmi",LOWER(W132&amp;""))),1,0))</f>
        <v/>
      </c>
      <c r="AT132">
        <f>IF(A132="","",IF(ISNUMBER(SEARCH("other bank",LOWER(W132&amp;""))),1,0))</f>
        <v/>
      </c>
      <c r="AU132">
        <f>IF(A132="","",IF(ISNUMBER(SEARCH("sanctioned",LOWER(W132&amp;""))),1,0))</f>
        <v/>
      </c>
      <c r="AV132">
        <f>IF(A132="","",IF(ISNUMBER(SEARCH("Docs Pending",W132&amp;"")),1,0))</f>
        <v/>
      </c>
      <c r="AW132">
        <f>IF(A132="","",IF(OR(X132="Rejected",ISNUMBER(SEARCH("Not eligbile",W132&amp;""))),1,0))</f>
        <v/>
      </c>
    </row>
    <row r="133">
      <c r="A133">
        <f>IF('01_Master_Data'!B133="","",132)</f>
        <v/>
      </c>
      <c r="B133">
        <f>IF('01_Master_Data'!B133="","",IF('01_Master_Data'!C133&lt;&gt;"","MOB|"&amp;TEXT('01_Master_Data'!C133,"0"),IF('01_Master_Data'!D133&lt;&gt;"","PID|"&amp;TRIM('01_Master_Data'!D133&amp;""),"")))</f>
        <v/>
      </c>
      <c r="C133">
        <f>IF('01_Master_Data'!B133="","",'01_Master_Data'!B133)</f>
        <v/>
      </c>
      <c r="D133">
        <f>IF('01_Master_Data'!B133="","",'01_Master_Data'!C133)</f>
        <v/>
      </c>
      <c r="E133">
        <f>IF('01_Master_Data'!B133="","",'01_Master_Data'!D133)</f>
        <v/>
      </c>
      <c r="F133">
        <f>IF('01_Master_Data'!B133="","",'01_Master_Data'!E133)</f>
        <v/>
      </c>
      <c r="G133">
        <f>IF('01_Master_Data'!B133="","",IFERROR(VLOOKUP(TRIM('01_Master_Data'!E133&amp;""),'02_Configuration'!$A$40:$B$44,2,FALSE),UPPER(TRIM('01_Master_Data'!E133&amp;""))))</f>
        <v/>
      </c>
      <c r="H133">
        <f>IF('01_Master_Data'!B133="","",IF('01_Master_Data'!U133="","",TRIM('01_Master_Data'!U133&amp;"")))</f>
        <v/>
      </c>
      <c r="I133">
        <f>IF('01_Master_Data'!B133="","",TRIM('01_Master_Data'!F133&amp;""))</f>
        <v/>
      </c>
      <c r="J133">
        <f>IF('01_Master_Data'!B133="","",TRIM('01_Master_Data'!G133&amp;""))</f>
        <v/>
      </c>
      <c r="K133">
        <f>IF('01_Master_Data'!B133="","",'01_Master_Data'!H133)</f>
        <v/>
      </c>
      <c r="L133">
        <f>IF('01_Master_Data'!B133="","",IF(LOWER(TRIM('01_Master_Data'!V133&amp;""))="yes",1,0))</f>
        <v/>
      </c>
      <c r="M133">
        <f>IF('01_Master_Data'!B133="","",IF(LOWER(TRIM('01_Master_Data'!W133&amp;""))="yes",1,0))</f>
        <v/>
      </c>
      <c r="N133">
        <f>IF('01_Master_Data'!B133="","",IF(LOWER(TRIM('01_Master_Data'!X133&amp;""))="yes",1,0))</f>
        <v/>
      </c>
      <c r="O133">
        <f>IF('01_Master_Data'!B133="","",IF(LOWER(TRIM('01_Master_Data'!Y133&amp;""))="yes",1,0))</f>
        <v/>
      </c>
      <c r="P133">
        <f>IF('01_Master_Data'!B133="","",IF(LOWER(TRIM('01_Master_Data'!Z133&amp;""))="yes",1,0))</f>
        <v/>
      </c>
      <c r="Q133">
        <f>IF(A133="","",L133+M133+N133+O133+P133)</f>
        <v/>
      </c>
      <c r="R133">
        <f>IF(A133="","",IF(Q133&gt;1,"Yes","No"))</f>
        <v/>
      </c>
      <c r="S133">
        <f>IF(A133="","",TEXTJOIN(", ",TRUE,IF(L133=1,"ICICI",""),IF(M133=1,"Propelld",""),IF(N133=1,"Study4Buddy",""),IF(O133=1,"Poonawala Fincorp",""),IF(P133=1,"GyanDhan","")))</f>
        <v/>
      </c>
      <c r="T133">
        <f>IF(A133="","",IF(L133=1,"ICICI",IF(M133=1,"Propelld",IF(P133=1,"GyanDhan",IF(N133=1,"Study4Buddy",IF(O133=1,"Poonawala Fincorp",IF(ISNUMBER(SEARCH("GyanDhan",W133&amp;"")),"GyanDhan",IF(ISNUMBER(SEARCH("Icici",W133&amp;"")),"ICICI",IF(ISNUMBER(SEARCH("Propelld",W133&amp;"")),"Propelld",IF(ISNUMBER(SEARCH("vidyalakshmi",LOWER(W133&amp;"")),"PM Vidyalakshmi","—"))))))))))</f>
        <v/>
      </c>
      <c r="U133">
        <f>IF(A133="","",TRIM('01_Master_Data'!AA133&amp;""))</f>
        <v/>
      </c>
      <c r="V133">
        <f>IF(A133="","",TRIM('01_Master_Data'!AG133&amp;""))</f>
        <v/>
      </c>
      <c r="W133">
        <f>IF(A133="","",TRIM('01_Master_Data'!AH133&amp;""))</f>
        <v/>
      </c>
      <c r="X133">
        <f>IF(A133="","",IF(OR(LOWER(H133)="refund",LOWER(U133)="refund case"),"Refund",IF(OR(LOWER(H133)="dnp",LOWER(U133)="dnp"),"DNP",IF(OR(LOWER(V133)="disbursed",ISNUMBER(SEARCH("Disbursed",W133&amp;""))),"Disbursed",IF(OR(LOWER(V133)="loan proccessed/accepted",ISNUMBER(SEARCH("sanctioned",LOWER(W133&amp;"")))),"Sanctioned",IF(OR(LOWER(V133)="rejected",ISNUMBER(SEARCH("Not eligbile",W133&amp;"")),ISNUMBER(SEARCH("Not eligible",W133&amp;""))),"Rejected",IF(ISNUMBER(SEARCH("Docs Pending",W133&amp;"")),"Documents Pending",IF(AND(LOWER(H133)="yes",LOWER(V133)="ongoing"),"Processing",IF(AND(LOWER(H133)="yes",Q133&gt;0,OR(V133="",LOWER(V133)="not even started")),"Vendor Assigned",IF(AND(LOWER(H133)="yes",LOWER(V133)="not even started"),"Need Loan",IF(LOWER(H133)="yes","Loan Started",IF(LOWER(H133)="not sure","Interested",IF(OR(LOWER(H133)="no",LOWER(V133)="not required"),"Not Required","Unclassified")))))))))))))</f>
        <v/>
      </c>
      <c r="Y133">
        <f>IF(A133="","",IF(OR(X133="Sanctioned",X133="Disbursed",X133="Approved"),"Approved",IF(X133="Rejected","Rejected",IF(OR(X133="Processing",X133="Documents Pending",X133="Vendor Assigned"),"In Progress",IF(X133="Need Loan","Pending Start","—"))))</f>
        <v/>
      </c>
      <c r="Z133">
        <f>IF(A133="","",IF(X133="Disbursed","Disbursed",IF(X133="Sanctioned","Sanctioned - Awaiting Disbursement","Not Disbursed")))</f>
        <v/>
      </c>
      <c r="AA133">
        <f>IF(A133="","",IF(LOWER(TRIM('01_Master_Data'!AI133&amp;""))="yes","Need FLDG",IF(LOWER(TRIM('01_Master_Data'!AK133&amp;""))="yes","Need Vidyalakshmi",IF(LOWER(TRIM('01_Master_Data'!AJ133&amp;""))="yes","Need Review",IF(LOWER(J133)="critical","Critical",IF(LOWER(U133)="risk","Risk Case",IF(X133="Refund","Refund","Normal")))))))</f>
        <v/>
      </c>
      <c r="AB133">
        <f>IF(A133="","",IF(OR(LOWER(J133)="critical",LOWER(TRIM('01_Master_Data'!AI133&amp;""))="yes",LOWER(TRIM('01_Master_Data'!AK133&amp;""))="yes",LOWER(U133)="risk"),"Yes","No"))</f>
        <v/>
      </c>
      <c r="AC133">
        <f>IF(A133="","",IF(LOWER(TRIM('01_Master_Data'!AI133&amp;""))="yes","Yes","No"))</f>
        <v/>
      </c>
      <c r="AD133">
        <f>IF(A133="","",IF(LOWER(TRIM('01_Master_Data'!AK133&amp;""))="yes","Yes","No"))</f>
        <v/>
      </c>
      <c r="AE133">
        <f>IF(A133="","",IF(LOWER(TRIM('01_Master_Data'!AJ133&amp;""))="yes","Yes","No"))</f>
        <v/>
      </c>
      <c r="AF133">
        <f>IF(A133="","",TRIM('01_Master_Data'!AL133&amp;""))</f>
        <v/>
      </c>
      <c r="AG133">
        <f>IF(A133="","",IF(AF133="","—",IF(ISNUMBER(SEARCH("DNP",AF133)),"Unreachable / DNP",IF(ISNUMBER(SEARCH("interest",LOWER(AF133))),"High Interest / Terms",IF(OR(ISNUMBER(SEARCH("eligib",LOWER(AF133))),ISNUMBER(SEARCH("income",LOWER(AF133)))),"Eligibility / Income",IF(OR(ISNUMBER(SEARCH("start",LOWER(AF133))),ISNUMBER(SEARCH("Newer",AF133)),ISNUMBER(SEARCH("Will start",AF133))),"Process Yet to Start",IF(ISNUMBER(SEARCH("sure",LOWER(AF133))),"Undecided",IF(OR(ISNUMBER(SEARCH("reject",LOWER(AF133))),ISNUMBER(SEARCH("SBI",AF133))),"Rejected Elsewhere",IF(ISNUMBER(SEARCH("call",LOWER(AF133))),"Bank Communication",IF(OR(ISNUMBER(SEARCH("father",LOWER(AF133))),ISNUMBER(SEARCH("sister",LOWER(AF133)))),"Family / Dependency","Other"))))))))))</f>
        <v/>
      </c>
      <c r="AH133">
        <f>IF(A133="","",'01_Master_Data'!AC133)</f>
        <v/>
      </c>
      <c r="AI133">
        <f>IF(A133="","",IF(OR(AH133="",NOT(ISNUMBER(AH133))),"",MAX(0,'02_Configuration'!$B$82-AH133)))</f>
        <v/>
      </c>
      <c r="AJ133">
        <f>IF(A133="","",IF(AI133="","Unknown",IF(AI133&lt;=3,"0–3 Days",IF(AI133&lt;=7,"4–7 Days",IF(AI133&lt;=15,"8–15 Days",IF(AI133&lt;=30,"16–30 Days","30+ Days"))))))</f>
        <v/>
      </c>
      <c r="AK133">
        <f>IF(A133="","",IF(LOWER(H133)="yes","Yes","No"))</f>
        <v/>
      </c>
      <c r="AL133">
        <f>IF(A133="","",'01_Master_Data'!T133)</f>
        <v/>
      </c>
      <c r="AM133">
        <f>IF(A133="","",'01_Master_Data'!S133)</f>
        <v/>
      </c>
      <c r="AN133">
        <f>IF(A133="","",'01_Master_Data'!I133)</f>
        <v/>
      </c>
      <c r="AO133">
        <f>IF(A133="","",'01_Master_Data'!M133)</f>
        <v/>
      </c>
      <c r="AP133">
        <f>IF(A133="","",IF(ISNUMBER(SEARCH("Icici",W133&amp;"")),1,0))</f>
        <v/>
      </c>
      <c r="AQ133">
        <f>IF(A133="","",IF(ISNUMBER(SEARCH("Propelld",W133&amp;"")),1,0))</f>
        <v/>
      </c>
      <c r="AR133">
        <f>IF(A133="","",IF(ISNUMBER(SEARCH("GyanDhan",W133&amp;"")),1,0))</f>
        <v/>
      </c>
      <c r="AS133">
        <f>IF(A133="","",IF(ISNUMBER(SEARCH("vidyalakshmi",LOWER(W133&amp;""))),1,0))</f>
        <v/>
      </c>
      <c r="AT133">
        <f>IF(A133="","",IF(ISNUMBER(SEARCH("other bank",LOWER(W133&amp;""))),1,0))</f>
        <v/>
      </c>
      <c r="AU133">
        <f>IF(A133="","",IF(ISNUMBER(SEARCH("sanctioned",LOWER(W133&amp;""))),1,0))</f>
        <v/>
      </c>
      <c r="AV133">
        <f>IF(A133="","",IF(ISNUMBER(SEARCH("Docs Pending",W133&amp;"")),1,0))</f>
        <v/>
      </c>
      <c r="AW133">
        <f>IF(A133="","",IF(OR(X133="Rejected",ISNUMBER(SEARCH("Not eligbile",W133&amp;""))),1,0))</f>
        <v/>
      </c>
    </row>
    <row r="134">
      <c r="A134">
        <f>IF('01_Master_Data'!B134="","",133)</f>
        <v/>
      </c>
      <c r="B134">
        <f>IF('01_Master_Data'!B134="","",IF('01_Master_Data'!C134&lt;&gt;"","MOB|"&amp;TEXT('01_Master_Data'!C134,"0"),IF('01_Master_Data'!D134&lt;&gt;"","PID|"&amp;TRIM('01_Master_Data'!D134&amp;""),"")))</f>
        <v/>
      </c>
      <c r="C134">
        <f>IF('01_Master_Data'!B134="","",'01_Master_Data'!B134)</f>
        <v/>
      </c>
      <c r="D134">
        <f>IF('01_Master_Data'!B134="","",'01_Master_Data'!C134)</f>
        <v/>
      </c>
      <c r="E134">
        <f>IF('01_Master_Data'!B134="","",'01_Master_Data'!D134)</f>
        <v/>
      </c>
      <c r="F134">
        <f>IF('01_Master_Data'!B134="","",'01_Master_Data'!E134)</f>
        <v/>
      </c>
      <c r="G134">
        <f>IF('01_Master_Data'!B134="","",IFERROR(VLOOKUP(TRIM('01_Master_Data'!E134&amp;""),'02_Configuration'!$A$40:$B$44,2,FALSE),UPPER(TRIM('01_Master_Data'!E134&amp;""))))</f>
        <v/>
      </c>
      <c r="H134">
        <f>IF('01_Master_Data'!B134="","",IF('01_Master_Data'!U134="","",TRIM('01_Master_Data'!U134&amp;"")))</f>
        <v/>
      </c>
      <c r="I134">
        <f>IF('01_Master_Data'!B134="","",TRIM('01_Master_Data'!F134&amp;""))</f>
        <v/>
      </c>
      <c r="J134">
        <f>IF('01_Master_Data'!B134="","",TRIM('01_Master_Data'!G134&amp;""))</f>
        <v/>
      </c>
      <c r="K134">
        <f>IF('01_Master_Data'!B134="","",'01_Master_Data'!H134)</f>
        <v/>
      </c>
      <c r="L134">
        <f>IF('01_Master_Data'!B134="","",IF(LOWER(TRIM('01_Master_Data'!V134&amp;""))="yes",1,0))</f>
        <v/>
      </c>
      <c r="M134">
        <f>IF('01_Master_Data'!B134="","",IF(LOWER(TRIM('01_Master_Data'!W134&amp;""))="yes",1,0))</f>
        <v/>
      </c>
      <c r="N134">
        <f>IF('01_Master_Data'!B134="","",IF(LOWER(TRIM('01_Master_Data'!X134&amp;""))="yes",1,0))</f>
        <v/>
      </c>
      <c r="O134">
        <f>IF('01_Master_Data'!B134="","",IF(LOWER(TRIM('01_Master_Data'!Y134&amp;""))="yes",1,0))</f>
        <v/>
      </c>
      <c r="P134">
        <f>IF('01_Master_Data'!B134="","",IF(LOWER(TRIM('01_Master_Data'!Z134&amp;""))="yes",1,0))</f>
        <v/>
      </c>
      <c r="Q134">
        <f>IF(A134="","",L134+M134+N134+O134+P134)</f>
        <v/>
      </c>
      <c r="R134">
        <f>IF(A134="","",IF(Q134&gt;1,"Yes","No"))</f>
        <v/>
      </c>
      <c r="S134">
        <f>IF(A134="","",TEXTJOIN(", ",TRUE,IF(L134=1,"ICICI",""),IF(M134=1,"Propelld",""),IF(N134=1,"Study4Buddy",""),IF(O134=1,"Poonawala Fincorp",""),IF(P134=1,"GyanDhan","")))</f>
        <v/>
      </c>
      <c r="T134">
        <f>IF(A134="","",IF(L134=1,"ICICI",IF(M134=1,"Propelld",IF(P134=1,"GyanDhan",IF(N134=1,"Study4Buddy",IF(O134=1,"Poonawala Fincorp",IF(ISNUMBER(SEARCH("GyanDhan",W134&amp;"")),"GyanDhan",IF(ISNUMBER(SEARCH("Icici",W134&amp;"")),"ICICI",IF(ISNUMBER(SEARCH("Propelld",W134&amp;"")),"Propelld",IF(ISNUMBER(SEARCH("vidyalakshmi",LOWER(W134&amp;"")),"PM Vidyalakshmi","—"))))))))))</f>
        <v/>
      </c>
      <c r="U134">
        <f>IF(A134="","",TRIM('01_Master_Data'!AA134&amp;""))</f>
        <v/>
      </c>
      <c r="V134">
        <f>IF(A134="","",TRIM('01_Master_Data'!AG134&amp;""))</f>
        <v/>
      </c>
      <c r="W134">
        <f>IF(A134="","",TRIM('01_Master_Data'!AH134&amp;""))</f>
        <v/>
      </c>
      <c r="X134">
        <f>IF(A134="","",IF(OR(LOWER(H134)="refund",LOWER(U134)="refund case"),"Refund",IF(OR(LOWER(H134)="dnp",LOWER(U134)="dnp"),"DNP",IF(OR(LOWER(V134)="disbursed",ISNUMBER(SEARCH("Disbursed",W134&amp;""))),"Disbursed",IF(OR(LOWER(V134)="loan proccessed/accepted",ISNUMBER(SEARCH("sanctioned",LOWER(W134&amp;"")))),"Sanctioned",IF(OR(LOWER(V134)="rejected",ISNUMBER(SEARCH("Not eligbile",W134&amp;"")),ISNUMBER(SEARCH("Not eligible",W134&amp;""))),"Rejected",IF(ISNUMBER(SEARCH("Docs Pending",W134&amp;"")),"Documents Pending",IF(AND(LOWER(H134)="yes",LOWER(V134)="ongoing"),"Processing",IF(AND(LOWER(H134)="yes",Q134&gt;0,OR(V134="",LOWER(V134)="not even started")),"Vendor Assigned",IF(AND(LOWER(H134)="yes",LOWER(V134)="not even started"),"Need Loan",IF(LOWER(H134)="yes","Loan Started",IF(LOWER(H134)="not sure","Interested",IF(OR(LOWER(H134)="no",LOWER(V134)="not required"),"Not Required","Unclassified")))))))))))))</f>
        <v/>
      </c>
      <c r="Y134">
        <f>IF(A134="","",IF(OR(X134="Sanctioned",X134="Disbursed",X134="Approved"),"Approved",IF(X134="Rejected","Rejected",IF(OR(X134="Processing",X134="Documents Pending",X134="Vendor Assigned"),"In Progress",IF(X134="Need Loan","Pending Start","—"))))</f>
        <v/>
      </c>
      <c r="Z134">
        <f>IF(A134="","",IF(X134="Disbursed","Disbursed",IF(X134="Sanctioned","Sanctioned - Awaiting Disbursement","Not Disbursed")))</f>
        <v/>
      </c>
      <c r="AA134">
        <f>IF(A134="","",IF(LOWER(TRIM('01_Master_Data'!AI134&amp;""))="yes","Need FLDG",IF(LOWER(TRIM('01_Master_Data'!AK134&amp;""))="yes","Need Vidyalakshmi",IF(LOWER(TRIM('01_Master_Data'!AJ134&amp;""))="yes","Need Review",IF(LOWER(J134)="critical","Critical",IF(LOWER(U134)="risk","Risk Case",IF(X134="Refund","Refund","Normal")))))))</f>
        <v/>
      </c>
      <c r="AB134">
        <f>IF(A134="","",IF(OR(LOWER(J134)="critical",LOWER(TRIM('01_Master_Data'!AI134&amp;""))="yes",LOWER(TRIM('01_Master_Data'!AK134&amp;""))="yes",LOWER(U134)="risk"),"Yes","No"))</f>
        <v/>
      </c>
      <c r="AC134">
        <f>IF(A134="","",IF(LOWER(TRIM('01_Master_Data'!AI134&amp;""))="yes","Yes","No"))</f>
        <v/>
      </c>
      <c r="AD134">
        <f>IF(A134="","",IF(LOWER(TRIM('01_Master_Data'!AK134&amp;""))="yes","Yes","No"))</f>
        <v/>
      </c>
      <c r="AE134">
        <f>IF(A134="","",IF(LOWER(TRIM('01_Master_Data'!AJ134&amp;""))="yes","Yes","No"))</f>
        <v/>
      </c>
      <c r="AF134">
        <f>IF(A134="","",TRIM('01_Master_Data'!AL134&amp;""))</f>
        <v/>
      </c>
      <c r="AG134">
        <f>IF(A134="","",IF(AF134="","—",IF(ISNUMBER(SEARCH("DNP",AF134)),"Unreachable / DNP",IF(ISNUMBER(SEARCH("interest",LOWER(AF134))),"High Interest / Terms",IF(OR(ISNUMBER(SEARCH("eligib",LOWER(AF134))),ISNUMBER(SEARCH("income",LOWER(AF134)))),"Eligibility / Income",IF(OR(ISNUMBER(SEARCH("start",LOWER(AF134))),ISNUMBER(SEARCH("Newer",AF134)),ISNUMBER(SEARCH("Will start",AF134))),"Process Yet to Start",IF(ISNUMBER(SEARCH("sure",LOWER(AF134))),"Undecided",IF(OR(ISNUMBER(SEARCH("reject",LOWER(AF134))),ISNUMBER(SEARCH("SBI",AF134))),"Rejected Elsewhere",IF(ISNUMBER(SEARCH("call",LOWER(AF134))),"Bank Communication",IF(OR(ISNUMBER(SEARCH("father",LOWER(AF134))),ISNUMBER(SEARCH("sister",LOWER(AF134)))),"Family / Dependency","Other"))))))))))</f>
        <v/>
      </c>
      <c r="AH134">
        <f>IF(A134="","",'01_Master_Data'!AC134)</f>
        <v/>
      </c>
      <c r="AI134">
        <f>IF(A134="","",IF(OR(AH134="",NOT(ISNUMBER(AH134))),"",MAX(0,'02_Configuration'!$B$82-AH134)))</f>
        <v/>
      </c>
      <c r="AJ134">
        <f>IF(A134="","",IF(AI134="","Unknown",IF(AI134&lt;=3,"0–3 Days",IF(AI134&lt;=7,"4–7 Days",IF(AI134&lt;=15,"8–15 Days",IF(AI134&lt;=30,"16–30 Days","30+ Days"))))))</f>
        <v/>
      </c>
      <c r="AK134">
        <f>IF(A134="","",IF(LOWER(H134)="yes","Yes","No"))</f>
        <v/>
      </c>
      <c r="AL134">
        <f>IF(A134="","",'01_Master_Data'!T134)</f>
        <v/>
      </c>
      <c r="AM134">
        <f>IF(A134="","",'01_Master_Data'!S134)</f>
        <v/>
      </c>
      <c r="AN134">
        <f>IF(A134="","",'01_Master_Data'!I134)</f>
        <v/>
      </c>
      <c r="AO134">
        <f>IF(A134="","",'01_Master_Data'!M134)</f>
        <v/>
      </c>
      <c r="AP134">
        <f>IF(A134="","",IF(ISNUMBER(SEARCH("Icici",W134&amp;"")),1,0))</f>
        <v/>
      </c>
      <c r="AQ134">
        <f>IF(A134="","",IF(ISNUMBER(SEARCH("Propelld",W134&amp;"")),1,0))</f>
        <v/>
      </c>
      <c r="AR134">
        <f>IF(A134="","",IF(ISNUMBER(SEARCH("GyanDhan",W134&amp;"")),1,0))</f>
        <v/>
      </c>
      <c r="AS134">
        <f>IF(A134="","",IF(ISNUMBER(SEARCH("vidyalakshmi",LOWER(W134&amp;""))),1,0))</f>
        <v/>
      </c>
      <c r="AT134">
        <f>IF(A134="","",IF(ISNUMBER(SEARCH("other bank",LOWER(W134&amp;""))),1,0))</f>
        <v/>
      </c>
      <c r="AU134">
        <f>IF(A134="","",IF(ISNUMBER(SEARCH("sanctioned",LOWER(W134&amp;""))),1,0))</f>
        <v/>
      </c>
      <c r="AV134">
        <f>IF(A134="","",IF(ISNUMBER(SEARCH("Docs Pending",W134&amp;"")),1,0))</f>
        <v/>
      </c>
      <c r="AW134">
        <f>IF(A134="","",IF(OR(X134="Rejected",ISNUMBER(SEARCH("Not eligbile",W134&amp;""))),1,0))</f>
        <v/>
      </c>
    </row>
    <row r="135">
      <c r="A135">
        <f>IF('01_Master_Data'!B135="","",134)</f>
        <v/>
      </c>
      <c r="B135">
        <f>IF('01_Master_Data'!B135="","",IF('01_Master_Data'!C135&lt;&gt;"","MOB|"&amp;TEXT('01_Master_Data'!C135,"0"),IF('01_Master_Data'!D135&lt;&gt;"","PID|"&amp;TRIM('01_Master_Data'!D135&amp;""),"")))</f>
        <v/>
      </c>
      <c r="C135">
        <f>IF('01_Master_Data'!B135="","",'01_Master_Data'!B135)</f>
        <v/>
      </c>
      <c r="D135">
        <f>IF('01_Master_Data'!B135="","",'01_Master_Data'!C135)</f>
        <v/>
      </c>
      <c r="E135">
        <f>IF('01_Master_Data'!B135="","",'01_Master_Data'!D135)</f>
        <v/>
      </c>
      <c r="F135">
        <f>IF('01_Master_Data'!B135="","",'01_Master_Data'!E135)</f>
        <v/>
      </c>
      <c r="G135">
        <f>IF('01_Master_Data'!B135="","",IFERROR(VLOOKUP(TRIM('01_Master_Data'!E135&amp;""),'02_Configuration'!$A$40:$B$44,2,FALSE),UPPER(TRIM('01_Master_Data'!E135&amp;""))))</f>
        <v/>
      </c>
      <c r="H135">
        <f>IF('01_Master_Data'!B135="","",IF('01_Master_Data'!U135="","",TRIM('01_Master_Data'!U135&amp;"")))</f>
        <v/>
      </c>
      <c r="I135">
        <f>IF('01_Master_Data'!B135="","",TRIM('01_Master_Data'!F135&amp;""))</f>
        <v/>
      </c>
      <c r="J135">
        <f>IF('01_Master_Data'!B135="","",TRIM('01_Master_Data'!G135&amp;""))</f>
        <v/>
      </c>
      <c r="K135">
        <f>IF('01_Master_Data'!B135="","",'01_Master_Data'!H135)</f>
        <v/>
      </c>
      <c r="L135">
        <f>IF('01_Master_Data'!B135="","",IF(LOWER(TRIM('01_Master_Data'!V135&amp;""))="yes",1,0))</f>
        <v/>
      </c>
      <c r="M135">
        <f>IF('01_Master_Data'!B135="","",IF(LOWER(TRIM('01_Master_Data'!W135&amp;""))="yes",1,0))</f>
        <v/>
      </c>
      <c r="N135">
        <f>IF('01_Master_Data'!B135="","",IF(LOWER(TRIM('01_Master_Data'!X135&amp;""))="yes",1,0))</f>
        <v/>
      </c>
      <c r="O135">
        <f>IF('01_Master_Data'!B135="","",IF(LOWER(TRIM('01_Master_Data'!Y135&amp;""))="yes",1,0))</f>
        <v/>
      </c>
      <c r="P135">
        <f>IF('01_Master_Data'!B135="","",IF(LOWER(TRIM('01_Master_Data'!Z135&amp;""))="yes",1,0))</f>
        <v/>
      </c>
      <c r="Q135">
        <f>IF(A135="","",L135+M135+N135+O135+P135)</f>
        <v/>
      </c>
      <c r="R135">
        <f>IF(A135="","",IF(Q135&gt;1,"Yes","No"))</f>
        <v/>
      </c>
      <c r="S135">
        <f>IF(A135="","",TEXTJOIN(", ",TRUE,IF(L135=1,"ICICI",""),IF(M135=1,"Propelld",""),IF(N135=1,"Study4Buddy",""),IF(O135=1,"Poonawala Fincorp",""),IF(P135=1,"GyanDhan","")))</f>
        <v/>
      </c>
      <c r="T135">
        <f>IF(A135="","",IF(L135=1,"ICICI",IF(M135=1,"Propelld",IF(P135=1,"GyanDhan",IF(N135=1,"Study4Buddy",IF(O135=1,"Poonawala Fincorp",IF(ISNUMBER(SEARCH("GyanDhan",W135&amp;"")),"GyanDhan",IF(ISNUMBER(SEARCH("Icici",W135&amp;"")),"ICICI",IF(ISNUMBER(SEARCH("Propelld",W135&amp;"")),"Propelld",IF(ISNUMBER(SEARCH("vidyalakshmi",LOWER(W135&amp;"")),"PM Vidyalakshmi","—"))))))))))</f>
        <v/>
      </c>
      <c r="U135">
        <f>IF(A135="","",TRIM('01_Master_Data'!AA135&amp;""))</f>
        <v/>
      </c>
      <c r="V135">
        <f>IF(A135="","",TRIM('01_Master_Data'!AG135&amp;""))</f>
        <v/>
      </c>
      <c r="W135">
        <f>IF(A135="","",TRIM('01_Master_Data'!AH135&amp;""))</f>
        <v/>
      </c>
      <c r="X135">
        <f>IF(A135="","",IF(OR(LOWER(H135)="refund",LOWER(U135)="refund case"),"Refund",IF(OR(LOWER(H135)="dnp",LOWER(U135)="dnp"),"DNP",IF(OR(LOWER(V135)="disbursed",ISNUMBER(SEARCH("Disbursed",W135&amp;""))),"Disbursed",IF(OR(LOWER(V135)="loan proccessed/accepted",ISNUMBER(SEARCH("sanctioned",LOWER(W135&amp;"")))),"Sanctioned",IF(OR(LOWER(V135)="rejected",ISNUMBER(SEARCH("Not eligbile",W135&amp;"")),ISNUMBER(SEARCH("Not eligible",W135&amp;""))),"Rejected",IF(ISNUMBER(SEARCH("Docs Pending",W135&amp;"")),"Documents Pending",IF(AND(LOWER(H135)="yes",LOWER(V135)="ongoing"),"Processing",IF(AND(LOWER(H135)="yes",Q135&gt;0,OR(V135="",LOWER(V135)="not even started")),"Vendor Assigned",IF(AND(LOWER(H135)="yes",LOWER(V135)="not even started"),"Need Loan",IF(LOWER(H135)="yes","Loan Started",IF(LOWER(H135)="not sure","Interested",IF(OR(LOWER(H135)="no",LOWER(V135)="not required"),"Not Required","Unclassified")))))))))))))</f>
        <v/>
      </c>
      <c r="Y135">
        <f>IF(A135="","",IF(OR(X135="Sanctioned",X135="Disbursed",X135="Approved"),"Approved",IF(X135="Rejected","Rejected",IF(OR(X135="Processing",X135="Documents Pending",X135="Vendor Assigned"),"In Progress",IF(X135="Need Loan","Pending Start","—"))))</f>
        <v/>
      </c>
      <c r="Z135">
        <f>IF(A135="","",IF(X135="Disbursed","Disbursed",IF(X135="Sanctioned","Sanctioned - Awaiting Disbursement","Not Disbursed")))</f>
        <v/>
      </c>
      <c r="AA135">
        <f>IF(A135="","",IF(LOWER(TRIM('01_Master_Data'!AI135&amp;""))="yes","Need FLDG",IF(LOWER(TRIM('01_Master_Data'!AK135&amp;""))="yes","Need Vidyalakshmi",IF(LOWER(TRIM('01_Master_Data'!AJ135&amp;""))="yes","Need Review",IF(LOWER(J135)="critical","Critical",IF(LOWER(U135)="risk","Risk Case",IF(X135="Refund","Refund","Normal")))))))</f>
        <v/>
      </c>
      <c r="AB135">
        <f>IF(A135="","",IF(OR(LOWER(J135)="critical",LOWER(TRIM('01_Master_Data'!AI135&amp;""))="yes",LOWER(TRIM('01_Master_Data'!AK135&amp;""))="yes",LOWER(U135)="risk"),"Yes","No"))</f>
        <v/>
      </c>
      <c r="AC135">
        <f>IF(A135="","",IF(LOWER(TRIM('01_Master_Data'!AI135&amp;""))="yes","Yes","No"))</f>
        <v/>
      </c>
      <c r="AD135">
        <f>IF(A135="","",IF(LOWER(TRIM('01_Master_Data'!AK135&amp;""))="yes","Yes","No"))</f>
        <v/>
      </c>
      <c r="AE135">
        <f>IF(A135="","",IF(LOWER(TRIM('01_Master_Data'!AJ135&amp;""))="yes","Yes","No"))</f>
        <v/>
      </c>
      <c r="AF135">
        <f>IF(A135="","",TRIM('01_Master_Data'!AL135&amp;""))</f>
        <v/>
      </c>
      <c r="AG135">
        <f>IF(A135="","",IF(AF135="","—",IF(ISNUMBER(SEARCH("DNP",AF135)),"Unreachable / DNP",IF(ISNUMBER(SEARCH("interest",LOWER(AF135))),"High Interest / Terms",IF(OR(ISNUMBER(SEARCH("eligib",LOWER(AF135))),ISNUMBER(SEARCH("income",LOWER(AF135)))),"Eligibility / Income",IF(OR(ISNUMBER(SEARCH("start",LOWER(AF135))),ISNUMBER(SEARCH("Newer",AF135)),ISNUMBER(SEARCH("Will start",AF135))),"Process Yet to Start",IF(ISNUMBER(SEARCH("sure",LOWER(AF135))),"Undecided",IF(OR(ISNUMBER(SEARCH("reject",LOWER(AF135))),ISNUMBER(SEARCH("SBI",AF135))),"Rejected Elsewhere",IF(ISNUMBER(SEARCH("call",LOWER(AF135))),"Bank Communication",IF(OR(ISNUMBER(SEARCH("father",LOWER(AF135))),ISNUMBER(SEARCH("sister",LOWER(AF135)))),"Family / Dependency","Other"))))))))))</f>
        <v/>
      </c>
      <c r="AH135">
        <f>IF(A135="","",'01_Master_Data'!AC135)</f>
        <v/>
      </c>
      <c r="AI135">
        <f>IF(A135="","",IF(OR(AH135="",NOT(ISNUMBER(AH135))),"",MAX(0,'02_Configuration'!$B$82-AH135)))</f>
        <v/>
      </c>
      <c r="AJ135">
        <f>IF(A135="","",IF(AI135="","Unknown",IF(AI135&lt;=3,"0–3 Days",IF(AI135&lt;=7,"4–7 Days",IF(AI135&lt;=15,"8–15 Days",IF(AI135&lt;=30,"16–30 Days","30+ Days"))))))</f>
        <v/>
      </c>
      <c r="AK135">
        <f>IF(A135="","",IF(LOWER(H135)="yes","Yes","No"))</f>
        <v/>
      </c>
      <c r="AL135">
        <f>IF(A135="","",'01_Master_Data'!T135)</f>
        <v/>
      </c>
      <c r="AM135">
        <f>IF(A135="","",'01_Master_Data'!S135)</f>
        <v/>
      </c>
      <c r="AN135">
        <f>IF(A135="","",'01_Master_Data'!I135)</f>
        <v/>
      </c>
      <c r="AO135">
        <f>IF(A135="","",'01_Master_Data'!M135)</f>
        <v/>
      </c>
      <c r="AP135">
        <f>IF(A135="","",IF(ISNUMBER(SEARCH("Icici",W135&amp;"")),1,0))</f>
        <v/>
      </c>
      <c r="AQ135">
        <f>IF(A135="","",IF(ISNUMBER(SEARCH("Propelld",W135&amp;"")),1,0))</f>
        <v/>
      </c>
      <c r="AR135">
        <f>IF(A135="","",IF(ISNUMBER(SEARCH("GyanDhan",W135&amp;"")),1,0))</f>
        <v/>
      </c>
      <c r="AS135">
        <f>IF(A135="","",IF(ISNUMBER(SEARCH("vidyalakshmi",LOWER(W135&amp;""))),1,0))</f>
        <v/>
      </c>
      <c r="AT135">
        <f>IF(A135="","",IF(ISNUMBER(SEARCH("other bank",LOWER(W135&amp;""))),1,0))</f>
        <v/>
      </c>
      <c r="AU135">
        <f>IF(A135="","",IF(ISNUMBER(SEARCH("sanctioned",LOWER(W135&amp;""))),1,0))</f>
        <v/>
      </c>
      <c r="AV135">
        <f>IF(A135="","",IF(ISNUMBER(SEARCH("Docs Pending",W135&amp;"")),1,0))</f>
        <v/>
      </c>
      <c r="AW135">
        <f>IF(A135="","",IF(OR(X135="Rejected",ISNUMBER(SEARCH("Not eligbile",W135&amp;""))),1,0))</f>
        <v/>
      </c>
    </row>
    <row r="136">
      <c r="A136">
        <f>IF('01_Master_Data'!B136="","",135)</f>
        <v/>
      </c>
      <c r="B136">
        <f>IF('01_Master_Data'!B136="","",IF('01_Master_Data'!C136&lt;&gt;"","MOB|"&amp;TEXT('01_Master_Data'!C136,"0"),IF('01_Master_Data'!D136&lt;&gt;"","PID|"&amp;TRIM('01_Master_Data'!D136&amp;""),"")))</f>
        <v/>
      </c>
      <c r="C136">
        <f>IF('01_Master_Data'!B136="","",'01_Master_Data'!B136)</f>
        <v/>
      </c>
      <c r="D136">
        <f>IF('01_Master_Data'!B136="","",'01_Master_Data'!C136)</f>
        <v/>
      </c>
      <c r="E136">
        <f>IF('01_Master_Data'!B136="","",'01_Master_Data'!D136)</f>
        <v/>
      </c>
      <c r="F136">
        <f>IF('01_Master_Data'!B136="","",'01_Master_Data'!E136)</f>
        <v/>
      </c>
      <c r="G136">
        <f>IF('01_Master_Data'!B136="","",IFERROR(VLOOKUP(TRIM('01_Master_Data'!E136&amp;""),'02_Configuration'!$A$40:$B$44,2,FALSE),UPPER(TRIM('01_Master_Data'!E136&amp;""))))</f>
        <v/>
      </c>
      <c r="H136">
        <f>IF('01_Master_Data'!B136="","",IF('01_Master_Data'!U136="","",TRIM('01_Master_Data'!U136&amp;"")))</f>
        <v/>
      </c>
      <c r="I136">
        <f>IF('01_Master_Data'!B136="","",TRIM('01_Master_Data'!F136&amp;""))</f>
        <v/>
      </c>
      <c r="J136">
        <f>IF('01_Master_Data'!B136="","",TRIM('01_Master_Data'!G136&amp;""))</f>
        <v/>
      </c>
      <c r="K136">
        <f>IF('01_Master_Data'!B136="","",'01_Master_Data'!H136)</f>
        <v/>
      </c>
      <c r="L136">
        <f>IF('01_Master_Data'!B136="","",IF(LOWER(TRIM('01_Master_Data'!V136&amp;""))="yes",1,0))</f>
        <v/>
      </c>
      <c r="M136">
        <f>IF('01_Master_Data'!B136="","",IF(LOWER(TRIM('01_Master_Data'!W136&amp;""))="yes",1,0))</f>
        <v/>
      </c>
      <c r="N136">
        <f>IF('01_Master_Data'!B136="","",IF(LOWER(TRIM('01_Master_Data'!X136&amp;""))="yes",1,0))</f>
        <v/>
      </c>
      <c r="O136">
        <f>IF('01_Master_Data'!B136="","",IF(LOWER(TRIM('01_Master_Data'!Y136&amp;""))="yes",1,0))</f>
        <v/>
      </c>
      <c r="P136">
        <f>IF('01_Master_Data'!B136="","",IF(LOWER(TRIM('01_Master_Data'!Z136&amp;""))="yes",1,0))</f>
        <v/>
      </c>
      <c r="Q136">
        <f>IF(A136="","",L136+M136+N136+O136+P136)</f>
        <v/>
      </c>
      <c r="R136">
        <f>IF(A136="","",IF(Q136&gt;1,"Yes","No"))</f>
        <v/>
      </c>
      <c r="S136">
        <f>IF(A136="","",TEXTJOIN(", ",TRUE,IF(L136=1,"ICICI",""),IF(M136=1,"Propelld",""),IF(N136=1,"Study4Buddy",""),IF(O136=1,"Poonawala Fincorp",""),IF(P136=1,"GyanDhan","")))</f>
        <v/>
      </c>
      <c r="T136">
        <f>IF(A136="","",IF(L136=1,"ICICI",IF(M136=1,"Propelld",IF(P136=1,"GyanDhan",IF(N136=1,"Study4Buddy",IF(O136=1,"Poonawala Fincorp",IF(ISNUMBER(SEARCH("GyanDhan",W136&amp;"")),"GyanDhan",IF(ISNUMBER(SEARCH("Icici",W136&amp;"")),"ICICI",IF(ISNUMBER(SEARCH("Propelld",W136&amp;"")),"Propelld",IF(ISNUMBER(SEARCH("vidyalakshmi",LOWER(W136&amp;"")),"PM Vidyalakshmi","—"))))))))))</f>
        <v/>
      </c>
      <c r="U136">
        <f>IF(A136="","",TRIM('01_Master_Data'!AA136&amp;""))</f>
        <v/>
      </c>
      <c r="V136">
        <f>IF(A136="","",TRIM('01_Master_Data'!AG136&amp;""))</f>
        <v/>
      </c>
      <c r="W136">
        <f>IF(A136="","",TRIM('01_Master_Data'!AH136&amp;""))</f>
        <v/>
      </c>
      <c r="X136">
        <f>IF(A136="","",IF(OR(LOWER(H136)="refund",LOWER(U136)="refund case"),"Refund",IF(OR(LOWER(H136)="dnp",LOWER(U136)="dnp"),"DNP",IF(OR(LOWER(V136)="disbursed",ISNUMBER(SEARCH("Disbursed",W136&amp;""))),"Disbursed",IF(OR(LOWER(V136)="loan proccessed/accepted",ISNUMBER(SEARCH("sanctioned",LOWER(W136&amp;"")))),"Sanctioned",IF(OR(LOWER(V136)="rejected",ISNUMBER(SEARCH("Not eligbile",W136&amp;"")),ISNUMBER(SEARCH("Not eligible",W136&amp;""))),"Rejected",IF(ISNUMBER(SEARCH("Docs Pending",W136&amp;"")),"Documents Pending",IF(AND(LOWER(H136)="yes",LOWER(V136)="ongoing"),"Processing",IF(AND(LOWER(H136)="yes",Q136&gt;0,OR(V136="",LOWER(V136)="not even started")),"Vendor Assigned",IF(AND(LOWER(H136)="yes",LOWER(V136)="not even started"),"Need Loan",IF(LOWER(H136)="yes","Loan Started",IF(LOWER(H136)="not sure","Interested",IF(OR(LOWER(H136)="no",LOWER(V136)="not required"),"Not Required","Unclassified")))))))))))))</f>
        <v/>
      </c>
      <c r="Y136">
        <f>IF(A136="","",IF(OR(X136="Sanctioned",X136="Disbursed",X136="Approved"),"Approved",IF(X136="Rejected","Rejected",IF(OR(X136="Processing",X136="Documents Pending",X136="Vendor Assigned"),"In Progress",IF(X136="Need Loan","Pending Start","—"))))</f>
        <v/>
      </c>
      <c r="Z136">
        <f>IF(A136="","",IF(X136="Disbursed","Disbursed",IF(X136="Sanctioned","Sanctioned - Awaiting Disbursement","Not Disbursed")))</f>
        <v/>
      </c>
      <c r="AA136">
        <f>IF(A136="","",IF(LOWER(TRIM('01_Master_Data'!AI136&amp;""))="yes","Need FLDG",IF(LOWER(TRIM('01_Master_Data'!AK136&amp;""))="yes","Need Vidyalakshmi",IF(LOWER(TRIM('01_Master_Data'!AJ136&amp;""))="yes","Need Review",IF(LOWER(J136)="critical","Critical",IF(LOWER(U136)="risk","Risk Case",IF(X136="Refund","Refund","Normal")))))))</f>
        <v/>
      </c>
      <c r="AB136">
        <f>IF(A136="","",IF(OR(LOWER(J136)="critical",LOWER(TRIM('01_Master_Data'!AI136&amp;""))="yes",LOWER(TRIM('01_Master_Data'!AK136&amp;""))="yes",LOWER(U136)="risk"),"Yes","No"))</f>
        <v/>
      </c>
      <c r="AC136">
        <f>IF(A136="","",IF(LOWER(TRIM('01_Master_Data'!AI136&amp;""))="yes","Yes","No"))</f>
        <v/>
      </c>
      <c r="AD136">
        <f>IF(A136="","",IF(LOWER(TRIM('01_Master_Data'!AK136&amp;""))="yes","Yes","No"))</f>
        <v/>
      </c>
      <c r="AE136">
        <f>IF(A136="","",IF(LOWER(TRIM('01_Master_Data'!AJ136&amp;""))="yes","Yes","No"))</f>
        <v/>
      </c>
      <c r="AF136">
        <f>IF(A136="","",TRIM('01_Master_Data'!AL136&amp;""))</f>
        <v/>
      </c>
      <c r="AG136">
        <f>IF(A136="","",IF(AF136="","—",IF(ISNUMBER(SEARCH("DNP",AF136)),"Unreachable / DNP",IF(ISNUMBER(SEARCH("interest",LOWER(AF136))),"High Interest / Terms",IF(OR(ISNUMBER(SEARCH("eligib",LOWER(AF136))),ISNUMBER(SEARCH("income",LOWER(AF136)))),"Eligibility / Income",IF(OR(ISNUMBER(SEARCH("start",LOWER(AF136))),ISNUMBER(SEARCH("Newer",AF136)),ISNUMBER(SEARCH("Will start",AF136))),"Process Yet to Start",IF(ISNUMBER(SEARCH("sure",LOWER(AF136))),"Undecided",IF(OR(ISNUMBER(SEARCH("reject",LOWER(AF136))),ISNUMBER(SEARCH("SBI",AF136))),"Rejected Elsewhere",IF(ISNUMBER(SEARCH("call",LOWER(AF136))),"Bank Communication",IF(OR(ISNUMBER(SEARCH("father",LOWER(AF136))),ISNUMBER(SEARCH("sister",LOWER(AF136)))),"Family / Dependency","Other"))))))))))</f>
        <v/>
      </c>
      <c r="AH136">
        <f>IF(A136="","",'01_Master_Data'!AC136)</f>
        <v/>
      </c>
      <c r="AI136">
        <f>IF(A136="","",IF(OR(AH136="",NOT(ISNUMBER(AH136))),"",MAX(0,'02_Configuration'!$B$82-AH136)))</f>
        <v/>
      </c>
      <c r="AJ136">
        <f>IF(A136="","",IF(AI136="","Unknown",IF(AI136&lt;=3,"0–3 Days",IF(AI136&lt;=7,"4–7 Days",IF(AI136&lt;=15,"8–15 Days",IF(AI136&lt;=30,"16–30 Days","30+ Days"))))))</f>
        <v/>
      </c>
      <c r="AK136">
        <f>IF(A136="","",IF(LOWER(H136)="yes","Yes","No"))</f>
        <v/>
      </c>
      <c r="AL136">
        <f>IF(A136="","",'01_Master_Data'!T136)</f>
        <v/>
      </c>
      <c r="AM136">
        <f>IF(A136="","",'01_Master_Data'!S136)</f>
        <v/>
      </c>
      <c r="AN136">
        <f>IF(A136="","",'01_Master_Data'!I136)</f>
        <v/>
      </c>
      <c r="AO136">
        <f>IF(A136="","",'01_Master_Data'!M136)</f>
        <v/>
      </c>
      <c r="AP136">
        <f>IF(A136="","",IF(ISNUMBER(SEARCH("Icici",W136&amp;"")),1,0))</f>
        <v/>
      </c>
      <c r="AQ136">
        <f>IF(A136="","",IF(ISNUMBER(SEARCH("Propelld",W136&amp;"")),1,0))</f>
        <v/>
      </c>
      <c r="AR136">
        <f>IF(A136="","",IF(ISNUMBER(SEARCH("GyanDhan",W136&amp;"")),1,0))</f>
        <v/>
      </c>
      <c r="AS136">
        <f>IF(A136="","",IF(ISNUMBER(SEARCH("vidyalakshmi",LOWER(W136&amp;""))),1,0))</f>
        <v/>
      </c>
      <c r="AT136">
        <f>IF(A136="","",IF(ISNUMBER(SEARCH("other bank",LOWER(W136&amp;""))),1,0))</f>
        <v/>
      </c>
      <c r="AU136">
        <f>IF(A136="","",IF(ISNUMBER(SEARCH("sanctioned",LOWER(W136&amp;""))),1,0))</f>
        <v/>
      </c>
      <c r="AV136">
        <f>IF(A136="","",IF(ISNUMBER(SEARCH("Docs Pending",W136&amp;"")),1,0))</f>
        <v/>
      </c>
      <c r="AW136">
        <f>IF(A136="","",IF(OR(X136="Rejected",ISNUMBER(SEARCH("Not eligbile",W136&amp;""))),1,0))</f>
        <v/>
      </c>
    </row>
    <row r="137">
      <c r="A137">
        <f>IF('01_Master_Data'!B137="","",136)</f>
        <v/>
      </c>
      <c r="B137">
        <f>IF('01_Master_Data'!B137="","",IF('01_Master_Data'!C137&lt;&gt;"","MOB|"&amp;TEXT('01_Master_Data'!C137,"0"),IF('01_Master_Data'!D137&lt;&gt;"","PID|"&amp;TRIM('01_Master_Data'!D137&amp;""),"")))</f>
        <v/>
      </c>
      <c r="C137">
        <f>IF('01_Master_Data'!B137="","",'01_Master_Data'!B137)</f>
        <v/>
      </c>
      <c r="D137">
        <f>IF('01_Master_Data'!B137="","",'01_Master_Data'!C137)</f>
        <v/>
      </c>
      <c r="E137">
        <f>IF('01_Master_Data'!B137="","",'01_Master_Data'!D137)</f>
        <v/>
      </c>
      <c r="F137">
        <f>IF('01_Master_Data'!B137="","",'01_Master_Data'!E137)</f>
        <v/>
      </c>
      <c r="G137">
        <f>IF('01_Master_Data'!B137="","",IFERROR(VLOOKUP(TRIM('01_Master_Data'!E137&amp;""),'02_Configuration'!$A$40:$B$44,2,FALSE),UPPER(TRIM('01_Master_Data'!E137&amp;""))))</f>
        <v/>
      </c>
      <c r="H137">
        <f>IF('01_Master_Data'!B137="","",IF('01_Master_Data'!U137="","",TRIM('01_Master_Data'!U137&amp;"")))</f>
        <v/>
      </c>
      <c r="I137">
        <f>IF('01_Master_Data'!B137="","",TRIM('01_Master_Data'!F137&amp;""))</f>
        <v/>
      </c>
      <c r="J137">
        <f>IF('01_Master_Data'!B137="","",TRIM('01_Master_Data'!G137&amp;""))</f>
        <v/>
      </c>
      <c r="K137">
        <f>IF('01_Master_Data'!B137="","",'01_Master_Data'!H137)</f>
        <v/>
      </c>
      <c r="L137">
        <f>IF('01_Master_Data'!B137="","",IF(LOWER(TRIM('01_Master_Data'!V137&amp;""))="yes",1,0))</f>
        <v/>
      </c>
      <c r="M137">
        <f>IF('01_Master_Data'!B137="","",IF(LOWER(TRIM('01_Master_Data'!W137&amp;""))="yes",1,0))</f>
        <v/>
      </c>
      <c r="N137">
        <f>IF('01_Master_Data'!B137="","",IF(LOWER(TRIM('01_Master_Data'!X137&amp;""))="yes",1,0))</f>
        <v/>
      </c>
      <c r="O137">
        <f>IF('01_Master_Data'!B137="","",IF(LOWER(TRIM('01_Master_Data'!Y137&amp;""))="yes",1,0))</f>
        <v/>
      </c>
      <c r="P137">
        <f>IF('01_Master_Data'!B137="","",IF(LOWER(TRIM('01_Master_Data'!Z137&amp;""))="yes",1,0))</f>
        <v/>
      </c>
      <c r="Q137">
        <f>IF(A137="","",L137+M137+N137+O137+P137)</f>
        <v/>
      </c>
      <c r="R137">
        <f>IF(A137="","",IF(Q137&gt;1,"Yes","No"))</f>
        <v/>
      </c>
      <c r="S137">
        <f>IF(A137="","",TEXTJOIN(", ",TRUE,IF(L137=1,"ICICI",""),IF(M137=1,"Propelld",""),IF(N137=1,"Study4Buddy",""),IF(O137=1,"Poonawala Fincorp",""),IF(P137=1,"GyanDhan","")))</f>
        <v/>
      </c>
      <c r="T137">
        <f>IF(A137="","",IF(L137=1,"ICICI",IF(M137=1,"Propelld",IF(P137=1,"GyanDhan",IF(N137=1,"Study4Buddy",IF(O137=1,"Poonawala Fincorp",IF(ISNUMBER(SEARCH("GyanDhan",W137&amp;"")),"GyanDhan",IF(ISNUMBER(SEARCH("Icici",W137&amp;"")),"ICICI",IF(ISNUMBER(SEARCH("Propelld",W137&amp;"")),"Propelld",IF(ISNUMBER(SEARCH("vidyalakshmi",LOWER(W137&amp;"")),"PM Vidyalakshmi","—"))))))))))</f>
        <v/>
      </c>
      <c r="U137">
        <f>IF(A137="","",TRIM('01_Master_Data'!AA137&amp;""))</f>
        <v/>
      </c>
      <c r="V137">
        <f>IF(A137="","",TRIM('01_Master_Data'!AG137&amp;""))</f>
        <v/>
      </c>
      <c r="W137">
        <f>IF(A137="","",TRIM('01_Master_Data'!AH137&amp;""))</f>
        <v/>
      </c>
      <c r="X137">
        <f>IF(A137="","",IF(OR(LOWER(H137)="refund",LOWER(U137)="refund case"),"Refund",IF(OR(LOWER(H137)="dnp",LOWER(U137)="dnp"),"DNP",IF(OR(LOWER(V137)="disbursed",ISNUMBER(SEARCH("Disbursed",W137&amp;""))),"Disbursed",IF(OR(LOWER(V137)="loan proccessed/accepted",ISNUMBER(SEARCH("sanctioned",LOWER(W137&amp;"")))),"Sanctioned",IF(OR(LOWER(V137)="rejected",ISNUMBER(SEARCH("Not eligbile",W137&amp;"")),ISNUMBER(SEARCH("Not eligible",W137&amp;""))),"Rejected",IF(ISNUMBER(SEARCH("Docs Pending",W137&amp;"")),"Documents Pending",IF(AND(LOWER(H137)="yes",LOWER(V137)="ongoing"),"Processing",IF(AND(LOWER(H137)="yes",Q137&gt;0,OR(V137="",LOWER(V137)="not even started")),"Vendor Assigned",IF(AND(LOWER(H137)="yes",LOWER(V137)="not even started"),"Need Loan",IF(LOWER(H137)="yes","Loan Started",IF(LOWER(H137)="not sure","Interested",IF(OR(LOWER(H137)="no",LOWER(V137)="not required"),"Not Required","Unclassified")))))))))))))</f>
        <v/>
      </c>
      <c r="Y137">
        <f>IF(A137="","",IF(OR(X137="Sanctioned",X137="Disbursed",X137="Approved"),"Approved",IF(X137="Rejected","Rejected",IF(OR(X137="Processing",X137="Documents Pending",X137="Vendor Assigned"),"In Progress",IF(X137="Need Loan","Pending Start","—"))))</f>
        <v/>
      </c>
      <c r="Z137">
        <f>IF(A137="","",IF(X137="Disbursed","Disbursed",IF(X137="Sanctioned","Sanctioned - Awaiting Disbursement","Not Disbursed")))</f>
        <v/>
      </c>
      <c r="AA137">
        <f>IF(A137="","",IF(LOWER(TRIM('01_Master_Data'!AI137&amp;""))="yes","Need FLDG",IF(LOWER(TRIM('01_Master_Data'!AK137&amp;""))="yes","Need Vidyalakshmi",IF(LOWER(TRIM('01_Master_Data'!AJ137&amp;""))="yes","Need Review",IF(LOWER(J137)="critical","Critical",IF(LOWER(U137)="risk","Risk Case",IF(X137="Refund","Refund","Normal")))))))</f>
        <v/>
      </c>
      <c r="AB137">
        <f>IF(A137="","",IF(OR(LOWER(J137)="critical",LOWER(TRIM('01_Master_Data'!AI137&amp;""))="yes",LOWER(TRIM('01_Master_Data'!AK137&amp;""))="yes",LOWER(U137)="risk"),"Yes","No"))</f>
        <v/>
      </c>
      <c r="AC137">
        <f>IF(A137="","",IF(LOWER(TRIM('01_Master_Data'!AI137&amp;""))="yes","Yes","No"))</f>
        <v/>
      </c>
      <c r="AD137">
        <f>IF(A137="","",IF(LOWER(TRIM('01_Master_Data'!AK137&amp;""))="yes","Yes","No"))</f>
        <v/>
      </c>
      <c r="AE137">
        <f>IF(A137="","",IF(LOWER(TRIM('01_Master_Data'!AJ137&amp;""))="yes","Yes","No"))</f>
        <v/>
      </c>
      <c r="AF137">
        <f>IF(A137="","",TRIM('01_Master_Data'!AL137&amp;""))</f>
        <v/>
      </c>
      <c r="AG137">
        <f>IF(A137="","",IF(AF137="","—",IF(ISNUMBER(SEARCH("DNP",AF137)),"Unreachable / DNP",IF(ISNUMBER(SEARCH("interest",LOWER(AF137))),"High Interest / Terms",IF(OR(ISNUMBER(SEARCH("eligib",LOWER(AF137))),ISNUMBER(SEARCH("income",LOWER(AF137)))),"Eligibility / Income",IF(OR(ISNUMBER(SEARCH("start",LOWER(AF137))),ISNUMBER(SEARCH("Newer",AF137)),ISNUMBER(SEARCH("Will start",AF137))),"Process Yet to Start",IF(ISNUMBER(SEARCH("sure",LOWER(AF137))),"Undecided",IF(OR(ISNUMBER(SEARCH("reject",LOWER(AF137))),ISNUMBER(SEARCH("SBI",AF137))),"Rejected Elsewhere",IF(ISNUMBER(SEARCH("call",LOWER(AF137))),"Bank Communication",IF(OR(ISNUMBER(SEARCH("father",LOWER(AF137))),ISNUMBER(SEARCH("sister",LOWER(AF137)))),"Family / Dependency","Other"))))))))))</f>
        <v/>
      </c>
      <c r="AH137">
        <f>IF(A137="","",'01_Master_Data'!AC137)</f>
        <v/>
      </c>
      <c r="AI137">
        <f>IF(A137="","",IF(OR(AH137="",NOT(ISNUMBER(AH137))),"",MAX(0,'02_Configuration'!$B$82-AH137)))</f>
        <v/>
      </c>
      <c r="AJ137">
        <f>IF(A137="","",IF(AI137="","Unknown",IF(AI137&lt;=3,"0–3 Days",IF(AI137&lt;=7,"4–7 Days",IF(AI137&lt;=15,"8–15 Days",IF(AI137&lt;=30,"16–30 Days","30+ Days"))))))</f>
        <v/>
      </c>
      <c r="AK137">
        <f>IF(A137="","",IF(LOWER(H137)="yes","Yes","No"))</f>
        <v/>
      </c>
      <c r="AL137">
        <f>IF(A137="","",'01_Master_Data'!T137)</f>
        <v/>
      </c>
      <c r="AM137">
        <f>IF(A137="","",'01_Master_Data'!S137)</f>
        <v/>
      </c>
      <c r="AN137">
        <f>IF(A137="","",'01_Master_Data'!I137)</f>
        <v/>
      </c>
      <c r="AO137">
        <f>IF(A137="","",'01_Master_Data'!M137)</f>
        <v/>
      </c>
      <c r="AP137">
        <f>IF(A137="","",IF(ISNUMBER(SEARCH("Icici",W137&amp;"")),1,0))</f>
        <v/>
      </c>
      <c r="AQ137">
        <f>IF(A137="","",IF(ISNUMBER(SEARCH("Propelld",W137&amp;"")),1,0))</f>
        <v/>
      </c>
      <c r="AR137">
        <f>IF(A137="","",IF(ISNUMBER(SEARCH("GyanDhan",W137&amp;"")),1,0))</f>
        <v/>
      </c>
      <c r="AS137">
        <f>IF(A137="","",IF(ISNUMBER(SEARCH("vidyalakshmi",LOWER(W137&amp;""))),1,0))</f>
        <v/>
      </c>
      <c r="AT137">
        <f>IF(A137="","",IF(ISNUMBER(SEARCH("other bank",LOWER(W137&amp;""))),1,0))</f>
        <v/>
      </c>
      <c r="AU137">
        <f>IF(A137="","",IF(ISNUMBER(SEARCH("sanctioned",LOWER(W137&amp;""))),1,0))</f>
        <v/>
      </c>
      <c r="AV137">
        <f>IF(A137="","",IF(ISNUMBER(SEARCH("Docs Pending",W137&amp;"")),1,0))</f>
        <v/>
      </c>
      <c r="AW137">
        <f>IF(A137="","",IF(OR(X137="Rejected",ISNUMBER(SEARCH("Not eligbile",W137&amp;""))),1,0))</f>
        <v/>
      </c>
    </row>
    <row r="138">
      <c r="A138">
        <f>IF('01_Master_Data'!B138="","",137)</f>
        <v/>
      </c>
      <c r="B138">
        <f>IF('01_Master_Data'!B138="","",IF('01_Master_Data'!C138&lt;&gt;"","MOB|"&amp;TEXT('01_Master_Data'!C138,"0"),IF('01_Master_Data'!D138&lt;&gt;"","PID|"&amp;TRIM('01_Master_Data'!D138&amp;""),"")))</f>
        <v/>
      </c>
      <c r="C138">
        <f>IF('01_Master_Data'!B138="","",'01_Master_Data'!B138)</f>
        <v/>
      </c>
      <c r="D138">
        <f>IF('01_Master_Data'!B138="","",'01_Master_Data'!C138)</f>
        <v/>
      </c>
      <c r="E138">
        <f>IF('01_Master_Data'!B138="","",'01_Master_Data'!D138)</f>
        <v/>
      </c>
      <c r="F138">
        <f>IF('01_Master_Data'!B138="","",'01_Master_Data'!E138)</f>
        <v/>
      </c>
      <c r="G138">
        <f>IF('01_Master_Data'!B138="","",IFERROR(VLOOKUP(TRIM('01_Master_Data'!E138&amp;""),'02_Configuration'!$A$40:$B$44,2,FALSE),UPPER(TRIM('01_Master_Data'!E138&amp;""))))</f>
        <v/>
      </c>
      <c r="H138">
        <f>IF('01_Master_Data'!B138="","",IF('01_Master_Data'!U138="","",TRIM('01_Master_Data'!U138&amp;"")))</f>
        <v/>
      </c>
      <c r="I138">
        <f>IF('01_Master_Data'!B138="","",TRIM('01_Master_Data'!F138&amp;""))</f>
        <v/>
      </c>
      <c r="J138">
        <f>IF('01_Master_Data'!B138="","",TRIM('01_Master_Data'!G138&amp;""))</f>
        <v/>
      </c>
      <c r="K138">
        <f>IF('01_Master_Data'!B138="","",'01_Master_Data'!H138)</f>
        <v/>
      </c>
      <c r="L138">
        <f>IF('01_Master_Data'!B138="","",IF(LOWER(TRIM('01_Master_Data'!V138&amp;""))="yes",1,0))</f>
        <v/>
      </c>
      <c r="M138">
        <f>IF('01_Master_Data'!B138="","",IF(LOWER(TRIM('01_Master_Data'!W138&amp;""))="yes",1,0))</f>
        <v/>
      </c>
      <c r="N138">
        <f>IF('01_Master_Data'!B138="","",IF(LOWER(TRIM('01_Master_Data'!X138&amp;""))="yes",1,0))</f>
        <v/>
      </c>
      <c r="O138">
        <f>IF('01_Master_Data'!B138="","",IF(LOWER(TRIM('01_Master_Data'!Y138&amp;""))="yes",1,0))</f>
        <v/>
      </c>
      <c r="P138">
        <f>IF('01_Master_Data'!B138="","",IF(LOWER(TRIM('01_Master_Data'!Z138&amp;""))="yes",1,0))</f>
        <v/>
      </c>
      <c r="Q138">
        <f>IF(A138="","",L138+M138+N138+O138+P138)</f>
        <v/>
      </c>
      <c r="R138">
        <f>IF(A138="","",IF(Q138&gt;1,"Yes","No"))</f>
        <v/>
      </c>
      <c r="S138">
        <f>IF(A138="","",TEXTJOIN(", ",TRUE,IF(L138=1,"ICICI",""),IF(M138=1,"Propelld",""),IF(N138=1,"Study4Buddy",""),IF(O138=1,"Poonawala Fincorp",""),IF(P138=1,"GyanDhan","")))</f>
        <v/>
      </c>
      <c r="T138">
        <f>IF(A138="","",IF(L138=1,"ICICI",IF(M138=1,"Propelld",IF(P138=1,"GyanDhan",IF(N138=1,"Study4Buddy",IF(O138=1,"Poonawala Fincorp",IF(ISNUMBER(SEARCH("GyanDhan",W138&amp;"")),"GyanDhan",IF(ISNUMBER(SEARCH("Icici",W138&amp;"")),"ICICI",IF(ISNUMBER(SEARCH("Propelld",W138&amp;"")),"Propelld",IF(ISNUMBER(SEARCH("vidyalakshmi",LOWER(W138&amp;"")),"PM Vidyalakshmi","—"))))))))))</f>
        <v/>
      </c>
      <c r="U138">
        <f>IF(A138="","",TRIM('01_Master_Data'!AA138&amp;""))</f>
        <v/>
      </c>
      <c r="V138">
        <f>IF(A138="","",TRIM('01_Master_Data'!AG138&amp;""))</f>
        <v/>
      </c>
      <c r="W138">
        <f>IF(A138="","",TRIM('01_Master_Data'!AH138&amp;""))</f>
        <v/>
      </c>
      <c r="X138">
        <f>IF(A138="","",IF(OR(LOWER(H138)="refund",LOWER(U138)="refund case"),"Refund",IF(OR(LOWER(H138)="dnp",LOWER(U138)="dnp"),"DNP",IF(OR(LOWER(V138)="disbursed",ISNUMBER(SEARCH("Disbursed",W138&amp;""))),"Disbursed",IF(OR(LOWER(V138)="loan proccessed/accepted",ISNUMBER(SEARCH("sanctioned",LOWER(W138&amp;"")))),"Sanctioned",IF(OR(LOWER(V138)="rejected",ISNUMBER(SEARCH("Not eligbile",W138&amp;"")),ISNUMBER(SEARCH("Not eligible",W138&amp;""))),"Rejected",IF(ISNUMBER(SEARCH("Docs Pending",W138&amp;"")),"Documents Pending",IF(AND(LOWER(H138)="yes",LOWER(V138)="ongoing"),"Processing",IF(AND(LOWER(H138)="yes",Q138&gt;0,OR(V138="",LOWER(V138)="not even started")),"Vendor Assigned",IF(AND(LOWER(H138)="yes",LOWER(V138)="not even started"),"Need Loan",IF(LOWER(H138)="yes","Loan Started",IF(LOWER(H138)="not sure","Interested",IF(OR(LOWER(H138)="no",LOWER(V138)="not required"),"Not Required","Unclassified")))))))))))))</f>
        <v/>
      </c>
      <c r="Y138">
        <f>IF(A138="","",IF(OR(X138="Sanctioned",X138="Disbursed",X138="Approved"),"Approved",IF(X138="Rejected","Rejected",IF(OR(X138="Processing",X138="Documents Pending",X138="Vendor Assigned"),"In Progress",IF(X138="Need Loan","Pending Start","—"))))</f>
        <v/>
      </c>
      <c r="Z138">
        <f>IF(A138="","",IF(X138="Disbursed","Disbursed",IF(X138="Sanctioned","Sanctioned - Awaiting Disbursement","Not Disbursed")))</f>
        <v/>
      </c>
      <c r="AA138">
        <f>IF(A138="","",IF(LOWER(TRIM('01_Master_Data'!AI138&amp;""))="yes","Need FLDG",IF(LOWER(TRIM('01_Master_Data'!AK138&amp;""))="yes","Need Vidyalakshmi",IF(LOWER(TRIM('01_Master_Data'!AJ138&amp;""))="yes","Need Review",IF(LOWER(J138)="critical","Critical",IF(LOWER(U138)="risk","Risk Case",IF(X138="Refund","Refund","Normal")))))))</f>
        <v/>
      </c>
      <c r="AB138">
        <f>IF(A138="","",IF(OR(LOWER(J138)="critical",LOWER(TRIM('01_Master_Data'!AI138&amp;""))="yes",LOWER(TRIM('01_Master_Data'!AK138&amp;""))="yes",LOWER(U138)="risk"),"Yes","No"))</f>
        <v/>
      </c>
      <c r="AC138">
        <f>IF(A138="","",IF(LOWER(TRIM('01_Master_Data'!AI138&amp;""))="yes","Yes","No"))</f>
        <v/>
      </c>
      <c r="AD138">
        <f>IF(A138="","",IF(LOWER(TRIM('01_Master_Data'!AK138&amp;""))="yes","Yes","No"))</f>
        <v/>
      </c>
      <c r="AE138">
        <f>IF(A138="","",IF(LOWER(TRIM('01_Master_Data'!AJ138&amp;""))="yes","Yes","No"))</f>
        <v/>
      </c>
      <c r="AF138">
        <f>IF(A138="","",TRIM('01_Master_Data'!AL138&amp;""))</f>
        <v/>
      </c>
      <c r="AG138">
        <f>IF(A138="","",IF(AF138="","—",IF(ISNUMBER(SEARCH("DNP",AF138)),"Unreachable / DNP",IF(ISNUMBER(SEARCH("interest",LOWER(AF138))),"High Interest / Terms",IF(OR(ISNUMBER(SEARCH("eligib",LOWER(AF138))),ISNUMBER(SEARCH("income",LOWER(AF138)))),"Eligibility / Income",IF(OR(ISNUMBER(SEARCH("start",LOWER(AF138))),ISNUMBER(SEARCH("Newer",AF138)),ISNUMBER(SEARCH("Will start",AF138))),"Process Yet to Start",IF(ISNUMBER(SEARCH("sure",LOWER(AF138))),"Undecided",IF(OR(ISNUMBER(SEARCH("reject",LOWER(AF138))),ISNUMBER(SEARCH("SBI",AF138))),"Rejected Elsewhere",IF(ISNUMBER(SEARCH("call",LOWER(AF138))),"Bank Communication",IF(OR(ISNUMBER(SEARCH("father",LOWER(AF138))),ISNUMBER(SEARCH("sister",LOWER(AF138)))),"Family / Dependency","Other"))))))))))</f>
        <v/>
      </c>
      <c r="AH138">
        <f>IF(A138="","",'01_Master_Data'!AC138)</f>
        <v/>
      </c>
      <c r="AI138">
        <f>IF(A138="","",IF(OR(AH138="",NOT(ISNUMBER(AH138))),"",MAX(0,'02_Configuration'!$B$82-AH138)))</f>
        <v/>
      </c>
      <c r="AJ138">
        <f>IF(A138="","",IF(AI138="","Unknown",IF(AI138&lt;=3,"0–3 Days",IF(AI138&lt;=7,"4–7 Days",IF(AI138&lt;=15,"8–15 Days",IF(AI138&lt;=30,"16–30 Days","30+ Days"))))))</f>
        <v/>
      </c>
      <c r="AK138">
        <f>IF(A138="","",IF(LOWER(H138)="yes","Yes","No"))</f>
        <v/>
      </c>
      <c r="AL138">
        <f>IF(A138="","",'01_Master_Data'!T138)</f>
        <v/>
      </c>
      <c r="AM138">
        <f>IF(A138="","",'01_Master_Data'!S138)</f>
        <v/>
      </c>
      <c r="AN138">
        <f>IF(A138="","",'01_Master_Data'!I138)</f>
        <v/>
      </c>
      <c r="AO138">
        <f>IF(A138="","",'01_Master_Data'!M138)</f>
        <v/>
      </c>
      <c r="AP138">
        <f>IF(A138="","",IF(ISNUMBER(SEARCH("Icici",W138&amp;"")),1,0))</f>
        <v/>
      </c>
      <c r="AQ138">
        <f>IF(A138="","",IF(ISNUMBER(SEARCH("Propelld",W138&amp;"")),1,0))</f>
        <v/>
      </c>
      <c r="AR138">
        <f>IF(A138="","",IF(ISNUMBER(SEARCH("GyanDhan",W138&amp;"")),1,0))</f>
        <v/>
      </c>
      <c r="AS138">
        <f>IF(A138="","",IF(ISNUMBER(SEARCH("vidyalakshmi",LOWER(W138&amp;""))),1,0))</f>
        <v/>
      </c>
      <c r="AT138">
        <f>IF(A138="","",IF(ISNUMBER(SEARCH("other bank",LOWER(W138&amp;""))),1,0))</f>
        <v/>
      </c>
      <c r="AU138">
        <f>IF(A138="","",IF(ISNUMBER(SEARCH("sanctioned",LOWER(W138&amp;""))),1,0))</f>
        <v/>
      </c>
      <c r="AV138">
        <f>IF(A138="","",IF(ISNUMBER(SEARCH("Docs Pending",W138&amp;"")),1,0))</f>
        <v/>
      </c>
      <c r="AW138">
        <f>IF(A138="","",IF(OR(X138="Rejected",ISNUMBER(SEARCH("Not eligbile",W138&amp;""))),1,0))</f>
        <v/>
      </c>
    </row>
    <row r="139">
      <c r="A139">
        <f>IF('01_Master_Data'!B139="","",138)</f>
        <v/>
      </c>
      <c r="B139">
        <f>IF('01_Master_Data'!B139="","",IF('01_Master_Data'!C139&lt;&gt;"","MOB|"&amp;TEXT('01_Master_Data'!C139,"0"),IF('01_Master_Data'!D139&lt;&gt;"","PID|"&amp;TRIM('01_Master_Data'!D139&amp;""),"")))</f>
        <v/>
      </c>
      <c r="C139">
        <f>IF('01_Master_Data'!B139="","",'01_Master_Data'!B139)</f>
        <v/>
      </c>
      <c r="D139">
        <f>IF('01_Master_Data'!B139="","",'01_Master_Data'!C139)</f>
        <v/>
      </c>
      <c r="E139">
        <f>IF('01_Master_Data'!B139="","",'01_Master_Data'!D139)</f>
        <v/>
      </c>
      <c r="F139">
        <f>IF('01_Master_Data'!B139="","",'01_Master_Data'!E139)</f>
        <v/>
      </c>
      <c r="G139">
        <f>IF('01_Master_Data'!B139="","",IFERROR(VLOOKUP(TRIM('01_Master_Data'!E139&amp;""),'02_Configuration'!$A$40:$B$44,2,FALSE),UPPER(TRIM('01_Master_Data'!E139&amp;""))))</f>
        <v/>
      </c>
      <c r="H139">
        <f>IF('01_Master_Data'!B139="","",IF('01_Master_Data'!U139="","",TRIM('01_Master_Data'!U139&amp;"")))</f>
        <v/>
      </c>
      <c r="I139">
        <f>IF('01_Master_Data'!B139="","",TRIM('01_Master_Data'!F139&amp;""))</f>
        <v/>
      </c>
      <c r="J139">
        <f>IF('01_Master_Data'!B139="","",TRIM('01_Master_Data'!G139&amp;""))</f>
        <v/>
      </c>
      <c r="K139">
        <f>IF('01_Master_Data'!B139="","",'01_Master_Data'!H139)</f>
        <v/>
      </c>
      <c r="L139">
        <f>IF('01_Master_Data'!B139="","",IF(LOWER(TRIM('01_Master_Data'!V139&amp;""))="yes",1,0))</f>
        <v/>
      </c>
      <c r="M139">
        <f>IF('01_Master_Data'!B139="","",IF(LOWER(TRIM('01_Master_Data'!W139&amp;""))="yes",1,0))</f>
        <v/>
      </c>
      <c r="N139">
        <f>IF('01_Master_Data'!B139="","",IF(LOWER(TRIM('01_Master_Data'!X139&amp;""))="yes",1,0))</f>
        <v/>
      </c>
      <c r="O139">
        <f>IF('01_Master_Data'!B139="","",IF(LOWER(TRIM('01_Master_Data'!Y139&amp;""))="yes",1,0))</f>
        <v/>
      </c>
      <c r="P139">
        <f>IF('01_Master_Data'!B139="","",IF(LOWER(TRIM('01_Master_Data'!Z139&amp;""))="yes",1,0))</f>
        <v/>
      </c>
      <c r="Q139">
        <f>IF(A139="","",L139+M139+N139+O139+P139)</f>
        <v/>
      </c>
      <c r="R139">
        <f>IF(A139="","",IF(Q139&gt;1,"Yes","No"))</f>
        <v/>
      </c>
      <c r="S139">
        <f>IF(A139="","",TEXTJOIN(", ",TRUE,IF(L139=1,"ICICI",""),IF(M139=1,"Propelld",""),IF(N139=1,"Study4Buddy",""),IF(O139=1,"Poonawala Fincorp",""),IF(P139=1,"GyanDhan","")))</f>
        <v/>
      </c>
      <c r="T139">
        <f>IF(A139="","",IF(L139=1,"ICICI",IF(M139=1,"Propelld",IF(P139=1,"GyanDhan",IF(N139=1,"Study4Buddy",IF(O139=1,"Poonawala Fincorp",IF(ISNUMBER(SEARCH("GyanDhan",W139&amp;"")),"GyanDhan",IF(ISNUMBER(SEARCH("Icici",W139&amp;"")),"ICICI",IF(ISNUMBER(SEARCH("Propelld",W139&amp;"")),"Propelld",IF(ISNUMBER(SEARCH("vidyalakshmi",LOWER(W139&amp;"")),"PM Vidyalakshmi","—"))))))))))</f>
        <v/>
      </c>
      <c r="U139">
        <f>IF(A139="","",TRIM('01_Master_Data'!AA139&amp;""))</f>
        <v/>
      </c>
      <c r="V139">
        <f>IF(A139="","",TRIM('01_Master_Data'!AG139&amp;""))</f>
        <v/>
      </c>
      <c r="W139">
        <f>IF(A139="","",TRIM('01_Master_Data'!AH139&amp;""))</f>
        <v/>
      </c>
      <c r="X139">
        <f>IF(A139="","",IF(OR(LOWER(H139)="refund",LOWER(U139)="refund case"),"Refund",IF(OR(LOWER(H139)="dnp",LOWER(U139)="dnp"),"DNP",IF(OR(LOWER(V139)="disbursed",ISNUMBER(SEARCH("Disbursed",W139&amp;""))),"Disbursed",IF(OR(LOWER(V139)="loan proccessed/accepted",ISNUMBER(SEARCH("sanctioned",LOWER(W139&amp;"")))),"Sanctioned",IF(OR(LOWER(V139)="rejected",ISNUMBER(SEARCH("Not eligbile",W139&amp;"")),ISNUMBER(SEARCH("Not eligible",W139&amp;""))),"Rejected",IF(ISNUMBER(SEARCH("Docs Pending",W139&amp;"")),"Documents Pending",IF(AND(LOWER(H139)="yes",LOWER(V139)="ongoing"),"Processing",IF(AND(LOWER(H139)="yes",Q139&gt;0,OR(V139="",LOWER(V139)="not even started")),"Vendor Assigned",IF(AND(LOWER(H139)="yes",LOWER(V139)="not even started"),"Need Loan",IF(LOWER(H139)="yes","Loan Started",IF(LOWER(H139)="not sure","Interested",IF(OR(LOWER(H139)="no",LOWER(V139)="not required"),"Not Required","Unclassified")))))))))))))</f>
        <v/>
      </c>
      <c r="Y139">
        <f>IF(A139="","",IF(OR(X139="Sanctioned",X139="Disbursed",X139="Approved"),"Approved",IF(X139="Rejected","Rejected",IF(OR(X139="Processing",X139="Documents Pending",X139="Vendor Assigned"),"In Progress",IF(X139="Need Loan","Pending Start","—"))))</f>
        <v/>
      </c>
      <c r="Z139">
        <f>IF(A139="","",IF(X139="Disbursed","Disbursed",IF(X139="Sanctioned","Sanctioned - Awaiting Disbursement","Not Disbursed")))</f>
        <v/>
      </c>
      <c r="AA139">
        <f>IF(A139="","",IF(LOWER(TRIM('01_Master_Data'!AI139&amp;""))="yes","Need FLDG",IF(LOWER(TRIM('01_Master_Data'!AK139&amp;""))="yes","Need Vidyalakshmi",IF(LOWER(TRIM('01_Master_Data'!AJ139&amp;""))="yes","Need Review",IF(LOWER(J139)="critical","Critical",IF(LOWER(U139)="risk","Risk Case",IF(X139="Refund","Refund","Normal")))))))</f>
        <v/>
      </c>
      <c r="AB139">
        <f>IF(A139="","",IF(OR(LOWER(J139)="critical",LOWER(TRIM('01_Master_Data'!AI139&amp;""))="yes",LOWER(TRIM('01_Master_Data'!AK139&amp;""))="yes",LOWER(U139)="risk"),"Yes","No"))</f>
        <v/>
      </c>
      <c r="AC139">
        <f>IF(A139="","",IF(LOWER(TRIM('01_Master_Data'!AI139&amp;""))="yes","Yes","No"))</f>
        <v/>
      </c>
      <c r="AD139">
        <f>IF(A139="","",IF(LOWER(TRIM('01_Master_Data'!AK139&amp;""))="yes","Yes","No"))</f>
        <v/>
      </c>
      <c r="AE139">
        <f>IF(A139="","",IF(LOWER(TRIM('01_Master_Data'!AJ139&amp;""))="yes","Yes","No"))</f>
        <v/>
      </c>
      <c r="AF139">
        <f>IF(A139="","",TRIM('01_Master_Data'!AL139&amp;""))</f>
        <v/>
      </c>
      <c r="AG139">
        <f>IF(A139="","",IF(AF139="","—",IF(ISNUMBER(SEARCH("DNP",AF139)),"Unreachable / DNP",IF(ISNUMBER(SEARCH("interest",LOWER(AF139))),"High Interest / Terms",IF(OR(ISNUMBER(SEARCH("eligib",LOWER(AF139))),ISNUMBER(SEARCH("income",LOWER(AF139)))),"Eligibility / Income",IF(OR(ISNUMBER(SEARCH("start",LOWER(AF139))),ISNUMBER(SEARCH("Newer",AF139)),ISNUMBER(SEARCH("Will start",AF139))),"Process Yet to Start",IF(ISNUMBER(SEARCH("sure",LOWER(AF139))),"Undecided",IF(OR(ISNUMBER(SEARCH("reject",LOWER(AF139))),ISNUMBER(SEARCH("SBI",AF139))),"Rejected Elsewhere",IF(ISNUMBER(SEARCH("call",LOWER(AF139))),"Bank Communication",IF(OR(ISNUMBER(SEARCH("father",LOWER(AF139))),ISNUMBER(SEARCH("sister",LOWER(AF139)))),"Family / Dependency","Other"))))))))))</f>
        <v/>
      </c>
      <c r="AH139">
        <f>IF(A139="","",'01_Master_Data'!AC139)</f>
        <v/>
      </c>
      <c r="AI139">
        <f>IF(A139="","",IF(OR(AH139="",NOT(ISNUMBER(AH139))),"",MAX(0,'02_Configuration'!$B$82-AH139)))</f>
        <v/>
      </c>
      <c r="AJ139">
        <f>IF(A139="","",IF(AI139="","Unknown",IF(AI139&lt;=3,"0–3 Days",IF(AI139&lt;=7,"4–7 Days",IF(AI139&lt;=15,"8–15 Days",IF(AI139&lt;=30,"16–30 Days","30+ Days"))))))</f>
        <v/>
      </c>
      <c r="AK139">
        <f>IF(A139="","",IF(LOWER(H139)="yes","Yes","No"))</f>
        <v/>
      </c>
      <c r="AL139">
        <f>IF(A139="","",'01_Master_Data'!T139)</f>
        <v/>
      </c>
      <c r="AM139">
        <f>IF(A139="","",'01_Master_Data'!S139)</f>
        <v/>
      </c>
      <c r="AN139">
        <f>IF(A139="","",'01_Master_Data'!I139)</f>
        <v/>
      </c>
      <c r="AO139">
        <f>IF(A139="","",'01_Master_Data'!M139)</f>
        <v/>
      </c>
      <c r="AP139">
        <f>IF(A139="","",IF(ISNUMBER(SEARCH("Icici",W139&amp;"")),1,0))</f>
        <v/>
      </c>
      <c r="AQ139">
        <f>IF(A139="","",IF(ISNUMBER(SEARCH("Propelld",W139&amp;"")),1,0))</f>
        <v/>
      </c>
      <c r="AR139">
        <f>IF(A139="","",IF(ISNUMBER(SEARCH("GyanDhan",W139&amp;"")),1,0))</f>
        <v/>
      </c>
      <c r="AS139">
        <f>IF(A139="","",IF(ISNUMBER(SEARCH("vidyalakshmi",LOWER(W139&amp;""))),1,0))</f>
        <v/>
      </c>
      <c r="AT139">
        <f>IF(A139="","",IF(ISNUMBER(SEARCH("other bank",LOWER(W139&amp;""))),1,0))</f>
        <v/>
      </c>
      <c r="AU139">
        <f>IF(A139="","",IF(ISNUMBER(SEARCH("sanctioned",LOWER(W139&amp;""))),1,0))</f>
        <v/>
      </c>
      <c r="AV139">
        <f>IF(A139="","",IF(ISNUMBER(SEARCH("Docs Pending",W139&amp;"")),1,0))</f>
        <v/>
      </c>
      <c r="AW139">
        <f>IF(A139="","",IF(OR(X139="Rejected",ISNUMBER(SEARCH("Not eligbile",W139&amp;""))),1,0))</f>
        <v/>
      </c>
    </row>
    <row r="140">
      <c r="A140">
        <f>IF('01_Master_Data'!B140="","",139)</f>
        <v/>
      </c>
      <c r="B140">
        <f>IF('01_Master_Data'!B140="","",IF('01_Master_Data'!C140&lt;&gt;"","MOB|"&amp;TEXT('01_Master_Data'!C140,"0"),IF('01_Master_Data'!D140&lt;&gt;"","PID|"&amp;TRIM('01_Master_Data'!D140&amp;""),"")))</f>
        <v/>
      </c>
      <c r="C140">
        <f>IF('01_Master_Data'!B140="","",'01_Master_Data'!B140)</f>
        <v/>
      </c>
      <c r="D140">
        <f>IF('01_Master_Data'!B140="","",'01_Master_Data'!C140)</f>
        <v/>
      </c>
      <c r="E140">
        <f>IF('01_Master_Data'!B140="","",'01_Master_Data'!D140)</f>
        <v/>
      </c>
      <c r="F140">
        <f>IF('01_Master_Data'!B140="","",'01_Master_Data'!E140)</f>
        <v/>
      </c>
      <c r="G140">
        <f>IF('01_Master_Data'!B140="","",IFERROR(VLOOKUP(TRIM('01_Master_Data'!E140&amp;""),'02_Configuration'!$A$40:$B$44,2,FALSE),UPPER(TRIM('01_Master_Data'!E140&amp;""))))</f>
        <v/>
      </c>
      <c r="H140">
        <f>IF('01_Master_Data'!B140="","",IF('01_Master_Data'!U140="","",TRIM('01_Master_Data'!U140&amp;"")))</f>
        <v/>
      </c>
      <c r="I140">
        <f>IF('01_Master_Data'!B140="","",TRIM('01_Master_Data'!F140&amp;""))</f>
        <v/>
      </c>
      <c r="J140">
        <f>IF('01_Master_Data'!B140="","",TRIM('01_Master_Data'!G140&amp;""))</f>
        <v/>
      </c>
      <c r="K140">
        <f>IF('01_Master_Data'!B140="","",'01_Master_Data'!H140)</f>
        <v/>
      </c>
      <c r="L140">
        <f>IF('01_Master_Data'!B140="","",IF(LOWER(TRIM('01_Master_Data'!V140&amp;""))="yes",1,0))</f>
        <v/>
      </c>
      <c r="M140">
        <f>IF('01_Master_Data'!B140="","",IF(LOWER(TRIM('01_Master_Data'!W140&amp;""))="yes",1,0))</f>
        <v/>
      </c>
      <c r="N140">
        <f>IF('01_Master_Data'!B140="","",IF(LOWER(TRIM('01_Master_Data'!X140&amp;""))="yes",1,0))</f>
        <v/>
      </c>
      <c r="O140">
        <f>IF('01_Master_Data'!B140="","",IF(LOWER(TRIM('01_Master_Data'!Y140&amp;""))="yes",1,0))</f>
        <v/>
      </c>
      <c r="P140">
        <f>IF('01_Master_Data'!B140="","",IF(LOWER(TRIM('01_Master_Data'!Z140&amp;""))="yes",1,0))</f>
        <v/>
      </c>
      <c r="Q140">
        <f>IF(A140="","",L140+M140+N140+O140+P140)</f>
        <v/>
      </c>
      <c r="R140">
        <f>IF(A140="","",IF(Q140&gt;1,"Yes","No"))</f>
        <v/>
      </c>
      <c r="S140">
        <f>IF(A140="","",TEXTJOIN(", ",TRUE,IF(L140=1,"ICICI",""),IF(M140=1,"Propelld",""),IF(N140=1,"Study4Buddy",""),IF(O140=1,"Poonawala Fincorp",""),IF(P140=1,"GyanDhan","")))</f>
        <v/>
      </c>
      <c r="T140">
        <f>IF(A140="","",IF(L140=1,"ICICI",IF(M140=1,"Propelld",IF(P140=1,"GyanDhan",IF(N140=1,"Study4Buddy",IF(O140=1,"Poonawala Fincorp",IF(ISNUMBER(SEARCH("GyanDhan",W140&amp;"")),"GyanDhan",IF(ISNUMBER(SEARCH("Icici",W140&amp;"")),"ICICI",IF(ISNUMBER(SEARCH("Propelld",W140&amp;"")),"Propelld",IF(ISNUMBER(SEARCH("vidyalakshmi",LOWER(W140&amp;"")),"PM Vidyalakshmi","—"))))))))))</f>
        <v/>
      </c>
      <c r="U140">
        <f>IF(A140="","",TRIM('01_Master_Data'!AA140&amp;""))</f>
        <v/>
      </c>
      <c r="V140">
        <f>IF(A140="","",TRIM('01_Master_Data'!AG140&amp;""))</f>
        <v/>
      </c>
      <c r="W140">
        <f>IF(A140="","",TRIM('01_Master_Data'!AH140&amp;""))</f>
        <v/>
      </c>
      <c r="X140">
        <f>IF(A140="","",IF(OR(LOWER(H140)="refund",LOWER(U140)="refund case"),"Refund",IF(OR(LOWER(H140)="dnp",LOWER(U140)="dnp"),"DNP",IF(OR(LOWER(V140)="disbursed",ISNUMBER(SEARCH("Disbursed",W140&amp;""))),"Disbursed",IF(OR(LOWER(V140)="loan proccessed/accepted",ISNUMBER(SEARCH("sanctioned",LOWER(W140&amp;"")))),"Sanctioned",IF(OR(LOWER(V140)="rejected",ISNUMBER(SEARCH("Not eligbile",W140&amp;"")),ISNUMBER(SEARCH("Not eligible",W140&amp;""))),"Rejected",IF(ISNUMBER(SEARCH("Docs Pending",W140&amp;"")),"Documents Pending",IF(AND(LOWER(H140)="yes",LOWER(V140)="ongoing"),"Processing",IF(AND(LOWER(H140)="yes",Q140&gt;0,OR(V140="",LOWER(V140)="not even started")),"Vendor Assigned",IF(AND(LOWER(H140)="yes",LOWER(V140)="not even started"),"Need Loan",IF(LOWER(H140)="yes","Loan Started",IF(LOWER(H140)="not sure","Interested",IF(OR(LOWER(H140)="no",LOWER(V140)="not required"),"Not Required","Unclassified")))))))))))))</f>
        <v/>
      </c>
      <c r="Y140">
        <f>IF(A140="","",IF(OR(X140="Sanctioned",X140="Disbursed",X140="Approved"),"Approved",IF(X140="Rejected","Rejected",IF(OR(X140="Processing",X140="Documents Pending",X140="Vendor Assigned"),"In Progress",IF(X140="Need Loan","Pending Start","—"))))</f>
        <v/>
      </c>
      <c r="Z140">
        <f>IF(A140="","",IF(X140="Disbursed","Disbursed",IF(X140="Sanctioned","Sanctioned - Awaiting Disbursement","Not Disbursed")))</f>
        <v/>
      </c>
      <c r="AA140">
        <f>IF(A140="","",IF(LOWER(TRIM('01_Master_Data'!AI140&amp;""))="yes","Need FLDG",IF(LOWER(TRIM('01_Master_Data'!AK140&amp;""))="yes","Need Vidyalakshmi",IF(LOWER(TRIM('01_Master_Data'!AJ140&amp;""))="yes","Need Review",IF(LOWER(J140)="critical","Critical",IF(LOWER(U140)="risk","Risk Case",IF(X140="Refund","Refund","Normal")))))))</f>
        <v/>
      </c>
      <c r="AB140">
        <f>IF(A140="","",IF(OR(LOWER(J140)="critical",LOWER(TRIM('01_Master_Data'!AI140&amp;""))="yes",LOWER(TRIM('01_Master_Data'!AK140&amp;""))="yes",LOWER(U140)="risk"),"Yes","No"))</f>
        <v/>
      </c>
      <c r="AC140">
        <f>IF(A140="","",IF(LOWER(TRIM('01_Master_Data'!AI140&amp;""))="yes","Yes","No"))</f>
        <v/>
      </c>
      <c r="AD140">
        <f>IF(A140="","",IF(LOWER(TRIM('01_Master_Data'!AK140&amp;""))="yes","Yes","No"))</f>
        <v/>
      </c>
      <c r="AE140">
        <f>IF(A140="","",IF(LOWER(TRIM('01_Master_Data'!AJ140&amp;""))="yes","Yes","No"))</f>
        <v/>
      </c>
      <c r="AF140">
        <f>IF(A140="","",TRIM('01_Master_Data'!AL140&amp;""))</f>
        <v/>
      </c>
      <c r="AG140">
        <f>IF(A140="","",IF(AF140="","—",IF(ISNUMBER(SEARCH("DNP",AF140)),"Unreachable / DNP",IF(ISNUMBER(SEARCH("interest",LOWER(AF140))),"High Interest / Terms",IF(OR(ISNUMBER(SEARCH("eligib",LOWER(AF140))),ISNUMBER(SEARCH("income",LOWER(AF140)))),"Eligibility / Income",IF(OR(ISNUMBER(SEARCH("start",LOWER(AF140))),ISNUMBER(SEARCH("Newer",AF140)),ISNUMBER(SEARCH("Will start",AF140))),"Process Yet to Start",IF(ISNUMBER(SEARCH("sure",LOWER(AF140))),"Undecided",IF(OR(ISNUMBER(SEARCH("reject",LOWER(AF140))),ISNUMBER(SEARCH("SBI",AF140))),"Rejected Elsewhere",IF(ISNUMBER(SEARCH("call",LOWER(AF140))),"Bank Communication",IF(OR(ISNUMBER(SEARCH("father",LOWER(AF140))),ISNUMBER(SEARCH("sister",LOWER(AF140)))),"Family / Dependency","Other"))))))))))</f>
        <v/>
      </c>
      <c r="AH140">
        <f>IF(A140="","",'01_Master_Data'!AC140)</f>
        <v/>
      </c>
      <c r="AI140">
        <f>IF(A140="","",IF(OR(AH140="",NOT(ISNUMBER(AH140))),"",MAX(0,'02_Configuration'!$B$82-AH140)))</f>
        <v/>
      </c>
      <c r="AJ140">
        <f>IF(A140="","",IF(AI140="","Unknown",IF(AI140&lt;=3,"0–3 Days",IF(AI140&lt;=7,"4–7 Days",IF(AI140&lt;=15,"8–15 Days",IF(AI140&lt;=30,"16–30 Days","30+ Days"))))))</f>
        <v/>
      </c>
      <c r="AK140">
        <f>IF(A140="","",IF(LOWER(H140)="yes","Yes","No"))</f>
        <v/>
      </c>
      <c r="AL140">
        <f>IF(A140="","",'01_Master_Data'!T140)</f>
        <v/>
      </c>
      <c r="AM140">
        <f>IF(A140="","",'01_Master_Data'!S140)</f>
        <v/>
      </c>
      <c r="AN140">
        <f>IF(A140="","",'01_Master_Data'!I140)</f>
        <v/>
      </c>
      <c r="AO140">
        <f>IF(A140="","",'01_Master_Data'!M140)</f>
        <v/>
      </c>
      <c r="AP140">
        <f>IF(A140="","",IF(ISNUMBER(SEARCH("Icici",W140&amp;"")),1,0))</f>
        <v/>
      </c>
      <c r="AQ140">
        <f>IF(A140="","",IF(ISNUMBER(SEARCH("Propelld",W140&amp;"")),1,0))</f>
        <v/>
      </c>
      <c r="AR140">
        <f>IF(A140="","",IF(ISNUMBER(SEARCH("GyanDhan",W140&amp;"")),1,0))</f>
        <v/>
      </c>
      <c r="AS140">
        <f>IF(A140="","",IF(ISNUMBER(SEARCH("vidyalakshmi",LOWER(W140&amp;""))),1,0))</f>
        <v/>
      </c>
      <c r="AT140">
        <f>IF(A140="","",IF(ISNUMBER(SEARCH("other bank",LOWER(W140&amp;""))),1,0))</f>
        <v/>
      </c>
      <c r="AU140">
        <f>IF(A140="","",IF(ISNUMBER(SEARCH("sanctioned",LOWER(W140&amp;""))),1,0))</f>
        <v/>
      </c>
      <c r="AV140">
        <f>IF(A140="","",IF(ISNUMBER(SEARCH("Docs Pending",W140&amp;"")),1,0))</f>
        <v/>
      </c>
      <c r="AW140">
        <f>IF(A140="","",IF(OR(X140="Rejected",ISNUMBER(SEARCH("Not eligbile",W140&amp;""))),1,0))</f>
        <v/>
      </c>
    </row>
    <row r="141">
      <c r="A141">
        <f>IF('01_Master_Data'!B141="","",140)</f>
        <v/>
      </c>
      <c r="B141">
        <f>IF('01_Master_Data'!B141="","",IF('01_Master_Data'!C141&lt;&gt;"","MOB|"&amp;TEXT('01_Master_Data'!C141,"0"),IF('01_Master_Data'!D141&lt;&gt;"","PID|"&amp;TRIM('01_Master_Data'!D141&amp;""),"")))</f>
        <v/>
      </c>
      <c r="C141">
        <f>IF('01_Master_Data'!B141="","",'01_Master_Data'!B141)</f>
        <v/>
      </c>
      <c r="D141">
        <f>IF('01_Master_Data'!B141="","",'01_Master_Data'!C141)</f>
        <v/>
      </c>
      <c r="E141">
        <f>IF('01_Master_Data'!B141="","",'01_Master_Data'!D141)</f>
        <v/>
      </c>
      <c r="F141">
        <f>IF('01_Master_Data'!B141="","",'01_Master_Data'!E141)</f>
        <v/>
      </c>
      <c r="G141">
        <f>IF('01_Master_Data'!B141="","",IFERROR(VLOOKUP(TRIM('01_Master_Data'!E141&amp;""),'02_Configuration'!$A$40:$B$44,2,FALSE),UPPER(TRIM('01_Master_Data'!E141&amp;""))))</f>
        <v/>
      </c>
      <c r="H141">
        <f>IF('01_Master_Data'!B141="","",IF('01_Master_Data'!U141="","",TRIM('01_Master_Data'!U141&amp;"")))</f>
        <v/>
      </c>
      <c r="I141">
        <f>IF('01_Master_Data'!B141="","",TRIM('01_Master_Data'!F141&amp;""))</f>
        <v/>
      </c>
      <c r="J141">
        <f>IF('01_Master_Data'!B141="","",TRIM('01_Master_Data'!G141&amp;""))</f>
        <v/>
      </c>
      <c r="K141">
        <f>IF('01_Master_Data'!B141="","",'01_Master_Data'!H141)</f>
        <v/>
      </c>
      <c r="L141">
        <f>IF('01_Master_Data'!B141="","",IF(LOWER(TRIM('01_Master_Data'!V141&amp;""))="yes",1,0))</f>
        <v/>
      </c>
      <c r="M141">
        <f>IF('01_Master_Data'!B141="","",IF(LOWER(TRIM('01_Master_Data'!W141&amp;""))="yes",1,0))</f>
        <v/>
      </c>
      <c r="N141">
        <f>IF('01_Master_Data'!B141="","",IF(LOWER(TRIM('01_Master_Data'!X141&amp;""))="yes",1,0))</f>
        <v/>
      </c>
      <c r="O141">
        <f>IF('01_Master_Data'!B141="","",IF(LOWER(TRIM('01_Master_Data'!Y141&amp;""))="yes",1,0))</f>
        <v/>
      </c>
      <c r="P141">
        <f>IF('01_Master_Data'!B141="","",IF(LOWER(TRIM('01_Master_Data'!Z141&amp;""))="yes",1,0))</f>
        <v/>
      </c>
      <c r="Q141">
        <f>IF(A141="","",L141+M141+N141+O141+P141)</f>
        <v/>
      </c>
      <c r="R141">
        <f>IF(A141="","",IF(Q141&gt;1,"Yes","No"))</f>
        <v/>
      </c>
      <c r="S141">
        <f>IF(A141="","",TEXTJOIN(", ",TRUE,IF(L141=1,"ICICI",""),IF(M141=1,"Propelld",""),IF(N141=1,"Study4Buddy",""),IF(O141=1,"Poonawala Fincorp",""),IF(P141=1,"GyanDhan","")))</f>
        <v/>
      </c>
      <c r="T141">
        <f>IF(A141="","",IF(L141=1,"ICICI",IF(M141=1,"Propelld",IF(P141=1,"GyanDhan",IF(N141=1,"Study4Buddy",IF(O141=1,"Poonawala Fincorp",IF(ISNUMBER(SEARCH("GyanDhan",W141&amp;"")),"GyanDhan",IF(ISNUMBER(SEARCH("Icici",W141&amp;"")),"ICICI",IF(ISNUMBER(SEARCH("Propelld",W141&amp;"")),"Propelld",IF(ISNUMBER(SEARCH("vidyalakshmi",LOWER(W141&amp;"")),"PM Vidyalakshmi","—"))))))))))</f>
        <v/>
      </c>
      <c r="U141">
        <f>IF(A141="","",TRIM('01_Master_Data'!AA141&amp;""))</f>
        <v/>
      </c>
      <c r="V141">
        <f>IF(A141="","",TRIM('01_Master_Data'!AG141&amp;""))</f>
        <v/>
      </c>
      <c r="W141">
        <f>IF(A141="","",TRIM('01_Master_Data'!AH141&amp;""))</f>
        <v/>
      </c>
      <c r="X141">
        <f>IF(A141="","",IF(OR(LOWER(H141)="refund",LOWER(U141)="refund case"),"Refund",IF(OR(LOWER(H141)="dnp",LOWER(U141)="dnp"),"DNP",IF(OR(LOWER(V141)="disbursed",ISNUMBER(SEARCH("Disbursed",W141&amp;""))),"Disbursed",IF(OR(LOWER(V141)="loan proccessed/accepted",ISNUMBER(SEARCH("sanctioned",LOWER(W141&amp;"")))),"Sanctioned",IF(OR(LOWER(V141)="rejected",ISNUMBER(SEARCH("Not eligbile",W141&amp;"")),ISNUMBER(SEARCH("Not eligible",W141&amp;""))),"Rejected",IF(ISNUMBER(SEARCH("Docs Pending",W141&amp;"")),"Documents Pending",IF(AND(LOWER(H141)="yes",LOWER(V141)="ongoing"),"Processing",IF(AND(LOWER(H141)="yes",Q141&gt;0,OR(V141="",LOWER(V141)="not even started")),"Vendor Assigned",IF(AND(LOWER(H141)="yes",LOWER(V141)="not even started"),"Need Loan",IF(LOWER(H141)="yes","Loan Started",IF(LOWER(H141)="not sure","Interested",IF(OR(LOWER(H141)="no",LOWER(V141)="not required"),"Not Required","Unclassified")))))))))))))</f>
        <v/>
      </c>
      <c r="Y141">
        <f>IF(A141="","",IF(OR(X141="Sanctioned",X141="Disbursed",X141="Approved"),"Approved",IF(X141="Rejected","Rejected",IF(OR(X141="Processing",X141="Documents Pending",X141="Vendor Assigned"),"In Progress",IF(X141="Need Loan","Pending Start","—"))))</f>
        <v/>
      </c>
      <c r="Z141">
        <f>IF(A141="","",IF(X141="Disbursed","Disbursed",IF(X141="Sanctioned","Sanctioned - Awaiting Disbursement","Not Disbursed")))</f>
        <v/>
      </c>
      <c r="AA141">
        <f>IF(A141="","",IF(LOWER(TRIM('01_Master_Data'!AI141&amp;""))="yes","Need FLDG",IF(LOWER(TRIM('01_Master_Data'!AK141&amp;""))="yes","Need Vidyalakshmi",IF(LOWER(TRIM('01_Master_Data'!AJ141&amp;""))="yes","Need Review",IF(LOWER(J141)="critical","Critical",IF(LOWER(U141)="risk","Risk Case",IF(X141="Refund","Refund","Normal")))))))</f>
        <v/>
      </c>
      <c r="AB141">
        <f>IF(A141="","",IF(OR(LOWER(J141)="critical",LOWER(TRIM('01_Master_Data'!AI141&amp;""))="yes",LOWER(TRIM('01_Master_Data'!AK141&amp;""))="yes",LOWER(U141)="risk"),"Yes","No"))</f>
        <v/>
      </c>
      <c r="AC141">
        <f>IF(A141="","",IF(LOWER(TRIM('01_Master_Data'!AI141&amp;""))="yes","Yes","No"))</f>
        <v/>
      </c>
      <c r="AD141">
        <f>IF(A141="","",IF(LOWER(TRIM('01_Master_Data'!AK141&amp;""))="yes","Yes","No"))</f>
        <v/>
      </c>
      <c r="AE141">
        <f>IF(A141="","",IF(LOWER(TRIM('01_Master_Data'!AJ141&amp;""))="yes","Yes","No"))</f>
        <v/>
      </c>
      <c r="AF141">
        <f>IF(A141="","",TRIM('01_Master_Data'!AL141&amp;""))</f>
        <v/>
      </c>
      <c r="AG141">
        <f>IF(A141="","",IF(AF141="","—",IF(ISNUMBER(SEARCH("DNP",AF141)),"Unreachable / DNP",IF(ISNUMBER(SEARCH("interest",LOWER(AF141))),"High Interest / Terms",IF(OR(ISNUMBER(SEARCH("eligib",LOWER(AF141))),ISNUMBER(SEARCH("income",LOWER(AF141)))),"Eligibility / Income",IF(OR(ISNUMBER(SEARCH("start",LOWER(AF141))),ISNUMBER(SEARCH("Newer",AF141)),ISNUMBER(SEARCH("Will start",AF141))),"Process Yet to Start",IF(ISNUMBER(SEARCH("sure",LOWER(AF141))),"Undecided",IF(OR(ISNUMBER(SEARCH("reject",LOWER(AF141))),ISNUMBER(SEARCH("SBI",AF141))),"Rejected Elsewhere",IF(ISNUMBER(SEARCH("call",LOWER(AF141))),"Bank Communication",IF(OR(ISNUMBER(SEARCH("father",LOWER(AF141))),ISNUMBER(SEARCH("sister",LOWER(AF141)))),"Family / Dependency","Other"))))))))))</f>
        <v/>
      </c>
      <c r="AH141">
        <f>IF(A141="","",'01_Master_Data'!AC141)</f>
        <v/>
      </c>
      <c r="AI141">
        <f>IF(A141="","",IF(OR(AH141="",NOT(ISNUMBER(AH141))),"",MAX(0,'02_Configuration'!$B$82-AH141)))</f>
        <v/>
      </c>
      <c r="AJ141">
        <f>IF(A141="","",IF(AI141="","Unknown",IF(AI141&lt;=3,"0–3 Days",IF(AI141&lt;=7,"4–7 Days",IF(AI141&lt;=15,"8–15 Days",IF(AI141&lt;=30,"16–30 Days","30+ Days"))))))</f>
        <v/>
      </c>
      <c r="AK141">
        <f>IF(A141="","",IF(LOWER(H141)="yes","Yes","No"))</f>
        <v/>
      </c>
      <c r="AL141">
        <f>IF(A141="","",'01_Master_Data'!T141)</f>
        <v/>
      </c>
      <c r="AM141">
        <f>IF(A141="","",'01_Master_Data'!S141)</f>
        <v/>
      </c>
      <c r="AN141">
        <f>IF(A141="","",'01_Master_Data'!I141)</f>
        <v/>
      </c>
      <c r="AO141">
        <f>IF(A141="","",'01_Master_Data'!M141)</f>
        <v/>
      </c>
      <c r="AP141">
        <f>IF(A141="","",IF(ISNUMBER(SEARCH("Icici",W141&amp;"")),1,0))</f>
        <v/>
      </c>
      <c r="AQ141">
        <f>IF(A141="","",IF(ISNUMBER(SEARCH("Propelld",W141&amp;"")),1,0))</f>
        <v/>
      </c>
      <c r="AR141">
        <f>IF(A141="","",IF(ISNUMBER(SEARCH("GyanDhan",W141&amp;"")),1,0))</f>
        <v/>
      </c>
      <c r="AS141">
        <f>IF(A141="","",IF(ISNUMBER(SEARCH("vidyalakshmi",LOWER(W141&amp;""))),1,0))</f>
        <v/>
      </c>
      <c r="AT141">
        <f>IF(A141="","",IF(ISNUMBER(SEARCH("other bank",LOWER(W141&amp;""))),1,0))</f>
        <v/>
      </c>
      <c r="AU141">
        <f>IF(A141="","",IF(ISNUMBER(SEARCH("sanctioned",LOWER(W141&amp;""))),1,0))</f>
        <v/>
      </c>
      <c r="AV141">
        <f>IF(A141="","",IF(ISNUMBER(SEARCH("Docs Pending",W141&amp;"")),1,0))</f>
        <v/>
      </c>
      <c r="AW141">
        <f>IF(A141="","",IF(OR(X141="Rejected",ISNUMBER(SEARCH("Not eligbile",W141&amp;""))),1,0))</f>
        <v/>
      </c>
    </row>
    <row r="142">
      <c r="A142">
        <f>IF('01_Master_Data'!B142="","",141)</f>
        <v/>
      </c>
      <c r="B142">
        <f>IF('01_Master_Data'!B142="","",IF('01_Master_Data'!C142&lt;&gt;"","MOB|"&amp;TEXT('01_Master_Data'!C142,"0"),IF('01_Master_Data'!D142&lt;&gt;"","PID|"&amp;TRIM('01_Master_Data'!D142&amp;""),"")))</f>
        <v/>
      </c>
      <c r="C142">
        <f>IF('01_Master_Data'!B142="","",'01_Master_Data'!B142)</f>
        <v/>
      </c>
      <c r="D142">
        <f>IF('01_Master_Data'!B142="","",'01_Master_Data'!C142)</f>
        <v/>
      </c>
      <c r="E142">
        <f>IF('01_Master_Data'!B142="","",'01_Master_Data'!D142)</f>
        <v/>
      </c>
      <c r="F142">
        <f>IF('01_Master_Data'!B142="","",'01_Master_Data'!E142)</f>
        <v/>
      </c>
      <c r="G142">
        <f>IF('01_Master_Data'!B142="","",IFERROR(VLOOKUP(TRIM('01_Master_Data'!E142&amp;""),'02_Configuration'!$A$40:$B$44,2,FALSE),UPPER(TRIM('01_Master_Data'!E142&amp;""))))</f>
        <v/>
      </c>
      <c r="H142">
        <f>IF('01_Master_Data'!B142="","",IF('01_Master_Data'!U142="","",TRIM('01_Master_Data'!U142&amp;"")))</f>
        <v/>
      </c>
      <c r="I142">
        <f>IF('01_Master_Data'!B142="","",TRIM('01_Master_Data'!F142&amp;""))</f>
        <v/>
      </c>
      <c r="J142">
        <f>IF('01_Master_Data'!B142="","",TRIM('01_Master_Data'!G142&amp;""))</f>
        <v/>
      </c>
      <c r="K142">
        <f>IF('01_Master_Data'!B142="","",'01_Master_Data'!H142)</f>
        <v/>
      </c>
      <c r="L142">
        <f>IF('01_Master_Data'!B142="","",IF(LOWER(TRIM('01_Master_Data'!V142&amp;""))="yes",1,0))</f>
        <v/>
      </c>
      <c r="M142">
        <f>IF('01_Master_Data'!B142="","",IF(LOWER(TRIM('01_Master_Data'!W142&amp;""))="yes",1,0))</f>
        <v/>
      </c>
      <c r="N142">
        <f>IF('01_Master_Data'!B142="","",IF(LOWER(TRIM('01_Master_Data'!X142&amp;""))="yes",1,0))</f>
        <v/>
      </c>
      <c r="O142">
        <f>IF('01_Master_Data'!B142="","",IF(LOWER(TRIM('01_Master_Data'!Y142&amp;""))="yes",1,0))</f>
        <v/>
      </c>
      <c r="P142">
        <f>IF('01_Master_Data'!B142="","",IF(LOWER(TRIM('01_Master_Data'!Z142&amp;""))="yes",1,0))</f>
        <v/>
      </c>
      <c r="Q142">
        <f>IF(A142="","",L142+M142+N142+O142+P142)</f>
        <v/>
      </c>
      <c r="R142">
        <f>IF(A142="","",IF(Q142&gt;1,"Yes","No"))</f>
        <v/>
      </c>
      <c r="S142">
        <f>IF(A142="","",TEXTJOIN(", ",TRUE,IF(L142=1,"ICICI",""),IF(M142=1,"Propelld",""),IF(N142=1,"Study4Buddy",""),IF(O142=1,"Poonawala Fincorp",""),IF(P142=1,"GyanDhan","")))</f>
        <v/>
      </c>
      <c r="T142">
        <f>IF(A142="","",IF(L142=1,"ICICI",IF(M142=1,"Propelld",IF(P142=1,"GyanDhan",IF(N142=1,"Study4Buddy",IF(O142=1,"Poonawala Fincorp",IF(ISNUMBER(SEARCH("GyanDhan",W142&amp;"")),"GyanDhan",IF(ISNUMBER(SEARCH("Icici",W142&amp;"")),"ICICI",IF(ISNUMBER(SEARCH("Propelld",W142&amp;"")),"Propelld",IF(ISNUMBER(SEARCH("vidyalakshmi",LOWER(W142&amp;"")),"PM Vidyalakshmi","—"))))))))))</f>
        <v/>
      </c>
      <c r="U142">
        <f>IF(A142="","",TRIM('01_Master_Data'!AA142&amp;""))</f>
        <v/>
      </c>
      <c r="V142">
        <f>IF(A142="","",TRIM('01_Master_Data'!AG142&amp;""))</f>
        <v/>
      </c>
      <c r="W142">
        <f>IF(A142="","",TRIM('01_Master_Data'!AH142&amp;""))</f>
        <v/>
      </c>
      <c r="X142">
        <f>IF(A142="","",IF(OR(LOWER(H142)="refund",LOWER(U142)="refund case"),"Refund",IF(OR(LOWER(H142)="dnp",LOWER(U142)="dnp"),"DNP",IF(OR(LOWER(V142)="disbursed",ISNUMBER(SEARCH("Disbursed",W142&amp;""))),"Disbursed",IF(OR(LOWER(V142)="loan proccessed/accepted",ISNUMBER(SEARCH("sanctioned",LOWER(W142&amp;"")))),"Sanctioned",IF(OR(LOWER(V142)="rejected",ISNUMBER(SEARCH("Not eligbile",W142&amp;"")),ISNUMBER(SEARCH("Not eligible",W142&amp;""))),"Rejected",IF(ISNUMBER(SEARCH("Docs Pending",W142&amp;"")),"Documents Pending",IF(AND(LOWER(H142)="yes",LOWER(V142)="ongoing"),"Processing",IF(AND(LOWER(H142)="yes",Q142&gt;0,OR(V142="",LOWER(V142)="not even started")),"Vendor Assigned",IF(AND(LOWER(H142)="yes",LOWER(V142)="not even started"),"Need Loan",IF(LOWER(H142)="yes","Loan Started",IF(LOWER(H142)="not sure","Interested",IF(OR(LOWER(H142)="no",LOWER(V142)="not required"),"Not Required","Unclassified")))))))))))))</f>
        <v/>
      </c>
      <c r="Y142">
        <f>IF(A142="","",IF(OR(X142="Sanctioned",X142="Disbursed",X142="Approved"),"Approved",IF(X142="Rejected","Rejected",IF(OR(X142="Processing",X142="Documents Pending",X142="Vendor Assigned"),"In Progress",IF(X142="Need Loan","Pending Start","—"))))</f>
        <v/>
      </c>
      <c r="Z142">
        <f>IF(A142="","",IF(X142="Disbursed","Disbursed",IF(X142="Sanctioned","Sanctioned - Awaiting Disbursement","Not Disbursed")))</f>
        <v/>
      </c>
      <c r="AA142">
        <f>IF(A142="","",IF(LOWER(TRIM('01_Master_Data'!AI142&amp;""))="yes","Need FLDG",IF(LOWER(TRIM('01_Master_Data'!AK142&amp;""))="yes","Need Vidyalakshmi",IF(LOWER(TRIM('01_Master_Data'!AJ142&amp;""))="yes","Need Review",IF(LOWER(J142)="critical","Critical",IF(LOWER(U142)="risk","Risk Case",IF(X142="Refund","Refund","Normal")))))))</f>
        <v/>
      </c>
      <c r="AB142">
        <f>IF(A142="","",IF(OR(LOWER(J142)="critical",LOWER(TRIM('01_Master_Data'!AI142&amp;""))="yes",LOWER(TRIM('01_Master_Data'!AK142&amp;""))="yes",LOWER(U142)="risk"),"Yes","No"))</f>
        <v/>
      </c>
      <c r="AC142">
        <f>IF(A142="","",IF(LOWER(TRIM('01_Master_Data'!AI142&amp;""))="yes","Yes","No"))</f>
        <v/>
      </c>
      <c r="AD142">
        <f>IF(A142="","",IF(LOWER(TRIM('01_Master_Data'!AK142&amp;""))="yes","Yes","No"))</f>
        <v/>
      </c>
      <c r="AE142">
        <f>IF(A142="","",IF(LOWER(TRIM('01_Master_Data'!AJ142&amp;""))="yes","Yes","No"))</f>
        <v/>
      </c>
      <c r="AF142">
        <f>IF(A142="","",TRIM('01_Master_Data'!AL142&amp;""))</f>
        <v/>
      </c>
      <c r="AG142">
        <f>IF(A142="","",IF(AF142="","—",IF(ISNUMBER(SEARCH("DNP",AF142)),"Unreachable / DNP",IF(ISNUMBER(SEARCH("interest",LOWER(AF142))),"High Interest / Terms",IF(OR(ISNUMBER(SEARCH("eligib",LOWER(AF142))),ISNUMBER(SEARCH("income",LOWER(AF142)))),"Eligibility / Income",IF(OR(ISNUMBER(SEARCH("start",LOWER(AF142))),ISNUMBER(SEARCH("Newer",AF142)),ISNUMBER(SEARCH("Will start",AF142))),"Process Yet to Start",IF(ISNUMBER(SEARCH("sure",LOWER(AF142))),"Undecided",IF(OR(ISNUMBER(SEARCH("reject",LOWER(AF142))),ISNUMBER(SEARCH("SBI",AF142))),"Rejected Elsewhere",IF(ISNUMBER(SEARCH("call",LOWER(AF142))),"Bank Communication",IF(OR(ISNUMBER(SEARCH("father",LOWER(AF142))),ISNUMBER(SEARCH("sister",LOWER(AF142)))),"Family / Dependency","Other"))))))))))</f>
        <v/>
      </c>
      <c r="AH142">
        <f>IF(A142="","",'01_Master_Data'!AC142)</f>
        <v/>
      </c>
      <c r="AI142">
        <f>IF(A142="","",IF(OR(AH142="",NOT(ISNUMBER(AH142))),"",MAX(0,'02_Configuration'!$B$82-AH142)))</f>
        <v/>
      </c>
      <c r="AJ142">
        <f>IF(A142="","",IF(AI142="","Unknown",IF(AI142&lt;=3,"0–3 Days",IF(AI142&lt;=7,"4–7 Days",IF(AI142&lt;=15,"8–15 Days",IF(AI142&lt;=30,"16–30 Days","30+ Days"))))))</f>
        <v/>
      </c>
      <c r="AK142">
        <f>IF(A142="","",IF(LOWER(H142)="yes","Yes","No"))</f>
        <v/>
      </c>
      <c r="AL142">
        <f>IF(A142="","",'01_Master_Data'!T142)</f>
        <v/>
      </c>
      <c r="AM142">
        <f>IF(A142="","",'01_Master_Data'!S142)</f>
        <v/>
      </c>
      <c r="AN142">
        <f>IF(A142="","",'01_Master_Data'!I142)</f>
        <v/>
      </c>
      <c r="AO142">
        <f>IF(A142="","",'01_Master_Data'!M142)</f>
        <v/>
      </c>
      <c r="AP142">
        <f>IF(A142="","",IF(ISNUMBER(SEARCH("Icici",W142&amp;"")),1,0))</f>
        <v/>
      </c>
      <c r="AQ142">
        <f>IF(A142="","",IF(ISNUMBER(SEARCH("Propelld",W142&amp;"")),1,0))</f>
        <v/>
      </c>
      <c r="AR142">
        <f>IF(A142="","",IF(ISNUMBER(SEARCH("GyanDhan",W142&amp;"")),1,0))</f>
        <v/>
      </c>
      <c r="AS142">
        <f>IF(A142="","",IF(ISNUMBER(SEARCH("vidyalakshmi",LOWER(W142&amp;""))),1,0))</f>
        <v/>
      </c>
      <c r="AT142">
        <f>IF(A142="","",IF(ISNUMBER(SEARCH("other bank",LOWER(W142&amp;""))),1,0))</f>
        <v/>
      </c>
      <c r="AU142">
        <f>IF(A142="","",IF(ISNUMBER(SEARCH("sanctioned",LOWER(W142&amp;""))),1,0))</f>
        <v/>
      </c>
      <c r="AV142">
        <f>IF(A142="","",IF(ISNUMBER(SEARCH("Docs Pending",W142&amp;"")),1,0))</f>
        <v/>
      </c>
      <c r="AW142">
        <f>IF(A142="","",IF(OR(X142="Rejected",ISNUMBER(SEARCH("Not eligbile",W142&amp;""))),1,0))</f>
        <v/>
      </c>
    </row>
    <row r="143">
      <c r="A143">
        <f>IF('01_Master_Data'!B143="","",142)</f>
        <v/>
      </c>
      <c r="B143">
        <f>IF('01_Master_Data'!B143="","",IF('01_Master_Data'!C143&lt;&gt;"","MOB|"&amp;TEXT('01_Master_Data'!C143,"0"),IF('01_Master_Data'!D143&lt;&gt;"","PID|"&amp;TRIM('01_Master_Data'!D143&amp;""),"")))</f>
        <v/>
      </c>
      <c r="C143">
        <f>IF('01_Master_Data'!B143="","",'01_Master_Data'!B143)</f>
        <v/>
      </c>
      <c r="D143">
        <f>IF('01_Master_Data'!B143="","",'01_Master_Data'!C143)</f>
        <v/>
      </c>
      <c r="E143">
        <f>IF('01_Master_Data'!B143="","",'01_Master_Data'!D143)</f>
        <v/>
      </c>
      <c r="F143">
        <f>IF('01_Master_Data'!B143="","",'01_Master_Data'!E143)</f>
        <v/>
      </c>
      <c r="G143">
        <f>IF('01_Master_Data'!B143="","",IFERROR(VLOOKUP(TRIM('01_Master_Data'!E143&amp;""),'02_Configuration'!$A$40:$B$44,2,FALSE),UPPER(TRIM('01_Master_Data'!E143&amp;""))))</f>
        <v/>
      </c>
      <c r="H143">
        <f>IF('01_Master_Data'!B143="","",IF('01_Master_Data'!U143="","",TRIM('01_Master_Data'!U143&amp;"")))</f>
        <v/>
      </c>
      <c r="I143">
        <f>IF('01_Master_Data'!B143="","",TRIM('01_Master_Data'!F143&amp;""))</f>
        <v/>
      </c>
      <c r="J143">
        <f>IF('01_Master_Data'!B143="","",TRIM('01_Master_Data'!G143&amp;""))</f>
        <v/>
      </c>
      <c r="K143">
        <f>IF('01_Master_Data'!B143="","",'01_Master_Data'!H143)</f>
        <v/>
      </c>
      <c r="L143">
        <f>IF('01_Master_Data'!B143="","",IF(LOWER(TRIM('01_Master_Data'!V143&amp;""))="yes",1,0))</f>
        <v/>
      </c>
      <c r="M143">
        <f>IF('01_Master_Data'!B143="","",IF(LOWER(TRIM('01_Master_Data'!W143&amp;""))="yes",1,0))</f>
        <v/>
      </c>
      <c r="N143">
        <f>IF('01_Master_Data'!B143="","",IF(LOWER(TRIM('01_Master_Data'!X143&amp;""))="yes",1,0))</f>
        <v/>
      </c>
      <c r="O143">
        <f>IF('01_Master_Data'!B143="","",IF(LOWER(TRIM('01_Master_Data'!Y143&amp;""))="yes",1,0))</f>
        <v/>
      </c>
      <c r="P143">
        <f>IF('01_Master_Data'!B143="","",IF(LOWER(TRIM('01_Master_Data'!Z143&amp;""))="yes",1,0))</f>
        <v/>
      </c>
      <c r="Q143">
        <f>IF(A143="","",L143+M143+N143+O143+P143)</f>
        <v/>
      </c>
      <c r="R143">
        <f>IF(A143="","",IF(Q143&gt;1,"Yes","No"))</f>
        <v/>
      </c>
      <c r="S143">
        <f>IF(A143="","",TEXTJOIN(", ",TRUE,IF(L143=1,"ICICI",""),IF(M143=1,"Propelld",""),IF(N143=1,"Study4Buddy",""),IF(O143=1,"Poonawala Fincorp",""),IF(P143=1,"GyanDhan","")))</f>
        <v/>
      </c>
      <c r="T143">
        <f>IF(A143="","",IF(L143=1,"ICICI",IF(M143=1,"Propelld",IF(P143=1,"GyanDhan",IF(N143=1,"Study4Buddy",IF(O143=1,"Poonawala Fincorp",IF(ISNUMBER(SEARCH("GyanDhan",W143&amp;"")),"GyanDhan",IF(ISNUMBER(SEARCH("Icici",W143&amp;"")),"ICICI",IF(ISNUMBER(SEARCH("Propelld",W143&amp;"")),"Propelld",IF(ISNUMBER(SEARCH("vidyalakshmi",LOWER(W143&amp;"")),"PM Vidyalakshmi","—"))))))))))</f>
        <v/>
      </c>
      <c r="U143">
        <f>IF(A143="","",TRIM('01_Master_Data'!AA143&amp;""))</f>
        <v/>
      </c>
      <c r="V143">
        <f>IF(A143="","",TRIM('01_Master_Data'!AG143&amp;""))</f>
        <v/>
      </c>
      <c r="W143">
        <f>IF(A143="","",TRIM('01_Master_Data'!AH143&amp;""))</f>
        <v/>
      </c>
      <c r="X143">
        <f>IF(A143="","",IF(OR(LOWER(H143)="refund",LOWER(U143)="refund case"),"Refund",IF(OR(LOWER(H143)="dnp",LOWER(U143)="dnp"),"DNP",IF(OR(LOWER(V143)="disbursed",ISNUMBER(SEARCH("Disbursed",W143&amp;""))),"Disbursed",IF(OR(LOWER(V143)="loan proccessed/accepted",ISNUMBER(SEARCH("sanctioned",LOWER(W143&amp;"")))),"Sanctioned",IF(OR(LOWER(V143)="rejected",ISNUMBER(SEARCH("Not eligbile",W143&amp;"")),ISNUMBER(SEARCH("Not eligible",W143&amp;""))),"Rejected",IF(ISNUMBER(SEARCH("Docs Pending",W143&amp;"")),"Documents Pending",IF(AND(LOWER(H143)="yes",LOWER(V143)="ongoing"),"Processing",IF(AND(LOWER(H143)="yes",Q143&gt;0,OR(V143="",LOWER(V143)="not even started")),"Vendor Assigned",IF(AND(LOWER(H143)="yes",LOWER(V143)="not even started"),"Need Loan",IF(LOWER(H143)="yes","Loan Started",IF(LOWER(H143)="not sure","Interested",IF(OR(LOWER(H143)="no",LOWER(V143)="not required"),"Not Required","Unclassified")))))))))))))</f>
        <v/>
      </c>
      <c r="Y143">
        <f>IF(A143="","",IF(OR(X143="Sanctioned",X143="Disbursed",X143="Approved"),"Approved",IF(X143="Rejected","Rejected",IF(OR(X143="Processing",X143="Documents Pending",X143="Vendor Assigned"),"In Progress",IF(X143="Need Loan","Pending Start","—"))))</f>
        <v/>
      </c>
      <c r="Z143">
        <f>IF(A143="","",IF(X143="Disbursed","Disbursed",IF(X143="Sanctioned","Sanctioned - Awaiting Disbursement","Not Disbursed")))</f>
        <v/>
      </c>
      <c r="AA143">
        <f>IF(A143="","",IF(LOWER(TRIM('01_Master_Data'!AI143&amp;""))="yes","Need FLDG",IF(LOWER(TRIM('01_Master_Data'!AK143&amp;""))="yes","Need Vidyalakshmi",IF(LOWER(TRIM('01_Master_Data'!AJ143&amp;""))="yes","Need Review",IF(LOWER(J143)="critical","Critical",IF(LOWER(U143)="risk","Risk Case",IF(X143="Refund","Refund","Normal")))))))</f>
        <v/>
      </c>
      <c r="AB143">
        <f>IF(A143="","",IF(OR(LOWER(J143)="critical",LOWER(TRIM('01_Master_Data'!AI143&amp;""))="yes",LOWER(TRIM('01_Master_Data'!AK143&amp;""))="yes",LOWER(U143)="risk"),"Yes","No"))</f>
        <v/>
      </c>
      <c r="AC143">
        <f>IF(A143="","",IF(LOWER(TRIM('01_Master_Data'!AI143&amp;""))="yes","Yes","No"))</f>
        <v/>
      </c>
      <c r="AD143">
        <f>IF(A143="","",IF(LOWER(TRIM('01_Master_Data'!AK143&amp;""))="yes","Yes","No"))</f>
        <v/>
      </c>
      <c r="AE143">
        <f>IF(A143="","",IF(LOWER(TRIM('01_Master_Data'!AJ143&amp;""))="yes","Yes","No"))</f>
        <v/>
      </c>
      <c r="AF143">
        <f>IF(A143="","",TRIM('01_Master_Data'!AL143&amp;""))</f>
        <v/>
      </c>
      <c r="AG143">
        <f>IF(A143="","",IF(AF143="","—",IF(ISNUMBER(SEARCH("DNP",AF143)),"Unreachable / DNP",IF(ISNUMBER(SEARCH("interest",LOWER(AF143))),"High Interest / Terms",IF(OR(ISNUMBER(SEARCH("eligib",LOWER(AF143))),ISNUMBER(SEARCH("income",LOWER(AF143)))),"Eligibility / Income",IF(OR(ISNUMBER(SEARCH("start",LOWER(AF143))),ISNUMBER(SEARCH("Newer",AF143)),ISNUMBER(SEARCH("Will start",AF143))),"Process Yet to Start",IF(ISNUMBER(SEARCH("sure",LOWER(AF143))),"Undecided",IF(OR(ISNUMBER(SEARCH("reject",LOWER(AF143))),ISNUMBER(SEARCH("SBI",AF143))),"Rejected Elsewhere",IF(ISNUMBER(SEARCH("call",LOWER(AF143))),"Bank Communication",IF(OR(ISNUMBER(SEARCH("father",LOWER(AF143))),ISNUMBER(SEARCH("sister",LOWER(AF143)))),"Family / Dependency","Other"))))))))))</f>
        <v/>
      </c>
      <c r="AH143">
        <f>IF(A143="","",'01_Master_Data'!AC143)</f>
        <v/>
      </c>
      <c r="AI143">
        <f>IF(A143="","",IF(OR(AH143="",NOT(ISNUMBER(AH143))),"",MAX(0,'02_Configuration'!$B$82-AH143)))</f>
        <v/>
      </c>
      <c r="AJ143">
        <f>IF(A143="","",IF(AI143="","Unknown",IF(AI143&lt;=3,"0–3 Days",IF(AI143&lt;=7,"4–7 Days",IF(AI143&lt;=15,"8–15 Days",IF(AI143&lt;=30,"16–30 Days","30+ Days"))))))</f>
        <v/>
      </c>
      <c r="AK143">
        <f>IF(A143="","",IF(LOWER(H143)="yes","Yes","No"))</f>
        <v/>
      </c>
      <c r="AL143">
        <f>IF(A143="","",'01_Master_Data'!T143)</f>
        <v/>
      </c>
      <c r="AM143">
        <f>IF(A143="","",'01_Master_Data'!S143)</f>
        <v/>
      </c>
      <c r="AN143">
        <f>IF(A143="","",'01_Master_Data'!I143)</f>
        <v/>
      </c>
      <c r="AO143">
        <f>IF(A143="","",'01_Master_Data'!M143)</f>
        <v/>
      </c>
      <c r="AP143">
        <f>IF(A143="","",IF(ISNUMBER(SEARCH("Icici",W143&amp;"")),1,0))</f>
        <v/>
      </c>
      <c r="AQ143">
        <f>IF(A143="","",IF(ISNUMBER(SEARCH("Propelld",W143&amp;"")),1,0))</f>
        <v/>
      </c>
      <c r="AR143">
        <f>IF(A143="","",IF(ISNUMBER(SEARCH("GyanDhan",W143&amp;"")),1,0))</f>
        <v/>
      </c>
      <c r="AS143">
        <f>IF(A143="","",IF(ISNUMBER(SEARCH("vidyalakshmi",LOWER(W143&amp;""))),1,0))</f>
        <v/>
      </c>
      <c r="AT143">
        <f>IF(A143="","",IF(ISNUMBER(SEARCH("other bank",LOWER(W143&amp;""))),1,0))</f>
        <v/>
      </c>
      <c r="AU143">
        <f>IF(A143="","",IF(ISNUMBER(SEARCH("sanctioned",LOWER(W143&amp;""))),1,0))</f>
        <v/>
      </c>
      <c r="AV143">
        <f>IF(A143="","",IF(ISNUMBER(SEARCH("Docs Pending",W143&amp;"")),1,0))</f>
        <v/>
      </c>
      <c r="AW143">
        <f>IF(A143="","",IF(OR(X143="Rejected",ISNUMBER(SEARCH("Not eligbile",W143&amp;""))),1,0))</f>
        <v/>
      </c>
    </row>
    <row r="144">
      <c r="A144">
        <f>IF('01_Master_Data'!B144="","",143)</f>
        <v/>
      </c>
      <c r="B144">
        <f>IF('01_Master_Data'!B144="","",IF('01_Master_Data'!C144&lt;&gt;"","MOB|"&amp;TEXT('01_Master_Data'!C144,"0"),IF('01_Master_Data'!D144&lt;&gt;"","PID|"&amp;TRIM('01_Master_Data'!D144&amp;""),"")))</f>
        <v/>
      </c>
      <c r="C144">
        <f>IF('01_Master_Data'!B144="","",'01_Master_Data'!B144)</f>
        <v/>
      </c>
      <c r="D144">
        <f>IF('01_Master_Data'!B144="","",'01_Master_Data'!C144)</f>
        <v/>
      </c>
      <c r="E144">
        <f>IF('01_Master_Data'!B144="","",'01_Master_Data'!D144)</f>
        <v/>
      </c>
      <c r="F144">
        <f>IF('01_Master_Data'!B144="","",'01_Master_Data'!E144)</f>
        <v/>
      </c>
      <c r="G144">
        <f>IF('01_Master_Data'!B144="","",IFERROR(VLOOKUP(TRIM('01_Master_Data'!E144&amp;""),'02_Configuration'!$A$40:$B$44,2,FALSE),UPPER(TRIM('01_Master_Data'!E144&amp;""))))</f>
        <v/>
      </c>
      <c r="H144">
        <f>IF('01_Master_Data'!B144="","",IF('01_Master_Data'!U144="","",TRIM('01_Master_Data'!U144&amp;"")))</f>
        <v/>
      </c>
      <c r="I144">
        <f>IF('01_Master_Data'!B144="","",TRIM('01_Master_Data'!F144&amp;""))</f>
        <v/>
      </c>
      <c r="J144">
        <f>IF('01_Master_Data'!B144="","",TRIM('01_Master_Data'!G144&amp;""))</f>
        <v/>
      </c>
      <c r="K144">
        <f>IF('01_Master_Data'!B144="","",'01_Master_Data'!H144)</f>
        <v/>
      </c>
      <c r="L144">
        <f>IF('01_Master_Data'!B144="","",IF(LOWER(TRIM('01_Master_Data'!V144&amp;""))="yes",1,0))</f>
        <v/>
      </c>
      <c r="M144">
        <f>IF('01_Master_Data'!B144="","",IF(LOWER(TRIM('01_Master_Data'!W144&amp;""))="yes",1,0))</f>
        <v/>
      </c>
      <c r="N144">
        <f>IF('01_Master_Data'!B144="","",IF(LOWER(TRIM('01_Master_Data'!X144&amp;""))="yes",1,0))</f>
        <v/>
      </c>
      <c r="O144">
        <f>IF('01_Master_Data'!B144="","",IF(LOWER(TRIM('01_Master_Data'!Y144&amp;""))="yes",1,0))</f>
        <v/>
      </c>
      <c r="P144">
        <f>IF('01_Master_Data'!B144="","",IF(LOWER(TRIM('01_Master_Data'!Z144&amp;""))="yes",1,0))</f>
        <v/>
      </c>
      <c r="Q144">
        <f>IF(A144="","",L144+M144+N144+O144+P144)</f>
        <v/>
      </c>
      <c r="R144">
        <f>IF(A144="","",IF(Q144&gt;1,"Yes","No"))</f>
        <v/>
      </c>
      <c r="S144">
        <f>IF(A144="","",TEXTJOIN(", ",TRUE,IF(L144=1,"ICICI",""),IF(M144=1,"Propelld",""),IF(N144=1,"Study4Buddy",""),IF(O144=1,"Poonawala Fincorp",""),IF(P144=1,"GyanDhan","")))</f>
        <v/>
      </c>
      <c r="T144">
        <f>IF(A144="","",IF(L144=1,"ICICI",IF(M144=1,"Propelld",IF(P144=1,"GyanDhan",IF(N144=1,"Study4Buddy",IF(O144=1,"Poonawala Fincorp",IF(ISNUMBER(SEARCH("GyanDhan",W144&amp;"")),"GyanDhan",IF(ISNUMBER(SEARCH("Icici",W144&amp;"")),"ICICI",IF(ISNUMBER(SEARCH("Propelld",W144&amp;"")),"Propelld",IF(ISNUMBER(SEARCH("vidyalakshmi",LOWER(W144&amp;"")),"PM Vidyalakshmi","—"))))))))))</f>
        <v/>
      </c>
      <c r="U144">
        <f>IF(A144="","",TRIM('01_Master_Data'!AA144&amp;""))</f>
        <v/>
      </c>
      <c r="V144">
        <f>IF(A144="","",TRIM('01_Master_Data'!AG144&amp;""))</f>
        <v/>
      </c>
      <c r="W144">
        <f>IF(A144="","",TRIM('01_Master_Data'!AH144&amp;""))</f>
        <v/>
      </c>
      <c r="X144">
        <f>IF(A144="","",IF(OR(LOWER(H144)="refund",LOWER(U144)="refund case"),"Refund",IF(OR(LOWER(H144)="dnp",LOWER(U144)="dnp"),"DNP",IF(OR(LOWER(V144)="disbursed",ISNUMBER(SEARCH("Disbursed",W144&amp;""))),"Disbursed",IF(OR(LOWER(V144)="loan proccessed/accepted",ISNUMBER(SEARCH("sanctioned",LOWER(W144&amp;"")))),"Sanctioned",IF(OR(LOWER(V144)="rejected",ISNUMBER(SEARCH("Not eligbile",W144&amp;"")),ISNUMBER(SEARCH("Not eligible",W144&amp;""))),"Rejected",IF(ISNUMBER(SEARCH("Docs Pending",W144&amp;"")),"Documents Pending",IF(AND(LOWER(H144)="yes",LOWER(V144)="ongoing"),"Processing",IF(AND(LOWER(H144)="yes",Q144&gt;0,OR(V144="",LOWER(V144)="not even started")),"Vendor Assigned",IF(AND(LOWER(H144)="yes",LOWER(V144)="not even started"),"Need Loan",IF(LOWER(H144)="yes","Loan Started",IF(LOWER(H144)="not sure","Interested",IF(OR(LOWER(H144)="no",LOWER(V144)="not required"),"Not Required","Unclassified")))))))))))))</f>
        <v/>
      </c>
      <c r="Y144">
        <f>IF(A144="","",IF(OR(X144="Sanctioned",X144="Disbursed",X144="Approved"),"Approved",IF(X144="Rejected","Rejected",IF(OR(X144="Processing",X144="Documents Pending",X144="Vendor Assigned"),"In Progress",IF(X144="Need Loan","Pending Start","—"))))</f>
        <v/>
      </c>
      <c r="Z144">
        <f>IF(A144="","",IF(X144="Disbursed","Disbursed",IF(X144="Sanctioned","Sanctioned - Awaiting Disbursement","Not Disbursed")))</f>
        <v/>
      </c>
      <c r="AA144">
        <f>IF(A144="","",IF(LOWER(TRIM('01_Master_Data'!AI144&amp;""))="yes","Need FLDG",IF(LOWER(TRIM('01_Master_Data'!AK144&amp;""))="yes","Need Vidyalakshmi",IF(LOWER(TRIM('01_Master_Data'!AJ144&amp;""))="yes","Need Review",IF(LOWER(J144)="critical","Critical",IF(LOWER(U144)="risk","Risk Case",IF(X144="Refund","Refund","Normal")))))))</f>
        <v/>
      </c>
      <c r="AB144">
        <f>IF(A144="","",IF(OR(LOWER(J144)="critical",LOWER(TRIM('01_Master_Data'!AI144&amp;""))="yes",LOWER(TRIM('01_Master_Data'!AK144&amp;""))="yes",LOWER(U144)="risk"),"Yes","No"))</f>
        <v/>
      </c>
      <c r="AC144">
        <f>IF(A144="","",IF(LOWER(TRIM('01_Master_Data'!AI144&amp;""))="yes","Yes","No"))</f>
        <v/>
      </c>
      <c r="AD144">
        <f>IF(A144="","",IF(LOWER(TRIM('01_Master_Data'!AK144&amp;""))="yes","Yes","No"))</f>
        <v/>
      </c>
      <c r="AE144">
        <f>IF(A144="","",IF(LOWER(TRIM('01_Master_Data'!AJ144&amp;""))="yes","Yes","No"))</f>
        <v/>
      </c>
      <c r="AF144">
        <f>IF(A144="","",TRIM('01_Master_Data'!AL144&amp;""))</f>
        <v/>
      </c>
      <c r="AG144">
        <f>IF(A144="","",IF(AF144="","—",IF(ISNUMBER(SEARCH("DNP",AF144)),"Unreachable / DNP",IF(ISNUMBER(SEARCH("interest",LOWER(AF144))),"High Interest / Terms",IF(OR(ISNUMBER(SEARCH("eligib",LOWER(AF144))),ISNUMBER(SEARCH("income",LOWER(AF144)))),"Eligibility / Income",IF(OR(ISNUMBER(SEARCH("start",LOWER(AF144))),ISNUMBER(SEARCH("Newer",AF144)),ISNUMBER(SEARCH("Will start",AF144))),"Process Yet to Start",IF(ISNUMBER(SEARCH("sure",LOWER(AF144))),"Undecided",IF(OR(ISNUMBER(SEARCH("reject",LOWER(AF144))),ISNUMBER(SEARCH("SBI",AF144))),"Rejected Elsewhere",IF(ISNUMBER(SEARCH("call",LOWER(AF144))),"Bank Communication",IF(OR(ISNUMBER(SEARCH("father",LOWER(AF144))),ISNUMBER(SEARCH("sister",LOWER(AF144)))),"Family / Dependency","Other"))))))))))</f>
        <v/>
      </c>
      <c r="AH144">
        <f>IF(A144="","",'01_Master_Data'!AC144)</f>
        <v/>
      </c>
      <c r="AI144">
        <f>IF(A144="","",IF(OR(AH144="",NOT(ISNUMBER(AH144))),"",MAX(0,'02_Configuration'!$B$82-AH144)))</f>
        <v/>
      </c>
      <c r="AJ144">
        <f>IF(A144="","",IF(AI144="","Unknown",IF(AI144&lt;=3,"0–3 Days",IF(AI144&lt;=7,"4–7 Days",IF(AI144&lt;=15,"8–15 Days",IF(AI144&lt;=30,"16–30 Days","30+ Days"))))))</f>
        <v/>
      </c>
      <c r="AK144">
        <f>IF(A144="","",IF(LOWER(H144)="yes","Yes","No"))</f>
        <v/>
      </c>
      <c r="AL144">
        <f>IF(A144="","",'01_Master_Data'!T144)</f>
        <v/>
      </c>
      <c r="AM144">
        <f>IF(A144="","",'01_Master_Data'!S144)</f>
        <v/>
      </c>
      <c r="AN144">
        <f>IF(A144="","",'01_Master_Data'!I144)</f>
        <v/>
      </c>
      <c r="AO144">
        <f>IF(A144="","",'01_Master_Data'!M144)</f>
        <v/>
      </c>
      <c r="AP144">
        <f>IF(A144="","",IF(ISNUMBER(SEARCH("Icici",W144&amp;"")),1,0))</f>
        <v/>
      </c>
      <c r="AQ144">
        <f>IF(A144="","",IF(ISNUMBER(SEARCH("Propelld",W144&amp;"")),1,0))</f>
        <v/>
      </c>
      <c r="AR144">
        <f>IF(A144="","",IF(ISNUMBER(SEARCH("GyanDhan",W144&amp;"")),1,0))</f>
        <v/>
      </c>
      <c r="AS144">
        <f>IF(A144="","",IF(ISNUMBER(SEARCH("vidyalakshmi",LOWER(W144&amp;""))),1,0))</f>
        <v/>
      </c>
      <c r="AT144">
        <f>IF(A144="","",IF(ISNUMBER(SEARCH("other bank",LOWER(W144&amp;""))),1,0))</f>
        <v/>
      </c>
      <c r="AU144">
        <f>IF(A144="","",IF(ISNUMBER(SEARCH("sanctioned",LOWER(W144&amp;""))),1,0))</f>
        <v/>
      </c>
      <c r="AV144">
        <f>IF(A144="","",IF(ISNUMBER(SEARCH("Docs Pending",W144&amp;"")),1,0))</f>
        <v/>
      </c>
      <c r="AW144">
        <f>IF(A144="","",IF(OR(X144="Rejected",ISNUMBER(SEARCH("Not eligbile",W144&amp;""))),1,0))</f>
        <v/>
      </c>
    </row>
    <row r="145">
      <c r="A145">
        <f>IF('01_Master_Data'!B145="","",144)</f>
        <v/>
      </c>
      <c r="B145">
        <f>IF('01_Master_Data'!B145="","",IF('01_Master_Data'!C145&lt;&gt;"","MOB|"&amp;TEXT('01_Master_Data'!C145,"0"),IF('01_Master_Data'!D145&lt;&gt;"","PID|"&amp;TRIM('01_Master_Data'!D145&amp;""),"")))</f>
        <v/>
      </c>
      <c r="C145">
        <f>IF('01_Master_Data'!B145="","",'01_Master_Data'!B145)</f>
        <v/>
      </c>
      <c r="D145">
        <f>IF('01_Master_Data'!B145="","",'01_Master_Data'!C145)</f>
        <v/>
      </c>
      <c r="E145">
        <f>IF('01_Master_Data'!B145="","",'01_Master_Data'!D145)</f>
        <v/>
      </c>
      <c r="F145">
        <f>IF('01_Master_Data'!B145="","",'01_Master_Data'!E145)</f>
        <v/>
      </c>
      <c r="G145">
        <f>IF('01_Master_Data'!B145="","",IFERROR(VLOOKUP(TRIM('01_Master_Data'!E145&amp;""),'02_Configuration'!$A$40:$B$44,2,FALSE),UPPER(TRIM('01_Master_Data'!E145&amp;""))))</f>
        <v/>
      </c>
      <c r="H145">
        <f>IF('01_Master_Data'!B145="","",IF('01_Master_Data'!U145="","",TRIM('01_Master_Data'!U145&amp;"")))</f>
        <v/>
      </c>
      <c r="I145">
        <f>IF('01_Master_Data'!B145="","",TRIM('01_Master_Data'!F145&amp;""))</f>
        <v/>
      </c>
      <c r="J145">
        <f>IF('01_Master_Data'!B145="","",TRIM('01_Master_Data'!G145&amp;""))</f>
        <v/>
      </c>
      <c r="K145">
        <f>IF('01_Master_Data'!B145="","",'01_Master_Data'!H145)</f>
        <v/>
      </c>
      <c r="L145">
        <f>IF('01_Master_Data'!B145="","",IF(LOWER(TRIM('01_Master_Data'!V145&amp;""))="yes",1,0))</f>
        <v/>
      </c>
      <c r="M145">
        <f>IF('01_Master_Data'!B145="","",IF(LOWER(TRIM('01_Master_Data'!W145&amp;""))="yes",1,0))</f>
        <v/>
      </c>
      <c r="N145">
        <f>IF('01_Master_Data'!B145="","",IF(LOWER(TRIM('01_Master_Data'!X145&amp;""))="yes",1,0))</f>
        <v/>
      </c>
      <c r="O145">
        <f>IF('01_Master_Data'!B145="","",IF(LOWER(TRIM('01_Master_Data'!Y145&amp;""))="yes",1,0))</f>
        <v/>
      </c>
      <c r="P145">
        <f>IF('01_Master_Data'!B145="","",IF(LOWER(TRIM('01_Master_Data'!Z145&amp;""))="yes",1,0))</f>
        <v/>
      </c>
      <c r="Q145">
        <f>IF(A145="","",L145+M145+N145+O145+P145)</f>
        <v/>
      </c>
      <c r="R145">
        <f>IF(A145="","",IF(Q145&gt;1,"Yes","No"))</f>
        <v/>
      </c>
      <c r="S145">
        <f>IF(A145="","",TEXTJOIN(", ",TRUE,IF(L145=1,"ICICI",""),IF(M145=1,"Propelld",""),IF(N145=1,"Study4Buddy",""),IF(O145=1,"Poonawala Fincorp",""),IF(P145=1,"GyanDhan","")))</f>
        <v/>
      </c>
      <c r="T145">
        <f>IF(A145="","",IF(L145=1,"ICICI",IF(M145=1,"Propelld",IF(P145=1,"GyanDhan",IF(N145=1,"Study4Buddy",IF(O145=1,"Poonawala Fincorp",IF(ISNUMBER(SEARCH("GyanDhan",W145&amp;"")),"GyanDhan",IF(ISNUMBER(SEARCH("Icici",W145&amp;"")),"ICICI",IF(ISNUMBER(SEARCH("Propelld",W145&amp;"")),"Propelld",IF(ISNUMBER(SEARCH("vidyalakshmi",LOWER(W145&amp;"")),"PM Vidyalakshmi","—"))))))))))</f>
        <v/>
      </c>
      <c r="U145">
        <f>IF(A145="","",TRIM('01_Master_Data'!AA145&amp;""))</f>
        <v/>
      </c>
      <c r="V145">
        <f>IF(A145="","",TRIM('01_Master_Data'!AG145&amp;""))</f>
        <v/>
      </c>
      <c r="W145">
        <f>IF(A145="","",TRIM('01_Master_Data'!AH145&amp;""))</f>
        <v/>
      </c>
      <c r="X145">
        <f>IF(A145="","",IF(OR(LOWER(H145)="refund",LOWER(U145)="refund case"),"Refund",IF(OR(LOWER(H145)="dnp",LOWER(U145)="dnp"),"DNP",IF(OR(LOWER(V145)="disbursed",ISNUMBER(SEARCH("Disbursed",W145&amp;""))),"Disbursed",IF(OR(LOWER(V145)="loan proccessed/accepted",ISNUMBER(SEARCH("sanctioned",LOWER(W145&amp;"")))),"Sanctioned",IF(OR(LOWER(V145)="rejected",ISNUMBER(SEARCH("Not eligbile",W145&amp;"")),ISNUMBER(SEARCH("Not eligible",W145&amp;""))),"Rejected",IF(ISNUMBER(SEARCH("Docs Pending",W145&amp;"")),"Documents Pending",IF(AND(LOWER(H145)="yes",LOWER(V145)="ongoing"),"Processing",IF(AND(LOWER(H145)="yes",Q145&gt;0,OR(V145="",LOWER(V145)="not even started")),"Vendor Assigned",IF(AND(LOWER(H145)="yes",LOWER(V145)="not even started"),"Need Loan",IF(LOWER(H145)="yes","Loan Started",IF(LOWER(H145)="not sure","Interested",IF(OR(LOWER(H145)="no",LOWER(V145)="not required"),"Not Required","Unclassified")))))))))))))</f>
        <v/>
      </c>
      <c r="Y145">
        <f>IF(A145="","",IF(OR(X145="Sanctioned",X145="Disbursed",X145="Approved"),"Approved",IF(X145="Rejected","Rejected",IF(OR(X145="Processing",X145="Documents Pending",X145="Vendor Assigned"),"In Progress",IF(X145="Need Loan","Pending Start","—"))))</f>
        <v/>
      </c>
      <c r="Z145">
        <f>IF(A145="","",IF(X145="Disbursed","Disbursed",IF(X145="Sanctioned","Sanctioned - Awaiting Disbursement","Not Disbursed")))</f>
        <v/>
      </c>
      <c r="AA145">
        <f>IF(A145="","",IF(LOWER(TRIM('01_Master_Data'!AI145&amp;""))="yes","Need FLDG",IF(LOWER(TRIM('01_Master_Data'!AK145&amp;""))="yes","Need Vidyalakshmi",IF(LOWER(TRIM('01_Master_Data'!AJ145&amp;""))="yes","Need Review",IF(LOWER(J145)="critical","Critical",IF(LOWER(U145)="risk","Risk Case",IF(X145="Refund","Refund","Normal")))))))</f>
        <v/>
      </c>
      <c r="AB145">
        <f>IF(A145="","",IF(OR(LOWER(J145)="critical",LOWER(TRIM('01_Master_Data'!AI145&amp;""))="yes",LOWER(TRIM('01_Master_Data'!AK145&amp;""))="yes",LOWER(U145)="risk"),"Yes","No"))</f>
        <v/>
      </c>
      <c r="AC145">
        <f>IF(A145="","",IF(LOWER(TRIM('01_Master_Data'!AI145&amp;""))="yes","Yes","No"))</f>
        <v/>
      </c>
      <c r="AD145">
        <f>IF(A145="","",IF(LOWER(TRIM('01_Master_Data'!AK145&amp;""))="yes","Yes","No"))</f>
        <v/>
      </c>
      <c r="AE145">
        <f>IF(A145="","",IF(LOWER(TRIM('01_Master_Data'!AJ145&amp;""))="yes","Yes","No"))</f>
        <v/>
      </c>
      <c r="AF145">
        <f>IF(A145="","",TRIM('01_Master_Data'!AL145&amp;""))</f>
        <v/>
      </c>
      <c r="AG145">
        <f>IF(A145="","",IF(AF145="","—",IF(ISNUMBER(SEARCH("DNP",AF145)),"Unreachable / DNP",IF(ISNUMBER(SEARCH("interest",LOWER(AF145))),"High Interest / Terms",IF(OR(ISNUMBER(SEARCH("eligib",LOWER(AF145))),ISNUMBER(SEARCH("income",LOWER(AF145)))),"Eligibility / Income",IF(OR(ISNUMBER(SEARCH("start",LOWER(AF145))),ISNUMBER(SEARCH("Newer",AF145)),ISNUMBER(SEARCH("Will start",AF145))),"Process Yet to Start",IF(ISNUMBER(SEARCH("sure",LOWER(AF145))),"Undecided",IF(OR(ISNUMBER(SEARCH("reject",LOWER(AF145))),ISNUMBER(SEARCH("SBI",AF145))),"Rejected Elsewhere",IF(ISNUMBER(SEARCH("call",LOWER(AF145))),"Bank Communication",IF(OR(ISNUMBER(SEARCH("father",LOWER(AF145))),ISNUMBER(SEARCH("sister",LOWER(AF145)))),"Family / Dependency","Other"))))))))))</f>
        <v/>
      </c>
      <c r="AH145">
        <f>IF(A145="","",'01_Master_Data'!AC145)</f>
        <v/>
      </c>
      <c r="AI145">
        <f>IF(A145="","",IF(OR(AH145="",NOT(ISNUMBER(AH145))),"",MAX(0,'02_Configuration'!$B$82-AH145)))</f>
        <v/>
      </c>
      <c r="AJ145">
        <f>IF(A145="","",IF(AI145="","Unknown",IF(AI145&lt;=3,"0–3 Days",IF(AI145&lt;=7,"4–7 Days",IF(AI145&lt;=15,"8–15 Days",IF(AI145&lt;=30,"16–30 Days","30+ Days"))))))</f>
        <v/>
      </c>
      <c r="AK145">
        <f>IF(A145="","",IF(LOWER(H145)="yes","Yes","No"))</f>
        <v/>
      </c>
      <c r="AL145">
        <f>IF(A145="","",'01_Master_Data'!T145)</f>
        <v/>
      </c>
      <c r="AM145">
        <f>IF(A145="","",'01_Master_Data'!S145)</f>
        <v/>
      </c>
      <c r="AN145">
        <f>IF(A145="","",'01_Master_Data'!I145)</f>
        <v/>
      </c>
      <c r="AO145">
        <f>IF(A145="","",'01_Master_Data'!M145)</f>
        <v/>
      </c>
      <c r="AP145">
        <f>IF(A145="","",IF(ISNUMBER(SEARCH("Icici",W145&amp;"")),1,0))</f>
        <v/>
      </c>
      <c r="AQ145">
        <f>IF(A145="","",IF(ISNUMBER(SEARCH("Propelld",W145&amp;"")),1,0))</f>
        <v/>
      </c>
      <c r="AR145">
        <f>IF(A145="","",IF(ISNUMBER(SEARCH("GyanDhan",W145&amp;"")),1,0))</f>
        <v/>
      </c>
      <c r="AS145">
        <f>IF(A145="","",IF(ISNUMBER(SEARCH("vidyalakshmi",LOWER(W145&amp;""))),1,0))</f>
        <v/>
      </c>
      <c r="AT145">
        <f>IF(A145="","",IF(ISNUMBER(SEARCH("other bank",LOWER(W145&amp;""))),1,0))</f>
        <v/>
      </c>
      <c r="AU145">
        <f>IF(A145="","",IF(ISNUMBER(SEARCH("sanctioned",LOWER(W145&amp;""))),1,0))</f>
        <v/>
      </c>
      <c r="AV145">
        <f>IF(A145="","",IF(ISNUMBER(SEARCH("Docs Pending",W145&amp;"")),1,0))</f>
        <v/>
      </c>
      <c r="AW145">
        <f>IF(A145="","",IF(OR(X145="Rejected",ISNUMBER(SEARCH("Not eligbile",W145&amp;""))),1,0))</f>
        <v/>
      </c>
    </row>
    <row r="146">
      <c r="A146">
        <f>IF('01_Master_Data'!B146="","",145)</f>
        <v/>
      </c>
      <c r="B146">
        <f>IF('01_Master_Data'!B146="","",IF('01_Master_Data'!C146&lt;&gt;"","MOB|"&amp;TEXT('01_Master_Data'!C146,"0"),IF('01_Master_Data'!D146&lt;&gt;"","PID|"&amp;TRIM('01_Master_Data'!D146&amp;""),"")))</f>
        <v/>
      </c>
      <c r="C146">
        <f>IF('01_Master_Data'!B146="","",'01_Master_Data'!B146)</f>
        <v/>
      </c>
      <c r="D146">
        <f>IF('01_Master_Data'!B146="","",'01_Master_Data'!C146)</f>
        <v/>
      </c>
      <c r="E146">
        <f>IF('01_Master_Data'!B146="","",'01_Master_Data'!D146)</f>
        <v/>
      </c>
      <c r="F146">
        <f>IF('01_Master_Data'!B146="","",'01_Master_Data'!E146)</f>
        <v/>
      </c>
      <c r="G146">
        <f>IF('01_Master_Data'!B146="","",IFERROR(VLOOKUP(TRIM('01_Master_Data'!E146&amp;""),'02_Configuration'!$A$40:$B$44,2,FALSE),UPPER(TRIM('01_Master_Data'!E146&amp;""))))</f>
        <v/>
      </c>
      <c r="H146">
        <f>IF('01_Master_Data'!B146="","",IF('01_Master_Data'!U146="","",TRIM('01_Master_Data'!U146&amp;"")))</f>
        <v/>
      </c>
      <c r="I146">
        <f>IF('01_Master_Data'!B146="","",TRIM('01_Master_Data'!F146&amp;""))</f>
        <v/>
      </c>
      <c r="J146">
        <f>IF('01_Master_Data'!B146="","",TRIM('01_Master_Data'!G146&amp;""))</f>
        <v/>
      </c>
      <c r="K146">
        <f>IF('01_Master_Data'!B146="","",'01_Master_Data'!H146)</f>
        <v/>
      </c>
      <c r="L146">
        <f>IF('01_Master_Data'!B146="","",IF(LOWER(TRIM('01_Master_Data'!V146&amp;""))="yes",1,0))</f>
        <v/>
      </c>
      <c r="M146">
        <f>IF('01_Master_Data'!B146="","",IF(LOWER(TRIM('01_Master_Data'!W146&amp;""))="yes",1,0))</f>
        <v/>
      </c>
      <c r="N146">
        <f>IF('01_Master_Data'!B146="","",IF(LOWER(TRIM('01_Master_Data'!X146&amp;""))="yes",1,0))</f>
        <v/>
      </c>
      <c r="O146">
        <f>IF('01_Master_Data'!B146="","",IF(LOWER(TRIM('01_Master_Data'!Y146&amp;""))="yes",1,0))</f>
        <v/>
      </c>
      <c r="P146">
        <f>IF('01_Master_Data'!B146="","",IF(LOWER(TRIM('01_Master_Data'!Z146&amp;""))="yes",1,0))</f>
        <v/>
      </c>
      <c r="Q146">
        <f>IF(A146="","",L146+M146+N146+O146+P146)</f>
        <v/>
      </c>
      <c r="R146">
        <f>IF(A146="","",IF(Q146&gt;1,"Yes","No"))</f>
        <v/>
      </c>
      <c r="S146">
        <f>IF(A146="","",TEXTJOIN(", ",TRUE,IF(L146=1,"ICICI",""),IF(M146=1,"Propelld",""),IF(N146=1,"Study4Buddy",""),IF(O146=1,"Poonawala Fincorp",""),IF(P146=1,"GyanDhan","")))</f>
        <v/>
      </c>
      <c r="T146">
        <f>IF(A146="","",IF(L146=1,"ICICI",IF(M146=1,"Propelld",IF(P146=1,"GyanDhan",IF(N146=1,"Study4Buddy",IF(O146=1,"Poonawala Fincorp",IF(ISNUMBER(SEARCH("GyanDhan",W146&amp;"")),"GyanDhan",IF(ISNUMBER(SEARCH("Icici",W146&amp;"")),"ICICI",IF(ISNUMBER(SEARCH("Propelld",W146&amp;"")),"Propelld",IF(ISNUMBER(SEARCH("vidyalakshmi",LOWER(W146&amp;"")),"PM Vidyalakshmi","—"))))))))))</f>
        <v/>
      </c>
      <c r="U146">
        <f>IF(A146="","",TRIM('01_Master_Data'!AA146&amp;""))</f>
        <v/>
      </c>
      <c r="V146">
        <f>IF(A146="","",TRIM('01_Master_Data'!AG146&amp;""))</f>
        <v/>
      </c>
      <c r="W146">
        <f>IF(A146="","",TRIM('01_Master_Data'!AH146&amp;""))</f>
        <v/>
      </c>
      <c r="X146">
        <f>IF(A146="","",IF(OR(LOWER(H146)="refund",LOWER(U146)="refund case"),"Refund",IF(OR(LOWER(H146)="dnp",LOWER(U146)="dnp"),"DNP",IF(OR(LOWER(V146)="disbursed",ISNUMBER(SEARCH("Disbursed",W146&amp;""))),"Disbursed",IF(OR(LOWER(V146)="loan proccessed/accepted",ISNUMBER(SEARCH("sanctioned",LOWER(W146&amp;"")))),"Sanctioned",IF(OR(LOWER(V146)="rejected",ISNUMBER(SEARCH("Not eligbile",W146&amp;"")),ISNUMBER(SEARCH("Not eligible",W146&amp;""))),"Rejected",IF(ISNUMBER(SEARCH("Docs Pending",W146&amp;"")),"Documents Pending",IF(AND(LOWER(H146)="yes",LOWER(V146)="ongoing"),"Processing",IF(AND(LOWER(H146)="yes",Q146&gt;0,OR(V146="",LOWER(V146)="not even started")),"Vendor Assigned",IF(AND(LOWER(H146)="yes",LOWER(V146)="not even started"),"Need Loan",IF(LOWER(H146)="yes","Loan Started",IF(LOWER(H146)="not sure","Interested",IF(OR(LOWER(H146)="no",LOWER(V146)="not required"),"Not Required","Unclassified")))))))))))))</f>
        <v/>
      </c>
      <c r="Y146">
        <f>IF(A146="","",IF(OR(X146="Sanctioned",X146="Disbursed",X146="Approved"),"Approved",IF(X146="Rejected","Rejected",IF(OR(X146="Processing",X146="Documents Pending",X146="Vendor Assigned"),"In Progress",IF(X146="Need Loan","Pending Start","—"))))</f>
        <v/>
      </c>
      <c r="Z146">
        <f>IF(A146="","",IF(X146="Disbursed","Disbursed",IF(X146="Sanctioned","Sanctioned - Awaiting Disbursement","Not Disbursed")))</f>
        <v/>
      </c>
      <c r="AA146">
        <f>IF(A146="","",IF(LOWER(TRIM('01_Master_Data'!AI146&amp;""))="yes","Need FLDG",IF(LOWER(TRIM('01_Master_Data'!AK146&amp;""))="yes","Need Vidyalakshmi",IF(LOWER(TRIM('01_Master_Data'!AJ146&amp;""))="yes","Need Review",IF(LOWER(J146)="critical","Critical",IF(LOWER(U146)="risk","Risk Case",IF(X146="Refund","Refund","Normal")))))))</f>
        <v/>
      </c>
      <c r="AB146">
        <f>IF(A146="","",IF(OR(LOWER(J146)="critical",LOWER(TRIM('01_Master_Data'!AI146&amp;""))="yes",LOWER(TRIM('01_Master_Data'!AK146&amp;""))="yes",LOWER(U146)="risk"),"Yes","No"))</f>
        <v/>
      </c>
      <c r="AC146">
        <f>IF(A146="","",IF(LOWER(TRIM('01_Master_Data'!AI146&amp;""))="yes","Yes","No"))</f>
        <v/>
      </c>
      <c r="AD146">
        <f>IF(A146="","",IF(LOWER(TRIM('01_Master_Data'!AK146&amp;""))="yes","Yes","No"))</f>
        <v/>
      </c>
      <c r="AE146">
        <f>IF(A146="","",IF(LOWER(TRIM('01_Master_Data'!AJ146&amp;""))="yes","Yes","No"))</f>
        <v/>
      </c>
      <c r="AF146">
        <f>IF(A146="","",TRIM('01_Master_Data'!AL146&amp;""))</f>
        <v/>
      </c>
      <c r="AG146">
        <f>IF(A146="","",IF(AF146="","—",IF(ISNUMBER(SEARCH("DNP",AF146)),"Unreachable / DNP",IF(ISNUMBER(SEARCH("interest",LOWER(AF146))),"High Interest / Terms",IF(OR(ISNUMBER(SEARCH("eligib",LOWER(AF146))),ISNUMBER(SEARCH("income",LOWER(AF146)))),"Eligibility / Income",IF(OR(ISNUMBER(SEARCH("start",LOWER(AF146))),ISNUMBER(SEARCH("Newer",AF146)),ISNUMBER(SEARCH("Will start",AF146))),"Process Yet to Start",IF(ISNUMBER(SEARCH("sure",LOWER(AF146))),"Undecided",IF(OR(ISNUMBER(SEARCH("reject",LOWER(AF146))),ISNUMBER(SEARCH("SBI",AF146))),"Rejected Elsewhere",IF(ISNUMBER(SEARCH("call",LOWER(AF146))),"Bank Communication",IF(OR(ISNUMBER(SEARCH("father",LOWER(AF146))),ISNUMBER(SEARCH("sister",LOWER(AF146)))),"Family / Dependency","Other"))))))))))</f>
        <v/>
      </c>
      <c r="AH146">
        <f>IF(A146="","",'01_Master_Data'!AC146)</f>
        <v/>
      </c>
      <c r="AI146">
        <f>IF(A146="","",IF(OR(AH146="",NOT(ISNUMBER(AH146))),"",MAX(0,'02_Configuration'!$B$82-AH146)))</f>
        <v/>
      </c>
      <c r="AJ146">
        <f>IF(A146="","",IF(AI146="","Unknown",IF(AI146&lt;=3,"0–3 Days",IF(AI146&lt;=7,"4–7 Days",IF(AI146&lt;=15,"8–15 Days",IF(AI146&lt;=30,"16–30 Days","30+ Days"))))))</f>
        <v/>
      </c>
      <c r="AK146">
        <f>IF(A146="","",IF(LOWER(H146)="yes","Yes","No"))</f>
        <v/>
      </c>
      <c r="AL146">
        <f>IF(A146="","",'01_Master_Data'!T146)</f>
        <v/>
      </c>
      <c r="AM146">
        <f>IF(A146="","",'01_Master_Data'!S146)</f>
        <v/>
      </c>
      <c r="AN146">
        <f>IF(A146="","",'01_Master_Data'!I146)</f>
        <v/>
      </c>
      <c r="AO146">
        <f>IF(A146="","",'01_Master_Data'!M146)</f>
        <v/>
      </c>
      <c r="AP146">
        <f>IF(A146="","",IF(ISNUMBER(SEARCH("Icici",W146&amp;"")),1,0))</f>
        <v/>
      </c>
      <c r="AQ146">
        <f>IF(A146="","",IF(ISNUMBER(SEARCH("Propelld",W146&amp;"")),1,0))</f>
        <v/>
      </c>
      <c r="AR146">
        <f>IF(A146="","",IF(ISNUMBER(SEARCH("GyanDhan",W146&amp;"")),1,0))</f>
        <v/>
      </c>
      <c r="AS146">
        <f>IF(A146="","",IF(ISNUMBER(SEARCH("vidyalakshmi",LOWER(W146&amp;""))),1,0))</f>
        <v/>
      </c>
      <c r="AT146">
        <f>IF(A146="","",IF(ISNUMBER(SEARCH("other bank",LOWER(W146&amp;""))),1,0))</f>
        <v/>
      </c>
      <c r="AU146">
        <f>IF(A146="","",IF(ISNUMBER(SEARCH("sanctioned",LOWER(W146&amp;""))),1,0))</f>
        <v/>
      </c>
      <c r="AV146">
        <f>IF(A146="","",IF(ISNUMBER(SEARCH("Docs Pending",W146&amp;"")),1,0))</f>
        <v/>
      </c>
      <c r="AW146">
        <f>IF(A146="","",IF(OR(X146="Rejected",ISNUMBER(SEARCH("Not eligbile",W146&amp;""))),1,0))</f>
        <v/>
      </c>
    </row>
    <row r="147">
      <c r="A147">
        <f>IF('01_Master_Data'!B147="","",146)</f>
        <v/>
      </c>
      <c r="B147">
        <f>IF('01_Master_Data'!B147="","",IF('01_Master_Data'!C147&lt;&gt;"","MOB|"&amp;TEXT('01_Master_Data'!C147,"0"),IF('01_Master_Data'!D147&lt;&gt;"","PID|"&amp;TRIM('01_Master_Data'!D147&amp;""),"")))</f>
        <v/>
      </c>
      <c r="C147">
        <f>IF('01_Master_Data'!B147="","",'01_Master_Data'!B147)</f>
        <v/>
      </c>
      <c r="D147">
        <f>IF('01_Master_Data'!B147="","",'01_Master_Data'!C147)</f>
        <v/>
      </c>
      <c r="E147">
        <f>IF('01_Master_Data'!B147="","",'01_Master_Data'!D147)</f>
        <v/>
      </c>
      <c r="F147">
        <f>IF('01_Master_Data'!B147="","",'01_Master_Data'!E147)</f>
        <v/>
      </c>
      <c r="G147">
        <f>IF('01_Master_Data'!B147="","",IFERROR(VLOOKUP(TRIM('01_Master_Data'!E147&amp;""),'02_Configuration'!$A$40:$B$44,2,FALSE),UPPER(TRIM('01_Master_Data'!E147&amp;""))))</f>
        <v/>
      </c>
      <c r="H147">
        <f>IF('01_Master_Data'!B147="","",IF('01_Master_Data'!U147="","",TRIM('01_Master_Data'!U147&amp;"")))</f>
        <v/>
      </c>
      <c r="I147">
        <f>IF('01_Master_Data'!B147="","",TRIM('01_Master_Data'!F147&amp;""))</f>
        <v/>
      </c>
      <c r="J147">
        <f>IF('01_Master_Data'!B147="","",TRIM('01_Master_Data'!G147&amp;""))</f>
        <v/>
      </c>
      <c r="K147">
        <f>IF('01_Master_Data'!B147="","",'01_Master_Data'!H147)</f>
        <v/>
      </c>
      <c r="L147">
        <f>IF('01_Master_Data'!B147="","",IF(LOWER(TRIM('01_Master_Data'!V147&amp;""))="yes",1,0))</f>
        <v/>
      </c>
      <c r="M147">
        <f>IF('01_Master_Data'!B147="","",IF(LOWER(TRIM('01_Master_Data'!W147&amp;""))="yes",1,0))</f>
        <v/>
      </c>
      <c r="N147">
        <f>IF('01_Master_Data'!B147="","",IF(LOWER(TRIM('01_Master_Data'!X147&amp;""))="yes",1,0))</f>
        <v/>
      </c>
      <c r="O147">
        <f>IF('01_Master_Data'!B147="","",IF(LOWER(TRIM('01_Master_Data'!Y147&amp;""))="yes",1,0))</f>
        <v/>
      </c>
      <c r="P147">
        <f>IF('01_Master_Data'!B147="","",IF(LOWER(TRIM('01_Master_Data'!Z147&amp;""))="yes",1,0))</f>
        <v/>
      </c>
      <c r="Q147">
        <f>IF(A147="","",L147+M147+N147+O147+P147)</f>
        <v/>
      </c>
      <c r="R147">
        <f>IF(A147="","",IF(Q147&gt;1,"Yes","No"))</f>
        <v/>
      </c>
      <c r="S147">
        <f>IF(A147="","",TEXTJOIN(", ",TRUE,IF(L147=1,"ICICI",""),IF(M147=1,"Propelld",""),IF(N147=1,"Study4Buddy",""),IF(O147=1,"Poonawala Fincorp",""),IF(P147=1,"GyanDhan","")))</f>
        <v/>
      </c>
      <c r="T147">
        <f>IF(A147="","",IF(L147=1,"ICICI",IF(M147=1,"Propelld",IF(P147=1,"GyanDhan",IF(N147=1,"Study4Buddy",IF(O147=1,"Poonawala Fincorp",IF(ISNUMBER(SEARCH("GyanDhan",W147&amp;"")),"GyanDhan",IF(ISNUMBER(SEARCH("Icici",W147&amp;"")),"ICICI",IF(ISNUMBER(SEARCH("Propelld",W147&amp;"")),"Propelld",IF(ISNUMBER(SEARCH("vidyalakshmi",LOWER(W147&amp;"")),"PM Vidyalakshmi","—"))))))))))</f>
        <v/>
      </c>
      <c r="U147">
        <f>IF(A147="","",TRIM('01_Master_Data'!AA147&amp;""))</f>
        <v/>
      </c>
      <c r="V147">
        <f>IF(A147="","",TRIM('01_Master_Data'!AG147&amp;""))</f>
        <v/>
      </c>
      <c r="W147">
        <f>IF(A147="","",TRIM('01_Master_Data'!AH147&amp;""))</f>
        <v/>
      </c>
      <c r="X147">
        <f>IF(A147="","",IF(OR(LOWER(H147)="refund",LOWER(U147)="refund case"),"Refund",IF(OR(LOWER(H147)="dnp",LOWER(U147)="dnp"),"DNP",IF(OR(LOWER(V147)="disbursed",ISNUMBER(SEARCH("Disbursed",W147&amp;""))),"Disbursed",IF(OR(LOWER(V147)="loan proccessed/accepted",ISNUMBER(SEARCH("sanctioned",LOWER(W147&amp;"")))),"Sanctioned",IF(OR(LOWER(V147)="rejected",ISNUMBER(SEARCH("Not eligbile",W147&amp;"")),ISNUMBER(SEARCH("Not eligible",W147&amp;""))),"Rejected",IF(ISNUMBER(SEARCH("Docs Pending",W147&amp;"")),"Documents Pending",IF(AND(LOWER(H147)="yes",LOWER(V147)="ongoing"),"Processing",IF(AND(LOWER(H147)="yes",Q147&gt;0,OR(V147="",LOWER(V147)="not even started")),"Vendor Assigned",IF(AND(LOWER(H147)="yes",LOWER(V147)="not even started"),"Need Loan",IF(LOWER(H147)="yes","Loan Started",IF(LOWER(H147)="not sure","Interested",IF(OR(LOWER(H147)="no",LOWER(V147)="not required"),"Not Required","Unclassified")))))))))))))</f>
        <v/>
      </c>
      <c r="Y147">
        <f>IF(A147="","",IF(OR(X147="Sanctioned",X147="Disbursed",X147="Approved"),"Approved",IF(X147="Rejected","Rejected",IF(OR(X147="Processing",X147="Documents Pending",X147="Vendor Assigned"),"In Progress",IF(X147="Need Loan","Pending Start","—"))))</f>
        <v/>
      </c>
      <c r="Z147">
        <f>IF(A147="","",IF(X147="Disbursed","Disbursed",IF(X147="Sanctioned","Sanctioned - Awaiting Disbursement","Not Disbursed")))</f>
        <v/>
      </c>
      <c r="AA147">
        <f>IF(A147="","",IF(LOWER(TRIM('01_Master_Data'!AI147&amp;""))="yes","Need FLDG",IF(LOWER(TRIM('01_Master_Data'!AK147&amp;""))="yes","Need Vidyalakshmi",IF(LOWER(TRIM('01_Master_Data'!AJ147&amp;""))="yes","Need Review",IF(LOWER(J147)="critical","Critical",IF(LOWER(U147)="risk","Risk Case",IF(X147="Refund","Refund","Normal")))))))</f>
        <v/>
      </c>
      <c r="AB147">
        <f>IF(A147="","",IF(OR(LOWER(J147)="critical",LOWER(TRIM('01_Master_Data'!AI147&amp;""))="yes",LOWER(TRIM('01_Master_Data'!AK147&amp;""))="yes",LOWER(U147)="risk"),"Yes","No"))</f>
        <v/>
      </c>
      <c r="AC147">
        <f>IF(A147="","",IF(LOWER(TRIM('01_Master_Data'!AI147&amp;""))="yes","Yes","No"))</f>
        <v/>
      </c>
      <c r="AD147">
        <f>IF(A147="","",IF(LOWER(TRIM('01_Master_Data'!AK147&amp;""))="yes","Yes","No"))</f>
        <v/>
      </c>
      <c r="AE147">
        <f>IF(A147="","",IF(LOWER(TRIM('01_Master_Data'!AJ147&amp;""))="yes","Yes","No"))</f>
        <v/>
      </c>
      <c r="AF147">
        <f>IF(A147="","",TRIM('01_Master_Data'!AL147&amp;""))</f>
        <v/>
      </c>
      <c r="AG147">
        <f>IF(A147="","",IF(AF147="","—",IF(ISNUMBER(SEARCH("DNP",AF147)),"Unreachable / DNP",IF(ISNUMBER(SEARCH("interest",LOWER(AF147))),"High Interest / Terms",IF(OR(ISNUMBER(SEARCH("eligib",LOWER(AF147))),ISNUMBER(SEARCH("income",LOWER(AF147)))),"Eligibility / Income",IF(OR(ISNUMBER(SEARCH("start",LOWER(AF147))),ISNUMBER(SEARCH("Newer",AF147)),ISNUMBER(SEARCH("Will start",AF147))),"Process Yet to Start",IF(ISNUMBER(SEARCH("sure",LOWER(AF147))),"Undecided",IF(OR(ISNUMBER(SEARCH("reject",LOWER(AF147))),ISNUMBER(SEARCH("SBI",AF147))),"Rejected Elsewhere",IF(ISNUMBER(SEARCH("call",LOWER(AF147))),"Bank Communication",IF(OR(ISNUMBER(SEARCH("father",LOWER(AF147))),ISNUMBER(SEARCH("sister",LOWER(AF147)))),"Family / Dependency","Other"))))))))))</f>
        <v/>
      </c>
      <c r="AH147">
        <f>IF(A147="","",'01_Master_Data'!AC147)</f>
        <v/>
      </c>
      <c r="AI147">
        <f>IF(A147="","",IF(OR(AH147="",NOT(ISNUMBER(AH147))),"",MAX(0,'02_Configuration'!$B$82-AH147)))</f>
        <v/>
      </c>
      <c r="AJ147">
        <f>IF(A147="","",IF(AI147="","Unknown",IF(AI147&lt;=3,"0–3 Days",IF(AI147&lt;=7,"4–7 Days",IF(AI147&lt;=15,"8–15 Days",IF(AI147&lt;=30,"16–30 Days","30+ Days"))))))</f>
        <v/>
      </c>
      <c r="AK147">
        <f>IF(A147="","",IF(LOWER(H147)="yes","Yes","No"))</f>
        <v/>
      </c>
      <c r="AL147">
        <f>IF(A147="","",'01_Master_Data'!T147)</f>
        <v/>
      </c>
      <c r="AM147">
        <f>IF(A147="","",'01_Master_Data'!S147)</f>
        <v/>
      </c>
      <c r="AN147">
        <f>IF(A147="","",'01_Master_Data'!I147)</f>
        <v/>
      </c>
      <c r="AO147">
        <f>IF(A147="","",'01_Master_Data'!M147)</f>
        <v/>
      </c>
      <c r="AP147">
        <f>IF(A147="","",IF(ISNUMBER(SEARCH("Icici",W147&amp;"")),1,0))</f>
        <v/>
      </c>
      <c r="AQ147">
        <f>IF(A147="","",IF(ISNUMBER(SEARCH("Propelld",W147&amp;"")),1,0))</f>
        <v/>
      </c>
      <c r="AR147">
        <f>IF(A147="","",IF(ISNUMBER(SEARCH("GyanDhan",W147&amp;"")),1,0))</f>
        <v/>
      </c>
      <c r="AS147">
        <f>IF(A147="","",IF(ISNUMBER(SEARCH("vidyalakshmi",LOWER(W147&amp;""))),1,0))</f>
        <v/>
      </c>
      <c r="AT147">
        <f>IF(A147="","",IF(ISNUMBER(SEARCH("other bank",LOWER(W147&amp;""))),1,0))</f>
        <v/>
      </c>
      <c r="AU147">
        <f>IF(A147="","",IF(ISNUMBER(SEARCH("sanctioned",LOWER(W147&amp;""))),1,0))</f>
        <v/>
      </c>
      <c r="AV147">
        <f>IF(A147="","",IF(ISNUMBER(SEARCH("Docs Pending",W147&amp;"")),1,0))</f>
        <v/>
      </c>
      <c r="AW147">
        <f>IF(A147="","",IF(OR(X147="Rejected",ISNUMBER(SEARCH("Not eligbile",W147&amp;""))),1,0))</f>
        <v/>
      </c>
    </row>
    <row r="148">
      <c r="A148">
        <f>IF('01_Master_Data'!B148="","",147)</f>
        <v/>
      </c>
      <c r="B148">
        <f>IF('01_Master_Data'!B148="","",IF('01_Master_Data'!C148&lt;&gt;"","MOB|"&amp;TEXT('01_Master_Data'!C148,"0"),IF('01_Master_Data'!D148&lt;&gt;"","PID|"&amp;TRIM('01_Master_Data'!D148&amp;""),"")))</f>
        <v/>
      </c>
      <c r="C148">
        <f>IF('01_Master_Data'!B148="","",'01_Master_Data'!B148)</f>
        <v/>
      </c>
      <c r="D148">
        <f>IF('01_Master_Data'!B148="","",'01_Master_Data'!C148)</f>
        <v/>
      </c>
      <c r="E148">
        <f>IF('01_Master_Data'!B148="","",'01_Master_Data'!D148)</f>
        <v/>
      </c>
      <c r="F148">
        <f>IF('01_Master_Data'!B148="","",'01_Master_Data'!E148)</f>
        <v/>
      </c>
      <c r="G148">
        <f>IF('01_Master_Data'!B148="","",IFERROR(VLOOKUP(TRIM('01_Master_Data'!E148&amp;""),'02_Configuration'!$A$40:$B$44,2,FALSE),UPPER(TRIM('01_Master_Data'!E148&amp;""))))</f>
        <v/>
      </c>
      <c r="H148">
        <f>IF('01_Master_Data'!B148="","",IF('01_Master_Data'!U148="","",TRIM('01_Master_Data'!U148&amp;"")))</f>
        <v/>
      </c>
      <c r="I148">
        <f>IF('01_Master_Data'!B148="","",TRIM('01_Master_Data'!F148&amp;""))</f>
        <v/>
      </c>
      <c r="J148">
        <f>IF('01_Master_Data'!B148="","",TRIM('01_Master_Data'!G148&amp;""))</f>
        <v/>
      </c>
      <c r="K148">
        <f>IF('01_Master_Data'!B148="","",'01_Master_Data'!H148)</f>
        <v/>
      </c>
      <c r="L148">
        <f>IF('01_Master_Data'!B148="","",IF(LOWER(TRIM('01_Master_Data'!V148&amp;""))="yes",1,0))</f>
        <v/>
      </c>
      <c r="M148">
        <f>IF('01_Master_Data'!B148="","",IF(LOWER(TRIM('01_Master_Data'!W148&amp;""))="yes",1,0))</f>
        <v/>
      </c>
      <c r="N148">
        <f>IF('01_Master_Data'!B148="","",IF(LOWER(TRIM('01_Master_Data'!X148&amp;""))="yes",1,0))</f>
        <v/>
      </c>
      <c r="O148">
        <f>IF('01_Master_Data'!B148="","",IF(LOWER(TRIM('01_Master_Data'!Y148&amp;""))="yes",1,0))</f>
        <v/>
      </c>
      <c r="P148">
        <f>IF('01_Master_Data'!B148="","",IF(LOWER(TRIM('01_Master_Data'!Z148&amp;""))="yes",1,0))</f>
        <v/>
      </c>
      <c r="Q148">
        <f>IF(A148="","",L148+M148+N148+O148+P148)</f>
        <v/>
      </c>
      <c r="R148">
        <f>IF(A148="","",IF(Q148&gt;1,"Yes","No"))</f>
        <v/>
      </c>
      <c r="S148">
        <f>IF(A148="","",TEXTJOIN(", ",TRUE,IF(L148=1,"ICICI",""),IF(M148=1,"Propelld",""),IF(N148=1,"Study4Buddy",""),IF(O148=1,"Poonawala Fincorp",""),IF(P148=1,"GyanDhan","")))</f>
        <v/>
      </c>
      <c r="T148">
        <f>IF(A148="","",IF(L148=1,"ICICI",IF(M148=1,"Propelld",IF(P148=1,"GyanDhan",IF(N148=1,"Study4Buddy",IF(O148=1,"Poonawala Fincorp",IF(ISNUMBER(SEARCH("GyanDhan",W148&amp;"")),"GyanDhan",IF(ISNUMBER(SEARCH("Icici",W148&amp;"")),"ICICI",IF(ISNUMBER(SEARCH("Propelld",W148&amp;"")),"Propelld",IF(ISNUMBER(SEARCH("vidyalakshmi",LOWER(W148&amp;"")),"PM Vidyalakshmi","—"))))))))))</f>
        <v/>
      </c>
      <c r="U148">
        <f>IF(A148="","",TRIM('01_Master_Data'!AA148&amp;""))</f>
        <v/>
      </c>
      <c r="V148">
        <f>IF(A148="","",TRIM('01_Master_Data'!AG148&amp;""))</f>
        <v/>
      </c>
      <c r="W148">
        <f>IF(A148="","",TRIM('01_Master_Data'!AH148&amp;""))</f>
        <v/>
      </c>
      <c r="X148">
        <f>IF(A148="","",IF(OR(LOWER(H148)="refund",LOWER(U148)="refund case"),"Refund",IF(OR(LOWER(H148)="dnp",LOWER(U148)="dnp"),"DNP",IF(OR(LOWER(V148)="disbursed",ISNUMBER(SEARCH("Disbursed",W148&amp;""))),"Disbursed",IF(OR(LOWER(V148)="loan proccessed/accepted",ISNUMBER(SEARCH("sanctioned",LOWER(W148&amp;"")))),"Sanctioned",IF(OR(LOWER(V148)="rejected",ISNUMBER(SEARCH("Not eligbile",W148&amp;"")),ISNUMBER(SEARCH("Not eligible",W148&amp;""))),"Rejected",IF(ISNUMBER(SEARCH("Docs Pending",W148&amp;"")),"Documents Pending",IF(AND(LOWER(H148)="yes",LOWER(V148)="ongoing"),"Processing",IF(AND(LOWER(H148)="yes",Q148&gt;0,OR(V148="",LOWER(V148)="not even started")),"Vendor Assigned",IF(AND(LOWER(H148)="yes",LOWER(V148)="not even started"),"Need Loan",IF(LOWER(H148)="yes","Loan Started",IF(LOWER(H148)="not sure","Interested",IF(OR(LOWER(H148)="no",LOWER(V148)="not required"),"Not Required","Unclassified")))))))))))))</f>
        <v/>
      </c>
      <c r="Y148">
        <f>IF(A148="","",IF(OR(X148="Sanctioned",X148="Disbursed",X148="Approved"),"Approved",IF(X148="Rejected","Rejected",IF(OR(X148="Processing",X148="Documents Pending",X148="Vendor Assigned"),"In Progress",IF(X148="Need Loan","Pending Start","—"))))</f>
        <v/>
      </c>
      <c r="Z148">
        <f>IF(A148="","",IF(X148="Disbursed","Disbursed",IF(X148="Sanctioned","Sanctioned - Awaiting Disbursement","Not Disbursed")))</f>
        <v/>
      </c>
      <c r="AA148">
        <f>IF(A148="","",IF(LOWER(TRIM('01_Master_Data'!AI148&amp;""))="yes","Need FLDG",IF(LOWER(TRIM('01_Master_Data'!AK148&amp;""))="yes","Need Vidyalakshmi",IF(LOWER(TRIM('01_Master_Data'!AJ148&amp;""))="yes","Need Review",IF(LOWER(J148)="critical","Critical",IF(LOWER(U148)="risk","Risk Case",IF(X148="Refund","Refund","Normal")))))))</f>
        <v/>
      </c>
      <c r="AB148">
        <f>IF(A148="","",IF(OR(LOWER(J148)="critical",LOWER(TRIM('01_Master_Data'!AI148&amp;""))="yes",LOWER(TRIM('01_Master_Data'!AK148&amp;""))="yes",LOWER(U148)="risk"),"Yes","No"))</f>
        <v/>
      </c>
      <c r="AC148">
        <f>IF(A148="","",IF(LOWER(TRIM('01_Master_Data'!AI148&amp;""))="yes","Yes","No"))</f>
        <v/>
      </c>
      <c r="AD148">
        <f>IF(A148="","",IF(LOWER(TRIM('01_Master_Data'!AK148&amp;""))="yes","Yes","No"))</f>
        <v/>
      </c>
      <c r="AE148">
        <f>IF(A148="","",IF(LOWER(TRIM('01_Master_Data'!AJ148&amp;""))="yes","Yes","No"))</f>
        <v/>
      </c>
      <c r="AF148">
        <f>IF(A148="","",TRIM('01_Master_Data'!AL148&amp;""))</f>
        <v/>
      </c>
      <c r="AG148">
        <f>IF(A148="","",IF(AF148="","—",IF(ISNUMBER(SEARCH("DNP",AF148)),"Unreachable / DNP",IF(ISNUMBER(SEARCH("interest",LOWER(AF148))),"High Interest / Terms",IF(OR(ISNUMBER(SEARCH("eligib",LOWER(AF148))),ISNUMBER(SEARCH("income",LOWER(AF148)))),"Eligibility / Income",IF(OR(ISNUMBER(SEARCH("start",LOWER(AF148))),ISNUMBER(SEARCH("Newer",AF148)),ISNUMBER(SEARCH("Will start",AF148))),"Process Yet to Start",IF(ISNUMBER(SEARCH("sure",LOWER(AF148))),"Undecided",IF(OR(ISNUMBER(SEARCH("reject",LOWER(AF148))),ISNUMBER(SEARCH("SBI",AF148))),"Rejected Elsewhere",IF(ISNUMBER(SEARCH("call",LOWER(AF148))),"Bank Communication",IF(OR(ISNUMBER(SEARCH("father",LOWER(AF148))),ISNUMBER(SEARCH("sister",LOWER(AF148)))),"Family / Dependency","Other"))))))))))</f>
        <v/>
      </c>
      <c r="AH148">
        <f>IF(A148="","",'01_Master_Data'!AC148)</f>
        <v/>
      </c>
      <c r="AI148">
        <f>IF(A148="","",IF(OR(AH148="",NOT(ISNUMBER(AH148))),"",MAX(0,'02_Configuration'!$B$82-AH148)))</f>
        <v/>
      </c>
      <c r="AJ148">
        <f>IF(A148="","",IF(AI148="","Unknown",IF(AI148&lt;=3,"0–3 Days",IF(AI148&lt;=7,"4–7 Days",IF(AI148&lt;=15,"8–15 Days",IF(AI148&lt;=30,"16–30 Days","30+ Days"))))))</f>
        <v/>
      </c>
      <c r="AK148">
        <f>IF(A148="","",IF(LOWER(H148)="yes","Yes","No"))</f>
        <v/>
      </c>
      <c r="AL148">
        <f>IF(A148="","",'01_Master_Data'!T148)</f>
        <v/>
      </c>
      <c r="AM148">
        <f>IF(A148="","",'01_Master_Data'!S148)</f>
        <v/>
      </c>
      <c r="AN148">
        <f>IF(A148="","",'01_Master_Data'!I148)</f>
        <v/>
      </c>
      <c r="AO148">
        <f>IF(A148="","",'01_Master_Data'!M148)</f>
        <v/>
      </c>
      <c r="AP148">
        <f>IF(A148="","",IF(ISNUMBER(SEARCH("Icici",W148&amp;"")),1,0))</f>
        <v/>
      </c>
      <c r="AQ148">
        <f>IF(A148="","",IF(ISNUMBER(SEARCH("Propelld",W148&amp;"")),1,0))</f>
        <v/>
      </c>
      <c r="AR148">
        <f>IF(A148="","",IF(ISNUMBER(SEARCH("GyanDhan",W148&amp;"")),1,0))</f>
        <v/>
      </c>
      <c r="AS148">
        <f>IF(A148="","",IF(ISNUMBER(SEARCH("vidyalakshmi",LOWER(W148&amp;""))),1,0))</f>
        <v/>
      </c>
      <c r="AT148">
        <f>IF(A148="","",IF(ISNUMBER(SEARCH("other bank",LOWER(W148&amp;""))),1,0))</f>
        <v/>
      </c>
      <c r="AU148">
        <f>IF(A148="","",IF(ISNUMBER(SEARCH("sanctioned",LOWER(W148&amp;""))),1,0))</f>
        <v/>
      </c>
      <c r="AV148">
        <f>IF(A148="","",IF(ISNUMBER(SEARCH("Docs Pending",W148&amp;"")),1,0))</f>
        <v/>
      </c>
      <c r="AW148">
        <f>IF(A148="","",IF(OR(X148="Rejected",ISNUMBER(SEARCH("Not eligbile",W148&amp;""))),1,0))</f>
        <v/>
      </c>
    </row>
    <row r="149">
      <c r="A149">
        <f>IF('01_Master_Data'!B149="","",148)</f>
        <v/>
      </c>
      <c r="B149">
        <f>IF('01_Master_Data'!B149="","",IF('01_Master_Data'!C149&lt;&gt;"","MOB|"&amp;TEXT('01_Master_Data'!C149,"0"),IF('01_Master_Data'!D149&lt;&gt;"","PID|"&amp;TRIM('01_Master_Data'!D149&amp;""),"")))</f>
        <v/>
      </c>
      <c r="C149">
        <f>IF('01_Master_Data'!B149="","",'01_Master_Data'!B149)</f>
        <v/>
      </c>
      <c r="D149">
        <f>IF('01_Master_Data'!B149="","",'01_Master_Data'!C149)</f>
        <v/>
      </c>
      <c r="E149">
        <f>IF('01_Master_Data'!B149="","",'01_Master_Data'!D149)</f>
        <v/>
      </c>
      <c r="F149">
        <f>IF('01_Master_Data'!B149="","",'01_Master_Data'!E149)</f>
        <v/>
      </c>
      <c r="G149">
        <f>IF('01_Master_Data'!B149="","",IFERROR(VLOOKUP(TRIM('01_Master_Data'!E149&amp;""),'02_Configuration'!$A$40:$B$44,2,FALSE),UPPER(TRIM('01_Master_Data'!E149&amp;""))))</f>
        <v/>
      </c>
      <c r="H149">
        <f>IF('01_Master_Data'!B149="","",IF('01_Master_Data'!U149="","",TRIM('01_Master_Data'!U149&amp;"")))</f>
        <v/>
      </c>
      <c r="I149">
        <f>IF('01_Master_Data'!B149="","",TRIM('01_Master_Data'!F149&amp;""))</f>
        <v/>
      </c>
      <c r="J149">
        <f>IF('01_Master_Data'!B149="","",TRIM('01_Master_Data'!G149&amp;""))</f>
        <v/>
      </c>
      <c r="K149">
        <f>IF('01_Master_Data'!B149="","",'01_Master_Data'!H149)</f>
        <v/>
      </c>
      <c r="L149">
        <f>IF('01_Master_Data'!B149="","",IF(LOWER(TRIM('01_Master_Data'!V149&amp;""))="yes",1,0))</f>
        <v/>
      </c>
      <c r="M149">
        <f>IF('01_Master_Data'!B149="","",IF(LOWER(TRIM('01_Master_Data'!W149&amp;""))="yes",1,0))</f>
        <v/>
      </c>
      <c r="N149">
        <f>IF('01_Master_Data'!B149="","",IF(LOWER(TRIM('01_Master_Data'!X149&amp;""))="yes",1,0))</f>
        <v/>
      </c>
      <c r="O149">
        <f>IF('01_Master_Data'!B149="","",IF(LOWER(TRIM('01_Master_Data'!Y149&amp;""))="yes",1,0))</f>
        <v/>
      </c>
      <c r="P149">
        <f>IF('01_Master_Data'!B149="","",IF(LOWER(TRIM('01_Master_Data'!Z149&amp;""))="yes",1,0))</f>
        <v/>
      </c>
      <c r="Q149">
        <f>IF(A149="","",L149+M149+N149+O149+P149)</f>
        <v/>
      </c>
      <c r="R149">
        <f>IF(A149="","",IF(Q149&gt;1,"Yes","No"))</f>
        <v/>
      </c>
      <c r="S149">
        <f>IF(A149="","",TEXTJOIN(", ",TRUE,IF(L149=1,"ICICI",""),IF(M149=1,"Propelld",""),IF(N149=1,"Study4Buddy",""),IF(O149=1,"Poonawala Fincorp",""),IF(P149=1,"GyanDhan","")))</f>
        <v/>
      </c>
      <c r="T149">
        <f>IF(A149="","",IF(L149=1,"ICICI",IF(M149=1,"Propelld",IF(P149=1,"GyanDhan",IF(N149=1,"Study4Buddy",IF(O149=1,"Poonawala Fincorp",IF(ISNUMBER(SEARCH("GyanDhan",W149&amp;"")),"GyanDhan",IF(ISNUMBER(SEARCH("Icici",W149&amp;"")),"ICICI",IF(ISNUMBER(SEARCH("Propelld",W149&amp;"")),"Propelld",IF(ISNUMBER(SEARCH("vidyalakshmi",LOWER(W149&amp;"")),"PM Vidyalakshmi","—"))))))))))</f>
        <v/>
      </c>
      <c r="U149">
        <f>IF(A149="","",TRIM('01_Master_Data'!AA149&amp;""))</f>
        <v/>
      </c>
      <c r="V149">
        <f>IF(A149="","",TRIM('01_Master_Data'!AG149&amp;""))</f>
        <v/>
      </c>
      <c r="W149">
        <f>IF(A149="","",TRIM('01_Master_Data'!AH149&amp;""))</f>
        <v/>
      </c>
      <c r="X149">
        <f>IF(A149="","",IF(OR(LOWER(H149)="refund",LOWER(U149)="refund case"),"Refund",IF(OR(LOWER(H149)="dnp",LOWER(U149)="dnp"),"DNP",IF(OR(LOWER(V149)="disbursed",ISNUMBER(SEARCH("Disbursed",W149&amp;""))),"Disbursed",IF(OR(LOWER(V149)="loan proccessed/accepted",ISNUMBER(SEARCH("sanctioned",LOWER(W149&amp;"")))),"Sanctioned",IF(OR(LOWER(V149)="rejected",ISNUMBER(SEARCH("Not eligbile",W149&amp;"")),ISNUMBER(SEARCH("Not eligible",W149&amp;""))),"Rejected",IF(ISNUMBER(SEARCH("Docs Pending",W149&amp;"")),"Documents Pending",IF(AND(LOWER(H149)="yes",LOWER(V149)="ongoing"),"Processing",IF(AND(LOWER(H149)="yes",Q149&gt;0,OR(V149="",LOWER(V149)="not even started")),"Vendor Assigned",IF(AND(LOWER(H149)="yes",LOWER(V149)="not even started"),"Need Loan",IF(LOWER(H149)="yes","Loan Started",IF(LOWER(H149)="not sure","Interested",IF(OR(LOWER(H149)="no",LOWER(V149)="not required"),"Not Required","Unclassified")))))))))))))</f>
        <v/>
      </c>
      <c r="Y149">
        <f>IF(A149="","",IF(OR(X149="Sanctioned",X149="Disbursed",X149="Approved"),"Approved",IF(X149="Rejected","Rejected",IF(OR(X149="Processing",X149="Documents Pending",X149="Vendor Assigned"),"In Progress",IF(X149="Need Loan","Pending Start","—"))))</f>
        <v/>
      </c>
      <c r="Z149">
        <f>IF(A149="","",IF(X149="Disbursed","Disbursed",IF(X149="Sanctioned","Sanctioned - Awaiting Disbursement","Not Disbursed")))</f>
        <v/>
      </c>
      <c r="AA149">
        <f>IF(A149="","",IF(LOWER(TRIM('01_Master_Data'!AI149&amp;""))="yes","Need FLDG",IF(LOWER(TRIM('01_Master_Data'!AK149&amp;""))="yes","Need Vidyalakshmi",IF(LOWER(TRIM('01_Master_Data'!AJ149&amp;""))="yes","Need Review",IF(LOWER(J149)="critical","Critical",IF(LOWER(U149)="risk","Risk Case",IF(X149="Refund","Refund","Normal")))))))</f>
        <v/>
      </c>
      <c r="AB149">
        <f>IF(A149="","",IF(OR(LOWER(J149)="critical",LOWER(TRIM('01_Master_Data'!AI149&amp;""))="yes",LOWER(TRIM('01_Master_Data'!AK149&amp;""))="yes",LOWER(U149)="risk"),"Yes","No"))</f>
        <v/>
      </c>
      <c r="AC149">
        <f>IF(A149="","",IF(LOWER(TRIM('01_Master_Data'!AI149&amp;""))="yes","Yes","No"))</f>
        <v/>
      </c>
      <c r="AD149">
        <f>IF(A149="","",IF(LOWER(TRIM('01_Master_Data'!AK149&amp;""))="yes","Yes","No"))</f>
        <v/>
      </c>
      <c r="AE149">
        <f>IF(A149="","",IF(LOWER(TRIM('01_Master_Data'!AJ149&amp;""))="yes","Yes","No"))</f>
        <v/>
      </c>
      <c r="AF149">
        <f>IF(A149="","",TRIM('01_Master_Data'!AL149&amp;""))</f>
        <v/>
      </c>
      <c r="AG149">
        <f>IF(A149="","",IF(AF149="","—",IF(ISNUMBER(SEARCH("DNP",AF149)),"Unreachable / DNP",IF(ISNUMBER(SEARCH("interest",LOWER(AF149))),"High Interest / Terms",IF(OR(ISNUMBER(SEARCH("eligib",LOWER(AF149))),ISNUMBER(SEARCH("income",LOWER(AF149)))),"Eligibility / Income",IF(OR(ISNUMBER(SEARCH("start",LOWER(AF149))),ISNUMBER(SEARCH("Newer",AF149)),ISNUMBER(SEARCH("Will start",AF149))),"Process Yet to Start",IF(ISNUMBER(SEARCH("sure",LOWER(AF149))),"Undecided",IF(OR(ISNUMBER(SEARCH("reject",LOWER(AF149))),ISNUMBER(SEARCH("SBI",AF149))),"Rejected Elsewhere",IF(ISNUMBER(SEARCH("call",LOWER(AF149))),"Bank Communication",IF(OR(ISNUMBER(SEARCH("father",LOWER(AF149))),ISNUMBER(SEARCH("sister",LOWER(AF149)))),"Family / Dependency","Other"))))))))))</f>
        <v/>
      </c>
      <c r="AH149">
        <f>IF(A149="","",'01_Master_Data'!AC149)</f>
        <v/>
      </c>
      <c r="AI149">
        <f>IF(A149="","",IF(OR(AH149="",NOT(ISNUMBER(AH149))),"",MAX(0,'02_Configuration'!$B$82-AH149)))</f>
        <v/>
      </c>
      <c r="AJ149">
        <f>IF(A149="","",IF(AI149="","Unknown",IF(AI149&lt;=3,"0–3 Days",IF(AI149&lt;=7,"4–7 Days",IF(AI149&lt;=15,"8–15 Days",IF(AI149&lt;=30,"16–30 Days","30+ Days"))))))</f>
        <v/>
      </c>
      <c r="AK149">
        <f>IF(A149="","",IF(LOWER(H149)="yes","Yes","No"))</f>
        <v/>
      </c>
      <c r="AL149">
        <f>IF(A149="","",'01_Master_Data'!T149)</f>
        <v/>
      </c>
      <c r="AM149">
        <f>IF(A149="","",'01_Master_Data'!S149)</f>
        <v/>
      </c>
      <c r="AN149">
        <f>IF(A149="","",'01_Master_Data'!I149)</f>
        <v/>
      </c>
      <c r="AO149">
        <f>IF(A149="","",'01_Master_Data'!M149)</f>
        <v/>
      </c>
      <c r="AP149">
        <f>IF(A149="","",IF(ISNUMBER(SEARCH("Icici",W149&amp;"")),1,0))</f>
        <v/>
      </c>
      <c r="AQ149">
        <f>IF(A149="","",IF(ISNUMBER(SEARCH("Propelld",W149&amp;"")),1,0))</f>
        <v/>
      </c>
      <c r="AR149">
        <f>IF(A149="","",IF(ISNUMBER(SEARCH("GyanDhan",W149&amp;"")),1,0))</f>
        <v/>
      </c>
      <c r="AS149">
        <f>IF(A149="","",IF(ISNUMBER(SEARCH("vidyalakshmi",LOWER(W149&amp;""))),1,0))</f>
        <v/>
      </c>
      <c r="AT149">
        <f>IF(A149="","",IF(ISNUMBER(SEARCH("other bank",LOWER(W149&amp;""))),1,0))</f>
        <v/>
      </c>
      <c r="AU149">
        <f>IF(A149="","",IF(ISNUMBER(SEARCH("sanctioned",LOWER(W149&amp;""))),1,0))</f>
        <v/>
      </c>
      <c r="AV149">
        <f>IF(A149="","",IF(ISNUMBER(SEARCH("Docs Pending",W149&amp;"")),1,0))</f>
        <v/>
      </c>
      <c r="AW149">
        <f>IF(A149="","",IF(OR(X149="Rejected",ISNUMBER(SEARCH("Not eligbile",W149&amp;""))),1,0))</f>
        <v/>
      </c>
    </row>
    <row r="150">
      <c r="A150">
        <f>IF('01_Master_Data'!B150="","",149)</f>
        <v/>
      </c>
      <c r="B150">
        <f>IF('01_Master_Data'!B150="","",IF('01_Master_Data'!C150&lt;&gt;"","MOB|"&amp;TEXT('01_Master_Data'!C150,"0"),IF('01_Master_Data'!D150&lt;&gt;"","PID|"&amp;TRIM('01_Master_Data'!D150&amp;""),"")))</f>
        <v/>
      </c>
      <c r="C150">
        <f>IF('01_Master_Data'!B150="","",'01_Master_Data'!B150)</f>
        <v/>
      </c>
      <c r="D150">
        <f>IF('01_Master_Data'!B150="","",'01_Master_Data'!C150)</f>
        <v/>
      </c>
      <c r="E150">
        <f>IF('01_Master_Data'!B150="","",'01_Master_Data'!D150)</f>
        <v/>
      </c>
      <c r="F150">
        <f>IF('01_Master_Data'!B150="","",'01_Master_Data'!E150)</f>
        <v/>
      </c>
      <c r="G150">
        <f>IF('01_Master_Data'!B150="","",IFERROR(VLOOKUP(TRIM('01_Master_Data'!E150&amp;""),'02_Configuration'!$A$40:$B$44,2,FALSE),UPPER(TRIM('01_Master_Data'!E150&amp;""))))</f>
        <v/>
      </c>
      <c r="H150">
        <f>IF('01_Master_Data'!B150="","",IF('01_Master_Data'!U150="","",TRIM('01_Master_Data'!U150&amp;"")))</f>
        <v/>
      </c>
      <c r="I150">
        <f>IF('01_Master_Data'!B150="","",TRIM('01_Master_Data'!F150&amp;""))</f>
        <v/>
      </c>
      <c r="J150">
        <f>IF('01_Master_Data'!B150="","",TRIM('01_Master_Data'!G150&amp;""))</f>
        <v/>
      </c>
      <c r="K150">
        <f>IF('01_Master_Data'!B150="","",'01_Master_Data'!H150)</f>
        <v/>
      </c>
      <c r="L150">
        <f>IF('01_Master_Data'!B150="","",IF(LOWER(TRIM('01_Master_Data'!V150&amp;""))="yes",1,0))</f>
        <v/>
      </c>
      <c r="M150">
        <f>IF('01_Master_Data'!B150="","",IF(LOWER(TRIM('01_Master_Data'!W150&amp;""))="yes",1,0))</f>
        <v/>
      </c>
      <c r="N150">
        <f>IF('01_Master_Data'!B150="","",IF(LOWER(TRIM('01_Master_Data'!X150&amp;""))="yes",1,0))</f>
        <v/>
      </c>
      <c r="O150">
        <f>IF('01_Master_Data'!B150="","",IF(LOWER(TRIM('01_Master_Data'!Y150&amp;""))="yes",1,0))</f>
        <v/>
      </c>
      <c r="P150">
        <f>IF('01_Master_Data'!B150="","",IF(LOWER(TRIM('01_Master_Data'!Z150&amp;""))="yes",1,0))</f>
        <v/>
      </c>
      <c r="Q150">
        <f>IF(A150="","",L150+M150+N150+O150+P150)</f>
        <v/>
      </c>
      <c r="R150">
        <f>IF(A150="","",IF(Q150&gt;1,"Yes","No"))</f>
        <v/>
      </c>
      <c r="S150">
        <f>IF(A150="","",TEXTJOIN(", ",TRUE,IF(L150=1,"ICICI",""),IF(M150=1,"Propelld",""),IF(N150=1,"Study4Buddy",""),IF(O150=1,"Poonawala Fincorp",""),IF(P150=1,"GyanDhan","")))</f>
        <v/>
      </c>
      <c r="T150">
        <f>IF(A150="","",IF(L150=1,"ICICI",IF(M150=1,"Propelld",IF(P150=1,"GyanDhan",IF(N150=1,"Study4Buddy",IF(O150=1,"Poonawala Fincorp",IF(ISNUMBER(SEARCH("GyanDhan",W150&amp;"")),"GyanDhan",IF(ISNUMBER(SEARCH("Icici",W150&amp;"")),"ICICI",IF(ISNUMBER(SEARCH("Propelld",W150&amp;"")),"Propelld",IF(ISNUMBER(SEARCH("vidyalakshmi",LOWER(W150&amp;"")),"PM Vidyalakshmi","—"))))))))))</f>
        <v/>
      </c>
      <c r="U150">
        <f>IF(A150="","",TRIM('01_Master_Data'!AA150&amp;""))</f>
        <v/>
      </c>
      <c r="V150">
        <f>IF(A150="","",TRIM('01_Master_Data'!AG150&amp;""))</f>
        <v/>
      </c>
      <c r="W150">
        <f>IF(A150="","",TRIM('01_Master_Data'!AH150&amp;""))</f>
        <v/>
      </c>
      <c r="X150">
        <f>IF(A150="","",IF(OR(LOWER(H150)="refund",LOWER(U150)="refund case"),"Refund",IF(OR(LOWER(H150)="dnp",LOWER(U150)="dnp"),"DNP",IF(OR(LOWER(V150)="disbursed",ISNUMBER(SEARCH("Disbursed",W150&amp;""))),"Disbursed",IF(OR(LOWER(V150)="loan proccessed/accepted",ISNUMBER(SEARCH("sanctioned",LOWER(W150&amp;"")))),"Sanctioned",IF(OR(LOWER(V150)="rejected",ISNUMBER(SEARCH("Not eligbile",W150&amp;"")),ISNUMBER(SEARCH("Not eligible",W150&amp;""))),"Rejected",IF(ISNUMBER(SEARCH("Docs Pending",W150&amp;"")),"Documents Pending",IF(AND(LOWER(H150)="yes",LOWER(V150)="ongoing"),"Processing",IF(AND(LOWER(H150)="yes",Q150&gt;0,OR(V150="",LOWER(V150)="not even started")),"Vendor Assigned",IF(AND(LOWER(H150)="yes",LOWER(V150)="not even started"),"Need Loan",IF(LOWER(H150)="yes","Loan Started",IF(LOWER(H150)="not sure","Interested",IF(OR(LOWER(H150)="no",LOWER(V150)="not required"),"Not Required","Unclassified")))))))))))))</f>
        <v/>
      </c>
      <c r="Y150">
        <f>IF(A150="","",IF(OR(X150="Sanctioned",X150="Disbursed",X150="Approved"),"Approved",IF(X150="Rejected","Rejected",IF(OR(X150="Processing",X150="Documents Pending",X150="Vendor Assigned"),"In Progress",IF(X150="Need Loan","Pending Start","—"))))</f>
        <v/>
      </c>
      <c r="Z150">
        <f>IF(A150="","",IF(X150="Disbursed","Disbursed",IF(X150="Sanctioned","Sanctioned - Awaiting Disbursement","Not Disbursed")))</f>
        <v/>
      </c>
      <c r="AA150">
        <f>IF(A150="","",IF(LOWER(TRIM('01_Master_Data'!AI150&amp;""))="yes","Need FLDG",IF(LOWER(TRIM('01_Master_Data'!AK150&amp;""))="yes","Need Vidyalakshmi",IF(LOWER(TRIM('01_Master_Data'!AJ150&amp;""))="yes","Need Review",IF(LOWER(J150)="critical","Critical",IF(LOWER(U150)="risk","Risk Case",IF(X150="Refund","Refund","Normal")))))))</f>
        <v/>
      </c>
      <c r="AB150">
        <f>IF(A150="","",IF(OR(LOWER(J150)="critical",LOWER(TRIM('01_Master_Data'!AI150&amp;""))="yes",LOWER(TRIM('01_Master_Data'!AK150&amp;""))="yes",LOWER(U150)="risk"),"Yes","No"))</f>
        <v/>
      </c>
      <c r="AC150">
        <f>IF(A150="","",IF(LOWER(TRIM('01_Master_Data'!AI150&amp;""))="yes","Yes","No"))</f>
        <v/>
      </c>
      <c r="AD150">
        <f>IF(A150="","",IF(LOWER(TRIM('01_Master_Data'!AK150&amp;""))="yes","Yes","No"))</f>
        <v/>
      </c>
      <c r="AE150">
        <f>IF(A150="","",IF(LOWER(TRIM('01_Master_Data'!AJ150&amp;""))="yes","Yes","No"))</f>
        <v/>
      </c>
      <c r="AF150">
        <f>IF(A150="","",TRIM('01_Master_Data'!AL150&amp;""))</f>
        <v/>
      </c>
      <c r="AG150">
        <f>IF(A150="","",IF(AF150="","—",IF(ISNUMBER(SEARCH("DNP",AF150)),"Unreachable / DNP",IF(ISNUMBER(SEARCH("interest",LOWER(AF150))),"High Interest / Terms",IF(OR(ISNUMBER(SEARCH("eligib",LOWER(AF150))),ISNUMBER(SEARCH("income",LOWER(AF150)))),"Eligibility / Income",IF(OR(ISNUMBER(SEARCH("start",LOWER(AF150))),ISNUMBER(SEARCH("Newer",AF150)),ISNUMBER(SEARCH("Will start",AF150))),"Process Yet to Start",IF(ISNUMBER(SEARCH("sure",LOWER(AF150))),"Undecided",IF(OR(ISNUMBER(SEARCH("reject",LOWER(AF150))),ISNUMBER(SEARCH("SBI",AF150))),"Rejected Elsewhere",IF(ISNUMBER(SEARCH("call",LOWER(AF150))),"Bank Communication",IF(OR(ISNUMBER(SEARCH("father",LOWER(AF150))),ISNUMBER(SEARCH("sister",LOWER(AF150)))),"Family / Dependency","Other"))))))))))</f>
        <v/>
      </c>
      <c r="AH150">
        <f>IF(A150="","",'01_Master_Data'!AC150)</f>
        <v/>
      </c>
      <c r="AI150">
        <f>IF(A150="","",IF(OR(AH150="",NOT(ISNUMBER(AH150))),"",MAX(0,'02_Configuration'!$B$82-AH150)))</f>
        <v/>
      </c>
      <c r="AJ150">
        <f>IF(A150="","",IF(AI150="","Unknown",IF(AI150&lt;=3,"0–3 Days",IF(AI150&lt;=7,"4–7 Days",IF(AI150&lt;=15,"8–15 Days",IF(AI150&lt;=30,"16–30 Days","30+ Days"))))))</f>
        <v/>
      </c>
      <c r="AK150">
        <f>IF(A150="","",IF(LOWER(H150)="yes","Yes","No"))</f>
        <v/>
      </c>
      <c r="AL150">
        <f>IF(A150="","",'01_Master_Data'!T150)</f>
        <v/>
      </c>
      <c r="AM150">
        <f>IF(A150="","",'01_Master_Data'!S150)</f>
        <v/>
      </c>
      <c r="AN150">
        <f>IF(A150="","",'01_Master_Data'!I150)</f>
        <v/>
      </c>
      <c r="AO150">
        <f>IF(A150="","",'01_Master_Data'!M150)</f>
        <v/>
      </c>
      <c r="AP150">
        <f>IF(A150="","",IF(ISNUMBER(SEARCH("Icici",W150&amp;"")),1,0))</f>
        <v/>
      </c>
      <c r="AQ150">
        <f>IF(A150="","",IF(ISNUMBER(SEARCH("Propelld",W150&amp;"")),1,0))</f>
        <v/>
      </c>
      <c r="AR150">
        <f>IF(A150="","",IF(ISNUMBER(SEARCH("GyanDhan",W150&amp;"")),1,0))</f>
        <v/>
      </c>
      <c r="AS150">
        <f>IF(A150="","",IF(ISNUMBER(SEARCH("vidyalakshmi",LOWER(W150&amp;""))),1,0))</f>
        <v/>
      </c>
      <c r="AT150">
        <f>IF(A150="","",IF(ISNUMBER(SEARCH("other bank",LOWER(W150&amp;""))),1,0))</f>
        <v/>
      </c>
      <c r="AU150">
        <f>IF(A150="","",IF(ISNUMBER(SEARCH("sanctioned",LOWER(W150&amp;""))),1,0))</f>
        <v/>
      </c>
      <c r="AV150">
        <f>IF(A150="","",IF(ISNUMBER(SEARCH("Docs Pending",W150&amp;"")),1,0))</f>
        <v/>
      </c>
      <c r="AW150">
        <f>IF(A150="","",IF(OR(X150="Rejected",ISNUMBER(SEARCH("Not eligbile",W150&amp;""))),1,0))</f>
        <v/>
      </c>
    </row>
    <row r="151">
      <c r="A151">
        <f>IF('01_Master_Data'!B151="","",150)</f>
        <v/>
      </c>
      <c r="B151">
        <f>IF('01_Master_Data'!B151="","",IF('01_Master_Data'!C151&lt;&gt;"","MOB|"&amp;TEXT('01_Master_Data'!C151,"0"),IF('01_Master_Data'!D151&lt;&gt;"","PID|"&amp;TRIM('01_Master_Data'!D151&amp;""),"")))</f>
        <v/>
      </c>
      <c r="C151">
        <f>IF('01_Master_Data'!B151="","",'01_Master_Data'!B151)</f>
        <v/>
      </c>
      <c r="D151">
        <f>IF('01_Master_Data'!B151="","",'01_Master_Data'!C151)</f>
        <v/>
      </c>
      <c r="E151">
        <f>IF('01_Master_Data'!B151="","",'01_Master_Data'!D151)</f>
        <v/>
      </c>
      <c r="F151">
        <f>IF('01_Master_Data'!B151="","",'01_Master_Data'!E151)</f>
        <v/>
      </c>
      <c r="G151">
        <f>IF('01_Master_Data'!B151="","",IFERROR(VLOOKUP(TRIM('01_Master_Data'!E151&amp;""),'02_Configuration'!$A$40:$B$44,2,FALSE),UPPER(TRIM('01_Master_Data'!E151&amp;""))))</f>
        <v/>
      </c>
      <c r="H151">
        <f>IF('01_Master_Data'!B151="","",IF('01_Master_Data'!U151="","",TRIM('01_Master_Data'!U151&amp;"")))</f>
        <v/>
      </c>
      <c r="I151">
        <f>IF('01_Master_Data'!B151="","",TRIM('01_Master_Data'!F151&amp;""))</f>
        <v/>
      </c>
      <c r="J151">
        <f>IF('01_Master_Data'!B151="","",TRIM('01_Master_Data'!G151&amp;""))</f>
        <v/>
      </c>
      <c r="K151">
        <f>IF('01_Master_Data'!B151="","",'01_Master_Data'!H151)</f>
        <v/>
      </c>
      <c r="L151">
        <f>IF('01_Master_Data'!B151="","",IF(LOWER(TRIM('01_Master_Data'!V151&amp;""))="yes",1,0))</f>
        <v/>
      </c>
      <c r="M151">
        <f>IF('01_Master_Data'!B151="","",IF(LOWER(TRIM('01_Master_Data'!W151&amp;""))="yes",1,0))</f>
        <v/>
      </c>
      <c r="N151">
        <f>IF('01_Master_Data'!B151="","",IF(LOWER(TRIM('01_Master_Data'!X151&amp;""))="yes",1,0))</f>
        <v/>
      </c>
      <c r="O151">
        <f>IF('01_Master_Data'!B151="","",IF(LOWER(TRIM('01_Master_Data'!Y151&amp;""))="yes",1,0))</f>
        <v/>
      </c>
      <c r="P151">
        <f>IF('01_Master_Data'!B151="","",IF(LOWER(TRIM('01_Master_Data'!Z151&amp;""))="yes",1,0))</f>
        <v/>
      </c>
      <c r="Q151">
        <f>IF(A151="","",L151+M151+N151+O151+P151)</f>
        <v/>
      </c>
      <c r="R151">
        <f>IF(A151="","",IF(Q151&gt;1,"Yes","No"))</f>
        <v/>
      </c>
      <c r="S151">
        <f>IF(A151="","",TEXTJOIN(", ",TRUE,IF(L151=1,"ICICI",""),IF(M151=1,"Propelld",""),IF(N151=1,"Study4Buddy",""),IF(O151=1,"Poonawala Fincorp",""),IF(P151=1,"GyanDhan","")))</f>
        <v/>
      </c>
      <c r="T151">
        <f>IF(A151="","",IF(L151=1,"ICICI",IF(M151=1,"Propelld",IF(P151=1,"GyanDhan",IF(N151=1,"Study4Buddy",IF(O151=1,"Poonawala Fincorp",IF(ISNUMBER(SEARCH("GyanDhan",W151&amp;"")),"GyanDhan",IF(ISNUMBER(SEARCH("Icici",W151&amp;"")),"ICICI",IF(ISNUMBER(SEARCH("Propelld",W151&amp;"")),"Propelld",IF(ISNUMBER(SEARCH("vidyalakshmi",LOWER(W151&amp;"")),"PM Vidyalakshmi","—"))))))))))</f>
        <v/>
      </c>
      <c r="U151">
        <f>IF(A151="","",TRIM('01_Master_Data'!AA151&amp;""))</f>
        <v/>
      </c>
      <c r="V151">
        <f>IF(A151="","",TRIM('01_Master_Data'!AG151&amp;""))</f>
        <v/>
      </c>
      <c r="W151">
        <f>IF(A151="","",TRIM('01_Master_Data'!AH151&amp;""))</f>
        <v/>
      </c>
      <c r="X151">
        <f>IF(A151="","",IF(OR(LOWER(H151)="refund",LOWER(U151)="refund case"),"Refund",IF(OR(LOWER(H151)="dnp",LOWER(U151)="dnp"),"DNP",IF(OR(LOWER(V151)="disbursed",ISNUMBER(SEARCH("Disbursed",W151&amp;""))),"Disbursed",IF(OR(LOWER(V151)="loan proccessed/accepted",ISNUMBER(SEARCH("sanctioned",LOWER(W151&amp;"")))),"Sanctioned",IF(OR(LOWER(V151)="rejected",ISNUMBER(SEARCH("Not eligbile",W151&amp;"")),ISNUMBER(SEARCH("Not eligible",W151&amp;""))),"Rejected",IF(ISNUMBER(SEARCH("Docs Pending",W151&amp;"")),"Documents Pending",IF(AND(LOWER(H151)="yes",LOWER(V151)="ongoing"),"Processing",IF(AND(LOWER(H151)="yes",Q151&gt;0,OR(V151="",LOWER(V151)="not even started")),"Vendor Assigned",IF(AND(LOWER(H151)="yes",LOWER(V151)="not even started"),"Need Loan",IF(LOWER(H151)="yes","Loan Started",IF(LOWER(H151)="not sure","Interested",IF(OR(LOWER(H151)="no",LOWER(V151)="not required"),"Not Required","Unclassified")))))))))))))</f>
        <v/>
      </c>
      <c r="Y151">
        <f>IF(A151="","",IF(OR(X151="Sanctioned",X151="Disbursed",X151="Approved"),"Approved",IF(X151="Rejected","Rejected",IF(OR(X151="Processing",X151="Documents Pending",X151="Vendor Assigned"),"In Progress",IF(X151="Need Loan","Pending Start","—"))))</f>
        <v/>
      </c>
      <c r="Z151">
        <f>IF(A151="","",IF(X151="Disbursed","Disbursed",IF(X151="Sanctioned","Sanctioned - Awaiting Disbursement","Not Disbursed")))</f>
        <v/>
      </c>
      <c r="AA151">
        <f>IF(A151="","",IF(LOWER(TRIM('01_Master_Data'!AI151&amp;""))="yes","Need FLDG",IF(LOWER(TRIM('01_Master_Data'!AK151&amp;""))="yes","Need Vidyalakshmi",IF(LOWER(TRIM('01_Master_Data'!AJ151&amp;""))="yes","Need Review",IF(LOWER(J151)="critical","Critical",IF(LOWER(U151)="risk","Risk Case",IF(X151="Refund","Refund","Normal")))))))</f>
        <v/>
      </c>
      <c r="AB151">
        <f>IF(A151="","",IF(OR(LOWER(J151)="critical",LOWER(TRIM('01_Master_Data'!AI151&amp;""))="yes",LOWER(TRIM('01_Master_Data'!AK151&amp;""))="yes",LOWER(U151)="risk"),"Yes","No"))</f>
        <v/>
      </c>
      <c r="AC151">
        <f>IF(A151="","",IF(LOWER(TRIM('01_Master_Data'!AI151&amp;""))="yes","Yes","No"))</f>
        <v/>
      </c>
      <c r="AD151">
        <f>IF(A151="","",IF(LOWER(TRIM('01_Master_Data'!AK151&amp;""))="yes","Yes","No"))</f>
        <v/>
      </c>
      <c r="AE151">
        <f>IF(A151="","",IF(LOWER(TRIM('01_Master_Data'!AJ151&amp;""))="yes","Yes","No"))</f>
        <v/>
      </c>
      <c r="AF151">
        <f>IF(A151="","",TRIM('01_Master_Data'!AL151&amp;""))</f>
        <v/>
      </c>
      <c r="AG151">
        <f>IF(A151="","",IF(AF151="","—",IF(ISNUMBER(SEARCH("DNP",AF151)),"Unreachable / DNP",IF(ISNUMBER(SEARCH("interest",LOWER(AF151))),"High Interest / Terms",IF(OR(ISNUMBER(SEARCH("eligib",LOWER(AF151))),ISNUMBER(SEARCH("income",LOWER(AF151)))),"Eligibility / Income",IF(OR(ISNUMBER(SEARCH("start",LOWER(AF151))),ISNUMBER(SEARCH("Newer",AF151)),ISNUMBER(SEARCH("Will start",AF151))),"Process Yet to Start",IF(ISNUMBER(SEARCH("sure",LOWER(AF151))),"Undecided",IF(OR(ISNUMBER(SEARCH("reject",LOWER(AF151))),ISNUMBER(SEARCH("SBI",AF151))),"Rejected Elsewhere",IF(ISNUMBER(SEARCH("call",LOWER(AF151))),"Bank Communication",IF(OR(ISNUMBER(SEARCH("father",LOWER(AF151))),ISNUMBER(SEARCH("sister",LOWER(AF151)))),"Family / Dependency","Other"))))))))))</f>
        <v/>
      </c>
      <c r="AH151">
        <f>IF(A151="","",'01_Master_Data'!AC151)</f>
        <v/>
      </c>
      <c r="AI151">
        <f>IF(A151="","",IF(OR(AH151="",NOT(ISNUMBER(AH151))),"",MAX(0,'02_Configuration'!$B$82-AH151)))</f>
        <v/>
      </c>
      <c r="AJ151">
        <f>IF(A151="","",IF(AI151="","Unknown",IF(AI151&lt;=3,"0–3 Days",IF(AI151&lt;=7,"4–7 Days",IF(AI151&lt;=15,"8–15 Days",IF(AI151&lt;=30,"16–30 Days","30+ Days"))))))</f>
        <v/>
      </c>
      <c r="AK151">
        <f>IF(A151="","",IF(LOWER(H151)="yes","Yes","No"))</f>
        <v/>
      </c>
      <c r="AL151">
        <f>IF(A151="","",'01_Master_Data'!T151)</f>
        <v/>
      </c>
      <c r="AM151">
        <f>IF(A151="","",'01_Master_Data'!S151)</f>
        <v/>
      </c>
      <c r="AN151">
        <f>IF(A151="","",'01_Master_Data'!I151)</f>
        <v/>
      </c>
      <c r="AO151">
        <f>IF(A151="","",'01_Master_Data'!M151)</f>
        <v/>
      </c>
      <c r="AP151">
        <f>IF(A151="","",IF(ISNUMBER(SEARCH("Icici",W151&amp;"")),1,0))</f>
        <v/>
      </c>
      <c r="AQ151">
        <f>IF(A151="","",IF(ISNUMBER(SEARCH("Propelld",W151&amp;"")),1,0))</f>
        <v/>
      </c>
      <c r="AR151">
        <f>IF(A151="","",IF(ISNUMBER(SEARCH("GyanDhan",W151&amp;"")),1,0))</f>
        <v/>
      </c>
      <c r="AS151">
        <f>IF(A151="","",IF(ISNUMBER(SEARCH("vidyalakshmi",LOWER(W151&amp;""))),1,0))</f>
        <v/>
      </c>
      <c r="AT151">
        <f>IF(A151="","",IF(ISNUMBER(SEARCH("other bank",LOWER(W151&amp;""))),1,0))</f>
        <v/>
      </c>
      <c r="AU151">
        <f>IF(A151="","",IF(ISNUMBER(SEARCH("sanctioned",LOWER(W151&amp;""))),1,0))</f>
        <v/>
      </c>
      <c r="AV151">
        <f>IF(A151="","",IF(ISNUMBER(SEARCH("Docs Pending",W151&amp;"")),1,0))</f>
        <v/>
      </c>
      <c r="AW151">
        <f>IF(A151="","",IF(OR(X151="Rejected",ISNUMBER(SEARCH("Not eligbile",W151&amp;""))),1,0))</f>
        <v/>
      </c>
    </row>
    <row r="152">
      <c r="A152">
        <f>IF('01_Master_Data'!B152="","",151)</f>
        <v/>
      </c>
      <c r="B152">
        <f>IF('01_Master_Data'!B152="","",IF('01_Master_Data'!C152&lt;&gt;"","MOB|"&amp;TEXT('01_Master_Data'!C152,"0"),IF('01_Master_Data'!D152&lt;&gt;"","PID|"&amp;TRIM('01_Master_Data'!D152&amp;""),"")))</f>
        <v/>
      </c>
      <c r="C152">
        <f>IF('01_Master_Data'!B152="","",'01_Master_Data'!B152)</f>
        <v/>
      </c>
      <c r="D152">
        <f>IF('01_Master_Data'!B152="","",'01_Master_Data'!C152)</f>
        <v/>
      </c>
      <c r="E152">
        <f>IF('01_Master_Data'!B152="","",'01_Master_Data'!D152)</f>
        <v/>
      </c>
      <c r="F152">
        <f>IF('01_Master_Data'!B152="","",'01_Master_Data'!E152)</f>
        <v/>
      </c>
      <c r="G152">
        <f>IF('01_Master_Data'!B152="","",IFERROR(VLOOKUP(TRIM('01_Master_Data'!E152&amp;""),'02_Configuration'!$A$40:$B$44,2,FALSE),UPPER(TRIM('01_Master_Data'!E152&amp;""))))</f>
        <v/>
      </c>
      <c r="H152">
        <f>IF('01_Master_Data'!B152="","",IF('01_Master_Data'!U152="","",TRIM('01_Master_Data'!U152&amp;"")))</f>
        <v/>
      </c>
      <c r="I152">
        <f>IF('01_Master_Data'!B152="","",TRIM('01_Master_Data'!F152&amp;""))</f>
        <v/>
      </c>
      <c r="J152">
        <f>IF('01_Master_Data'!B152="","",TRIM('01_Master_Data'!G152&amp;""))</f>
        <v/>
      </c>
      <c r="K152">
        <f>IF('01_Master_Data'!B152="","",'01_Master_Data'!H152)</f>
        <v/>
      </c>
      <c r="L152">
        <f>IF('01_Master_Data'!B152="","",IF(LOWER(TRIM('01_Master_Data'!V152&amp;""))="yes",1,0))</f>
        <v/>
      </c>
      <c r="M152">
        <f>IF('01_Master_Data'!B152="","",IF(LOWER(TRIM('01_Master_Data'!W152&amp;""))="yes",1,0))</f>
        <v/>
      </c>
      <c r="N152">
        <f>IF('01_Master_Data'!B152="","",IF(LOWER(TRIM('01_Master_Data'!X152&amp;""))="yes",1,0))</f>
        <v/>
      </c>
      <c r="O152">
        <f>IF('01_Master_Data'!B152="","",IF(LOWER(TRIM('01_Master_Data'!Y152&amp;""))="yes",1,0))</f>
        <v/>
      </c>
      <c r="P152">
        <f>IF('01_Master_Data'!B152="","",IF(LOWER(TRIM('01_Master_Data'!Z152&amp;""))="yes",1,0))</f>
        <v/>
      </c>
      <c r="Q152">
        <f>IF(A152="","",L152+M152+N152+O152+P152)</f>
        <v/>
      </c>
      <c r="R152">
        <f>IF(A152="","",IF(Q152&gt;1,"Yes","No"))</f>
        <v/>
      </c>
      <c r="S152">
        <f>IF(A152="","",TEXTJOIN(", ",TRUE,IF(L152=1,"ICICI",""),IF(M152=1,"Propelld",""),IF(N152=1,"Study4Buddy",""),IF(O152=1,"Poonawala Fincorp",""),IF(P152=1,"GyanDhan","")))</f>
        <v/>
      </c>
      <c r="T152">
        <f>IF(A152="","",IF(L152=1,"ICICI",IF(M152=1,"Propelld",IF(P152=1,"GyanDhan",IF(N152=1,"Study4Buddy",IF(O152=1,"Poonawala Fincorp",IF(ISNUMBER(SEARCH("GyanDhan",W152&amp;"")),"GyanDhan",IF(ISNUMBER(SEARCH("Icici",W152&amp;"")),"ICICI",IF(ISNUMBER(SEARCH("Propelld",W152&amp;"")),"Propelld",IF(ISNUMBER(SEARCH("vidyalakshmi",LOWER(W152&amp;"")),"PM Vidyalakshmi","—"))))))))))</f>
        <v/>
      </c>
      <c r="U152">
        <f>IF(A152="","",TRIM('01_Master_Data'!AA152&amp;""))</f>
        <v/>
      </c>
      <c r="V152">
        <f>IF(A152="","",TRIM('01_Master_Data'!AG152&amp;""))</f>
        <v/>
      </c>
      <c r="W152">
        <f>IF(A152="","",TRIM('01_Master_Data'!AH152&amp;""))</f>
        <v/>
      </c>
      <c r="X152">
        <f>IF(A152="","",IF(OR(LOWER(H152)="refund",LOWER(U152)="refund case"),"Refund",IF(OR(LOWER(H152)="dnp",LOWER(U152)="dnp"),"DNP",IF(OR(LOWER(V152)="disbursed",ISNUMBER(SEARCH("Disbursed",W152&amp;""))),"Disbursed",IF(OR(LOWER(V152)="loan proccessed/accepted",ISNUMBER(SEARCH("sanctioned",LOWER(W152&amp;"")))),"Sanctioned",IF(OR(LOWER(V152)="rejected",ISNUMBER(SEARCH("Not eligbile",W152&amp;"")),ISNUMBER(SEARCH("Not eligible",W152&amp;""))),"Rejected",IF(ISNUMBER(SEARCH("Docs Pending",W152&amp;"")),"Documents Pending",IF(AND(LOWER(H152)="yes",LOWER(V152)="ongoing"),"Processing",IF(AND(LOWER(H152)="yes",Q152&gt;0,OR(V152="",LOWER(V152)="not even started")),"Vendor Assigned",IF(AND(LOWER(H152)="yes",LOWER(V152)="not even started"),"Need Loan",IF(LOWER(H152)="yes","Loan Started",IF(LOWER(H152)="not sure","Interested",IF(OR(LOWER(H152)="no",LOWER(V152)="not required"),"Not Required","Unclassified")))))))))))))</f>
        <v/>
      </c>
      <c r="Y152">
        <f>IF(A152="","",IF(OR(X152="Sanctioned",X152="Disbursed",X152="Approved"),"Approved",IF(X152="Rejected","Rejected",IF(OR(X152="Processing",X152="Documents Pending",X152="Vendor Assigned"),"In Progress",IF(X152="Need Loan","Pending Start","—"))))</f>
        <v/>
      </c>
      <c r="Z152">
        <f>IF(A152="","",IF(X152="Disbursed","Disbursed",IF(X152="Sanctioned","Sanctioned - Awaiting Disbursement","Not Disbursed")))</f>
        <v/>
      </c>
      <c r="AA152">
        <f>IF(A152="","",IF(LOWER(TRIM('01_Master_Data'!AI152&amp;""))="yes","Need FLDG",IF(LOWER(TRIM('01_Master_Data'!AK152&amp;""))="yes","Need Vidyalakshmi",IF(LOWER(TRIM('01_Master_Data'!AJ152&amp;""))="yes","Need Review",IF(LOWER(J152)="critical","Critical",IF(LOWER(U152)="risk","Risk Case",IF(X152="Refund","Refund","Normal")))))))</f>
        <v/>
      </c>
      <c r="AB152">
        <f>IF(A152="","",IF(OR(LOWER(J152)="critical",LOWER(TRIM('01_Master_Data'!AI152&amp;""))="yes",LOWER(TRIM('01_Master_Data'!AK152&amp;""))="yes",LOWER(U152)="risk"),"Yes","No"))</f>
        <v/>
      </c>
      <c r="AC152">
        <f>IF(A152="","",IF(LOWER(TRIM('01_Master_Data'!AI152&amp;""))="yes","Yes","No"))</f>
        <v/>
      </c>
      <c r="AD152">
        <f>IF(A152="","",IF(LOWER(TRIM('01_Master_Data'!AK152&amp;""))="yes","Yes","No"))</f>
        <v/>
      </c>
      <c r="AE152">
        <f>IF(A152="","",IF(LOWER(TRIM('01_Master_Data'!AJ152&amp;""))="yes","Yes","No"))</f>
        <v/>
      </c>
      <c r="AF152">
        <f>IF(A152="","",TRIM('01_Master_Data'!AL152&amp;""))</f>
        <v/>
      </c>
      <c r="AG152">
        <f>IF(A152="","",IF(AF152="","—",IF(ISNUMBER(SEARCH("DNP",AF152)),"Unreachable / DNP",IF(ISNUMBER(SEARCH("interest",LOWER(AF152))),"High Interest / Terms",IF(OR(ISNUMBER(SEARCH("eligib",LOWER(AF152))),ISNUMBER(SEARCH("income",LOWER(AF152)))),"Eligibility / Income",IF(OR(ISNUMBER(SEARCH("start",LOWER(AF152))),ISNUMBER(SEARCH("Newer",AF152)),ISNUMBER(SEARCH("Will start",AF152))),"Process Yet to Start",IF(ISNUMBER(SEARCH("sure",LOWER(AF152))),"Undecided",IF(OR(ISNUMBER(SEARCH("reject",LOWER(AF152))),ISNUMBER(SEARCH("SBI",AF152))),"Rejected Elsewhere",IF(ISNUMBER(SEARCH("call",LOWER(AF152))),"Bank Communication",IF(OR(ISNUMBER(SEARCH("father",LOWER(AF152))),ISNUMBER(SEARCH("sister",LOWER(AF152)))),"Family / Dependency","Other"))))))))))</f>
        <v/>
      </c>
      <c r="AH152">
        <f>IF(A152="","",'01_Master_Data'!AC152)</f>
        <v/>
      </c>
      <c r="AI152">
        <f>IF(A152="","",IF(OR(AH152="",NOT(ISNUMBER(AH152))),"",MAX(0,'02_Configuration'!$B$82-AH152)))</f>
        <v/>
      </c>
      <c r="AJ152">
        <f>IF(A152="","",IF(AI152="","Unknown",IF(AI152&lt;=3,"0–3 Days",IF(AI152&lt;=7,"4–7 Days",IF(AI152&lt;=15,"8–15 Days",IF(AI152&lt;=30,"16–30 Days","30+ Days"))))))</f>
        <v/>
      </c>
      <c r="AK152">
        <f>IF(A152="","",IF(LOWER(H152)="yes","Yes","No"))</f>
        <v/>
      </c>
      <c r="AL152">
        <f>IF(A152="","",'01_Master_Data'!T152)</f>
        <v/>
      </c>
      <c r="AM152">
        <f>IF(A152="","",'01_Master_Data'!S152)</f>
        <v/>
      </c>
      <c r="AN152">
        <f>IF(A152="","",'01_Master_Data'!I152)</f>
        <v/>
      </c>
      <c r="AO152">
        <f>IF(A152="","",'01_Master_Data'!M152)</f>
        <v/>
      </c>
      <c r="AP152">
        <f>IF(A152="","",IF(ISNUMBER(SEARCH("Icici",W152&amp;"")),1,0))</f>
        <v/>
      </c>
      <c r="AQ152">
        <f>IF(A152="","",IF(ISNUMBER(SEARCH("Propelld",W152&amp;"")),1,0))</f>
        <v/>
      </c>
      <c r="AR152">
        <f>IF(A152="","",IF(ISNUMBER(SEARCH("GyanDhan",W152&amp;"")),1,0))</f>
        <v/>
      </c>
      <c r="AS152">
        <f>IF(A152="","",IF(ISNUMBER(SEARCH("vidyalakshmi",LOWER(W152&amp;""))),1,0))</f>
        <v/>
      </c>
      <c r="AT152">
        <f>IF(A152="","",IF(ISNUMBER(SEARCH("other bank",LOWER(W152&amp;""))),1,0))</f>
        <v/>
      </c>
      <c r="AU152">
        <f>IF(A152="","",IF(ISNUMBER(SEARCH("sanctioned",LOWER(W152&amp;""))),1,0))</f>
        <v/>
      </c>
      <c r="AV152">
        <f>IF(A152="","",IF(ISNUMBER(SEARCH("Docs Pending",W152&amp;"")),1,0))</f>
        <v/>
      </c>
      <c r="AW152">
        <f>IF(A152="","",IF(OR(X152="Rejected",ISNUMBER(SEARCH("Not eligbile",W152&amp;""))),1,0))</f>
        <v/>
      </c>
    </row>
    <row r="153">
      <c r="A153">
        <f>IF('01_Master_Data'!B153="","",152)</f>
        <v/>
      </c>
      <c r="B153">
        <f>IF('01_Master_Data'!B153="","",IF('01_Master_Data'!C153&lt;&gt;"","MOB|"&amp;TEXT('01_Master_Data'!C153,"0"),IF('01_Master_Data'!D153&lt;&gt;"","PID|"&amp;TRIM('01_Master_Data'!D153&amp;""),"")))</f>
        <v/>
      </c>
      <c r="C153">
        <f>IF('01_Master_Data'!B153="","",'01_Master_Data'!B153)</f>
        <v/>
      </c>
      <c r="D153">
        <f>IF('01_Master_Data'!B153="","",'01_Master_Data'!C153)</f>
        <v/>
      </c>
      <c r="E153">
        <f>IF('01_Master_Data'!B153="","",'01_Master_Data'!D153)</f>
        <v/>
      </c>
      <c r="F153">
        <f>IF('01_Master_Data'!B153="","",'01_Master_Data'!E153)</f>
        <v/>
      </c>
      <c r="G153">
        <f>IF('01_Master_Data'!B153="","",IFERROR(VLOOKUP(TRIM('01_Master_Data'!E153&amp;""),'02_Configuration'!$A$40:$B$44,2,FALSE),UPPER(TRIM('01_Master_Data'!E153&amp;""))))</f>
        <v/>
      </c>
      <c r="H153">
        <f>IF('01_Master_Data'!B153="","",IF('01_Master_Data'!U153="","",TRIM('01_Master_Data'!U153&amp;"")))</f>
        <v/>
      </c>
      <c r="I153">
        <f>IF('01_Master_Data'!B153="","",TRIM('01_Master_Data'!F153&amp;""))</f>
        <v/>
      </c>
      <c r="J153">
        <f>IF('01_Master_Data'!B153="","",TRIM('01_Master_Data'!G153&amp;""))</f>
        <v/>
      </c>
      <c r="K153">
        <f>IF('01_Master_Data'!B153="","",'01_Master_Data'!H153)</f>
        <v/>
      </c>
      <c r="L153">
        <f>IF('01_Master_Data'!B153="","",IF(LOWER(TRIM('01_Master_Data'!V153&amp;""))="yes",1,0))</f>
        <v/>
      </c>
      <c r="M153">
        <f>IF('01_Master_Data'!B153="","",IF(LOWER(TRIM('01_Master_Data'!W153&amp;""))="yes",1,0))</f>
        <v/>
      </c>
      <c r="N153">
        <f>IF('01_Master_Data'!B153="","",IF(LOWER(TRIM('01_Master_Data'!X153&amp;""))="yes",1,0))</f>
        <v/>
      </c>
      <c r="O153">
        <f>IF('01_Master_Data'!B153="","",IF(LOWER(TRIM('01_Master_Data'!Y153&amp;""))="yes",1,0))</f>
        <v/>
      </c>
      <c r="P153">
        <f>IF('01_Master_Data'!B153="","",IF(LOWER(TRIM('01_Master_Data'!Z153&amp;""))="yes",1,0))</f>
        <v/>
      </c>
      <c r="Q153">
        <f>IF(A153="","",L153+M153+N153+O153+P153)</f>
        <v/>
      </c>
      <c r="R153">
        <f>IF(A153="","",IF(Q153&gt;1,"Yes","No"))</f>
        <v/>
      </c>
      <c r="S153">
        <f>IF(A153="","",TEXTJOIN(", ",TRUE,IF(L153=1,"ICICI",""),IF(M153=1,"Propelld",""),IF(N153=1,"Study4Buddy",""),IF(O153=1,"Poonawala Fincorp",""),IF(P153=1,"GyanDhan","")))</f>
        <v/>
      </c>
      <c r="T153">
        <f>IF(A153="","",IF(L153=1,"ICICI",IF(M153=1,"Propelld",IF(P153=1,"GyanDhan",IF(N153=1,"Study4Buddy",IF(O153=1,"Poonawala Fincorp",IF(ISNUMBER(SEARCH("GyanDhan",W153&amp;"")),"GyanDhan",IF(ISNUMBER(SEARCH("Icici",W153&amp;"")),"ICICI",IF(ISNUMBER(SEARCH("Propelld",W153&amp;"")),"Propelld",IF(ISNUMBER(SEARCH("vidyalakshmi",LOWER(W153&amp;"")),"PM Vidyalakshmi","—"))))))))))</f>
        <v/>
      </c>
      <c r="U153">
        <f>IF(A153="","",TRIM('01_Master_Data'!AA153&amp;""))</f>
        <v/>
      </c>
      <c r="V153">
        <f>IF(A153="","",TRIM('01_Master_Data'!AG153&amp;""))</f>
        <v/>
      </c>
      <c r="W153">
        <f>IF(A153="","",TRIM('01_Master_Data'!AH153&amp;""))</f>
        <v/>
      </c>
      <c r="X153">
        <f>IF(A153="","",IF(OR(LOWER(H153)="refund",LOWER(U153)="refund case"),"Refund",IF(OR(LOWER(H153)="dnp",LOWER(U153)="dnp"),"DNP",IF(OR(LOWER(V153)="disbursed",ISNUMBER(SEARCH("Disbursed",W153&amp;""))),"Disbursed",IF(OR(LOWER(V153)="loan proccessed/accepted",ISNUMBER(SEARCH("sanctioned",LOWER(W153&amp;"")))),"Sanctioned",IF(OR(LOWER(V153)="rejected",ISNUMBER(SEARCH("Not eligbile",W153&amp;"")),ISNUMBER(SEARCH("Not eligible",W153&amp;""))),"Rejected",IF(ISNUMBER(SEARCH("Docs Pending",W153&amp;"")),"Documents Pending",IF(AND(LOWER(H153)="yes",LOWER(V153)="ongoing"),"Processing",IF(AND(LOWER(H153)="yes",Q153&gt;0,OR(V153="",LOWER(V153)="not even started")),"Vendor Assigned",IF(AND(LOWER(H153)="yes",LOWER(V153)="not even started"),"Need Loan",IF(LOWER(H153)="yes","Loan Started",IF(LOWER(H153)="not sure","Interested",IF(OR(LOWER(H153)="no",LOWER(V153)="not required"),"Not Required","Unclassified")))))))))))))</f>
        <v/>
      </c>
      <c r="Y153">
        <f>IF(A153="","",IF(OR(X153="Sanctioned",X153="Disbursed",X153="Approved"),"Approved",IF(X153="Rejected","Rejected",IF(OR(X153="Processing",X153="Documents Pending",X153="Vendor Assigned"),"In Progress",IF(X153="Need Loan","Pending Start","—"))))</f>
        <v/>
      </c>
      <c r="Z153">
        <f>IF(A153="","",IF(X153="Disbursed","Disbursed",IF(X153="Sanctioned","Sanctioned - Awaiting Disbursement","Not Disbursed")))</f>
        <v/>
      </c>
      <c r="AA153">
        <f>IF(A153="","",IF(LOWER(TRIM('01_Master_Data'!AI153&amp;""))="yes","Need FLDG",IF(LOWER(TRIM('01_Master_Data'!AK153&amp;""))="yes","Need Vidyalakshmi",IF(LOWER(TRIM('01_Master_Data'!AJ153&amp;""))="yes","Need Review",IF(LOWER(J153)="critical","Critical",IF(LOWER(U153)="risk","Risk Case",IF(X153="Refund","Refund","Normal")))))))</f>
        <v/>
      </c>
      <c r="AB153">
        <f>IF(A153="","",IF(OR(LOWER(J153)="critical",LOWER(TRIM('01_Master_Data'!AI153&amp;""))="yes",LOWER(TRIM('01_Master_Data'!AK153&amp;""))="yes",LOWER(U153)="risk"),"Yes","No"))</f>
        <v/>
      </c>
      <c r="AC153">
        <f>IF(A153="","",IF(LOWER(TRIM('01_Master_Data'!AI153&amp;""))="yes","Yes","No"))</f>
        <v/>
      </c>
      <c r="AD153">
        <f>IF(A153="","",IF(LOWER(TRIM('01_Master_Data'!AK153&amp;""))="yes","Yes","No"))</f>
        <v/>
      </c>
      <c r="AE153">
        <f>IF(A153="","",IF(LOWER(TRIM('01_Master_Data'!AJ153&amp;""))="yes","Yes","No"))</f>
        <v/>
      </c>
      <c r="AF153">
        <f>IF(A153="","",TRIM('01_Master_Data'!AL153&amp;""))</f>
        <v/>
      </c>
      <c r="AG153">
        <f>IF(A153="","",IF(AF153="","—",IF(ISNUMBER(SEARCH("DNP",AF153)),"Unreachable / DNP",IF(ISNUMBER(SEARCH("interest",LOWER(AF153))),"High Interest / Terms",IF(OR(ISNUMBER(SEARCH("eligib",LOWER(AF153))),ISNUMBER(SEARCH("income",LOWER(AF153)))),"Eligibility / Income",IF(OR(ISNUMBER(SEARCH("start",LOWER(AF153))),ISNUMBER(SEARCH("Newer",AF153)),ISNUMBER(SEARCH("Will start",AF153))),"Process Yet to Start",IF(ISNUMBER(SEARCH("sure",LOWER(AF153))),"Undecided",IF(OR(ISNUMBER(SEARCH("reject",LOWER(AF153))),ISNUMBER(SEARCH("SBI",AF153))),"Rejected Elsewhere",IF(ISNUMBER(SEARCH("call",LOWER(AF153))),"Bank Communication",IF(OR(ISNUMBER(SEARCH("father",LOWER(AF153))),ISNUMBER(SEARCH("sister",LOWER(AF153)))),"Family / Dependency","Other"))))))))))</f>
        <v/>
      </c>
      <c r="AH153">
        <f>IF(A153="","",'01_Master_Data'!AC153)</f>
        <v/>
      </c>
      <c r="AI153">
        <f>IF(A153="","",IF(OR(AH153="",NOT(ISNUMBER(AH153))),"",MAX(0,'02_Configuration'!$B$82-AH153)))</f>
        <v/>
      </c>
      <c r="AJ153">
        <f>IF(A153="","",IF(AI153="","Unknown",IF(AI153&lt;=3,"0–3 Days",IF(AI153&lt;=7,"4–7 Days",IF(AI153&lt;=15,"8–15 Days",IF(AI153&lt;=30,"16–30 Days","30+ Days"))))))</f>
        <v/>
      </c>
      <c r="AK153">
        <f>IF(A153="","",IF(LOWER(H153)="yes","Yes","No"))</f>
        <v/>
      </c>
      <c r="AL153">
        <f>IF(A153="","",'01_Master_Data'!T153)</f>
        <v/>
      </c>
      <c r="AM153">
        <f>IF(A153="","",'01_Master_Data'!S153)</f>
        <v/>
      </c>
      <c r="AN153">
        <f>IF(A153="","",'01_Master_Data'!I153)</f>
        <v/>
      </c>
      <c r="AO153">
        <f>IF(A153="","",'01_Master_Data'!M153)</f>
        <v/>
      </c>
      <c r="AP153">
        <f>IF(A153="","",IF(ISNUMBER(SEARCH("Icici",W153&amp;"")),1,0))</f>
        <v/>
      </c>
      <c r="AQ153">
        <f>IF(A153="","",IF(ISNUMBER(SEARCH("Propelld",W153&amp;"")),1,0))</f>
        <v/>
      </c>
      <c r="AR153">
        <f>IF(A153="","",IF(ISNUMBER(SEARCH("GyanDhan",W153&amp;"")),1,0))</f>
        <v/>
      </c>
      <c r="AS153">
        <f>IF(A153="","",IF(ISNUMBER(SEARCH("vidyalakshmi",LOWER(W153&amp;""))),1,0))</f>
        <v/>
      </c>
      <c r="AT153">
        <f>IF(A153="","",IF(ISNUMBER(SEARCH("other bank",LOWER(W153&amp;""))),1,0))</f>
        <v/>
      </c>
      <c r="AU153">
        <f>IF(A153="","",IF(ISNUMBER(SEARCH("sanctioned",LOWER(W153&amp;""))),1,0))</f>
        <v/>
      </c>
      <c r="AV153">
        <f>IF(A153="","",IF(ISNUMBER(SEARCH("Docs Pending",W153&amp;"")),1,0))</f>
        <v/>
      </c>
      <c r="AW153">
        <f>IF(A153="","",IF(OR(X153="Rejected",ISNUMBER(SEARCH("Not eligbile",W153&amp;""))),1,0))</f>
        <v/>
      </c>
    </row>
    <row r="154">
      <c r="A154">
        <f>IF('01_Master_Data'!B154="","",153)</f>
        <v/>
      </c>
      <c r="B154">
        <f>IF('01_Master_Data'!B154="","",IF('01_Master_Data'!C154&lt;&gt;"","MOB|"&amp;TEXT('01_Master_Data'!C154,"0"),IF('01_Master_Data'!D154&lt;&gt;"","PID|"&amp;TRIM('01_Master_Data'!D154&amp;""),"")))</f>
        <v/>
      </c>
      <c r="C154">
        <f>IF('01_Master_Data'!B154="","",'01_Master_Data'!B154)</f>
        <v/>
      </c>
      <c r="D154">
        <f>IF('01_Master_Data'!B154="","",'01_Master_Data'!C154)</f>
        <v/>
      </c>
      <c r="E154">
        <f>IF('01_Master_Data'!B154="","",'01_Master_Data'!D154)</f>
        <v/>
      </c>
      <c r="F154">
        <f>IF('01_Master_Data'!B154="","",'01_Master_Data'!E154)</f>
        <v/>
      </c>
      <c r="G154">
        <f>IF('01_Master_Data'!B154="","",IFERROR(VLOOKUP(TRIM('01_Master_Data'!E154&amp;""),'02_Configuration'!$A$40:$B$44,2,FALSE),UPPER(TRIM('01_Master_Data'!E154&amp;""))))</f>
        <v/>
      </c>
      <c r="H154">
        <f>IF('01_Master_Data'!B154="","",IF('01_Master_Data'!U154="","",TRIM('01_Master_Data'!U154&amp;"")))</f>
        <v/>
      </c>
      <c r="I154">
        <f>IF('01_Master_Data'!B154="","",TRIM('01_Master_Data'!F154&amp;""))</f>
        <v/>
      </c>
      <c r="J154">
        <f>IF('01_Master_Data'!B154="","",TRIM('01_Master_Data'!G154&amp;""))</f>
        <v/>
      </c>
      <c r="K154">
        <f>IF('01_Master_Data'!B154="","",'01_Master_Data'!H154)</f>
        <v/>
      </c>
      <c r="L154">
        <f>IF('01_Master_Data'!B154="","",IF(LOWER(TRIM('01_Master_Data'!V154&amp;""))="yes",1,0))</f>
        <v/>
      </c>
      <c r="M154">
        <f>IF('01_Master_Data'!B154="","",IF(LOWER(TRIM('01_Master_Data'!W154&amp;""))="yes",1,0))</f>
        <v/>
      </c>
      <c r="N154">
        <f>IF('01_Master_Data'!B154="","",IF(LOWER(TRIM('01_Master_Data'!X154&amp;""))="yes",1,0))</f>
        <v/>
      </c>
      <c r="O154">
        <f>IF('01_Master_Data'!B154="","",IF(LOWER(TRIM('01_Master_Data'!Y154&amp;""))="yes",1,0))</f>
        <v/>
      </c>
      <c r="P154">
        <f>IF('01_Master_Data'!B154="","",IF(LOWER(TRIM('01_Master_Data'!Z154&amp;""))="yes",1,0))</f>
        <v/>
      </c>
      <c r="Q154">
        <f>IF(A154="","",L154+M154+N154+O154+P154)</f>
        <v/>
      </c>
      <c r="R154">
        <f>IF(A154="","",IF(Q154&gt;1,"Yes","No"))</f>
        <v/>
      </c>
      <c r="S154">
        <f>IF(A154="","",TEXTJOIN(", ",TRUE,IF(L154=1,"ICICI",""),IF(M154=1,"Propelld",""),IF(N154=1,"Study4Buddy",""),IF(O154=1,"Poonawala Fincorp",""),IF(P154=1,"GyanDhan","")))</f>
        <v/>
      </c>
      <c r="T154">
        <f>IF(A154="","",IF(L154=1,"ICICI",IF(M154=1,"Propelld",IF(P154=1,"GyanDhan",IF(N154=1,"Study4Buddy",IF(O154=1,"Poonawala Fincorp",IF(ISNUMBER(SEARCH("GyanDhan",W154&amp;"")),"GyanDhan",IF(ISNUMBER(SEARCH("Icici",W154&amp;"")),"ICICI",IF(ISNUMBER(SEARCH("Propelld",W154&amp;"")),"Propelld",IF(ISNUMBER(SEARCH("vidyalakshmi",LOWER(W154&amp;"")),"PM Vidyalakshmi","—"))))))))))</f>
        <v/>
      </c>
      <c r="U154">
        <f>IF(A154="","",TRIM('01_Master_Data'!AA154&amp;""))</f>
        <v/>
      </c>
      <c r="V154">
        <f>IF(A154="","",TRIM('01_Master_Data'!AG154&amp;""))</f>
        <v/>
      </c>
      <c r="W154">
        <f>IF(A154="","",TRIM('01_Master_Data'!AH154&amp;""))</f>
        <v/>
      </c>
      <c r="X154">
        <f>IF(A154="","",IF(OR(LOWER(H154)="refund",LOWER(U154)="refund case"),"Refund",IF(OR(LOWER(H154)="dnp",LOWER(U154)="dnp"),"DNP",IF(OR(LOWER(V154)="disbursed",ISNUMBER(SEARCH("Disbursed",W154&amp;""))),"Disbursed",IF(OR(LOWER(V154)="loan proccessed/accepted",ISNUMBER(SEARCH("sanctioned",LOWER(W154&amp;"")))),"Sanctioned",IF(OR(LOWER(V154)="rejected",ISNUMBER(SEARCH("Not eligbile",W154&amp;"")),ISNUMBER(SEARCH("Not eligible",W154&amp;""))),"Rejected",IF(ISNUMBER(SEARCH("Docs Pending",W154&amp;"")),"Documents Pending",IF(AND(LOWER(H154)="yes",LOWER(V154)="ongoing"),"Processing",IF(AND(LOWER(H154)="yes",Q154&gt;0,OR(V154="",LOWER(V154)="not even started")),"Vendor Assigned",IF(AND(LOWER(H154)="yes",LOWER(V154)="not even started"),"Need Loan",IF(LOWER(H154)="yes","Loan Started",IF(LOWER(H154)="not sure","Interested",IF(OR(LOWER(H154)="no",LOWER(V154)="not required"),"Not Required","Unclassified")))))))))))))</f>
        <v/>
      </c>
      <c r="Y154">
        <f>IF(A154="","",IF(OR(X154="Sanctioned",X154="Disbursed",X154="Approved"),"Approved",IF(X154="Rejected","Rejected",IF(OR(X154="Processing",X154="Documents Pending",X154="Vendor Assigned"),"In Progress",IF(X154="Need Loan","Pending Start","—"))))</f>
        <v/>
      </c>
      <c r="Z154">
        <f>IF(A154="","",IF(X154="Disbursed","Disbursed",IF(X154="Sanctioned","Sanctioned - Awaiting Disbursement","Not Disbursed")))</f>
        <v/>
      </c>
      <c r="AA154">
        <f>IF(A154="","",IF(LOWER(TRIM('01_Master_Data'!AI154&amp;""))="yes","Need FLDG",IF(LOWER(TRIM('01_Master_Data'!AK154&amp;""))="yes","Need Vidyalakshmi",IF(LOWER(TRIM('01_Master_Data'!AJ154&amp;""))="yes","Need Review",IF(LOWER(J154)="critical","Critical",IF(LOWER(U154)="risk","Risk Case",IF(X154="Refund","Refund","Normal")))))))</f>
        <v/>
      </c>
      <c r="AB154">
        <f>IF(A154="","",IF(OR(LOWER(J154)="critical",LOWER(TRIM('01_Master_Data'!AI154&amp;""))="yes",LOWER(TRIM('01_Master_Data'!AK154&amp;""))="yes",LOWER(U154)="risk"),"Yes","No"))</f>
        <v/>
      </c>
      <c r="AC154">
        <f>IF(A154="","",IF(LOWER(TRIM('01_Master_Data'!AI154&amp;""))="yes","Yes","No"))</f>
        <v/>
      </c>
      <c r="AD154">
        <f>IF(A154="","",IF(LOWER(TRIM('01_Master_Data'!AK154&amp;""))="yes","Yes","No"))</f>
        <v/>
      </c>
      <c r="AE154">
        <f>IF(A154="","",IF(LOWER(TRIM('01_Master_Data'!AJ154&amp;""))="yes","Yes","No"))</f>
        <v/>
      </c>
      <c r="AF154">
        <f>IF(A154="","",TRIM('01_Master_Data'!AL154&amp;""))</f>
        <v/>
      </c>
      <c r="AG154">
        <f>IF(A154="","",IF(AF154="","—",IF(ISNUMBER(SEARCH("DNP",AF154)),"Unreachable / DNP",IF(ISNUMBER(SEARCH("interest",LOWER(AF154))),"High Interest / Terms",IF(OR(ISNUMBER(SEARCH("eligib",LOWER(AF154))),ISNUMBER(SEARCH("income",LOWER(AF154)))),"Eligibility / Income",IF(OR(ISNUMBER(SEARCH("start",LOWER(AF154))),ISNUMBER(SEARCH("Newer",AF154)),ISNUMBER(SEARCH("Will start",AF154))),"Process Yet to Start",IF(ISNUMBER(SEARCH("sure",LOWER(AF154))),"Undecided",IF(OR(ISNUMBER(SEARCH("reject",LOWER(AF154))),ISNUMBER(SEARCH("SBI",AF154))),"Rejected Elsewhere",IF(ISNUMBER(SEARCH("call",LOWER(AF154))),"Bank Communication",IF(OR(ISNUMBER(SEARCH("father",LOWER(AF154))),ISNUMBER(SEARCH("sister",LOWER(AF154)))),"Family / Dependency","Other"))))))))))</f>
        <v/>
      </c>
      <c r="AH154">
        <f>IF(A154="","",'01_Master_Data'!AC154)</f>
        <v/>
      </c>
      <c r="AI154">
        <f>IF(A154="","",IF(OR(AH154="",NOT(ISNUMBER(AH154))),"",MAX(0,'02_Configuration'!$B$82-AH154)))</f>
        <v/>
      </c>
      <c r="AJ154">
        <f>IF(A154="","",IF(AI154="","Unknown",IF(AI154&lt;=3,"0–3 Days",IF(AI154&lt;=7,"4–7 Days",IF(AI154&lt;=15,"8–15 Days",IF(AI154&lt;=30,"16–30 Days","30+ Days"))))))</f>
        <v/>
      </c>
      <c r="AK154">
        <f>IF(A154="","",IF(LOWER(H154)="yes","Yes","No"))</f>
        <v/>
      </c>
      <c r="AL154">
        <f>IF(A154="","",'01_Master_Data'!T154)</f>
        <v/>
      </c>
      <c r="AM154">
        <f>IF(A154="","",'01_Master_Data'!S154)</f>
        <v/>
      </c>
      <c r="AN154">
        <f>IF(A154="","",'01_Master_Data'!I154)</f>
        <v/>
      </c>
      <c r="AO154">
        <f>IF(A154="","",'01_Master_Data'!M154)</f>
        <v/>
      </c>
      <c r="AP154">
        <f>IF(A154="","",IF(ISNUMBER(SEARCH("Icici",W154&amp;"")),1,0))</f>
        <v/>
      </c>
      <c r="AQ154">
        <f>IF(A154="","",IF(ISNUMBER(SEARCH("Propelld",W154&amp;"")),1,0))</f>
        <v/>
      </c>
      <c r="AR154">
        <f>IF(A154="","",IF(ISNUMBER(SEARCH("GyanDhan",W154&amp;"")),1,0))</f>
        <v/>
      </c>
      <c r="AS154">
        <f>IF(A154="","",IF(ISNUMBER(SEARCH("vidyalakshmi",LOWER(W154&amp;""))),1,0))</f>
        <v/>
      </c>
      <c r="AT154">
        <f>IF(A154="","",IF(ISNUMBER(SEARCH("other bank",LOWER(W154&amp;""))),1,0))</f>
        <v/>
      </c>
      <c r="AU154">
        <f>IF(A154="","",IF(ISNUMBER(SEARCH("sanctioned",LOWER(W154&amp;""))),1,0))</f>
        <v/>
      </c>
      <c r="AV154">
        <f>IF(A154="","",IF(ISNUMBER(SEARCH("Docs Pending",W154&amp;"")),1,0))</f>
        <v/>
      </c>
      <c r="AW154">
        <f>IF(A154="","",IF(OR(X154="Rejected",ISNUMBER(SEARCH("Not eligbile",W154&amp;""))),1,0))</f>
        <v/>
      </c>
    </row>
    <row r="155">
      <c r="A155">
        <f>IF('01_Master_Data'!B155="","",154)</f>
        <v/>
      </c>
      <c r="B155">
        <f>IF('01_Master_Data'!B155="","",IF('01_Master_Data'!C155&lt;&gt;"","MOB|"&amp;TEXT('01_Master_Data'!C155,"0"),IF('01_Master_Data'!D155&lt;&gt;"","PID|"&amp;TRIM('01_Master_Data'!D155&amp;""),"")))</f>
        <v/>
      </c>
      <c r="C155">
        <f>IF('01_Master_Data'!B155="","",'01_Master_Data'!B155)</f>
        <v/>
      </c>
      <c r="D155">
        <f>IF('01_Master_Data'!B155="","",'01_Master_Data'!C155)</f>
        <v/>
      </c>
      <c r="E155">
        <f>IF('01_Master_Data'!B155="","",'01_Master_Data'!D155)</f>
        <v/>
      </c>
      <c r="F155">
        <f>IF('01_Master_Data'!B155="","",'01_Master_Data'!E155)</f>
        <v/>
      </c>
      <c r="G155">
        <f>IF('01_Master_Data'!B155="","",IFERROR(VLOOKUP(TRIM('01_Master_Data'!E155&amp;""),'02_Configuration'!$A$40:$B$44,2,FALSE),UPPER(TRIM('01_Master_Data'!E155&amp;""))))</f>
        <v/>
      </c>
      <c r="H155">
        <f>IF('01_Master_Data'!B155="","",IF('01_Master_Data'!U155="","",TRIM('01_Master_Data'!U155&amp;"")))</f>
        <v/>
      </c>
      <c r="I155">
        <f>IF('01_Master_Data'!B155="","",TRIM('01_Master_Data'!F155&amp;""))</f>
        <v/>
      </c>
      <c r="J155">
        <f>IF('01_Master_Data'!B155="","",TRIM('01_Master_Data'!G155&amp;""))</f>
        <v/>
      </c>
      <c r="K155">
        <f>IF('01_Master_Data'!B155="","",'01_Master_Data'!H155)</f>
        <v/>
      </c>
      <c r="L155">
        <f>IF('01_Master_Data'!B155="","",IF(LOWER(TRIM('01_Master_Data'!V155&amp;""))="yes",1,0))</f>
        <v/>
      </c>
      <c r="M155">
        <f>IF('01_Master_Data'!B155="","",IF(LOWER(TRIM('01_Master_Data'!W155&amp;""))="yes",1,0))</f>
        <v/>
      </c>
      <c r="N155">
        <f>IF('01_Master_Data'!B155="","",IF(LOWER(TRIM('01_Master_Data'!X155&amp;""))="yes",1,0))</f>
        <v/>
      </c>
      <c r="O155">
        <f>IF('01_Master_Data'!B155="","",IF(LOWER(TRIM('01_Master_Data'!Y155&amp;""))="yes",1,0))</f>
        <v/>
      </c>
      <c r="P155">
        <f>IF('01_Master_Data'!B155="","",IF(LOWER(TRIM('01_Master_Data'!Z155&amp;""))="yes",1,0))</f>
        <v/>
      </c>
      <c r="Q155">
        <f>IF(A155="","",L155+M155+N155+O155+P155)</f>
        <v/>
      </c>
      <c r="R155">
        <f>IF(A155="","",IF(Q155&gt;1,"Yes","No"))</f>
        <v/>
      </c>
      <c r="S155">
        <f>IF(A155="","",TEXTJOIN(", ",TRUE,IF(L155=1,"ICICI",""),IF(M155=1,"Propelld",""),IF(N155=1,"Study4Buddy",""),IF(O155=1,"Poonawala Fincorp",""),IF(P155=1,"GyanDhan","")))</f>
        <v/>
      </c>
      <c r="T155">
        <f>IF(A155="","",IF(L155=1,"ICICI",IF(M155=1,"Propelld",IF(P155=1,"GyanDhan",IF(N155=1,"Study4Buddy",IF(O155=1,"Poonawala Fincorp",IF(ISNUMBER(SEARCH("GyanDhan",W155&amp;"")),"GyanDhan",IF(ISNUMBER(SEARCH("Icici",W155&amp;"")),"ICICI",IF(ISNUMBER(SEARCH("Propelld",W155&amp;"")),"Propelld",IF(ISNUMBER(SEARCH("vidyalakshmi",LOWER(W155&amp;"")),"PM Vidyalakshmi","—"))))))))))</f>
        <v/>
      </c>
      <c r="U155">
        <f>IF(A155="","",TRIM('01_Master_Data'!AA155&amp;""))</f>
        <v/>
      </c>
      <c r="V155">
        <f>IF(A155="","",TRIM('01_Master_Data'!AG155&amp;""))</f>
        <v/>
      </c>
      <c r="W155">
        <f>IF(A155="","",TRIM('01_Master_Data'!AH155&amp;""))</f>
        <v/>
      </c>
      <c r="X155">
        <f>IF(A155="","",IF(OR(LOWER(H155)="refund",LOWER(U155)="refund case"),"Refund",IF(OR(LOWER(H155)="dnp",LOWER(U155)="dnp"),"DNP",IF(OR(LOWER(V155)="disbursed",ISNUMBER(SEARCH("Disbursed",W155&amp;""))),"Disbursed",IF(OR(LOWER(V155)="loan proccessed/accepted",ISNUMBER(SEARCH("sanctioned",LOWER(W155&amp;"")))),"Sanctioned",IF(OR(LOWER(V155)="rejected",ISNUMBER(SEARCH("Not eligbile",W155&amp;"")),ISNUMBER(SEARCH("Not eligible",W155&amp;""))),"Rejected",IF(ISNUMBER(SEARCH("Docs Pending",W155&amp;"")),"Documents Pending",IF(AND(LOWER(H155)="yes",LOWER(V155)="ongoing"),"Processing",IF(AND(LOWER(H155)="yes",Q155&gt;0,OR(V155="",LOWER(V155)="not even started")),"Vendor Assigned",IF(AND(LOWER(H155)="yes",LOWER(V155)="not even started"),"Need Loan",IF(LOWER(H155)="yes","Loan Started",IF(LOWER(H155)="not sure","Interested",IF(OR(LOWER(H155)="no",LOWER(V155)="not required"),"Not Required","Unclassified")))))))))))))</f>
        <v/>
      </c>
      <c r="Y155">
        <f>IF(A155="","",IF(OR(X155="Sanctioned",X155="Disbursed",X155="Approved"),"Approved",IF(X155="Rejected","Rejected",IF(OR(X155="Processing",X155="Documents Pending",X155="Vendor Assigned"),"In Progress",IF(X155="Need Loan","Pending Start","—"))))</f>
        <v/>
      </c>
      <c r="Z155">
        <f>IF(A155="","",IF(X155="Disbursed","Disbursed",IF(X155="Sanctioned","Sanctioned - Awaiting Disbursement","Not Disbursed")))</f>
        <v/>
      </c>
      <c r="AA155">
        <f>IF(A155="","",IF(LOWER(TRIM('01_Master_Data'!AI155&amp;""))="yes","Need FLDG",IF(LOWER(TRIM('01_Master_Data'!AK155&amp;""))="yes","Need Vidyalakshmi",IF(LOWER(TRIM('01_Master_Data'!AJ155&amp;""))="yes","Need Review",IF(LOWER(J155)="critical","Critical",IF(LOWER(U155)="risk","Risk Case",IF(X155="Refund","Refund","Normal")))))))</f>
        <v/>
      </c>
      <c r="AB155">
        <f>IF(A155="","",IF(OR(LOWER(J155)="critical",LOWER(TRIM('01_Master_Data'!AI155&amp;""))="yes",LOWER(TRIM('01_Master_Data'!AK155&amp;""))="yes",LOWER(U155)="risk"),"Yes","No"))</f>
        <v/>
      </c>
      <c r="AC155">
        <f>IF(A155="","",IF(LOWER(TRIM('01_Master_Data'!AI155&amp;""))="yes","Yes","No"))</f>
        <v/>
      </c>
      <c r="AD155">
        <f>IF(A155="","",IF(LOWER(TRIM('01_Master_Data'!AK155&amp;""))="yes","Yes","No"))</f>
        <v/>
      </c>
      <c r="AE155">
        <f>IF(A155="","",IF(LOWER(TRIM('01_Master_Data'!AJ155&amp;""))="yes","Yes","No"))</f>
        <v/>
      </c>
      <c r="AF155">
        <f>IF(A155="","",TRIM('01_Master_Data'!AL155&amp;""))</f>
        <v/>
      </c>
      <c r="AG155">
        <f>IF(A155="","",IF(AF155="","—",IF(ISNUMBER(SEARCH("DNP",AF155)),"Unreachable / DNP",IF(ISNUMBER(SEARCH("interest",LOWER(AF155))),"High Interest / Terms",IF(OR(ISNUMBER(SEARCH("eligib",LOWER(AF155))),ISNUMBER(SEARCH("income",LOWER(AF155)))),"Eligibility / Income",IF(OR(ISNUMBER(SEARCH("start",LOWER(AF155))),ISNUMBER(SEARCH("Newer",AF155)),ISNUMBER(SEARCH("Will start",AF155))),"Process Yet to Start",IF(ISNUMBER(SEARCH("sure",LOWER(AF155))),"Undecided",IF(OR(ISNUMBER(SEARCH("reject",LOWER(AF155))),ISNUMBER(SEARCH("SBI",AF155))),"Rejected Elsewhere",IF(ISNUMBER(SEARCH("call",LOWER(AF155))),"Bank Communication",IF(OR(ISNUMBER(SEARCH("father",LOWER(AF155))),ISNUMBER(SEARCH("sister",LOWER(AF155)))),"Family / Dependency","Other"))))))))))</f>
        <v/>
      </c>
      <c r="AH155">
        <f>IF(A155="","",'01_Master_Data'!AC155)</f>
        <v/>
      </c>
      <c r="AI155">
        <f>IF(A155="","",IF(OR(AH155="",NOT(ISNUMBER(AH155))),"",MAX(0,'02_Configuration'!$B$82-AH155)))</f>
        <v/>
      </c>
      <c r="AJ155">
        <f>IF(A155="","",IF(AI155="","Unknown",IF(AI155&lt;=3,"0–3 Days",IF(AI155&lt;=7,"4–7 Days",IF(AI155&lt;=15,"8–15 Days",IF(AI155&lt;=30,"16–30 Days","30+ Days"))))))</f>
        <v/>
      </c>
      <c r="AK155">
        <f>IF(A155="","",IF(LOWER(H155)="yes","Yes","No"))</f>
        <v/>
      </c>
      <c r="AL155">
        <f>IF(A155="","",'01_Master_Data'!T155)</f>
        <v/>
      </c>
      <c r="AM155">
        <f>IF(A155="","",'01_Master_Data'!S155)</f>
        <v/>
      </c>
      <c r="AN155">
        <f>IF(A155="","",'01_Master_Data'!I155)</f>
        <v/>
      </c>
      <c r="AO155">
        <f>IF(A155="","",'01_Master_Data'!M155)</f>
        <v/>
      </c>
      <c r="AP155">
        <f>IF(A155="","",IF(ISNUMBER(SEARCH("Icici",W155&amp;"")),1,0))</f>
        <v/>
      </c>
      <c r="AQ155">
        <f>IF(A155="","",IF(ISNUMBER(SEARCH("Propelld",W155&amp;"")),1,0))</f>
        <v/>
      </c>
      <c r="AR155">
        <f>IF(A155="","",IF(ISNUMBER(SEARCH("GyanDhan",W155&amp;"")),1,0))</f>
        <v/>
      </c>
      <c r="AS155">
        <f>IF(A155="","",IF(ISNUMBER(SEARCH("vidyalakshmi",LOWER(W155&amp;""))),1,0))</f>
        <v/>
      </c>
      <c r="AT155">
        <f>IF(A155="","",IF(ISNUMBER(SEARCH("other bank",LOWER(W155&amp;""))),1,0))</f>
        <v/>
      </c>
      <c r="AU155">
        <f>IF(A155="","",IF(ISNUMBER(SEARCH("sanctioned",LOWER(W155&amp;""))),1,0))</f>
        <v/>
      </c>
      <c r="AV155">
        <f>IF(A155="","",IF(ISNUMBER(SEARCH("Docs Pending",W155&amp;"")),1,0))</f>
        <v/>
      </c>
      <c r="AW155">
        <f>IF(A155="","",IF(OR(X155="Rejected",ISNUMBER(SEARCH("Not eligbile",W155&amp;""))),1,0))</f>
        <v/>
      </c>
    </row>
    <row r="156">
      <c r="A156">
        <f>IF('01_Master_Data'!B156="","",155)</f>
        <v/>
      </c>
      <c r="B156">
        <f>IF('01_Master_Data'!B156="","",IF('01_Master_Data'!C156&lt;&gt;"","MOB|"&amp;TEXT('01_Master_Data'!C156,"0"),IF('01_Master_Data'!D156&lt;&gt;"","PID|"&amp;TRIM('01_Master_Data'!D156&amp;""),"")))</f>
        <v/>
      </c>
      <c r="C156">
        <f>IF('01_Master_Data'!B156="","",'01_Master_Data'!B156)</f>
        <v/>
      </c>
      <c r="D156">
        <f>IF('01_Master_Data'!B156="","",'01_Master_Data'!C156)</f>
        <v/>
      </c>
      <c r="E156">
        <f>IF('01_Master_Data'!B156="","",'01_Master_Data'!D156)</f>
        <v/>
      </c>
      <c r="F156">
        <f>IF('01_Master_Data'!B156="","",'01_Master_Data'!E156)</f>
        <v/>
      </c>
      <c r="G156">
        <f>IF('01_Master_Data'!B156="","",IFERROR(VLOOKUP(TRIM('01_Master_Data'!E156&amp;""),'02_Configuration'!$A$40:$B$44,2,FALSE),UPPER(TRIM('01_Master_Data'!E156&amp;""))))</f>
        <v/>
      </c>
      <c r="H156">
        <f>IF('01_Master_Data'!B156="","",IF('01_Master_Data'!U156="","",TRIM('01_Master_Data'!U156&amp;"")))</f>
        <v/>
      </c>
      <c r="I156">
        <f>IF('01_Master_Data'!B156="","",TRIM('01_Master_Data'!F156&amp;""))</f>
        <v/>
      </c>
      <c r="J156">
        <f>IF('01_Master_Data'!B156="","",TRIM('01_Master_Data'!G156&amp;""))</f>
        <v/>
      </c>
      <c r="K156">
        <f>IF('01_Master_Data'!B156="","",'01_Master_Data'!H156)</f>
        <v/>
      </c>
      <c r="L156">
        <f>IF('01_Master_Data'!B156="","",IF(LOWER(TRIM('01_Master_Data'!V156&amp;""))="yes",1,0))</f>
        <v/>
      </c>
      <c r="M156">
        <f>IF('01_Master_Data'!B156="","",IF(LOWER(TRIM('01_Master_Data'!W156&amp;""))="yes",1,0))</f>
        <v/>
      </c>
      <c r="N156">
        <f>IF('01_Master_Data'!B156="","",IF(LOWER(TRIM('01_Master_Data'!X156&amp;""))="yes",1,0))</f>
        <v/>
      </c>
      <c r="O156">
        <f>IF('01_Master_Data'!B156="","",IF(LOWER(TRIM('01_Master_Data'!Y156&amp;""))="yes",1,0))</f>
        <v/>
      </c>
      <c r="P156">
        <f>IF('01_Master_Data'!B156="","",IF(LOWER(TRIM('01_Master_Data'!Z156&amp;""))="yes",1,0))</f>
        <v/>
      </c>
      <c r="Q156">
        <f>IF(A156="","",L156+M156+N156+O156+P156)</f>
        <v/>
      </c>
      <c r="R156">
        <f>IF(A156="","",IF(Q156&gt;1,"Yes","No"))</f>
        <v/>
      </c>
      <c r="S156">
        <f>IF(A156="","",TEXTJOIN(", ",TRUE,IF(L156=1,"ICICI",""),IF(M156=1,"Propelld",""),IF(N156=1,"Study4Buddy",""),IF(O156=1,"Poonawala Fincorp",""),IF(P156=1,"GyanDhan","")))</f>
        <v/>
      </c>
      <c r="T156">
        <f>IF(A156="","",IF(L156=1,"ICICI",IF(M156=1,"Propelld",IF(P156=1,"GyanDhan",IF(N156=1,"Study4Buddy",IF(O156=1,"Poonawala Fincorp",IF(ISNUMBER(SEARCH("GyanDhan",W156&amp;"")),"GyanDhan",IF(ISNUMBER(SEARCH("Icici",W156&amp;"")),"ICICI",IF(ISNUMBER(SEARCH("Propelld",W156&amp;"")),"Propelld",IF(ISNUMBER(SEARCH("vidyalakshmi",LOWER(W156&amp;"")),"PM Vidyalakshmi","—"))))))))))</f>
        <v/>
      </c>
      <c r="U156">
        <f>IF(A156="","",TRIM('01_Master_Data'!AA156&amp;""))</f>
        <v/>
      </c>
      <c r="V156">
        <f>IF(A156="","",TRIM('01_Master_Data'!AG156&amp;""))</f>
        <v/>
      </c>
      <c r="W156">
        <f>IF(A156="","",TRIM('01_Master_Data'!AH156&amp;""))</f>
        <v/>
      </c>
      <c r="X156">
        <f>IF(A156="","",IF(OR(LOWER(H156)="refund",LOWER(U156)="refund case"),"Refund",IF(OR(LOWER(H156)="dnp",LOWER(U156)="dnp"),"DNP",IF(OR(LOWER(V156)="disbursed",ISNUMBER(SEARCH("Disbursed",W156&amp;""))),"Disbursed",IF(OR(LOWER(V156)="loan proccessed/accepted",ISNUMBER(SEARCH("sanctioned",LOWER(W156&amp;"")))),"Sanctioned",IF(OR(LOWER(V156)="rejected",ISNUMBER(SEARCH("Not eligbile",W156&amp;"")),ISNUMBER(SEARCH("Not eligible",W156&amp;""))),"Rejected",IF(ISNUMBER(SEARCH("Docs Pending",W156&amp;"")),"Documents Pending",IF(AND(LOWER(H156)="yes",LOWER(V156)="ongoing"),"Processing",IF(AND(LOWER(H156)="yes",Q156&gt;0,OR(V156="",LOWER(V156)="not even started")),"Vendor Assigned",IF(AND(LOWER(H156)="yes",LOWER(V156)="not even started"),"Need Loan",IF(LOWER(H156)="yes","Loan Started",IF(LOWER(H156)="not sure","Interested",IF(OR(LOWER(H156)="no",LOWER(V156)="not required"),"Not Required","Unclassified")))))))))))))</f>
        <v/>
      </c>
      <c r="Y156">
        <f>IF(A156="","",IF(OR(X156="Sanctioned",X156="Disbursed",X156="Approved"),"Approved",IF(X156="Rejected","Rejected",IF(OR(X156="Processing",X156="Documents Pending",X156="Vendor Assigned"),"In Progress",IF(X156="Need Loan","Pending Start","—"))))</f>
        <v/>
      </c>
      <c r="Z156">
        <f>IF(A156="","",IF(X156="Disbursed","Disbursed",IF(X156="Sanctioned","Sanctioned - Awaiting Disbursement","Not Disbursed")))</f>
        <v/>
      </c>
      <c r="AA156">
        <f>IF(A156="","",IF(LOWER(TRIM('01_Master_Data'!AI156&amp;""))="yes","Need FLDG",IF(LOWER(TRIM('01_Master_Data'!AK156&amp;""))="yes","Need Vidyalakshmi",IF(LOWER(TRIM('01_Master_Data'!AJ156&amp;""))="yes","Need Review",IF(LOWER(J156)="critical","Critical",IF(LOWER(U156)="risk","Risk Case",IF(X156="Refund","Refund","Normal")))))))</f>
        <v/>
      </c>
      <c r="AB156">
        <f>IF(A156="","",IF(OR(LOWER(J156)="critical",LOWER(TRIM('01_Master_Data'!AI156&amp;""))="yes",LOWER(TRIM('01_Master_Data'!AK156&amp;""))="yes",LOWER(U156)="risk"),"Yes","No"))</f>
        <v/>
      </c>
      <c r="AC156">
        <f>IF(A156="","",IF(LOWER(TRIM('01_Master_Data'!AI156&amp;""))="yes","Yes","No"))</f>
        <v/>
      </c>
      <c r="AD156">
        <f>IF(A156="","",IF(LOWER(TRIM('01_Master_Data'!AK156&amp;""))="yes","Yes","No"))</f>
        <v/>
      </c>
      <c r="AE156">
        <f>IF(A156="","",IF(LOWER(TRIM('01_Master_Data'!AJ156&amp;""))="yes","Yes","No"))</f>
        <v/>
      </c>
      <c r="AF156">
        <f>IF(A156="","",TRIM('01_Master_Data'!AL156&amp;""))</f>
        <v/>
      </c>
      <c r="AG156">
        <f>IF(A156="","",IF(AF156="","—",IF(ISNUMBER(SEARCH("DNP",AF156)),"Unreachable / DNP",IF(ISNUMBER(SEARCH("interest",LOWER(AF156))),"High Interest / Terms",IF(OR(ISNUMBER(SEARCH("eligib",LOWER(AF156))),ISNUMBER(SEARCH("income",LOWER(AF156)))),"Eligibility / Income",IF(OR(ISNUMBER(SEARCH("start",LOWER(AF156))),ISNUMBER(SEARCH("Newer",AF156)),ISNUMBER(SEARCH("Will start",AF156))),"Process Yet to Start",IF(ISNUMBER(SEARCH("sure",LOWER(AF156))),"Undecided",IF(OR(ISNUMBER(SEARCH("reject",LOWER(AF156))),ISNUMBER(SEARCH("SBI",AF156))),"Rejected Elsewhere",IF(ISNUMBER(SEARCH("call",LOWER(AF156))),"Bank Communication",IF(OR(ISNUMBER(SEARCH("father",LOWER(AF156))),ISNUMBER(SEARCH("sister",LOWER(AF156)))),"Family / Dependency","Other"))))))))))</f>
        <v/>
      </c>
      <c r="AH156">
        <f>IF(A156="","",'01_Master_Data'!AC156)</f>
        <v/>
      </c>
      <c r="AI156">
        <f>IF(A156="","",IF(OR(AH156="",NOT(ISNUMBER(AH156))),"",MAX(0,'02_Configuration'!$B$82-AH156)))</f>
        <v/>
      </c>
      <c r="AJ156">
        <f>IF(A156="","",IF(AI156="","Unknown",IF(AI156&lt;=3,"0–3 Days",IF(AI156&lt;=7,"4–7 Days",IF(AI156&lt;=15,"8–15 Days",IF(AI156&lt;=30,"16–30 Days","30+ Days"))))))</f>
        <v/>
      </c>
      <c r="AK156">
        <f>IF(A156="","",IF(LOWER(H156)="yes","Yes","No"))</f>
        <v/>
      </c>
      <c r="AL156">
        <f>IF(A156="","",'01_Master_Data'!T156)</f>
        <v/>
      </c>
      <c r="AM156">
        <f>IF(A156="","",'01_Master_Data'!S156)</f>
        <v/>
      </c>
      <c r="AN156">
        <f>IF(A156="","",'01_Master_Data'!I156)</f>
        <v/>
      </c>
      <c r="AO156">
        <f>IF(A156="","",'01_Master_Data'!M156)</f>
        <v/>
      </c>
      <c r="AP156">
        <f>IF(A156="","",IF(ISNUMBER(SEARCH("Icici",W156&amp;"")),1,0))</f>
        <v/>
      </c>
      <c r="AQ156">
        <f>IF(A156="","",IF(ISNUMBER(SEARCH("Propelld",W156&amp;"")),1,0))</f>
        <v/>
      </c>
      <c r="AR156">
        <f>IF(A156="","",IF(ISNUMBER(SEARCH("GyanDhan",W156&amp;"")),1,0))</f>
        <v/>
      </c>
      <c r="AS156">
        <f>IF(A156="","",IF(ISNUMBER(SEARCH("vidyalakshmi",LOWER(W156&amp;""))),1,0))</f>
        <v/>
      </c>
      <c r="AT156">
        <f>IF(A156="","",IF(ISNUMBER(SEARCH("other bank",LOWER(W156&amp;""))),1,0))</f>
        <v/>
      </c>
      <c r="AU156">
        <f>IF(A156="","",IF(ISNUMBER(SEARCH("sanctioned",LOWER(W156&amp;""))),1,0))</f>
        <v/>
      </c>
      <c r="AV156">
        <f>IF(A156="","",IF(ISNUMBER(SEARCH("Docs Pending",W156&amp;"")),1,0))</f>
        <v/>
      </c>
      <c r="AW156">
        <f>IF(A156="","",IF(OR(X156="Rejected",ISNUMBER(SEARCH("Not eligbile",W156&amp;""))),1,0))</f>
        <v/>
      </c>
    </row>
    <row r="157">
      <c r="A157">
        <f>IF('01_Master_Data'!B157="","",156)</f>
        <v/>
      </c>
      <c r="B157">
        <f>IF('01_Master_Data'!B157="","",IF('01_Master_Data'!C157&lt;&gt;"","MOB|"&amp;TEXT('01_Master_Data'!C157,"0"),IF('01_Master_Data'!D157&lt;&gt;"","PID|"&amp;TRIM('01_Master_Data'!D157&amp;""),"")))</f>
        <v/>
      </c>
      <c r="C157">
        <f>IF('01_Master_Data'!B157="","",'01_Master_Data'!B157)</f>
        <v/>
      </c>
      <c r="D157">
        <f>IF('01_Master_Data'!B157="","",'01_Master_Data'!C157)</f>
        <v/>
      </c>
      <c r="E157">
        <f>IF('01_Master_Data'!B157="","",'01_Master_Data'!D157)</f>
        <v/>
      </c>
      <c r="F157">
        <f>IF('01_Master_Data'!B157="","",'01_Master_Data'!E157)</f>
        <v/>
      </c>
      <c r="G157">
        <f>IF('01_Master_Data'!B157="","",IFERROR(VLOOKUP(TRIM('01_Master_Data'!E157&amp;""),'02_Configuration'!$A$40:$B$44,2,FALSE),UPPER(TRIM('01_Master_Data'!E157&amp;""))))</f>
        <v/>
      </c>
      <c r="H157">
        <f>IF('01_Master_Data'!B157="","",IF('01_Master_Data'!U157="","",TRIM('01_Master_Data'!U157&amp;"")))</f>
        <v/>
      </c>
      <c r="I157">
        <f>IF('01_Master_Data'!B157="","",TRIM('01_Master_Data'!F157&amp;""))</f>
        <v/>
      </c>
      <c r="J157">
        <f>IF('01_Master_Data'!B157="","",TRIM('01_Master_Data'!G157&amp;""))</f>
        <v/>
      </c>
      <c r="K157">
        <f>IF('01_Master_Data'!B157="","",'01_Master_Data'!H157)</f>
        <v/>
      </c>
      <c r="L157">
        <f>IF('01_Master_Data'!B157="","",IF(LOWER(TRIM('01_Master_Data'!V157&amp;""))="yes",1,0))</f>
        <v/>
      </c>
      <c r="M157">
        <f>IF('01_Master_Data'!B157="","",IF(LOWER(TRIM('01_Master_Data'!W157&amp;""))="yes",1,0))</f>
        <v/>
      </c>
      <c r="N157">
        <f>IF('01_Master_Data'!B157="","",IF(LOWER(TRIM('01_Master_Data'!X157&amp;""))="yes",1,0))</f>
        <v/>
      </c>
      <c r="O157">
        <f>IF('01_Master_Data'!B157="","",IF(LOWER(TRIM('01_Master_Data'!Y157&amp;""))="yes",1,0))</f>
        <v/>
      </c>
      <c r="P157">
        <f>IF('01_Master_Data'!B157="","",IF(LOWER(TRIM('01_Master_Data'!Z157&amp;""))="yes",1,0))</f>
        <v/>
      </c>
      <c r="Q157">
        <f>IF(A157="","",L157+M157+N157+O157+P157)</f>
        <v/>
      </c>
      <c r="R157">
        <f>IF(A157="","",IF(Q157&gt;1,"Yes","No"))</f>
        <v/>
      </c>
      <c r="S157">
        <f>IF(A157="","",TEXTJOIN(", ",TRUE,IF(L157=1,"ICICI",""),IF(M157=1,"Propelld",""),IF(N157=1,"Study4Buddy",""),IF(O157=1,"Poonawala Fincorp",""),IF(P157=1,"GyanDhan","")))</f>
        <v/>
      </c>
      <c r="T157">
        <f>IF(A157="","",IF(L157=1,"ICICI",IF(M157=1,"Propelld",IF(P157=1,"GyanDhan",IF(N157=1,"Study4Buddy",IF(O157=1,"Poonawala Fincorp",IF(ISNUMBER(SEARCH("GyanDhan",W157&amp;"")),"GyanDhan",IF(ISNUMBER(SEARCH("Icici",W157&amp;"")),"ICICI",IF(ISNUMBER(SEARCH("Propelld",W157&amp;"")),"Propelld",IF(ISNUMBER(SEARCH("vidyalakshmi",LOWER(W157&amp;"")),"PM Vidyalakshmi","—"))))))))))</f>
        <v/>
      </c>
      <c r="U157">
        <f>IF(A157="","",TRIM('01_Master_Data'!AA157&amp;""))</f>
        <v/>
      </c>
      <c r="V157">
        <f>IF(A157="","",TRIM('01_Master_Data'!AG157&amp;""))</f>
        <v/>
      </c>
      <c r="W157">
        <f>IF(A157="","",TRIM('01_Master_Data'!AH157&amp;""))</f>
        <v/>
      </c>
      <c r="X157">
        <f>IF(A157="","",IF(OR(LOWER(H157)="refund",LOWER(U157)="refund case"),"Refund",IF(OR(LOWER(H157)="dnp",LOWER(U157)="dnp"),"DNP",IF(OR(LOWER(V157)="disbursed",ISNUMBER(SEARCH("Disbursed",W157&amp;""))),"Disbursed",IF(OR(LOWER(V157)="loan proccessed/accepted",ISNUMBER(SEARCH("sanctioned",LOWER(W157&amp;"")))),"Sanctioned",IF(OR(LOWER(V157)="rejected",ISNUMBER(SEARCH("Not eligbile",W157&amp;"")),ISNUMBER(SEARCH("Not eligible",W157&amp;""))),"Rejected",IF(ISNUMBER(SEARCH("Docs Pending",W157&amp;"")),"Documents Pending",IF(AND(LOWER(H157)="yes",LOWER(V157)="ongoing"),"Processing",IF(AND(LOWER(H157)="yes",Q157&gt;0,OR(V157="",LOWER(V157)="not even started")),"Vendor Assigned",IF(AND(LOWER(H157)="yes",LOWER(V157)="not even started"),"Need Loan",IF(LOWER(H157)="yes","Loan Started",IF(LOWER(H157)="not sure","Interested",IF(OR(LOWER(H157)="no",LOWER(V157)="not required"),"Not Required","Unclassified")))))))))))))</f>
        <v/>
      </c>
      <c r="Y157">
        <f>IF(A157="","",IF(OR(X157="Sanctioned",X157="Disbursed",X157="Approved"),"Approved",IF(X157="Rejected","Rejected",IF(OR(X157="Processing",X157="Documents Pending",X157="Vendor Assigned"),"In Progress",IF(X157="Need Loan","Pending Start","—"))))</f>
        <v/>
      </c>
      <c r="Z157">
        <f>IF(A157="","",IF(X157="Disbursed","Disbursed",IF(X157="Sanctioned","Sanctioned - Awaiting Disbursement","Not Disbursed")))</f>
        <v/>
      </c>
      <c r="AA157">
        <f>IF(A157="","",IF(LOWER(TRIM('01_Master_Data'!AI157&amp;""))="yes","Need FLDG",IF(LOWER(TRIM('01_Master_Data'!AK157&amp;""))="yes","Need Vidyalakshmi",IF(LOWER(TRIM('01_Master_Data'!AJ157&amp;""))="yes","Need Review",IF(LOWER(J157)="critical","Critical",IF(LOWER(U157)="risk","Risk Case",IF(X157="Refund","Refund","Normal")))))))</f>
        <v/>
      </c>
      <c r="AB157">
        <f>IF(A157="","",IF(OR(LOWER(J157)="critical",LOWER(TRIM('01_Master_Data'!AI157&amp;""))="yes",LOWER(TRIM('01_Master_Data'!AK157&amp;""))="yes",LOWER(U157)="risk"),"Yes","No"))</f>
        <v/>
      </c>
      <c r="AC157">
        <f>IF(A157="","",IF(LOWER(TRIM('01_Master_Data'!AI157&amp;""))="yes","Yes","No"))</f>
        <v/>
      </c>
      <c r="AD157">
        <f>IF(A157="","",IF(LOWER(TRIM('01_Master_Data'!AK157&amp;""))="yes","Yes","No"))</f>
        <v/>
      </c>
      <c r="AE157">
        <f>IF(A157="","",IF(LOWER(TRIM('01_Master_Data'!AJ157&amp;""))="yes","Yes","No"))</f>
        <v/>
      </c>
      <c r="AF157">
        <f>IF(A157="","",TRIM('01_Master_Data'!AL157&amp;""))</f>
        <v/>
      </c>
      <c r="AG157">
        <f>IF(A157="","",IF(AF157="","—",IF(ISNUMBER(SEARCH("DNP",AF157)),"Unreachable / DNP",IF(ISNUMBER(SEARCH("interest",LOWER(AF157))),"High Interest / Terms",IF(OR(ISNUMBER(SEARCH("eligib",LOWER(AF157))),ISNUMBER(SEARCH("income",LOWER(AF157)))),"Eligibility / Income",IF(OR(ISNUMBER(SEARCH("start",LOWER(AF157))),ISNUMBER(SEARCH("Newer",AF157)),ISNUMBER(SEARCH("Will start",AF157))),"Process Yet to Start",IF(ISNUMBER(SEARCH("sure",LOWER(AF157))),"Undecided",IF(OR(ISNUMBER(SEARCH("reject",LOWER(AF157))),ISNUMBER(SEARCH("SBI",AF157))),"Rejected Elsewhere",IF(ISNUMBER(SEARCH("call",LOWER(AF157))),"Bank Communication",IF(OR(ISNUMBER(SEARCH("father",LOWER(AF157))),ISNUMBER(SEARCH("sister",LOWER(AF157)))),"Family / Dependency","Other"))))))))))</f>
        <v/>
      </c>
      <c r="AH157">
        <f>IF(A157="","",'01_Master_Data'!AC157)</f>
        <v/>
      </c>
      <c r="AI157">
        <f>IF(A157="","",IF(OR(AH157="",NOT(ISNUMBER(AH157))),"",MAX(0,'02_Configuration'!$B$82-AH157)))</f>
        <v/>
      </c>
      <c r="AJ157">
        <f>IF(A157="","",IF(AI157="","Unknown",IF(AI157&lt;=3,"0–3 Days",IF(AI157&lt;=7,"4–7 Days",IF(AI157&lt;=15,"8–15 Days",IF(AI157&lt;=30,"16–30 Days","30+ Days"))))))</f>
        <v/>
      </c>
      <c r="AK157">
        <f>IF(A157="","",IF(LOWER(H157)="yes","Yes","No"))</f>
        <v/>
      </c>
      <c r="AL157">
        <f>IF(A157="","",'01_Master_Data'!T157)</f>
        <v/>
      </c>
      <c r="AM157">
        <f>IF(A157="","",'01_Master_Data'!S157)</f>
        <v/>
      </c>
      <c r="AN157">
        <f>IF(A157="","",'01_Master_Data'!I157)</f>
        <v/>
      </c>
      <c r="AO157">
        <f>IF(A157="","",'01_Master_Data'!M157)</f>
        <v/>
      </c>
      <c r="AP157">
        <f>IF(A157="","",IF(ISNUMBER(SEARCH("Icici",W157&amp;"")),1,0))</f>
        <v/>
      </c>
      <c r="AQ157">
        <f>IF(A157="","",IF(ISNUMBER(SEARCH("Propelld",W157&amp;"")),1,0))</f>
        <v/>
      </c>
      <c r="AR157">
        <f>IF(A157="","",IF(ISNUMBER(SEARCH("GyanDhan",W157&amp;"")),1,0))</f>
        <v/>
      </c>
      <c r="AS157">
        <f>IF(A157="","",IF(ISNUMBER(SEARCH("vidyalakshmi",LOWER(W157&amp;""))),1,0))</f>
        <v/>
      </c>
      <c r="AT157">
        <f>IF(A157="","",IF(ISNUMBER(SEARCH("other bank",LOWER(W157&amp;""))),1,0))</f>
        <v/>
      </c>
      <c r="AU157">
        <f>IF(A157="","",IF(ISNUMBER(SEARCH("sanctioned",LOWER(W157&amp;""))),1,0))</f>
        <v/>
      </c>
      <c r="AV157">
        <f>IF(A157="","",IF(ISNUMBER(SEARCH("Docs Pending",W157&amp;"")),1,0))</f>
        <v/>
      </c>
      <c r="AW157">
        <f>IF(A157="","",IF(OR(X157="Rejected",ISNUMBER(SEARCH("Not eligbile",W157&amp;""))),1,0))</f>
        <v/>
      </c>
    </row>
    <row r="158">
      <c r="A158">
        <f>IF('01_Master_Data'!B158="","",157)</f>
        <v/>
      </c>
      <c r="B158">
        <f>IF('01_Master_Data'!B158="","",IF('01_Master_Data'!C158&lt;&gt;"","MOB|"&amp;TEXT('01_Master_Data'!C158,"0"),IF('01_Master_Data'!D158&lt;&gt;"","PID|"&amp;TRIM('01_Master_Data'!D158&amp;""),"")))</f>
        <v/>
      </c>
      <c r="C158">
        <f>IF('01_Master_Data'!B158="","",'01_Master_Data'!B158)</f>
        <v/>
      </c>
      <c r="D158">
        <f>IF('01_Master_Data'!B158="","",'01_Master_Data'!C158)</f>
        <v/>
      </c>
      <c r="E158">
        <f>IF('01_Master_Data'!B158="","",'01_Master_Data'!D158)</f>
        <v/>
      </c>
      <c r="F158">
        <f>IF('01_Master_Data'!B158="","",'01_Master_Data'!E158)</f>
        <v/>
      </c>
      <c r="G158">
        <f>IF('01_Master_Data'!B158="","",IFERROR(VLOOKUP(TRIM('01_Master_Data'!E158&amp;""),'02_Configuration'!$A$40:$B$44,2,FALSE),UPPER(TRIM('01_Master_Data'!E158&amp;""))))</f>
        <v/>
      </c>
      <c r="H158">
        <f>IF('01_Master_Data'!B158="","",IF('01_Master_Data'!U158="","",TRIM('01_Master_Data'!U158&amp;"")))</f>
        <v/>
      </c>
      <c r="I158">
        <f>IF('01_Master_Data'!B158="","",TRIM('01_Master_Data'!F158&amp;""))</f>
        <v/>
      </c>
      <c r="J158">
        <f>IF('01_Master_Data'!B158="","",TRIM('01_Master_Data'!G158&amp;""))</f>
        <v/>
      </c>
      <c r="K158">
        <f>IF('01_Master_Data'!B158="","",'01_Master_Data'!H158)</f>
        <v/>
      </c>
      <c r="L158">
        <f>IF('01_Master_Data'!B158="","",IF(LOWER(TRIM('01_Master_Data'!V158&amp;""))="yes",1,0))</f>
        <v/>
      </c>
      <c r="M158">
        <f>IF('01_Master_Data'!B158="","",IF(LOWER(TRIM('01_Master_Data'!W158&amp;""))="yes",1,0))</f>
        <v/>
      </c>
      <c r="N158">
        <f>IF('01_Master_Data'!B158="","",IF(LOWER(TRIM('01_Master_Data'!X158&amp;""))="yes",1,0))</f>
        <v/>
      </c>
      <c r="O158">
        <f>IF('01_Master_Data'!B158="","",IF(LOWER(TRIM('01_Master_Data'!Y158&amp;""))="yes",1,0))</f>
        <v/>
      </c>
      <c r="P158">
        <f>IF('01_Master_Data'!B158="","",IF(LOWER(TRIM('01_Master_Data'!Z158&amp;""))="yes",1,0))</f>
        <v/>
      </c>
      <c r="Q158">
        <f>IF(A158="","",L158+M158+N158+O158+P158)</f>
        <v/>
      </c>
      <c r="R158">
        <f>IF(A158="","",IF(Q158&gt;1,"Yes","No"))</f>
        <v/>
      </c>
      <c r="S158">
        <f>IF(A158="","",TEXTJOIN(", ",TRUE,IF(L158=1,"ICICI",""),IF(M158=1,"Propelld",""),IF(N158=1,"Study4Buddy",""),IF(O158=1,"Poonawala Fincorp",""),IF(P158=1,"GyanDhan","")))</f>
        <v/>
      </c>
      <c r="T158">
        <f>IF(A158="","",IF(L158=1,"ICICI",IF(M158=1,"Propelld",IF(P158=1,"GyanDhan",IF(N158=1,"Study4Buddy",IF(O158=1,"Poonawala Fincorp",IF(ISNUMBER(SEARCH("GyanDhan",W158&amp;"")),"GyanDhan",IF(ISNUMBER(SEARCH("Icici",W158&amp;"")),"ICICI",IF(ISNUMBER(SEARCH("Propelld",W158&amp;"")),"Propelld",IF(ISNUMBER(SEARCH("vidyalakshmi",LOWER(W158&amp;"")),"PM Vidyalakshmi","—"))))))))))</f>
        <v/>
      </c>
      <c r="U158">
        <f>IF(A158="","",TRIM('01_Master_Data'!AA158&amp;""))</f>
        <v/>
      </c>
      <c r="V158">
        <f>IF(A158="","",TRIM('01_Master_Data'!AG158&amp;""))</f>
        <v/>
      </c>
      <c r="W158">
        <f>IF(A158="","",TRIM('01_Master_Data'!AH158&amp;""))</f>
        <v/>
      </c>
      <c r="X158">
        <f>IF(A158="","",IF(OR(LOWER(H158)="refund",LOWER(U158)="refund case"),"Refund",IF(OR(LOWER(H158)="dnp",LOWER(U158)="dnp"),"DNP",IF(OR(LOWER(V158)="disbursed",ISNUMBER(SEARCH("Disbursed",W158&amp;""))),"Disbursed",IF(OR(LOWER(V158)="loan proccessed/accepted",ISNUMBER(SEARCH("sanctioned",LOWER(W158&amp;"")))),"Sanctioned",IF(OR(LOWER(V158)="rejected",ISNUMBER(SEARCH("Not eligbile",W158&amp;"")),ISNUMBER(SEARCH("Not eligible",W158&amp;""))),"Rejected",IF(ISNUMBER(SEARCH("Docs Pending",W158&amp;"")),"Documents Pending",IF(AND(LOWER(H158)="yes",LOWER(V158)="ongoing"),"Processing",IF(AND(LOWER(H158)="yes",Q158&gt;0,OR(V158="",LOWER(V158)="not even started")),"Vendor Assigned",IF(AND(LOWER(H158)="yes",LOWER(V158)="not even started"),"Need Loan",IF(LOWER(H158)="yes","Loan Started",IF(LOWER(H158)="not sure","Interested",IF(OR(LOWER(H158)="no",LOWER(V158)="not required"),"Not Required","Unclassified")))))))))))))</f>
        <v/>
      </c>
      <c r="Y158">
        <f>IF(A158="","",IF(OR(X158="Sanctioned",X158="Disbursed",X158="Approved"),"Approved",IF(X158="Rejected","Rejected",IF(OR(X158="Processing",X158="Documents Pending",X158="Vendor Assigned"),"In Progress",IF(X158="Need Loan","Pending Start","—"))))</f>
        <v/>
      </c>
      <c r="Z158">
        <f>IF(A158="","",IF(X158="Disbursed","Disbursed",IF(X158="Sanctioned","Sanctioned - Awaiting Disbursement","Not Disbursed")))</f>
        <v/>
      </c>
      <c r="AA158">
        <f>IF(A158="","",IF(LOWER(TRIM('01_Master_Data'!AI158&amp;""))="yes","Need FLDG",IF(LOWER(TRIM('01_Master_Data'!AK158&amp;""))="yes","Need Vidyalakshmi",IF(LOWER(TRIM('01_Master_Data'!AJ158&amp;""))="yes","Need Review",IF(LOWER(J158)="critical","Critical",IF(LOWER(U158)="risk","Risk Case",IF(X158="Refund","Refund","Normal")))))))</f>
        <v/>
      </c>
      <c r="AB158">
        <f>IF(A158="","",IF(OR(LOWER(J158)="critical",LOWER(TRIM('01_Master_Data'!AI158&amp;""))="yes",LOWER(TRIM('01_Master_Data'!AK158&amp;""))="yes",LOWER(U158)="risk"),"Yes","No"))</f>
        <v/>
      </c>
      <c r="AC158">
        <f>IF(A158="","",IF(LOWER(TRIM('01_Master_Data'!AI158&amp;""))="yes","Yes","No"))</f>
        <v/>
      </c>
      <c r="AD158">
        <f>IF(A158="","",IF(LOWER(TRIM('01_Master_Data'!AK158&amp;""))="yes","Yes","No"))</f>
        <v/>
      </c>
      <c r="AE158">
        <f>IF(A158="","",IF(LOWER(TRIM('01_Master_Data'!AJ158&amp;""))="yes","Yes","No"))</f>
        <v/>
      </c>
      <c r="AF158">
        <f>IF(A158="","",TRIM('01_Master_Data'!AL158&amp;""))</f>
        <v/>
      </c>
      <c r="AG158">
        <f>IF(A158="","",IF(AF158="","—",IF(ISNUMBER(SEARCH("DNP",AF158)),"Unreachable / DNP",IF(ISNUMBER(SEARCH("interest",LOWER(AF158))),"High Interest / Terms",IF(OR(ISNUMBER(SEARCH("eligib",LOWER(AF158))),ISNUMBER(SEARCH("income",LOWER(AF158)))),"Eligibility / Income",IF(OR(ISNUMBER(SEARCH("start",LOWER(AF158))),ISNUMBER(SEARCH("Newer",AF158)),ISNUMBER(SEARCH("Will start",AF158))),"Process Yet to Start",IF(ISNUMBER(SEARCH("sure",LOWER(AF158))),"Undecided",IF(OR(ISNUMBER(SEARCH("reject",LOWER(AF158))),ISNUMBER(SEARCH("SBI",AF158))),"Rejected Elsewhere",IF(ISNUMBER(SEARCH("call",LOWER(AF158))),"Bank Communication",IF(OR(ISNUMBER(SEARCH("father",LOWER(AF158))),ISNUMBER(SEARCH("sister",LOWER(AF158)))),"Family / Dependency","Other"))))))))))</f>
        <v/>
      </c>
      <c r="AH158">
        <f>IF(A158="","",'01_Master_Data'!AC158)</f>
        <v/>
      </c>
      <c r="AI158">
        <f>IF(A158="","",IF(OR(AH158="",NOT(ISNUMBER(AH158))),"",MAX(0,'02_Configuration'!$B$82-AH158)))</f>
        <v/>
      </c>
      <c r="AJ158">
        <f>IF(A158="","",IF(AI158="","Unknown",IF(AI158&lt;=3,"0–3 Days",IF(AI158&lt;=7,"4–7 Days",IF(AI158&lt;=15,"8–15 Days",IF(AI158&lt;=30,"16–30 Days","30+ Days"))))))</f>
        <v/>
      </c>
      <c r="AK158">
        <f>IF(A158="","",IF(LOWER(H158)="yes","Yes","No"))</f>
        <v/>
      </c>
      <c r="AL158">
        <f>IF(A158="","",'01_Master_Data'!T158)</f>
        <v/>
      </c>
      <c r="AM158">
        <f>IF(A158="","",'01_Master_Data'!S158)</f>
        <v/>
      </c>
      <c r="AN158">
        <f>IF(A158="","",'01_Master_Data'!I158)</f>
        <v/>
      </c>
      <c r="AO158">
        <f>IF(A158="","",'01_Master_Data'!M158)</f>
        <v/>
      </c>
      <c r="AP158">
        <f>IF(A158="","",IF(ISNUMBER(SEARCH("Icici",W158&amp;"")),1,0))</f>
        <v/>
      </c>
      <c r="AQ158">
        <f>IF(A158="","",IF(ISNUMBER(SEARCH("Propelld",W158&amp;"")),1,0))</f>
        <v/>
      </c>
      <c r="AR158">
        <f>IF(A158="","",IF(ISNUMBER(SEARCH("GyanDhan",W158&amp;"")),1,0))</f>
        <v/>
      </c>
      <c r="AS158">
        <f>IF(A158="","",IF(ISNUMBER(SEARCH("vidyalakshmi",LOWER(W158&amp;""))),1,0))</f>
        <v/>
      </c>
      <c r="AT158">
        <f>IF(A158="","",IF(ISNUMBER(SEARCH("other bank",LOWER(W158&amp;""))),1,0))</f>
        <v/>
      </c>
      <c r="AU158">
        <f>IF(A158="","",IF(ISNUMBER(SEARCH("sanctioned",LOWER(W158&amp;""))),1,0))</f>
        <v/>
      </c>
      <c r="AV158">
        <f>IF(A158="","",IF(ISNUMBER(SEARCH("Docs Pending",W158&amp;"")),1,0))</f>
        <v/>
      </c>
      <c r="AW158">
        <f>IF(A158="","",IF(OR(X158="Rejected",ISNUMBER(SEARCH("Not eligbile",W158&amp;""))),1,0))</f>
        <v/>
      </c>
    </row>
    <row r="159">
      <c r="A159">
        <f>IF('01_Master_Data'!B159="","",158)</f>
        <v/>
      </c>
      <c r="B159">
        <f>IF('01_Master_Data'!B159="","",IF('01_Master_Data'!C159&lt;&gt;"","MOB|"&amp;TEXT('01_Master_Data'!C159,"0"),IF('01_Master_Data'!D159&lt;&gt;"","PID|"&amp;TRIM('01_Master_Data'!D159&amp;""),"")))</f>
        <v/>
      </c>
      <c r="C159">
        <f>IF('01_Master_Data'!B159="","",'01_Master_Data'!B159)</f>
        <v/>
      </c>
      <c r="D159">
        <f>IF('01_Master_Data'!B159="","",'01_Master_Data'!C159)</f>
        <v/>
      </c>
      <c r="E159">
        <f>IF('01_Master_Data'!B159="","",'01_Master_Data'!D159)</f>
        <v/>
      </c>
      <c r="F159">
        <f>IF('01_Master_Data'!B159="","",'01_Master_Data'!E159)</f>
        <v/>
      </c>
      <c r="G159">
        <f>IF('01_Master_Data'!B159="","",IFERROR(VLOOKUP(TRIM('01_Master_Data'!E159&amp;""),'02_Configuration'!$A$40:$B$44,2,FALSE),UPPER(TRIM('01_Master_Data'!E159&amp;""))))</f>
        <v/>
      </c>
      <c r="H159">
        <f>IF('01_Master_Data'!B159="","",IF('01_Master_Data'!U159="","",TRIM('01_Master_Data'!U159&amp;"")))</f>
        <v/>
      </c>
      <c r="I159">
        <f>IF('01_Master_Data'!B159="","",TRIM('01_Master_Data'!F159&amp;""))</f>
        <v/>
      </c>
      <c r="J159">
        <f>IF('01_Master_Data'!B159="","",TRIM('01_Master_Data'!G159&amp;""))</f>
        <v/>
      </c>
      <c r="K159">
        <f>IF('01_Master_Data'!B159="","",'01_Master_Data'!H159)</f>
        <v/>
      </c>
      <c r="L159">
        <f>IF('01_Master_Data'!B159="","",IF(LOWER(TRIM('01_Master_Data'!V159&amp;""))="yes",1,0))</f>
        <v/>
      </c>
      <c r="M159">
        <f>IF('01_Master_Data'!B159="","",IF(LOWER(TRIM('01_Master_Data'!W159&amp;""))="yes",1,0))</f>
        <v/>
      </c>
      <c r="N159">
        <f>IF('01_Master_Data'!B159="","",IF(LOWER(TRIM('01_Master_Data'!X159&amp;""))="yes",1,0))</f>
        <v/>
      </c>
      <c r="O159">
        <f>IF('01_Master_Data'!B159="","",IF(LOWER(TRIM('01_Master_Data'!Y159&amp;""))="yes",1,0))</f>
        <v/>
      </c>
      <c r="P159">
        <f>IF('01_Master_Data'!B159="","",IF(LOWER(TRIM('01_Master_Data'!Z159&amp;""))="yes",1,0))</f>
        <v/>
      </c>
      <c r="Q159">
        <f>IF(A159="","",L159+M159+N159+O159+P159)</f>
        <v/>
      </c>
      <c r="R159">
        <f>IF(A159="","",IF(Q159&gt;1,"Yes","No"))</f>
        <v/>
      </c>
      <c r="S159">
        <f>IF(A159="","",TEXTJOIN(", ",TRUE,IF(L159=1,"ICICI",""),IF(M159=1,"Propelld",""),IF(N159=1,"Study4Buddy",""),IF(O159=1,"Poonawala Fincorp",""),IF(P159=1,"GyanDhan","")))</f>
        <v/>
      </c>
      <c r="T159">
        <f>IF(A159="","",IF(L159=1,"ICICI",IF(M159=1,"Propelld",IF(P159=1,"GyanDhan",IF(N159=1,"Study4Buddy",IF(O159=1,"Poonawala Fincorp",IF(ISNUMBER(SEARCH("GyanDhan",W159&amp;"")),"GyanDhan",IF(ISNUMBER(SEARCH("Icici",W159&amp;"")),"ICICI",IF(ISNUMBER(SEARCH("Propelld",W159&amp;"")),"Propelld",IF(ISNUMBER(SEARCH("vidyalakshmi",LOWER(W159&amp;"")),"PM Vidyalakshmi","—"))))))))))</f>
        <v/>
      </c>
      <c r="U159">
        <f>IF(A159="","",TRIM('01_Master_Data'!AA159&amp;""))</f>
        <v/>
      </c>
      <c r="V159">
        <f>IF(A159="","",TRIM('01_Master_Data'!AG159&amp;""))</f>
        <v/>
      </c>
      <c r="W159">
        <f>IF(A159="","",TRIM('01_Master_Data'!AH159&amp;""))</f>
        <v/>
      </c>
      <c r="X159">
        <f>IF(A159="","",IF(OR(LOWER(H159)="refund",LOWER(U159)="refund case"),"Refund",IF(OR(LOWER(H159)="dnp",LOWER(U159)="dnp"),"DNP",IF(OR(LOWER(V159)="disbursed",ISNUMBER(SEARCH("Disbursed",W159&amp;""))),"Disbursed",IF(OR(LOWER(V159)="loan proccessed/accepted",ISNUMBER(SEARCH("sanctioned",LOWER(W159&amp;"")))),"Sanctioned",IF(OR(LOWER(V159)="rejected",ISNUMBER(SEARCH("Not eligbile",W159&amp;"")),ISNUMBER(SEARCH("Not eligible",W159&amp;""))),"Rejected",IF(ISNUMBER(SEARCH("Docs Pending",W159&amp;"")),"Documents Pending",IF(AND(LOWER(H159)="yes",LOWER(V159)="ongoing"),"Processing",IF(AND(LOWER(H159)="yes",Q159&gt;0,OR(V159="",LOWER(V159)="not even started")),"Vendor Assigned",IF(AND(LOWER(H159)="yes",LOWER(V159)="not even started"),"Need Loan",IF(LOWER(H159)="yes","Loan Started",IF(LOWER(H159)="not sure","Interested",IF(OR(LOWER(H159)="no",LOWER(V159)="not required"),"Not Required","Unclassified")))))))))))))</f>
        <v/>
      </c>
      <c r="Y159">
        <f>IF(A159="","",IF(OR(X159="Sanctioned",X159="Disbursed",X159="Approved"),"Approved",IF(X159="Rejected","Rejected",IF(OR(X159="Processing",X159="Documents Pending",X159="Vendor Assigned"),"In Progress",IF(X159="Need Loan","Pending Start","—"))))</f>
        <v/>
      </c>
      <c r="Z159">
        <f>IF(A159="","",IF(X159="Disbursed","Disbursed",IF(X159="Sanctioned","Sanctioned - Awaiting Disbursement","Not Disbursed")))</f>
        <v/>
      </c>
      <c r="AA159">
        <f>IF(A159="","",IF(LOWER(TRIM('01_Master_Data'!AI159&amp;""))="yes","Need FLDG",IF(LOWER(TRIM('01_Master_Data'!AK159&amp;""))="yes","Need Vidyalakshmi",IF(LOWER(TRIM('01_Master_Data'!AJ159&amp;""))="yes","Need Review",IF(LOWER(J159)="critical","Critical",IF(LOWER(U159)="risk","Risk Case",IF(X159="Refund","Refund","Normal")))))))</f>
        <v/>
      </c>
      <c r="AB159">
        <f>IF(A159="","",IF(OR(LOWER(J159)="critical",LOWER(TRIM('01_Master_Data'!AI159&amp;""))="yes",LOWER(TRIM('01_Master_Data'!AK159&amp;""))="yes",LOWER(U159)="risk"),"Yes","No"))</f>
        <v/>
      </c>
      <c r="AC159">
        <f>IF(A159="","",IF(LOWER(TRIM('01_Master_Data'!AI159&amp;""))="yes","Yes","No"))</f>
        <v/>
      </c>
      <c r="AD159">
        <f>IF(A159="","",IF(LOWER(TRIM('01_Master_Data'!AK159&amp;""))="yes","Yes","No"))</f>
        <v/>
      </c>
      <c r="AE159">
        <f>IF(A159="","",IF(LOWER(TRIM('01_Master_Data'!AJ159&amp;""))="yes","Yes","No"))</f>
        <v/>
      </c>
      <c r="AF159">
        <f>IF(A159="","",TRIM('01_Master_Data'!AL159&amp;""))</f>
        <v/>
      </c>
      <c r="AG159">
        <f>IF(A159="","",IF(AF159="","—",IF(ISNUMBER(SEARCH("DNP",AF159)),"Unreachable / DNP",IF(ISNUMBER(SEARCH("interest",LOWER(AF159))),"High Interest / Terms",IF(OR(ISNUMBER(SEARCH("eligib",LOWER(AF159))),ISNUMBER(SEARCH("income",LOWER(AF159)))),"Eligibility / Income",IF(OR(ISNUMBER(SEARCH("start",LOWER(AF159))),ISNUMBER(SEARCH("Newer",AF159)),ISNUMBER(SEARCH("Will start",AF159))),"Process Yet to Start",IF(ISNUMBER(SEARCH("sure",LOWER(AF159))),"Undecided",IF(OR(ISNUMBER(SEARCH("reject",LOWER(AF159))),ISNUMBER(SEARCH("SBI",AF159))),"Rejected Elsewhere",IF(ISNUMBER(SEARCH("call",LOWER(AF159))),"Bank Communication",IF(OR(ISNUMBER(SEARCH("father",LOWER(AF159))),ISNUMBER(SEARCH("sister",LOWER(AF159)))),"Family / Dependency","Other"))))))))))</f>
        <v/>
      </c>
      <c r="AH159">
        <f>IF(A159="","",'01_Master_Data'!AC159)</f>
        <v/>
      </c>
      <c r="AI159">
        <f>IF(A159="","",IF(OR(AH159="",NOT(ISNUMBER(AH159))),"",MAX(0,'02_Configuration'!$B$82-AH159)))</f>
        <v/>
      </c>
      <c r="AJ159">
        <f>IF(A159="","",IF(AI159="","Unknown",IF(AI159&lt;=3,"0–3 Days",IF(AI159&lt;=7,"4–7 Days",IF(AI159&lt;=15,"8–15 Days",IF(AI159&lt;=30,"16–30 Days","30+ Days"))))))</f>
        <v/>
      </c>
      <c r="AK159">
        <f>IF(A159="","",IF(LOWER(H159)="yes","Yes","No"))</f>
        <v/>
      </c>
      <c r="AL159">
        <f>IF(A159="","",'01_Master_Data'!T159)</f>
        <v/>
      </c>
      <c r="AM159">
        <f>IF(A159="","",'01_Master_Data'!S159)</f>
        <v/>
      </c>
      <c r="AN159">
        <f>IF(A159="","",'01_Master_Data'!I159)</f>
        <v/>
      </c>
      <c r="AO159">
        <f>IF(A159="","",'01_Master_Data'!M159)</f>
        <v/>
      </c>
      <c r="AP159">
        <f>IF(A159="","",IF(ISNUMBER(SEARCH("Icici",W159&amp;"")),1,0))</f>
        <v/>
      </c>
      <c r="AQ159">
        <f>IF(A159="","",IF(ISNUMBER(SEARCH("Propelld",W159&amp;"")),1,0))</f>
        <v/>
      </c>
      <c r="AR159">
        <f>IF(A159="","",IF(ISNUMBER(SEARCH("GyanDhan",W159&amp;"")),1,0))</f>
        <v/>
      </c>
      <c r="AS159">
        <f>IF(A159="","",IF(ISNUMBER(SEARCH("vidyalakshmi",LOWER(W159&amp;""))),1,0))</f>
        <v/>
      </c>
      <c r="AT159">
        <f>IF(A159="","",IF(ISNUMBER(SEARCH("other bank",LOWER(W159&amp;""))),1,0))</f>
        <v/>
      </c>
      <c r="AU159">
        <f>IF(A159="","",IF(ISNUMBER(SEARCH("sanctioned",LOWER(W159&amp;""))),1,0))</f>
        <v/>
      </c>
      <c r="AV159">
        <f>IF(A159="","",IF(ISNUMBER(SEARCH("Docs Pending",W159&amp;"")),1,0))</f>
        <v/>
      </c>
      <c r="AW159">
        <f>IF(A159="","",IF(OR(X159="Rejected",ISNUMBER(SEARCH("Not eligbile",W159&amp;""))),1,0))</f>
        <v/>
      </c>
    </row>
    <row r="160">
      <c r="A160">
        <f>IF('01_Master_Data'!B160="","",159)</f>
        <v/>
      </c>
      <c r="B160">
        <f>IF('01_Master_Data'!B160="","",IF('01_Master_Data'!C160&lt;&gt;"","MOB|"&amp;TEXT('01_Master_Data'!C160,"0"),IF('01_Master_Data'!D160&lt;&gt;"","PID|"&amp;TRIM('01_Master_Data'!D160&amp;""),"")))</f>
        <v/>
      </c>
      <c r="C160">
        <f>IF('01_Master_Data'!B160="","",'01_Master_Data'!B160)</f>
        <v/>
      </c>
      <c r="D160">
        <f>IF('01_Master_Data'!B160="","",'01_Master_Data'!C160)</f>
        <v/>
      </c>
      <c r="E160">
        <f>IF('01_Master_Data'!B160="","",'01_Master_Data'!D160)</f>
        <v/>
      </c>
      <c r="F160">
        <f>IF('01_Master_Data'!B160="","",'01_Master_Data'!E160)</f>
        <v/>
      </c>
      <c r="G160">
        <f>IF('01_Master_Data'!B160="","",IFERROR(VLOOKUP(TRIM('01_Master_Data'!E160&amp;""),'02_Configuration'!$A$40:$B$44,2,FALSE),UPPER(TRIM('01_Master_Data'!E160&amp;""))))</f>
        <v/>
      </c>
      <c r="H160">
        <f>IF('01_Master_Data'!B160="","",IF('01_Master_Data'!U160="","",TRIM('01_Master_Data'!U160&amp;"")))</f>
        <v/>
      </c>
      <c r="I160">
        <f>IF('01_Master_Data'!B160="","",TRIM('01_Master_Data'!F160&amp;""))</f>
        <v/>
      </c>
      <c r="J160">
        <f>IF('01_Master_Data'!B160="","",TRIM('01_Master_Data'!G160&amp;""))</f>
        <v/>
      </c>
      <c r="K160">
        <f>IF('01_Master_Data'!B160="","",'01_Master_Data'!H160)</f>
        <v/>
      </c>
      <c r="L160">
        <f>IF('01_Master_Data'!B160="","",IF(LOWER(TRIM('01_Master_Data'!V160&amp;""))="yes",1,0))</f>
        <v/>
      </c>
      <c r="M160">
        <f>IF('01_Master_Data'!B160="","",IF(LOWER(TRIM('01_Master_Data'!W160&amp;""))="yes",1,0))</f>
        <v/>
      </c>
      <c r="N160">
        <f>IF('01_Master_Data'!B160="","",IF(LOWER(TRIM('01_Master_Data'!X160&amp;""))="yes",1,0))</f>
        <v/>
      </c>
      <c r="O160">
        <f>IF('01_Master_Data'!B160="","",IF(LOWER(TRIM('01_Master_Data'!Y160&amp;""))="yes",1,0))</f>
        <v/>
      </c>
      <c r="P160">
        <f>IF('01_Master_Data'!B160="","",IF(LOWER(TRIM('01_Master_Data'!Z160&amp;""))="yes",1,0))</f>
        <v/>
      </c>
      <c r="Q160">
        <f>IF(A160="","",L160+M160+N160+O160+P160)</f>
        <v/>
      </c>
      <c r="R160">
        <f>IF(A160="","",IF(Q160&gt;1,"Yes","No"))</f>
        <v/>
      </c>
      <c r="S160">
        <f>IF(A160="","",TEXTJOIN(", ",TRUE,IF(L160=1,"ICICI",""),IF(M160=1,"Propelld",""),IF(N160=1,"Study4Buddy",""),IF(O160=1,"Poonawala Fincorp",""),IF(P160=1,"GyanDhan","")))</f>
        <v/>
      </c>
      <c r="T160">
        <f>IF(A160="","",IF(L160=1,"ICICI",IF(M160=1,"Propelld",IF(P160=1,"GyanDhan",IF(N160=1,"Study4Buddy",IF(O160=1,"Poonawala Fincorp",IF(ISNUMBER(SEARCH("GyanDhan",W160&amp;"")),"GyanDhan",IF(ISNUMBER(SEARCH("Icici",W160&amp;"")),"ICICI",IF(ISNUMBER(SEARCH("Propelld",W160&amp;"")),"Propelld",IF(ISNUMBER(SEARCH("vidyalakshmi",LOWER(W160&amp;"")),"PM Vidyalakshmi","—"))))))))))</f>
        <v/>
      </c>
      <c r="U160">
        <f>IF(A160="","",TRIM('01_Master_Data'!AA160&amp;""))</f>
        <v/>
      </c>
      <c r="V160">
        <f>IF(A160="","",TRIM('01_Master_Data'!AG160&amp;""))</f>
        <v/>
      </c>
      <c r="W160">
        <f>IF(A160="","",TRIM('01_Master_Data'!AH160&amp;""))</f>
        <v/>
      </c>
      <c r="X160">
        <f>IF(A160="","",IF(OR(LOWER(H160)="refund",LOWER(U160)="refund case"),"Refund",IF(OR(LOWER(H160)="dnp",LOWER(U160)="dnp"),"DNP",IF(OR(LOWER(V160)="disbursed",ISNUMBER(SEARCH("Disbursed",W160&amp;""))),"Disbursed",IF(OR(LOWER(V160)="loan proccessed/accepted",ISNUMBER(SEARCH("sanctioned",LOWER(W160&amp;"")))),"Sanctioned",IF(OR(LOWER(V160)="rejected",ISNUMBER(SEARCH("Not eligbile",W160&amp;"")),ISNUMBER(SEARCH("Not eligible",W160&amp;""))),"Rejected",IF(ISNUMBER(SEARCH("Docs Pending",W160&amp;"")),"Documents Pending",IF(AND(LOWER(H160)="yes",LOWER(V160)="ongoing"),"Processing",IF(AND(LOWER(H160)="yes",Q160&gt;0,OR(V160="",LOWER(V160)="not even started")),"Vendor Assigned",IF(AND(LOWER(H160)="yes",LOWER(V160)="not even started"),"Need Loan",IF(LOWER(H160)="yes","Loan Started",IF(LOWER(H160)="not sure","Interested",IF(OR(LOWER(H160)="no",LOWER(V160)="not required"),"Not Required","Unclassified")))))))))))))</f>
        <v/>
      </c>
      <c r="Y160">
        <f>IF(A160="","",IF(OR(X160="Sanctioned",X160="Disbursed",X160="Approved"),"Approved",IF(X160="Rejected","Rejected",IF(OR(X160="Processing",X160="Documents Pending",X160="Vendor Assigned"),"In Progress",IF(X160="Need Loan","Pending Start","—"))))</f>
        <v/>
      </c>
      <c r="Z160">
        <f>IF(A160="","",IF(X160="Disbursed","Disbursed",IF(X160="Sanctioned","Sanctioned - Awaiting Disbursement","Not Disbursed")))</f>
        <v/>
      </c>
      <c r="AA160">
        <f>IF(A160="","",IF(LOWER(TRIM('01_Master_Data'!AI160&amp;""))="yes","Need FLDG",IF(LOWER(TRIM('01_Master_Data'!AK160&amp;""))="yes","Need Vidyalakshmi",IF(LOWER(TRIM('01_Master_Data'!AJ160&amp;""))="yes","Need Review",IF(LOWER(J160)="critical","Critical",IF(LOWER(U160)="risk","Risk Case",IF(X160="Refund","Refund","Normal")))))))</f>
        <v/>
      </c>
      <c r="AB160">
        <f>IF(A160="","",IF(OR(LOWER(J160)="critical",LOWER(TRIM('01_Master_Data'!AI160&amp;""))="yes",LOWER(TRIM('01_Master_Data'!AK160&amp;""))="yes",LOWER(U160)="risk"),"Yes","No"))</f>
        <v/>
      </c>
      <c r="AC160">
        <f>IF(A160="","",IF(LOWER(TRIM('01_Master_Data'!AI160&amp;""))="yes","Yes","No"))</f>
        <v/>
      </c>
      <c r="AD160">
        <f>IF(A160="","",IF(LOWER(TRIM('01_Master_Data'!AK160&amp;""))="yes","Yes","No"))</f>
        <v/>
      </c>
      <c r="AE160">
        <f>IF(A160="","",IF(LOWER(TRIM('01_Master_Data'!AJ160&amp;""))="yes","Yes","No"))</f>
        <v/>
      </c>
      <c r="AF160">
        <f>IF(A160="","",TRIM('01_Master_Data'!AL160&amp;""))</f>
        <v/>
      </c>
      <c r="AG160">
        <f>IF(A160="","",IF(AF160="","—",IF(ISNUMBER(SEARCH("DNP",AF160)),"Unreachable / DNP",IF(ISNUMBER(SEARCH("interest",LOWER(AF160))),"High Interest / Terms",IF(OR(ISNUMBER(SEARCH("eligib",LOWER(AF160))),ISNUMBER(SEARCH("income",LOWER(AF160)))),"Eligibility / Income",IF(OR(ISNUMBER(SEARCH("start",LOWER(AF160))),ISNUMBER(SEARCH("Newer",AF160)),ISNUMBER(SEARCH("Will start",AF160))),"Process Yet to Start",IF(ISNUMBER(SEARCH("sure",LOWER(AF160))),"Undecided",IF(OR(ISNUMBER(SEARCH("reject",LOWER(AF160))),ISNUMBER(SEARCH("SBI",AF160))),"Rejected Elsewhere",IF(ISNUMBER(SEARCH("call",LOWER(AF160))),"Bank Communication",IF(OR(ISNUMBER(SEARCH("father",LOWER(AF160))),ISNUMBER(SEARCH("sister",LOWER(AF160)))),"Family / Dependency","Other"))))))))))</f>
        <v/>
      </c>
      <c r="AH160">
        <f>IF(A160="","",'01_Master_Data'!AC160)</f>
        <v/>
      </c>
      <c r="AI160">
        <f>IF(A160="","",IF(OR(AH160="",NOT(ISNUMBER(AH160))),"",MAX(0,'02_Configuration'!$B$82-AH160)))</f>
        <v/>
      </c>
      <c r="AJ160">
        <f>IF(A160="","",IF(AI160="","Unknown",IF(AI160&lt;=3,"0–3 Days",IF(AI160&lt;=7,"4–7 Days",IF(AI160&lt;=15,"8–15 Days",IF(AI160&lt;=30,"16–30 Days","30+ Days"))))))</f>
        <v/>
      </c>
      <c r="AK160">
        <f>IF(A160="","",IF(LOWER(H160)="yes","Yes","No"))</f>
        <v/>
      </c>
      <c r="AL160">
        <f>IF(A160="","",'01_Master_Data'!T160)</f>
        <v/>
      </c>
      <c r="AM160">
        <f>IF(A160="","",'01_Master_Data'!S160)</f>
        <v/>
      </c>
      <c r="AN160">
        <f>IF(A160="","",'01_Master_Data'!I160)</f>
        <v/>
      </c>
      <c r="AO160">
        <f>IF(A160="","",'01_Master_Data'!M160)</f>
        <v/>
      </c>
      <c r="AP160">
        <f>IF(A160="","",IF(ISNUMBER(SEARCH("Icici",W160&amp;"")),1,0))</f>
        <v/>
      </c>
      <c r="AQ160">
        <f>IF(A160="","",IF(ISNUMBER(SEARCH("Propelld",W160&amp;"")),1,0))</f>
        <v/>
      </c>
      <c r="AR160">
        <f>IF(A160="","",IF(ISNUMBER(SEARCH("GyanDhan",W160&amp;"")),1,0))</f>
        <v/>
      </c>
      <c r="AS160">
        <f>IF(A160="","",IF(ISNUMBER(SEARCH("vidyalakshmi",LOWER(W160&amp;""))),1,0))</f>
        <v/>
      </c>
      <c r="AT160">
        <f>IF(A160="","",IF(ISNUMBER(SEARCH("other bank",LOWER(W160&amp;""))),1,0))</f>
        <v/>
      </c>
      <c r="AU160">
        <f>IF(A160="","",IF(ISNUMBER(SEARCH("sanctioned",LOWER(W160&amp;""))),1,0))</f>
        <v/>
      </c>
      <c r="AV160">
        <f>IF(A160="","",IF(ISNUMBER(SEARCH("Docs Pending",W160&amp;"")),1,0))</f>
        <v/>
      </c>
      <c r="AW160">
        <f>IF(A160="","",IF(OR(X160="Rejected",ISNUMBER(SEARCH("Not eligbile",W160&amp;""))),1,0))</f>
        <v/>
      </c>
    </row>
    <row r="161">
      <c r="A161">
        <f>IF('01_Master_Data'!B161="","",160)</f>
        <v/>
      </c>
      <c r="B161">
        <f>IF('01_Master_Data'!B161="","",IF('01_Master_Data'!C161&lt;&gt;"","MOB|"&amp;TEXT('01_Master_Data'!C161,"0"),IF('01_Master_Data'!D161&lt;&gt;"","PID|"&amp;TRIM('01_Master_Data'!D161&amp;""),"")))</f>
        <v/>
      </c>
      <c r="C161">
        <f>IF('01_Master_Data'!B161="","",'01_Master_Data'!B161)</f>
        <v/>
      </c>
      <c r="D161">
        <f>IF('01_Master_Data'!B161="","",'01_Master_Data'!C161)</f>
        <v/>
      </c>
      <c r="E161">
        <f>IF('01_Master_Data'!B161="","",'01_Master_Data'!D161)</f>
        <v/>
      </c>
      <c r="F161">
        <f>IF('01_Master_Data'!B161="","",'01_Master_Data'!E161)</f>
        <v/>
      </c>
      <c r="G161">
        <f>IF('01_Master_Data'!B161="","",IFERROR(VLOOKUP(TRIM('01_Master_Data'!E161&amp;""),'02_Configuration'!$A$40:$B$44,2,FALSE),UPPER(TRIM('01_Master_Data'!E161&amp;""))))</f>
        <v/>
      </c>
      <c r="H161">
        <f>IF('01_Master_Data'!B161="","",IF('01_Master_Data'!U161="","",TRIM('01_Master_Data'!U161&amp;"")))</f>
        <v/>
      </c>
      <c r="I161">
        <f>IF('01_Master_Data'!B161="","",TRIM('01_Master_Data'!F161&amp;""))</f>
        <v/>
      </c>
      <c r="J161">
        <f>IF('01_Master_Data'!B161="","",TRIM('01_Master_Data'!G161&amp;""))</f>
        <v/>
      </c>
      <c r="K161">
        <f>IF('01_Master_Data'!B161="","",'01_Master_Data'!H161)</f>
        <v/>
      </c>
      <c r="L161">
        <f>IF('01_Master_Data'!B161="","",IF(LOWER(TRIM('01_Master_Data'!V161&amp;""))="yes",1,0))</f>
        <v/>
      </c>
      <c r="M161">
        <f>IF('01_Master_Data'!B161="","",IF(LOWER(TRIM('01_Master_Data'!W161&amp;""))="yes",1,0))</f>
        <v/>
      </c>
      <c r="N161">
        <f>IF('01_Master_Data'!B161="","",IF(LOWER(TRIM('01_Master_Data'!X161&amp;""))="yes",1,0))</f>
        <v/>
      </c>
      <c r="O161">
        <f>IF('01_Master_Data'!B161="","",IF(LOWER(TRIM('01_Master_Data'!Y161&amp;""))="yes",1,0))</f>
        <v/>
      </c>
      <c r="P161">
        <f>IF('01_Master_Data'!B161="","",IF(LOWER(TRIM('01_Master_Data'!Z161&amp;""))="yes",1,0))</f>
        <v/>
      </c>
      <c r="Q161">
        <f>IF(A161="","",L161+M161+N161+O161+P161)</f>
        <v/>
      </c>
      <c r="R161">
        <f>IF(A161="","",IF(Q161&gt;1,"Yes","No"))</f>
        <v/>
      </c>
      <c r="S161">
        <f>IF(A161="","",TEXTJOIN(", ",TRUE,IF(L161=1,"ICICI",""),IF(M161=1,"Propelld",""),IF(N161=1,"Study4Buddy",""),IF(O161=1,"Poonawala Fincorp",""),IF(P161=1,"GyanDhan","")))</f>
        <v/>
      </c>
      <c r="T161">
        <f>IF(A161="","",IF(L161=1,"ICICI",IF(M161=1,"Propelld",IF(P161=1,"GyanDhan",IF(N161=1,"Study4Buddy",IF(O161=1,"Poonawala Fincorp",IF(ISNUMBER(SEARCH("GyanDhan",W161&amp;"")),"GyanDhan",IF(ISNUMBER(SEARCH("Icici",W161&amp;"")),"ICICI",IF(ISNUMBER(SEARCH("Propelld",W161&amp;"")),"Propelld",IF(ISNUMBER(SEARCH("vidyalakshmi",LOWER(W161&amp;"")),"PM Vidyalakshmi","—"))))))))))</f>
        <v/>
      </c>
      <c r="U161">
        <f>IF(A161="","",TRIM('01_Master_Data'!AA161&amp;""))</f>
        <v/>
      </c>
      <c r="V161">
        <f>IF(A161="","",TRIM('01_Master_Data'!AG161&amp;""))</f>
        <v/>
      </c>
      <c r="W161">
        <f>IF(A161="","",TRIM('01_Master_Data'!AH161&amp;""))</f>
        <v/>
      </c>
      <c r="X161">
        <f>IF(A161="","",IF(OR(LOWER(H161)="refund",LOWER(U161)="refund case"),"Refund",IF(OR(LOWER(H161)="dnp",LOWER(U161)="dnp"),"DNP",IF(OR(LOWER(V161)="disbursed",ISNUMBER(SEARCH("Disbursed",W161&amp;""))),"Disbursed",IF(OR(LOWER(V161)="loan proccessed/accepted",ISNUMBER(SEARCH("sanctioned",LOWER(W161&amp;"")))),"Sanctioned",IF(OR(LOWER(V161)="rejected",ISNUMBER(SEARCH("Not eligbile",W161&amp;"")),ISNUMBER(SEARCH("Not eligible",W161&amp;""))),"Rejected",IF(ISNUMBER(SEARCH("Docs Pending",W161&amp;"")),"Documents Pending",IF(AND(LOWER(H161)="yes",LOWER(V161)="ongoing"),"Processing",IF(AND(LOWER(H161)="yes",Q161&gt;0,OR(V161="",LOWER(V161)="not even started")),"Vendor Assigned",IF(AND(LOWER(H161)="yes",LOWER(V161)="not even started"),"Need Loan",IF(LOWER(H161)="yes","Loan Started",IF(LOWER(H161)="not sure","Interested",IF(OR(LOWER(H161)="no",LOWER(V161)="not required"),"Not Required","Unclassified")))))))))))))</f>
        <v/>
      </c>
      <c r="Y161">
        <f>IF(A161="","",IF(OR(X161="Sanctioned",X161="Disbursed",X161="Approved"),"Approved",IF(X161="Rejected","Rejected",IF(OR(X161="Processing",X161="Documents Pending",X161="Vendor Assigned"),"In Progress",IF(X161="Need Loan","Pending Start","—"))))</f>
        <v/>
      </c>
      <c r="Z161">
        <f>IF(A161="","",IF(X161="Disbursed","Disbursed",IF(X161="Sanctioned","Sanctioned - Awaiting Disbursement","Not Disbursed")))</f>
        <v/>
      </c>
      <c r="AA161">
        <f>IF(A161="","",IF(LOWER(TRIM('01_Master_Data'!AI161&amp;""))="yes","Need FLDG",IF(LOWER(TRIM('01_Master_Data'!AK161&amp;""))="yes","Need Vidyalakshmi",IF(LOWER(TRIM('01_Master_Data'!AJ161&amp;""))="yes","Need Review",IF(LOWER(J161)="critical","Critical",IF(LOWER(U161)="risk","Risk Case",IF(X161="Refund","Refund","Normal")))))))</f>
        <v/>
      </c>
      <c r="AB161">
        <f>IF(A161="","",IF(OR(LOWER(J161)="critical",LOWER(TRIM('01_Master_Data'!AI161&amp;""))="yes",LOWER(TRIM('01_Master_Data'!AK161&amp;""))="yes",LOWER(U161)="risk"),"Yes","No"))</f>
        <v/>
      </c>
      <c r="AC161">
        <f>IF(A161="","",IF(LOWER(TRIM('01_Master_Data'!AI161&amp;""))="yes","Yes","No"))</f>
        <v/>
      </c>
      <c r="AD161">
        <f>IF(A161="","",IF(LOWER(TRIM('01_Master_Data'!AK161&amp;""))="yes","Yes","No"))</f>
        <v/>
      </c>
      <c r="AE161">
        <f>IF(A161="","",IF(LOWER(TRIM('01_Master_Data'!AJ161&amp;""))="yes","Yes","No"))</f>
        <v/>
      </c>
      <c r="AF161">
        <f>IF(A161="","",TRIM('01_Master_Data'!AL161&amp;""))</f>
        <v/>
      </c>
      <c r="AG161">
        <f>IF(A161="","",IF(AF161="","—",IF(ISNUMBER(SEARCH("DNP",AF161)),"Unreachable / DNP",IF(ISNUMBER(SEARCH("interest",LOWER(AF161))),"High Interest / Terms",IF(OR(ISNUMBER(SEARCH("eligib",LOWER(AF161))),ISNUMBER(SEARCH("income",LOWER(AF161)))),"Eligibility / Income",IF(OR(ISNUMBER(SEARCH("start",LOWER(AF161))),ISNUMBER(SEARCH("Newer",AF161)),ISNUMBER(SEARCH("Will start",AF161))),"Process Yet to Start",IF(ISNUMBER(SEARCH("sure",LOWER(AF161))),"Undecided",IF(OR(ISNUMBER(SEARCH("reject",LOWER(AF161))),ISNUMBER(SEARCH("SBI",AF161))),"Rejected Elsewhere",IF(ISNUMBER(SEARCH("call",LOWER(AF161))),"Bank Communication",IF(OR(ISNUMBER(SEARCH("father",LOWER(AF161))),ISNUMBER(SEARCH("sister",LOWER(AF161)))),"Family / Dependency","Other"))))))))))</f>
        <v/>
      </c>
      <c r="AH161">
        <f>IF(A161="","",'01_Master_Data'!AC161)</f>
        <v/>
      </c>
      <c r="AI161">
        <f>IF(A161="","",IF(OR(AH161="",NOT(ISNUMBER(AH161))),"",MAX(0,'02_Configuration'!$B$82-AH161)))</f>
        <v/>
      </c>
      <c r="AJ161">
        <f>IF(A161="","",IF(AI161="","Unknown",IF(AI161&lt;=3,"0–3 Days",IF(AI161&lt;=7,"4–7 Days",IF(AI161&lt;=15,"8–15 Days",IF(AI161&lt;=30,"16–30 Days","30+ Days"))))))</f>
        <v/>
      </c>
      <c r="AK161">
        <f>IF(A161="","",IF(LOWER(H161)="yes","Yes","No"))</f>
        <v/>
      </c>
      <c r="AL161">
        <f>IF(A161="","",'01_Master_Data'!T161)</f>
        <v/>
      </c>
      <c r="AM161">
        <f>IF(A161="","",'01_Master_Data'!S161)</f>
        <v/>
      </c>
      <c r="AN161">
        <f>IF(A161="","",'01_Master_Data'!I161)</f>
        <v/>
      </c>
      <c r="AO161">
        <f>IF(A161="","",'01_Master_Data'!M161)</f>
        <v/>
      </c>
      <c r="AP161">
        <f>IF(A161="","",IF(ISNUMBER(SEARCH("Icici",W161&amp;"")),1,0))</f>
        <v/>
      </c>
      <c r="AQ161">
        <f>IF(A161="","",IF(ISNUMBER(SEARCH("Propelld",W161&amp;"")),1,0))</f>
        <v/>
      </c>
      <c r="AR161">
        <f>IF(A161="","",IF(ISNUMBER(SEARCH("GyanDhan",W161&amp;"")),1,0))</f>
        <v/>
      </c>
      <c r="AS161">
        <f>IF(A161="","",IF(ISNUMBER(SEARCH("vidyalakshmi",LOWER(W161&amp;""))),1,0))</f>
        <v/>
      </c>
      <c r="AT161">
        <f>IF(A161="","",IF(ISNUMBER(SEARCH("other bank",LOWER(W161&amp;""))),1,0))</f>
        <v/>
      </c>
      <c r="AU161">
        <f>IF(A161="","",IF(ISNUMBER(SEARCH("sanctioned",LOWER(W161&amp;""))),1,0))</f>
        <v/>
      </c>
      <c r="AV161">
        <f>IF(A161="","",IF(ISNUMBER(SEARCH("Docs Pending",W161&amp;"")),1,0))</f>
        <v/>
      </c>
      <c r="AW161">
        <f>IF(A161="","",IF(OR(X161="Rejected",ISNUMBER(SEARCH("Not eligbile",W161&amp;""))),1,0))</f>
        <v/>
      </c>
    </row>
    <row r="162">
      <c r="A162">
        <f>IF('01_Master_Data'!B162="","",161)</f>
        <v/>
      </c>
      <c r="B162">
        <f>IF('01_Master_Data'!B162="","",IF('01_Master_Data'!C162&lt;&gt;"","MOB|"&amp;TEXT('01_Master_Data'!C162,"0"),IF('01_Master_Data'!D162&lt;&gt;"","PID|"&amp;TRIM('01_Master_Data'!D162&amp;""),"")))</f>
        <v/>
      </c>
      <c r="C162">
        <f>IF('01_Master_Data'!B162="","",'01_Master_Data'!B162)</f>
        <v/>
      </c>
      <c r="D162">
        <f>IF('01_Master_Data'!B162="","",'01_Master_Data'!C162)</f>
        <v/>
      </c>
      <c r="E162">
        <f>IF('01_Master_Data'!B162="","",'01_Master_Data'!D162)</f>
        <v/>
      </c>
      <c r="F162">
        <f>IF('01_Master_Data'!B162="","",'01_Master_Data'!E162)</f>
        <v/>
      </c>
      <c r="G162">
        <f>IF('01_Master_Data'!B162="","",IFERROR(VLOOKUP(TRIM('01_Master_Data'!E162&amp;""),'02_Configuration'!$A$40:$B$44,2,FALSE),UPPER(TRIM('01_Master_Data'!E162&amp;""))))</f>
        <v/>
      </c>
      <c r="H162">
        <f>IF('01_Master_Data'!B162="","",IF('01_Master_Data'!U162="","",TRIM('01_Master_Data'!U162&amp;"")))</f>
        <v/>
      </c>
      <c r="I162">
        <f>IF('01_Master_Data'!B162="","",TRIM('01_Master_Data'!F162&amp;""))</f>
        <v/>
      </c>
      <c r="J162">
        <f>IF('01_Master_Data'!B162="","",TRIM('01_Master_Data'!G162&amp;""))</f>
        <v/>
      </c>
      <c r="K162">
        <f>IF('01_Master_Data'!B162="","",'01_Master_Data'!H162)</f>
        <v/>
      </c>
      <c r="L162">
        <f>IF('01_Master_Data'!B162="","",IF(LOWER(TRIM('01_Master_Data'!V162&amp;""))="yes",1,0))</f>
        <v/>
      </c>
      <c r="M162">
        <f>IF('01_Master_Data'!B162="","",IF(LOWER(TRIM('01_Master_Data'!W162&amp;""))="yes",1,0))</f>
        <v/>
      </c>
      <c r="N162">
        <f>IF('01_Master_Data'!B162="","",IF(LOWER(TRIM('01_Master_Data'!X162&amp;""))="yes",1,0))</f>
        <v/>
      </c>
      <c r="O162">
        <f>IF('01_Master_Data'!B162="","",IF(LOWER(TRIM('01_Master_Data'!Y162&amp;""))="yes",1,0))</f>
        <v/>
      </c>
      <c r="P162">
        <f>IF('01_Master_Data'!B162="","",IF(LOWER(TRIM('01_Master_Data'!Z162&amp;""))="yes",1,0))</f>
        <v/>
      </c>
      <c r="Q162">
        <f>IF(A162="","",L162+M162+N162+O162+P162)</f>
        <v/>
      </c>
      <c r="R162">
        <f>IF(A162="","",IF(Q162&gt;1,"Yes","No"))</f>
        <v/>
      </c>
      <c r="S162">
        <f>IF(A162="","",TEXTJOIN(", ",TRUE,IF(L162=1,"ICICI",""),IF(M162=1,"Propelld",""),IF(N162=1,"Study4Buddy",""),IF(O162=1,"Poonawala Fincorp",""),IF(P162=1,"GyanDhan","")))</f>
        <v/>
      </c>
      <c r="T162">
        <f>IF(A162="","",IF(L162=1,"ICICI",IF(M162=1,"Propelld",IF(P162=1,"GyanDhan",IF(N162=1,"Study4Buddy",IF(O162=1,"Poonawala Fincorp",IF(ISNUMBER(SEARCH("GyanDhan",W162&amp;"")),"GyanDhan",IF(ISNUMBER(SEARCH("Icici",W162&amp;"")),"ICICI",IF(ISNUMBER(SEARCH("Propelld",W162&amp;"")),"Propelld",IF(ISNUMBER(SEARCH("vidyalakshmi",LOWER(W162&amp;"")),"PM Vidyalakshmi","—"))))))))))</f>
        <v/>
      </c>
      <c r="U162">
        <f>IF(A162="","",TRIM('01_Master_Data'!AA162&amp;""))</f>
        <v/>
      </c>
      <c r="V162">
        <f>IF(A162="","",TRIM('01_Master_Data'!AG162&amp;""))</f>
        <v/>
      </c>
      <c r="W162">
        <f>IF(A162="","",TRIM('01_Master_Data'!AH162&amp;""))</f>
        <v/>
      </c>
      <c r="X162">
        <f>IF(A162="","",IF(OR(LOWER(H162)="refund",LOWER(U162)="refund case"),"Refund",IF(OR(LOWER(H162)="dnp",LOWER(U162)="dnp"),"DNP",IF(OR(LOWER(V162)="disbursed",ISNUMBER(SEARCH("Disbursed",W162&amp;""))),"Disbursed",IF(OR(LOWER(V162)="loan proccessed/accepted",ISNUMBER(SEARCH("sanctioned",LOWER(W162&amp;"")))),"Sanctioned",IF(OR(LOWER(V162)="rejected",ISNUMBER(SEARCH("Not eligbile",W162&amp;"")),ISNUMBER(SEARCH("Not eligible",W162&amp;""))),"Rejected",IF(ISNUMBER(SEARCH("Docs Pending",W162&amp;"")),"Documents Pending",IF(AND(LOWER(H162)="yes",LOWER(V162)="ongoing"),"Processing",IF(AND(LOWER(H162)="yes",Q162&gt;0,OR(V162="",LOWER(V162)="not even started")),"Vendor Assigned",IF(AND(LOWER(H162)="yes",LOWER(V162)="not even started"),"Need Loan",IF(LOWER(H162)="yes","Loan Started",IF(LOWER(H162)="not sure","Interested",IF(OR(LOWER(H162)="no",LOWER(V162)="not required"),"Not Required","Unclassified")))))))))))))</f>
        <v/>
      </c>
      <c r="Y162">
        <f>IF(A162="","",IF(OR(X162="Sanctioned",X162="Disbursed",X162="Approved"),"Approved",IF(X162="Rejected","Rejected",IF(OR(X162="Processing",X162="Documents Pending",X162="Vendor Assigned"),"In Progress",IF(X162="Need Loan","Pending Start","—"))))</f>
        <v/>
      </c>
      <c r="Z162">
        <f>IF(A162="","",IF(X162="Disbursed","Disbursed",IF(X162="Sanctioned","Sanctioned - Awaiting Disbursement","Not Disbursed")))</f>
        <v/>
      </c>
      <c r="AA162">
        <f>IF(A162="","",IF(LOWER(TRIM('01_Master_Data'!AI162&amp;""))="yes","Need FLDG",IF(LOWER(TRIM('01_Master_Data'!AK162&amp;""))="yes","Need Vidyalakshmi",IF(LOWER(TRIM('01_Master_Data'!AJ162&amp;""))="yes","Need Review",IF(LOWER(J162)="critical","Critical",IF(LOWER(U162)="risk","Risk Case",IF(X162="Refund","Refund","Normal")))))))</f>
        <v/>
      </c>
      <c r="AB162">
        <f>IF(A162="","",IF(OR(LOWER(J162)="critical",LOWER(TRIM('01_Master_Data'!AI162&amp;""))="yes",LOWER(TRIM('01_Master_Data'!AK162&amp;""))="yes",LOWER(U162)="risk"),"Yes","No"))</f>
        <v/>
      </c>
      <c r="AC162">
        <f>IF(A162="","",IF(LOWER(TRIM('01_Master_Data'!AI162&amp;""))="yes","Yes","No"))</f>
        <v/>
      </c>
      <c r="AD162">
        <f>IF(A162="","",IF(LOWER(TRIM('01_Master_Data'!AK162&amp;""))="yes","Yes","No"))</f>
        <v/>
      </c>
      <c r="AE162">
        <f>IF(A162="","",IF(LOWER(TRIM('01_Master_Data'!AJ162&amp;""))="yes","Yes","No"))</f>
        <v/>
      </c>
      <c r="AF162">
        <f>IF(A162="","",TRIM('01_Master_Data'!AL162&amp;""))</f>
        <v/>
      </c>
      <c r="AG162">
        <f>IF(A162="","",IF(AF162="","—",IF(ISNUMBER(SEARCH("DNP",AF162)),"Unreachable / DNP",IF(ISNUMBER(SEARCH("interest",LOWER(AF162))),"High Interest / Terms",IF(OR(ISNUMBER(SEARCH("eligib",LOWER(AF162))),ISNUMBER(SEARCH("income",LOWER(AF162)))),"Eligibility / Income",IF(OR(ISNUMBER(SEARCH("start",LOWER(AF162))),ISNUMBER(SEARCH("Newer",AF162)),ISNUMBER(SEARCH("Will start",AF162))),"Process Yet to Start",IF(ISNUMBER(SEARCH("sure",LOWER(AF162))),"Undecided",IF(OR(ISNUMBER(SEARCH("reject",LOWER(AF162))),ISNUMBER(SEARCH("SBI",AF162))),"Rejected Elsewhere",IF(ISNUMBER(SEARCH("call",LOWER(AF162))),"Bank Communication",IF(OR(ISNUMBER(SEARCH("father",LOWER(AF162))),ISNUMBER(SEARCH("sister",LOWER(AF162)))),"Family / Dependency","Other"))))))))))</f>
        <v/>
      </c>
      <c r="AH162">
        <f>IF(A162="","",'01_Master_Data'!AC162)</f>
        <v/>
      </c>
      <c r="AI162">
        <f>IF(A162="","",IF(OR(AH162="",NOT(ISNUMBER(AH162))),"",MAX(0,'02_Configuration'!$B$82-AH162)))</f>
        <v/>
      </c>
      <c r="AJ162">
        <f>IF(A162="","",IF(AI162="","Unknown",IF(AI162&lt;=3,"0–3 Days",IF(AI162&lt;=7,"4–7 Days",IF(AI162&lt;=15,"8–15 Days",IF(AI162&lt;=30,"16–30 Days","30+ Days"))))))</f>
        <v/>
      </c>
      <c r="AK162">
        <f>IF(A162="","",IF(LOWER(H162)="yes","Yes","No"))</f>
        <v/>
      </c>
      <c r="AL162">
        <f>IF(A162="","",'01_Master_Data'!T162)</f>
        <v/>
      </c>
      <c r="AM162">
        <f>IF(A162="","",'01_Master_Data'!S162)</f>
        <v/>
      </c>
      <c r="AN162">
        <f>IF(A162="","",'01_Master_Data'!I162)</f>
        <v/>
      </c>
      <c r="AO162">
        <f>IF(A162="","",'01_Master_Data'!M162)</f>
        <v/>
      </c>
      <c r="AP162">
        <f>IF(A162="","",IF(ISNUMBER(SEARCH("Icici",W162&amp;"")),1,0))</f>
        <v/>
      </c>
      <c r="AQ162">
        <f>IF(A162="","",IF(ISNUMBER(SEARCH("Propelld",W162&amp;"")),1,0))</f>
        <v/>
      </c>
      <c r="AR162">
        <f>IF(A162="","",IF(ISNUMBER(SEARCH("GyanDhan",W162&amp;"")),1,0))</f>
        <v/>
      </c>
      <c r="AS162">
        <f>IF(A162="","",IF(ISNUMBER(SEARCH("vidyalakshmi",LOWER(W162&amp;""))),1,0))</f>
        <v/>
      </c>
      <c r="AT162">
        <f>IF(A162="","",IF(ISNUMBER(SEARCH("other bank",LOWER(W162&amp;""))),1,0))</f>
        <v/>
      </c>
      <c r="AU162">
        <f>IF(A162="","",IF(ISNUMBER(SEARCH("sanctioned",LOWER(W162&amp;""))),1,0))</f>
        <v/>
      </c>
      <c r="AV162">
        <f>IF(A162="","",IF(ISNUMBER(SEARCH("Docs Pending",W162&amp;"")),1,0))</f>
        <v/>
      </c>
      <c r="AW162">
        <f>IF(A162="","",IF(OR(X162="Rejected",ISNUMBER(SEARCH("Not eligbile",W162&amp;""))),1,0))</f>
        <v/>
      </c>
    </row>
    <row r="163">
      <c r="A163">
        <f>IF('01_Master_Data'!B163="","",162)</f>
        <v/>
      </c>
      <c r="B163">
        <f>IF('01_Master_Data'!B163="","",IF('01_Master_Data'!C163&lt;&gt;"","MOB|"&amp;TEXT('01_Master_Data'!C163,"0"),IF('01_Master_Data'!D163&lt;&gt;"","PID|"&amp;TRIM('01_Master_Data'!D163&amp;""),"")))</f>
        <v/>
      </c>
      <c r="C163">
        <f>IF('01_Master_Data'!B163="","",'01_Master_Data'!B163)</f>
        <v/>
      </c>
      <c r="D163">
        <f>IF('01_Master_Data'!B163="","",'01_Master_Data'!C163)</f>
        <v/>
      </c>
      <c r="E163">
        <f>IF('01_Master_Data'!B163="","",'01_Master_Data'!D163)</f>
        <v/>
      </c>
      <c r="F163">
        <f>IF('01_Master_Data'!B163="","",'01_Master_Data'!E163)</f>
        <v/>
      </c>
      <c r="G163">
        <f>IF('01_Master_Data'!B163="","",IFERROR(VLOOKUP(TRIM('01_Master_Data'!E163&amp;""),'02_Configuration'!$A$40:$B$44,2,FALSE),UPPER(TRIM('01_Master_Data'!E163&amp;""))))</f>
        <v/>
      </c>
      <c r="H163">
        <f>IF('01_Master_Data'!B163="","",IF('01_Master_Data'!U163="","",TRIM('01_Master_Data'!U163&amp;"")))</f>
        <v/>
      </c>
      <c r="I163">
        <f>IF('01_Master_Data'!B163="","",TRIM('01_Master_Data'!F163&amp;""))</f>
        <v/>
      </c>
      <c r="J163">
        <f>IF('01_Master_Data'!B163="","",TRIM('01_Master_Data'!G163&amp;""))</f>
        <v/>
      </c>
      <c r="K163">
        <f>IF('01_Master_Data'!B163="","",'01_Master_Data'!H163)</f>
        <v/>
      </c>
      <c r="L163">
        <f>IF('01_Master_Data'!B163="","",IF(LOWER(TRIM('01_Master_Data'!V163&amp;""))="yes",1,0))</f>
        <v/>
      </c>
      <c r="M163">
        <f>IF('01_Master_Data'!B163="","",IF(LOWER(TRIM('01_Master_Data'!W163&amp;""))="yes",1,0))</f>
        <v/>
      </c>
      <c r="N163">
        <f>IF('01_Master_Data'!B163="","",IF(LOWER(TRIM('01_Master_Data'!X163&amp;""))="yes",1,0))</f>
        <v/>
      </c>
      <c r="O163">
        <f>IF('01_Master_Data'!B163="","",IF(LOWER(TRIM('01_Master_Data'!Y163&amp;""))="yes",1,0))</f>
        <v/>
      </c>
      <c r="P163">
        <f>IF('01_Master_Data'!B163="","",IF(LOWER(TRIM('01_Master_Data'!Z163&amp;""))="yes",1,0))</f>
        <v/>
      </c>
      <c r="Q163">
        <f>IF(A163="","",L163+M163+N163+O163+P163)</f>
        <v/>
      </c>
      <c r="R163">
        <f>IF(A163="","",IF(Q163&gt;1,"Yes","No"))</f>
        <v/>
      </c>
      <c r="S163">
        <f>IF(A163="","",TEXTJOIN(", ",TRUE,IF(L163=1,"ICICI",""),IF(M163=1,"Propelld",""),IF(N163=1,"Study4Buddy",""),IF(O163=1,"Poonawala Fincorp",""),IF(P163=1,"GyanDhan","")))</f>
        <v/>
      </c>
      <c r="T163">
        <f>IF(A163="","",IF(L163=1,"ICICI",IF(M163=1,"Propelld",IF(P163=1,"GyanDhan",IF(N163=1,"Study4Buddy",IF(O163=1,"Poonawala Fincorp",IF(ISNUMBER(SEARCH("GyanDhan",W163&amp;"")),"GyanDhan",IF(ISNUMBER(SEARCH("Icici",W163&amp;"")),"ICICI",IF(ISNUMBER(SEARCH("Propelld",W163&amp;"")),"Propelld",IF(ISNUMBER(SEARCH("vidyalakshmi",LOWER(W163&amp;"")),"PM Vidyalakshmi","—"))))))))))</f>
        <v/>
      </c>
      <c r="U163">
        <f>IF(A163="","",TRIM('01_Master_Data'!AA163&amp;""))</f>
        <v/>
      </c>
      <c r="V163">
        <f>IF(A163="","",TRIM('01_Master_Data'!AG163&amp;""))</f>
        <v/>
      </c>
      <c r="W163">
        <f>IF(A163="","",TRIM('01_Master_Data'!AH163&amp;""))</f>
        <v/>
      </c>
      <c r="X163">
        <f>IF(A163="","",IF(OR(LOWER(H163)="refund",LOWER(U163)="refund case"),"Refund",IF(OR(LOWER(H163)="dnp",LOWER(U163)="dnp"),"DNP",IF(OR(LOWER(V163)="disbursed",ISNUMBER(SEARCH("Disbursed",W163&amp;""))),"Disbursed",IF(OR(LOWER(V163)="loan proccessed/accepted",ISNUMBER(SEARCH("sanctioned",LOWER(W163&amp;"")))),"Sanctioned",IF(OR(LOWER(V163)="rejected",ISNUMBER(SEARCH("Not eligbile",W163&amp;"")),ISNUMBER(SEARCH("Not eligible",W163&amp;""))),"Rejected",IF(ISNUMBER(SEARCH("Docs Pending",W163&amp;"")),"Documents Pending",IF(AND(LOWER(H163)="yes",LOWER(V163)="ongoing"),"Processing",IF(AND(LOWER(H163)="yes",Q163&gt;0,OR(V163="",LOWER(V163)="not even started")),"Vendor Assigned",IF(AND(LOWER(H163)="yes",LOWER(V163)="not even started"),"Need Loan",IF(LOWER(H163)="yes","Loan Started",IF(LOWER(H163)="not sure","Interested",IF(OR(LOWER(H163)="no",LOWER(V163)="not required"),"Not Required","Unclassified")))))))))))))</f>
        <v/>
      </c>
      <c r="Y163">
        <f>IF(A163="","",IF(OR(X163="Sanctioned",X163="Disbursed",X163="Approved"),"Approved",IF(X163="Rejected","Rejected",IF(OR(X163="Processing",X163="Documents Pending",X163="Vendor Assigned"),"In Progress",IF(X163="Need Loan","Pending Start","—"))))</f>
        <v/>
      </c>
      <c r="Z163">
        <f>IF(A163="","",IF(X163="Disbursed","Disbursed",IF(X163="Sanctioned","Sanctioned - Awaiting Disbursement","Not Disbursed")))</f>
        <v/>
      </c>
      <c r="AA163">
        <f>IF(A163="","",IF(LOWER(TRIM('01_Master_Data'!AI163&amp;""))="yes","Need FLDG",IF(LOWER(TRIM('01_Master_Data'!AK163&amp;""))="yes","Need Vidyalakshmi",IF(LOWER(TRIM('01_Master_Data'!AJ163&amp;""))="yes","Need Review",IF(LOWER(J163)="critical","Critical",IF(LOWER(U163)="risk","Risk Case",IF(X163="Refund","Refund","Normal")))))))</f>
        <v/>
      </c>
      <c r="AB163">
        <f>IF(A163="","",IF(OR(LOWER(J163)="critical",LOWER(TRIM('01_Master_Data'!AI163&amp;""))="yes",LOWER(TRIM('01_Master_Data'!AK163&amp;""))="yes",LOWER(U163)="risk"),"Yes","No"))</f>
        <v/>
      </c>
      <c r="AC163">
        <f>IF(A163="","",IF(LOWER(TRIM('01_Master_Data'!AI163&amp;""))="yes","Yes","No"))</f>
        <v/>
      </c>
      <c r="AD163">
        <f>IF(A163="","",IF(LOWER(TRIM('01_Master_Data'!AK163&amp;""))="yes","Yes","No"))</f>
        <v/>
      </c>
      <c r="AE163">
        <f>IF(A163="","",IF(LOWER(TRIM('01_Master_Data'!AJ163&amp;""))="yes","Yes","No"))</f>
        <v/>
      </c>
      <c r="AF163">
        <f>IF(A163="","",TRIM('01_Master_Data'!AL163&amp;""))</f>
        <v/>
      </c>
      <c r="AG163">
        <f>IF(A163="","",IF(AF163="","—",IF(ISNUMBER(SEARCH("DNP",AF163)),"Unreachable / DNP",IF(ISNUMBER(SEARCH("interest",LOWER(AF163))),"High Interest / Terms",IF(OR(ISNUMBER(SEARCH("eligib",LOWER(AF163))),ISNUMBER(SEARCH("income",LOWER(AF163)))),"Eligibility / Income",IF(OR(ISNUMBER(SEARCH("start",LOWER(AF163))),ISNUMBER(SEARCH("Newer",AF163)),ISNUMBER(SEARCH("Will start",AF163))),"Process Yet to Start",IF(ISNUMBER(SEARCH("sure",LOWER(AF163))),"Undecided",IF(OR(ISNUMBER(SEARCH("reject",LOWER(AF163))),ISNUMBER(SEARCH("SBI",AF163))),"Rejected Elsewhere",IF(ISNUMBER(SEARCH("call",LOWER(AF163))),"Bank Communication",IF(OR(ISNUMBER(SEARCH("father",LOWER(AF163))),ISNUMBER(SEARCH("sister",LOWER(AF163)))),"Family / Dependency","Other"))))))))))</f>
        <v/>
      </c>
      <c r="AH163">
        <f>IF(A163="","",'01_Master_Data'!AC163)</f>
        <v/>
      </c>
      <c r="AI163">
        <f>IF(A163="","",IF(OR(AH163="",NOT(ISNUMBER(AH163))),"",MAX(0,'02_Configuration'!$B$82-AH163)))</f>
        <v/>
      </c>
      <c r="AJ163">
        <f>IF(A163="","",IF(AI163="","Unknown",IF(AI163&lt;=3,"0–3 Days",IF(AI163&lt;=7,"4–7 Days",IF(AI163&lt;=15,"8–15 Days",IF(AI163&lt;=30,"16–30 Days","30+ Days"))))))</f>
        <v/>
      </c>
      <c r="AK163">
        <f>IF(A163="","",IF(LOWER(H163)="yes","Yes","No"))</f>
        <v/>
      </c>
      <c r="AL163">
        <f>IF(A163="","",'01_Master_Data'!T163)</f>
        <v/>
      </c>
      <c r="AM163">
        <f>IF(A163="","",'01_Master_Data'!S163)</f>
        <v/>
      </c>
      <c r="AN163">
        <f>IF(A163="","",'01_Master_Data'!I163)</f>
        <v/>
      </c>
      <c r="AO163">
        <f>IF(A163="","",'01_Master_Data'!M163)</f>
        <v/>
      </c>
      <c r="AP163">
        <f>IF(A163="","",IF(ISNUMBER(SEARCH("Icici",W163&amp;"")),1,0))</f>
        <v/>
      </c>
      <c r="AQ163">
        <f>IF(A163="","",IF(ISNUMBER(SEARCH("Propelld",W163&amp;"")),1,0))</f>
        <v/>
      </c>
      <c r="AR163">
        <f>IF(A163="","",IF(ISNUMBER(SEARCH("GyanDhan",W163&amp;"")),1,0))</f>
        <v/>
      </c>
      <c r="AS163">
        <f>IF(A163="","",IF(ISNUMBER(SEARCH("vidyalakshmi",LOWER(W163&amp;""))),1,0))</f>
        <v/>
      </c>
      <c r="AT163">
        <f>IF(A163="","",IF(ISNUMBER(SEARCH("other bank",LOWER(W163&amp;""))),1,0))</f>
        <v/>
      </c>
      <c r="AU163">
        <f>IF(A163="","",IF(ISNUMBER(SEARCH("sanctioned",LOWER(W163&amp;""))),1,0))</f>
        <v/>
      </c>
      <c r="AV163">
        <f>IF(A163="","",IF(ISNUMBER(SEARCH("Docs Pending",W163&amp;"")),1,0))</f>
        <v/>
      </c>
      <c r="AW163">
        <f>IF(A163="","",IF(OR(X163="Rejected",ISNUMBER(SEARCH("Not eligbile",W163&amp;""))),1,0))</f>
        <v/>
      </c>
    </row>
    <row r="164">
      <c r="A164">
        <f>IF('01_Master_Data'!B164="","",163)</f>
        <v/>
      </c>
      <c r="B164">
        <f>IF('01_Master_Data'!B164="","",IF('01_Master_Data'!C164&lt;&gt;"","MOB|"&amp;TEXT('01_Master_Data'!C164,"0"),IF('01_Master_Data'!D164&lt;&gt;"","PID|"&amp;TRIM('01_Master_Data'!D164&amp;""),"")))</f>
        <v/>
      </c>
      <c r="C164">
        <f>IF('01_Master_Data'!B164="","",'01_Master_Data'!B164)</f>
        <v/>
      </c>
      <c r="D164">
        <f>IF('01_Master_Data'!B164="","",'01_Master_Data'!C164)</f>
        <v/>
      </c>
      <c r="E164">
        <f>IF('01_Master_Data'!B164="","",'01_Master_Data'!D164)</f>
        <v/>
      </c>
      <c r="F164">
        <f>IF('01_Master_Data'!B164="","",'01_Master_Data'!E164)</f>
        <v/>
      </c>
      <c r="G164">
        <f>IF('01_Master_Data'!B164="","",IFERROR(VLOOKUP(TRIM('01_Master_Data'!E164&amp;""),'02_Configuration'!$A$40:$B$44,2,FALSE),UPPER(TRIM('01_Master_Data'!E164&amp;""))))</f>
        <v/>
      </c>
      <c r="H164">
        <f>IF('01_Master_Data'!B164="","",IF('01_Master_Data'!U164="","",TRIM('01_Master_Data'!U164&amp;"")))</f>
        <v/>
      </c>
      <c r="I164">
        <f>IF('01_Master_Data'!B164="","",TRIM('01_Master_Data'!F164&amp;""))</f>
        <v/>
      </c>
      <c r="J164">
        <f>IF('01_Master_Data'!B164="","",TRIM('01_Master_Data'!G164&amp;""))</f>
        <v/>
      </c>
      <c r="K164">
        <f>IF('01_Master_Data'!B164="","",'01_Master_Data'!H164)</f>
        <v/>
      </c>
      <c r="L164">
        <f>IF('01_Master_Data'!B164="","",IF(LOWER(TRIM('01_Master_Data'!V164&amp;""))="yes",1,0))</f>
        <v/>
      </c>
      <c r="M164">
        <f>IF('01_Master_Data'!B164="","",IF(LOWER(TRIM('01_Master_Data'!W164&amp;""))="yes",1,0))</f>
        <v/>
      </c>
      <c r="N164">
        <f>IF('01_Master_Data'!B164="","",IF(LOWER(TRIM('01_Master_Data'!X164&amp;""))="yes",1,0))</f>
        <v/>
      </c>
      <c r="O164">
        <f>IF('01_Master_Data'!B164="","",IF(LOWER(TRIM('01_Master_Data'!Y164&amp;""))="yes",1,0))</f>
        <v/>
      </c>
      <c r="P164">
        <f>IF('01_Master_Data'!B164="","",IF(LOWER(TRIM('01_Master_Data'!Z164&amp;""))="yes",1,0))</f>
        <v/>
      </c>
      <c r="Q164">
        <f>IF(A164="","",L164+M164+N164+O164+P164)</f>
        <v/>
      </c>
      <c r="R164">
        <f>IF(A164="","",IF(Q164&gt;1,"Yes","No"))</f>
        <v/>
      </c>
      <c r="S164">
        <f>IF(A164="","",TEXTJOIN(", ",TRUE,IF(L164=1,"ICICI",""),IF(M164=1,"Propelld",""),IF(N164=1,"Study4Buddy",""),IF(O164=1,"Poonawala Fincorp",""),IF(P164=1,"GyanDhan","")))</f>
        <v/>
      </c>
      <c r="T164">
        <f>IF(A164="","",IF(L164=1,"ICICI",IF(M164=1,"Propelld",IF(P164=1,"GyanDhan",IF(N164=1,"Study4Buddy",IF(O164=1,"Poonawala Fincorp",IF(ISNUMBER(SEARCH("GyanDhan",W164&amp;"")),"GyanDhan",IF(ISNUMBER(SEARCH("Icici",W164&amp;"")),"ICICI",IF(ISNUMBER(SEARCH("Propelld",W164&amp;"")),"Propelld",IF(ISNUMBER(SEARCH("vidyalakshmi",LOWER(W164&amp;"")),"PM Vidyalakshmi","—"))))))))))</f>
        <v/>
      </c>
      <c r="U164">
        <f>IF(A164="","",TRIM('01_Master_Data'!AA164&amp;""))</f>
        <v/>
      </c>
      <c r="V164">
        <f>IF(A164="","",TRIM('01_Master_Data'!AG164&amp;""))</f>
        <v/>
      </c>
      <c r="W164">
        <f>IF(A164="","",TRIM('01_Master_Data'!AH164&amp;""))</f>
        <v/>
      </c>
      <c r="X164">
        <f>IF(A164="","",IF(OR(LOWER(H164)="refund",LOWER(U164)="refund case"),"Refund",IF(OR(LOWER(H164)="dnp",LOWER(U164)="dnp"),"DNP",IF(OR(LOWER(V164)="disbursed",ISNUMBER(SEARCH("Disbursed",W164&amp;""))),"Disbursed",IF(OR(LOWER(V164)="loan proccessed/accepted",ISNUMBER(SEARCH("sanctioned",LOWER(W164&amp;"")))),"Sanctioned",IF(OR(LOWER(V164)="rejected",ISNUMBER(SEARCH("Not eligbile",W164&amp;"")),ISNUMBER(SEARCH("Not eligible",W164&amp;""))),"Rejected",IF(ISNUMBER(SEARCH("Docs Pending",W164&amp;"")),"Documents Pending",IF(AND(LOWER(H164)="yes",LOWER(V164)="ongoing"),"Processing",IF(AND(LOWER(H164)="yes",Q164&gt;0,OR(V164="",LOWER(V164)="not even started")),"Vendor Assigned",IF(AND(LOWER(H164)="yes",LOWER(V164)="not even started"),"Need Loan",IF(LOWER(H164)="yes","Loan Started",IF(LOWER(H164)="not sure","Interested",IF(OR(LOWER(H164)="no",LOWER(V164)="not required"),"Not Required","Unclassified")))))))))))))</f>
        <v/>
      </c>
      <c r="Y164">
        <f>IF(A164="","",IF(OR(X164="Sanctioned",X164="Disbursed",X164="Approved"),"Approved",IF(X164="Rejected","Rejected",IF(OR(X164="Processing",X164="Documents Pending",X164="Vendor Assigned"),"In Progress",IF(X164="Need Loan","Pending Start","—"))))</f>
        <v/>
      </c>
      <c r="Z164">
        <f>IF(A164="","",IF(X164="Disbursed","Disbursed",IF(X164="Sanctioned","Sanctioned - Awaiting Disbursement","Not Disbursed")))</f>
        <v/>
      </c>
      <c r="AA164">
        <f>IF(A164="","",IF(LOWER(TRIM('01_Master_Data'!AI164&amp;""))="yes","Need FLDG",IF(LOWER(TRIM('01_Master_Data'!AK164&amp;""))="yes","Need Vidyalakshmi",IF(LOWER(TRIM('01_Master_Data'!AJ164&amp;""))="yes","Need Review",IF(LOWER(J164)="critical","Critical",IF(LOWER(U164)="risk","Risk Case",IF(X164="Refund","Refund","Normal")))))))</f>
        <v/>
      </c>
      <c r="AB164">
        <f>IF(A164="","",IF(OR(LOWER(J164)="critical",LOWER(TRIM('01_Master_Data'!AI164&amp;""))="yes",LOWER(TRIM('01_Master_Data'!AK164&amp;""))="yes",LOWER(U164)="risk"),"Yes","No"))</f>
        <v/>
      </c>
      <c r="AC164">
        <f>IF(A164="","",IF(LOWER(TRIM('01_Master_Data'!AI164&amp;""))="yes","Yes","No"))</f>
        <v/>
      </c>
      <c r="AD164">
        <f>IF(A164="","",IF(LOWER(TRIM('01_Master_Data'!AK164&amp;""))="yes","Yes","No"))</f>
        <v/>
      </c>
      <c r="AE164">
        <f>IF(A164="","",IF(LOWER(TRIM('01_Master_Data'!AJ164&amp;""))="yes","Yes","No"))</f>
        <v/>
      </c>
      <c r="AF164">
        <f>IF(A164="","",TRIM('01_Master_Data'!AL164&amp;""))</f>
        <v/>
      </c>
      <c r="AG164">
        <f>IF(A164="","",IF(AF164="","—",IF(ISNUMBER(SEARCH("DNP",AF164)),"Unreachable / DNP",IF(ISNUMBER(SEARCH("interest",LOWER(AF164))),"High Interest / Terms",IF(OR(ISNUMBER(SEARCH("eligib",LOWER(AF164))),ISNUMBER(SEARCH("income",LOWER(AF164)))),"Eligibility / Income",IF(OR(ISNUMBER(SEARCH("start",LOWER(AF164))),ISNUMBER(SEARCH("Newer",AF164)),ISNUMBER(SEARCH("Will start",AF164))),"Process Yet to Start",IF(ISNUMBER(SEARCH("sure",LOWER(AF164))),"Undecided",IF(OR(ISNUMBER(SEARCH("reject",LOWER(AF164))),ISNUMBER(SEARCH("SBI",AF164))),"Rejected Elsewhere",IF(ISNUMBER(SEARCH("call",LOWER(AF164))),"Bank Communication",IF(OR(ISNUMBER(SEARCH("father",LOWER(AF164))),ISNUMBER(SEARCH("sister",LOWER(AF164)))),"Family / Dependency","Other"))))))))))</f>
        <v/>
      </c>
      <c r="AH164">
        <f>IF(A164="","",'01_Master_Data'!AC164)</f>
        <v/>
      </c>
      <c r="AI164">
        <f>IF(A164="","",IF(OR(AH164="",NOT(ISNUMBER(AH164))),"",MAX(0,'02_Configuration'!$B$82-AH164)))</f>
        <v/>
      </c>
      <c r="AJ164">
        <f>IF(A164="","",IF(AI164="","Unknown",IF(AI164&lt;=3,"0–3 Days",IF(AI164&lt;=7,"4–7 Days",IF(AI164&lt;=15,"8–15 Days",IF(AI164&lt;=30,"16–30 Days","30+ Days"))))))</f>
        <v/>
      </c>
      <c r="AK164">
        <f>IF(A164="","",IF(LOWER(H164)="yes","Yes","No"))</f>
        <v/>
      </c>
      <c r="AL164">
        <f>IF(A164="","",'01_Master_Data'!T164)</f>
        <v/>
      </c>
      <c r="AM164">
        <f>IF(A164="","",'01_Master_Data'!S164)</f>
        <v/>
      </c>
      <c r="AN164">
        <f>IF(A164="","",'01_Master_Data'!I164)</f>
        <v/>
      </c>
      <c r="AO164">
        <f>IF(A164="","",'01_Master_Data'!M164)</f>
        <v/>
      </c>
      <c r="AP164">
        <f>IF(A164="","",IF(ISNUMBER(SEARCH("Icici",W164&amp;"")),1,0))</f>
        <v/>
      </c>
      <c r="AQ164">
        <f>IF(A164="","",IF(ISNUMBER(SEARCH("Propelld",W164&amp;"")),1,0))</f>
        <v/>
      </c>
      <c r="AR164">
        <f>IF(A164="","",IF(ISNUMBER(SEARCH("GyanDhan",W164&amp;"")),1,0))</f>
        <v/>
      </c>
      <c r="AS164">
        <f>IF(A164="","",IF(ISNUMBER(SEARCH("vidyalakshmi",LOWER(W164&amp;""))),1,0))</f>
        <v/>
      </c>
      <c r="AT164">
        <f>IF(A164="","",IF(ISNUMBER(SEARCH("other bank",LOWER(W164&amp;""))),1,0))</f>
        <v/>
      </c>
      <c r="AU164">
        <f>IF(A164="","",IF(ISNUMBER(SEARCH("sanctioned",LOWER(W164&amp;""))),1,0))</f>
        <v/>
      </c>
      <c r="AV164">
        <f>IF(A164="","",IF(ISNUMBER(SEARCH("Docs Pending",W164&amp;"")),1,0))</f>
        <v/>
      </c>
      <c r="AW164">
        <f>IF(A164="","",IF(OR(X164="Rejected",ISNUMBER(SEARCH("Not eligbile",W164&amp;""))),1,0))</f>
        <v/>
      </c>
    </row>
    <row r="165">
      <c r="A165">
        <f>IF('01_Master_Data'!B165="","",164)</f>
        <v/>
      </c>
      <c r="B165">
        <f>IF('01_Master_Data'!B165="","",IF('01_Master_Data'!C165&lt;&gt;"","MOB|"&amp;TEXT('01_Master_Data'!C165,"0"),IF('01_Master_Data'!D165&lt;&gt;"","PID|"&amp;TRIM('01_Master_Data'!D165&amp;""),"")))</f>
        <v/>
      </c>
      <c r="C165">
        <f>IF('01_Master_Data'!B165="","",'01_Master_Data'!B165)</f>
        <v/>
      </c>
      <c r="D165">
        <f>IF('01_Master_Data'!B165="","",'01_Master_Data'!C165)</f>
        <v/>
      </c>
      <c r="E165">
        <f>IF('01_Master_Data'!B165="","",'01_Master_Data'!D165)</f>
        <v/>
      </c>
      <c r="F165">
        <f>IF('01_Master_Data'!B165="","",'01_Master_Data'!E165)</f>
        <v/>
      </c>
      <c r="G165">
        <f>IF('01_Master_Data'!B165="","",IFERROR(VLOOKUP(TRIM('01_Master_Data'!E165&amp;""),'02_Configuration'!$A$40:$B$44,2,FALSE),UPPER(TRIM('01_Master_Data'!E165&amp;""))))</f>
        <v/>
      </c>
      <c r="H165">
        <f>IF('01_Master_Data'!B165="","",IF('01_Master_Data'!U165="","",TRIM('01_Master_Data'!U165&amp;"")))</f>
        <v/>
      </c>
      <c r="I165">
        <f>IF('01_Master_Data'!B165="","",TRIM('01_Master_Data'!F165&amp;""))</f>
        <v/>
      </c>
      <c r="J165">
        <f>IF('01_Master_Data'!B165="","",TRIM('01_Master_Data'!G165&amp;""))</f>
        <v/>
      </c>
      <c r="K165">
        <f>IF('01_Master_Data'!B165="","",'01_Master_Data'!H165)</f>
        <v/>
      </c>
      <c r="L165">
        <f>IF('01_Master_Data'!B165="","",IF(LOWER(TRIM('01_Master_Data'!V165&amp;""))="yes",1,0))</f>
        <v/>
      </c>
      <c r="M165">
        <f>IF('01_Master_Data'!B165="","",IF(LOWER(TRIM('01_Master_Data'!W165&amp;""))="yes",1,0))</f>
        <v/>
      </c>
      <c r="N165">
        <f>IF('01_Master_Data'!B165="","",IF(LOWER(TRIM('01_Master_Data'!X165&amp;""))="yes",1,0))</f>
        <v/>
      </c>
      <c r="O165">
        <f>IF('01_Master_Data'!B165="","",IF(LOWER(TRIM('01_Master_Data'!Y165&amp;""))="yes",1,0))</f>
        <v/>
      </c>
      <c r="P165">
        <f>IF('01_Master_Data'!B165="","",IF(LOWER(TRIM('01_Master_Data'!Z165&amp;""))="yes",1,0))</f>
        <v/>
      </c>
      <c r="Q165">
        <f>IF(A165="","",L165+M165+N165+O165+P165)</f>
        <v/>
      </c>
      <c r="R165">
        <f>IF(A165="","",IF(Q165&gt;1,"Yes","No"))</f>
        <v/>
      </c>
      <c r="S165">
        <f>IF(A165="","",TEXTJOIN(", ",TRUE,IF(L165=1,"ICICI",""),IF(M165=1,"Propelld",""),IF(N165=1,"Study4Buddy",""),IF(O165=1,"Poonawala Fincorp",""),IF(P165=1,"GyanDhan","")))</f>
        <v/>
      </c>
      <c r="T165">
        <f>IF(A165="","",IF(L165=1,"ICICI",IF(M165=1,"Propelld",IF(P165=1,"GyanDhan",IF(N165=1,"Study4Buddy",IF(O165=1,"Poonawala Fincorp",IF(ISNUMBER(SEARCH("GyanDhan",W165&amp;"")),"GyanDhan",IF(ISNUMBER(SEARCH("Icici",W165&amp;"")),"ICICI",IF(ISNUMBER(SEARCH("Propelld",W165&amp;"")),"Propelld",IF(ISNUMBER(SEARCH("vidyalakshmi",LOWER(W165&amp;"")),"PM Vidyalakshmi","—"))))))))))</f>
        <v/>
      </c>
      <c r="U165">
        <f>IF(A165="","",TRIM('01_Master_Data'!AA165&amp;""))</f>
        <v/>
      </c>
      <c r="V165">
        <f>IF(A165="","",TRIM('01_Master_Data'!AG165&amp;""))</f>
        <v/>
      </c>
      <c r="W165">
        <f>IF(A165="","",TRIM('01_Master_Data'!AH165&amp;""))</f>
        <v/>
      </c>
      <c r="X165">
        <f>IF(A165="","",IF(OR(LOWER(H165)="refund",LOWER(U165)="refund case"),"Refund",IF(OR(LOWER(H165)="dnp",LOWER(U165)="dnp"),"DNP",IF(OR(LOWER(V165)="disbursed",ISNUMBER(SEARCH("Disbursed",W165&amp;""))),"Disbursed",IF(OR(LOWER(V165)="loan proccessed/accepted",ISNUMBER(SEARCH("sanctioned",LOWER(W165&amp;"")))),"Sanctioned",IF(OR(LOWER(V165)="rejected",ISNUMBER(SEARCH("Not eligbile",W165&amp;"")),ISNUMBER(SEARCH("Not eligible",W165&amp;""))),"Rejected",IF(ISNUMBER(SEARCH("Docs Pending",W165&amp;"")),"Documents Pending",IF(AND(LOWER(H165)="yes",LOWER(V165)="ongoing"),"Processing",IF(AND(LOWER(H165)="yes",Q165&gt;0,OR(V165="",LOWER(V165)="not even started")),"Vendor Assigned",IF(AND(LOWER(H165)="yes",LOWER(V165)="not even started"),"Need Loan",IF(LOWER(H165)="yes","Loan Started",IF(LOWER(H165)="not sure","Interested",IF(OR(LOWER(H165)="no",LOWER(V165)="not required"),"Not Required","Unclassified")))))))))))))</f>
        <v/>
      </c>
      <c r="Y165">
        <f>IF(A165="","",IF(OR(X165="Sanctioned",X165="Disbursed",X165="Approved"),"Approved",IF(X165="Rejected","Rejected",IF(OR(X165="Processing",X165="Documents Pending",X165="Vendor Assigned"),"In Progress",IF(X165="Need Loan","Pending Start","—"))))</f>
        <v/>
      </c>
      <c r="Z165">
        <f>IF(A165="","",IF(X165="Disbursed","Disbursed",IF(X165="Sanctioned","Sanctioned - Awaiting Disbursement","Not Disbursed")))</f>
        <v/>
      </c>
      <c r="AA165">
        <f>IF(A165="","",IF(LOWER(TRIM('01_Master_Data'!AI165&amp;""))="yes","Need FLDG",IF(LOWER(TRIM('01_Master_Data'!AK165&amp;""))="yes","Need Vidyalakshmi",IF(LOWER(TRIM('01_Master_Data'!AJ165&amp;""))="yes","Need Review",IF(LOWER(J165)="critical","Critical",IF(LOWER(U165)="risk","Risk Case",IF(X165="Refund","Refund","Normal")))))))</f>
        <v/>
      </c>
      <c r="AB165">
        <f>IF(A165="","",IF(OR(LOWER(J165)="critical",LOWER(TRIM('01_Master_Data'!AI165&amp;""))="yes",LOWER(TRIM('01_Master_Data'!AK165&amp;""))="yes",LOWER(U165)="risk"),"Yes","No"))</f>
        <v/>
      </c>
      <c r="AC165">
        <f>IF(A165="","",IF(LOWER(TRIM('01_Master_Data'!AI165&amp;""))="yes","Yes","No"))</f>
        <v/>
      </c>
      <c r="AD165">
        <f>IF(A165="","",IF(LOWER(TRIM('01_Master_Data'!AK165&amp;""))="yes","Yes","No"))</f>
        <v/>
      </c>
      <c r="AE165">
        <f>IF(A165="","",IF(LOWER(TRIM('01_Master_Data'!AJ165&amp;""))="yes","Yes","No"))</f>
        <v/>
      </c>
      <c r="AF165">
        <f>IF(A165="","",TRIM('01_Master_Data'!AL165&amp;""))</f>
        <v/>
      </c>
      <c r="AG165">
        <f>IF(A165="","",IF(AF165="","—",IF(ISNUMBER(SEARCH("DNP",AF165)),"Unreachable / DNP",IF(ISNUMBER(SEARCH("interest",LOWER(AF165))),"High Interest / Terms",IF(OR(ISNUMBER(SEARCH("eligib",LOWER(AF165))),ISNUMBER(SEARCH("income",LOWER(AF165)))),"Eligibility / Income",IF(OR(ISNUMBER(SEARCH("start",LOWER(AF165))),ISNUMBER(SEARCH("Newer",AF165)),ISNUMBER(SEARCH("Will start",AF165))),"Process Yet to Start",IF(ISNUMBER(SEARCH("sure",LOWER(AF165))),"Undecided",IF(OR(ISNUMBER(SEARCH("reject",LOWER(AF165))),ISNUMBER(SEARCH("SBI",AF165))),"Rejected Elsewhere",IF(ISNUMBER(SEARCH("call",LOWER(AF165))),"Bank Communication",IF(OR(ISNUMBER(SEARCH("father",LOWER(AF165))),ISNUMBER(SEARCH("sister",LOWER(AF165)))),"Family / Dependency","Other"))))))))))</f>
        <v/>
      </c>
      <c r="AH165">
        <f>IF(A165="","",'01_Master_Data'!AC165)</f>
        <v/>
      </c>
      <c r="AI165">
        <f>IF(A165="","",IF(OR(AH165="",NOT(ISNUMBER(AH165))),"",MAX(0,'02_Configuration'!$B$82-AH165)))</f>
        <v/>
      </c>
      <c r="AJ165">
        <f>IF(A165="","",IF(AI165="","Unknown",IF(AI165&lt;=3,"0–3 Days",IF(AI165&lt;=7,"4–7 Days",IF(AI165&lt;=15,"8–15 Days",IF(AI165&lt;=30,"16–30 Days","30+ Days"))))))</f>
        <v/>
      </c>
      <c r="AK165">
        <f>IF(A165="","",IF(LOWER(H165)="yes","Yes","No"))</f>
        <v/>
      </c>
      <c r="AL165">
        <f>IF(A165="","",'01_Master_Data'!T165)</f>
        <v/>
      </c>
      <c r="AM165">
        <f>IF(A165="","",'01_Master_Data'!S165)</f>
        <v/>
      </c>
      <c r="AN165">
        <f>IF(A165="","",'01_Master_Data'!I165)</f>
        <v/>
      </c>
      <c r="AO165">
        <f>IF(A165="","",'01_Master_Data'!M165)</f>
        <v/>
      </c>
      <c r="AP165">
        <f>IF(A165="","",IF(ISNUMBER(SEARCH("Icici",W165&amp;"")),1,0))</f>
        <v/>
      </c>
      <c r="AQ165">
        <f>IF(A165="","",IF(ISNUMBER(SEARCH("Propelld",W165&amp;"")),1,0))</f>
        <v/>
      </c>
      <c r="AR165">
        <f>IF(A165="","",IF(ISNUMBER(SEARCH("GyanDhan",W165&amp;"")),1,0))</f>
        <v/>
      </c>
      <c r="AS165">
        <f>IF(A165="","",IF(ISNUMBER(SEARCH("vidyalakshmi",LOWER(W165&amp;""))),1,0))</f>
        <v/>
      </c>
      <c r="AT165">
        <f>IF(A165="","",IF(ISNUMBER(SEARCH("other bank",LOWER(W165&amp;""))),1,0))</f>
        <v/>
      </c>
      <c r="AU165">
        <f>IF(A165="","",IF(ISNUMBER(SEARCH("sanctioned",LOWER(W165&amp;""))),1,0))</f>
        <v/>
      </c>
      <c r="AV165">
        <f>IF(A165="","",IF(ISNUMBER(SEARCH("Docs Pending",W165&amp;"")),1,0))</f>
        <v/>
      </c>
      <c r="AW165">
        <f>IF(A165="","",IF(OR(X165="Rejected",ISNUMBER(SEARCH("Not eligbile",W165&amp;""))),1,0))</f>
        <v/>
      </c>
    </row>
    <row r="166">
      <c r="A166">
        <f>IF('01_Master_Data'!B166="","",165)</f>
        <v/>
      </c>
      <c r="B166">
        <f>IF('01_Master_Data'!B166="","",IF('01_Master_Data'!C166&lt;&gt;"","MOB|"&amp;TEXT('01_Master_Data'!C166,"0"),IF('01_Master_Data'!D166&lt;&gt;"","PID|"&amp;TRIM('01_Master_Data'!D166&amp;""),"")))</f>
        <v/>
      </c>
      <c r="C166">
        <f>IF('01_Master_Data'!B166="","",'01_Master_Data'!B166)</f>
        <v/>
      </c>
      <c r="D166">
        <f>IF('01_Master_Data'!B166="","",'01_Master_Data'!C166)</f>
        <v/>
      </c>
      <c r="E166">
        <f>IF('01_Master_Data'!B166="","",'01_Master_Data'!D166)</f>
        <v/>
      </c>
      <c r="F166">
        <f>IF('01_Master_Data'!B166="","",'01_Master_Data'!E166)</f>
        <v/>
      </c>
      <c r="G166">
        <f>IF('01_Master_Data'!B166="","",IFERROR(VLOOKUP(TRIM('01_Master_Data'!E166&amp;""),'02_Configuration'!$A$40:$B$44,2,FALSE),UPPER(TRIM('01_Master_Data'!E166&amp;""))))</f>
        <v/>
      </c>
      <c r="H166">
        <f>IF('01_Master_Data'!B166="","",IF('01_Master_Data'!U166="","",TRIM('01_Master_Data'!U166&amp;"")))</f>
        <v/>
      </c>
      <c r="I166">
        <f>IF('01_Master_Data'!B166="","",TRIM('01_Master_Data'!F166&amp;""))</f>
        <v/>
      </c>
      <c r="J166">
        <f>IF('01_Master_Data'!B166="","",TRIM('01_Master_Data'!G166&amp;""))</f>
        <v/>
      </c>
      <c r="K166">
        <f>IF('01_Master_Data'!B166="","",'01_Master_Data'!H166)</f>
        <v/>
      </c>
      <c r="L166">
        <f>IF('01_Master_Data'!B166="","",IF(LOWER(TRIM('01_Master_Data'!V166&amp;""))="yes",1,0))</f>
        <v/>
      </c>
      <c r="M166">
        <f>IF('01_Master_Data'!B166="","",IF(LOWER(TRIM('01_Master_Data'!W166&amp;""))="yes",1,0))</f>
        <v/>
      </c>
      <c r="N166">
        <f>IF('01_Master_Data'!B166="","",IF(LOWER(TRIM('01_Master_Data'!X166&amp;""))="yes",1,0))</f>
        <v/>
      </c>
      <c r="O166">
        <f>IF('01_Master_Data'!B166="","",IF(LOWER(TRIM('01_Master_Data'!Y166&amp;""))="yes",1,0))</f>
        <v/>
      </c>
      <c r="P166">
        <f>IF('01_Master_Data'!B166="","",IF(LOWER(TRIM('01_Master_Data'!Z166&amp;""))="yes",1,0))</f>
        <v/>
      </c>
      <c r="Q166">
        <f>IF(A166="","",L166+M166+N166+O166+P166)</f>
        <v/>
      </c>
      <c r="R166">
        <f>IF(A166="","",IF(Q166&gt;1,"Yes","No"))</f>
        <v/>
      </c>
      <c r="S166">
        <f>IF(A166="","",TEXTJOIN(", ",TRUE,IF(L166=1,"ICICI",""),IF(M166=1,"Propelld",""),IF(N166=1,"Study4Buddy",""),IF(O166=1,"Poonawala Fincorp",""),IF(P166=1,"GyanDhan","")))</f>
        <v/>
      </c>
      <c r="T166">
        <f>IF(A166="","",IF(L166=1,"ICICI",IF(M166=1,"Propelld",IF(P166=1,"GyanDhan",IF(N166=1,"Study4Buddy",IF(O166=1,"Poonawala Fincorp",IF(ISNUMBER(SEARCH("GyanDhan",W166&amp;"")),"GyanDhan",IF(ISNUMBER(SEARCH("Icici",W166&amp;"")),"ICICI",IF(ISNUMBER(SEARCH("Propelld",W166&amp;"")),"Propelld",IF(ISNUMBER(SEARCH("vidyalakshmi",LOWER(W166&amp;"")),"PM Vidyalakshmi","—"))))))))))</f>
        <v/>
      </c>
      <c r="U166">
        <f>IF(A166="","",TRIM('01_Master_Data'!AA166&amp;""))</f>
        <v/>
      </c>
      <c r="V166">
        <f>IF(A166="","",TRIM('01_Master_Data'!AG166&amp;""))</f>
        <v/>
      </c>
      <c r="W166">
        <f>IF(A166="","",TRIM('01_Master_Data'!AH166&amp;""))</f>
        <v/>
      </c>
      <c r="X166">
        <f>IF(A166="","",IF(OR(LOWER(H166)="refund",LOWER(U166)="refund case"),"Refund",IF(OR(LOWER(H166)="dnp",LOWER(U166)="dnp"),"DNP",IF(OR(LOWER(V166)="disbursed",ISNUMBER(SEARCH("Disbursed",W166&amp;""))),"Disbursed",IF(OR(LOWER(V166)="loan proccessed/accepted",ISNUMBER(SEARCH("sanctioned",LOWER(W166&amp;"")))),"Sanctioned",IF(OR(LOWER(V166)="rejected",ISNUMBER(SEARCH("Not eligbile",W166&amp;"")),ISNUMBER(SEARCH("Not eligible",W166&amp;""))),"Rejected",IF(ISNUMBER(SEARCH("Docs Pending",W166&amp;"")),"Documents Pending",IF(AND(LOWER(H166)="yes",LOWER(V166)="ongoing"),"Processing",IF(AND(LOWER(H166)="yes",Q166&gt;0,OR(V166="",LOWER(V166)="not even started")),"Vendor Assigned",IF(AND(LOWER(H166)="yes",LOWER(V166)="not even started"),"Need Loan",IF(LOWER(H166)="yes","Loan Started",IF(LOWER(H166)="not sure","Interested",IF(OR(LOWER(H166)="no",LOWER(V166)="not required"),"Not Required","Unclassified")))))))))))))</f>
        <v/>
      </c>
      <c r="Y166">
        <f>IF(A166="","",IF(OR(X166="Sanctioned",X166="Disbursed",X166="Approved"),"Approved",IF(X166="Rejected","Rejected",IF(OR(X166="Processing",X166="Documents Pending",X166="Vendor Assigned"),"In Progress",IF(X166="Need Loan","Pending Start","—"))))</f>
        <v/>
      </c>
      <c r="Z166">
        <f>IF(A166="","",IF(X166="Disbursed","Disbursed",IF(X166="Sanctioned","Sanctioned - Awaiting Disbursement","Not Disbursed")))</f>
        <v/>
      </c>
      <c r="AA166">
        <f>IF(A166="","",IF(LOWER(TRIM('01_Master_Data'!AI166&amp;""))="yes","Need FLDG",IF(LOWER(TRIM('01_Master_Data'!AK166&amp;""))="yes","Need Vidyalakshmi",IF(LOWER(TRIM('01_Master_Data'!AJ166&amp;""))="yes","Need Review",IF(LOWER(J166)="critical","Critical",IF(LOWER(U166)="risk","Risk Case",IF(X166="Refund","Refund","Normal")))))))</f>
        <v/>
      </c>
      <c r="AB166">
        <f>IF(A166="","",IF(OR(LOWER(J166)="critical",LOWER(TRIM('01_Master_Data'!AI166&amp;""))="yes",LOWER(TRIM('01_Master_Data'!AK166&amp;""))="yes",LOWER(U166)="risk"),"Yes","No"))</f>
        <v/>
      </c>
      <c r="AC166">
        <f>IF(A166="","",IF(LOWER(TRIM('01_Master_Data'!AI166&amp;""))="yes","Yes","No"))</f>
        <v/>
      </c>
      <c r="AD166">
        <f>IF(A166="","",IF(LOWER(TRIM('01_Master_Data'!AK166&amp;""))="yes","Yes","No"))</f>
        <v/>
      </c>
      <c r="AE166">
        <f>IF(A166="","",IF(LOWER(TRIM('01_Master_Data'!AJ166&amp;""))="yes","Yes","No"))</f>
        <v/>
      </c>
      <c r="AF166">
        <f>IF(A166="","",TRIM('01_Master_Data'!AL166&amp;""))</f>
        <v/>
      </c>
      <c r="AG166">
        <f>IF(A166="","",IF(AF166="","—",IF(ISNUMBER(SEARCH("DNP",AF166)),"Unreachable / DNP",IF(ISNUMBER(SEARCH("interest",LOWER(AF166))),"High Interest / Terms",IF(OR(ISNUMBER(SEARCH("eligib",LOWER(AF166))),ISNUMBER(SEARCH("income",LOWER(AF166)))),"Eligibility / Income",IF(OR(ISNUMBER(SEARCH("start",LOWER(AF166))),ISNUMBER(SEARCH("Newer",AF166)),ISNUMBER(SEARCH("Will start",AF166))),"Process Yet to Start",IF(ISNUMBER(SEARCH("sure",LOWER(AF166))),"Undecided",IF(OR(ISNUMBER(SEARCH("reject",LOWER(AF166))),ISNUMBER(SEARCH("SBI",AF166))),"Rejected Elsewhere",IF(ISNUMBER(SEARCH("call",LOWER(AF166))),"Bank Communication",IF(OR(ISNUMBER(SEARCH("father",LOWER(AF166))),ISNUMBER(SEARCH("sister",LOWER(AF166)))),"Family / Dependency","Other"))))))))))</f>
        <v/>
      </c>
      <c r="AH166">
        <f>IF(A166="","",'01_Master_Data'!AC166)</f>
        <v/>
      </c>
      <c r="AI166">
        <f>IF(A166="","",IF(OR(AH166="",NOT(ISNUMBER(AH166))),"",MAX(0,'02_Configuration'!$B$82-AH166)))</f>
        <v/>
      </c>
      <c r="AJ166">
        <f>IF(A166="","",IF(AI166="","Unknown",IF(AI166&lt;=3,"0–3 Days",IF(AI166&lt;=7,"4–7 Days",IF(AI166&lt;=15,"8–15 Days",IF(AI166&lt;=30,"16–30 Days","30+ Days"))))))</f>
        <v/>
      </c>
      <c r="AK166">
        <f>IF(A166="","",IF(LOWER(H166)="yes","Yes","No"))</f>
        <v/>
      </c>
      <c r="AL166">
        <f>IF(A166="","",'01_Master_Data'!T166)</f>
        <v/>
      </c>
      <c r="AM166">
        <f>IF(A166="","",'01_Master_Data'!S166)</f>
        <v/>
      </c>
      <c r="AN166">
        <f>IF(A166="","",'01_Master_Data'!I166)</f>
        <v/>
      </c>
      <c r="AO166">
        <f>IF(A166="","",'01_Master_Data'!M166)</f>
        <v/>
      </c>
      <c r="AP166">
        <f>IF(A166="","",IF(ISNUMBER(SEARCH("Icici",W166&amp;"")),1,0))</f>
        <v/>
      </c>
      <c r="AQ166">
        <f>IF(A166="","",IF(ISNUMBER(SEARCH("Propelld",W166&amp;"")),1,0))</f>
        <v/>
      </c>
      <c r="AR166">
        <f>IF(A166="","",IF(ISNUMBER(SEARCH("GyanDhan",W166&amp;"")),1,0))</f>
        <v/>
      </c>
      <c r="AS166">
        <f>IF(A166="","",IF(ISNUMBER(SEARCH("vidyalakshmi",LOWER(W166&amp;""))),1,0))</f>
        <v/>
      </c>
      <c r="AT166">
        <f>IF(A166="","",IF(ISNUMBER(SEARCH("other bank",LOWER(W166&amp;""))),1,0))</f>
        <v/>
      </c>
      <c r="AU166">
        <f>IF(A166="","",IF(ISNUMBER(SEARCH("sanctioned",LOWER(W166&amp;""))),1,0))</f>
        <v/>
      </c>
      <c r="AV166">
        <f>IF(A166="","",IF(ISNUMBER(SEARCH("Docs Pending",W166&amp;"")),1,0))</f>
        <v/>
      </c>
      <c r="AW166">
        <f>IF(A166="","",IF(OR(X166="Rejected",ISNUMBER(SEARCH("Not eligbile",W166&amp;""))),1,0))</f>
        <v/>
      </c>
    </row>
    <row r="167">
      <c r="A167">
        <f>IF('01_Master_Data'!B167="","",166)</f>
        <v/>
      </c>
      <c r="B167">
        <f>IF('01_Master_Data'!B167="","",IF('01_Master_Data'!C167&lt;&gt;"","MOB|"&amp;TEXT('01_Master_Data'!C167,"0"),IF('01_Master_Data'!D167&lt;&gt;"","PID|"&amp;TRIM('01_Master_Data'!D167&amp;""),"")))</f>
        <v/>
      </c>
      <c r="C167">
        <f>IF('01_Master_Data'!B167="","",'01_Master_Data'!B167)</f>
        <v/>
      </c>
      <c r="D167">
        <f>IF('01_Master_Data'!B167="","",'01_Master_Data'!C167)</f>
        <v/>
      </c>
      <c r="E167">
        <f>IF('01_Master_Data'!B167="","",'01_Master_Data'!D167)</f>
        <v/>
      </c>
      <c r="F167">
        <f>IF('01_Master_Data'!B167="","",'01_Master_Data'!E167)</f>
        <v/>
      </c>
      <c r="G167">
        <f>IF('01_Master_Data'!B167="","",IFERROR(VLOOKUP(TRIM('01_Master_Data'!E167&amp;""),'02_Configuration'!$A$40:$B$44,2,FALSE),UPPER(TRIM('01_Master_Data'!E167&amp;""))))</f>
        <v/>
      </c>
      <c r="H167">
        <f>IF('01_Master_Data'!B167="","",IF('01_Master_Data'!U167="","",TRIM('01_Master_Data'!U167&amp;"")))</f>
        <v/>
      </c>
      <c r="I167">
        <f>IF('01_Master_Data'!B167="","",TRIM('01_Master_Data'!F167&amp;""))</f>
        <v/>
      </c>
      <c r="J167">
        <f>IF('01_Master_Data'!B167="","",TRIM('01_Master_Data'!G167&amp;""))</f>
        <v/>
      </c>
      <c r="K167">
        <f>IF('01_Master_Data'!B167="","",'01_Master_Data'!H167)</f>
        <v/>
      </c>
      <c r="L167">
        <f>IF('01_Master_Data'!B167="","",IF(LOWER(TRIM('01_Master_Data'!V167&amp;""))="yes",1,0))</f>
        <v/>
      </c>
      <c r="M167">
        <f>IF('01_Master_Data'!B167="","",IF(LOWER(TRIM('01_Master_Data'!W167&amp;""))="yes",1,0))</f>
        <v/>
      </c>
      <c r="N167">
        <f>IF('01_Master_Data'!B167="","",IF(LOWER(TRIM('01_Master_Data'!X167&amp;""))="yes",1,0))</f>
        <v/>
      </c>
      <c r="O167">
        <f>IF('01_Master_Data'!B167="","",IF(LOWER(TRIM('01_Master_Data'!Y167&amp;""))="yes",1,0))</f>
        <v/>
      </c>
      <c r="P167">
        <f>IF('01_Master_Data'!B167="","",IF(LOWER(TRIM('01_Master_Data'!Z167&amp;""))="yes",1,0))</f>
        <v/>
      </c>
      <c r="Q167">
        <f>IF(A167="","",L167+M167+N167+O167+P167)</f>
        <v/>
      </c>
      <c r="R167">
        <f>IF(A167="","",IF(Q167&gt;1,"Yes","No"))</f>
        <v/>
      </c>
      <c r="S167">
        <f>IF(A167="","",TEXTJOIN(", ",TRUE,IF(L167=1,"ICICI",""),IF(M167=1,"Propelld",""),IF(N167=1,"Study4Buddy",""),IF(O167=1,"Poonawala Fincorp",""),IF(P167=1,"GyanDhan","")))</f>
        <v/>
      </c>
      <c r="T167">
        <f>IF(A167="","",IF(L167=1,"ICICI",IF(M167=1,"Propelld",IF(P167=1,"GyanDhan",IF(N167=1,"Study4Buddy",IF(O167=1,"Poonawala Fincorp",IF(ISNUMBER(SEARCH("GyanDhan",W167&amp;"")),"GyanDhan",IF(ISNUMBER(SEARCH("Icici",W167&amp;"")),"ICICI",IF(ISNUMBER(SEARCH("Propelld",W167&amp;"")),"Propelld",IF(ISNUMBER(SEARCH("vidyalakshmi",LOWER(W167&amp;"")),"PM Vidyalakshmi","—"))))))))))</f>
        <v/>
      </c>
      <c r="U167">
        <f>IF(A167="","",TRIM('01_Master_Data'!AA167&amp;""))</f>
        <v/>
      </c>
      <c r="V167">
        <f>IF(A167="","",TRIM('01_Master_Data'!AG167&amp;""))</f>
        <v/>
      </c>
      <c r="W167">
        <f>IF(A167="","",TRIM('01_Master_Data'!AH167&amp;""))</f>
        <v/>
      </c>
      <c r="X167">
        <f>IF(A167="","",IF(OR(LOWER(H167)="refund",LOWER(U167)="refund case"),"Refund",IF(OR(LOWER(H167)="dnp",LOWER(U167)="dnp"),"DNP",IF(OR(LOWER(V167)="disbursed",ISNUMBER(SEARCH("Disbursed",W167&amp;""))),"Disbursed",IF(OR(LOWER(V167)="loan proccessed/accepted",ISNUMBER(SEARCH("sanctioned",LOWER(W167&amp;"")))),"Sanctioned",IF(OR(LOWER(V167)="rejected",ISNUMBER(SEARCH("Not eligbile",W167&amp;"")),ISNUMBER(SEARCH("Not eligible",W167&amp;""))),"Rejected",IF(ISNUMBER(SEARCH("Docs Pending",W167&amp;"")),"Documents Pending",IF(AND(LOWER(H167)="yes",LOWER(V167)="ongoing"),"Processing",IF(AND(LOWER(H167)="yes",Q167&gt;0,OR(V167="",LOWER(V167)="not even started")),"Vendor Assigned",IF(AND(LOWER(H167)="yes",LOWER(V167)="not even started"),"Need Loan",IF(LOWER(H167)="yes","Loan Started",IF(LOWER(H167)="not sure","Interested",IF(OR(LOWER(H167)="no",LOWER(V167)="not required"),"Not Required","Unclassified")))))))))))))</f>
        <v/>
      </c>
      <c r="Y167">
        <f>IF(A167="","",IF(OR(X167="Sanctioned",X167="Disbursed",X167="Approved"),"Approved",IF(X167="Rejected","Rejected",IF(OR(X167="Processing",X167="Documents Pending",X167="Vendor Assigned"),"In Progress",IF(X167="Need Loan","Pending Start","—"))))</f>
        <v/>
      </c>
      <c r="Z167">
        <f>IF(A167="","",IF(X167="Disbursed","Disbursed",IF(X167="Sanctioned","Sanctioned - Awaiting Disbursement","Not Disbursed")))</f>
        <v/>
      </c>
      <c r="AA167">
        <f>IF(A167="","",IF(LOWER(TRIM('01_Master_Data'!AI167&amp;""))="yes","Need FLDG",IF(LOWER(TRIM('01_Master_Data'!AK167&amp;""))="yes","Need Vidyalakshmi",IF(LOWER(TRIM('01_Master_Data'!AJ167&amp;""))="yes","Need Review",IF(LOWER(J167)="critical","Critical",IF(LOWER(U167)="risk","Risk Case",IF(X167="Refund","Refund","Normal")))))))</f>
        <v/>
      </c>
      <c r="AB167">
        <f>IF(A167="","",IF(OR(LOWER(J167)="critical",LOWER(TRIM('01_Master_Data'!AI167&amp;""))="yes",LOWER(TRIM('01_Master_Data'!AK167&amp;""))="yes",LOWER(U167)="risk"),"Yes","No"))</f>
        <v/>
      </c>
      <c r="AC167">
        <f>IF(A167="","",IF(LOWER(TRIM('01_Master_Data'!AI167&amp;""))="yes","Yes","No"))</f>
        <v/>
      </c>
      <c r="AD167">
        <f>IF(A167="","",IF(LOWER(TRIM('01_Master_Data'!AK167&amp;""))="yes","Yes","No"))</f>
        <v/>
      </c>
      <c r="AE167">
        <f>IF(A167="","",IF(LOWER(TRIM('01_Master_Data'!AJ167&amp;""))="yes","Yes","No"))</f>
        <v/>
      </c>
      <c r="AF167">
        <f>IF(A167="","",TRIM('01_Master_Data'!AL167&amp;""))</f>
        <v/>
      </c>
      <c r="AG167">
        <f>IF(A167="","",IF(AF167="","—",IF(ISNUMBER(SEARCH("DNP",AF167)),"Unreachable / DNP",IF(ISNUMBER(SEARCH("interest",LOWER(AF167))),"High Interest / Terms",IF(OR(ISNUMBER(SEARCH("eligib",LOWER(AF167))),ISNUMBER(SEARCH("income",LOWER(AF167)))),"Eligibility / Income",IF(OR(ISNUMBER(SEARCH("start",LOWER(AF167))),ISNUMBER(SEARCH("Newer",AF167)),ISNUMBER(SEARCH("Will start",AF167))),"Process Yet to Start",IF(ISNUMBER(SEARCH("sure",LOWER(AF167))),"Undecided",IF(OR(ISNUMBER(SEARCH("reject",LOWER(AF167))),ISNUMBER(SEARCH("SBI",AF167))),"Rejected Elsewhere",IF(ISNUMBER(SEARCH("call",LOWER(AF167))),"Bank Communication",IF(OR(ISNUMBER(SEARCH("father",LOWER(AF167))),ISNUMBER(SEARCH("sister",LOWER(AF167)))),"Family / Dependency","Other"))))))))))</f>
        <v/>
      </c>
      <c r="AH167">
        <f>IF(A167="","",'01_Master_Data'!AC167)</f>
        <v/>
      </c>
      <c r="AI167">
        <f>IF(A167="","",IF(OR(AH167="",NOT(ISNUMBER(AH167))),"",MAX(0,'02_Configuration'!$B$82-AH167)))</f>
        <v/>
      </c>
      <c r="AJ167">
        <f>IF(A167="","",IF(AI167="","Unknown",IF(AI167&lt;=3,"0–3 Days",IF(AI167&lt;=7,"4–7 Days",IF(AI167&lt;=15,"8–15 Days",IF(AI167&lt;=30,"16–30 Days","30+ Days"))))))</f>
        <v/>
      </c>
      <c r="AK167">
        <f>IF(A167="","",IF(LOWER(H167)="yes","Yes","No"))</f>
        <v/>
      </c>
      <c r="AL167">
        <f>IF(A167="","",'01_Master_Data'!T167)</f>
        <v/>
      </c>
      <c r="AM167">
        <f>IF(A167="","",'01_Master_Data'!S167)</f>
        <v/>
      </c>
      <c r="AN167">
        <f>IF(A167="","",'01_Master_Data'!I167)</f>
        <v/>
      </c>
      <c r="AO167">
        <f>IF(A167="","",'01_Master_Data'!M167)</f>
        <v/>
      </c>
      <c r="AP167">
        <f>IF(A167="","",IF(ISNUMBER(SEARCH("Icici",W167&amp;"")),1,0))</f>
        <v/>
      </c>
      <c r="AQ167">
        <f>IF(A167="","",IF(ISNUMBER(SEARCH("Propelld",W167&amp;"")),1,0))</f>
        <v/>
      </c>
      <c r="AR167">
        <f>IF(A167="","",IF(ISNUMBER(SEARCH("GyanDhan",W167&amp;"")),1,0))</f>
        <v/>
      </c>
      <c r="AS167">
        <f>IF(A167="","",IF(ISNUMBER(SEARCH("vidyalakshmi",LOWER(W167&amp;""))),1,0))</f>
        <v/>
      </c>
      <c r="AT167">
        <f>IF(A167="","",IF(ISNUMBER(SEARCH("other bank",LOWER(W167&amp;""))),1,0))</f>
        <v/>
      </c>
      <c r="AU167">
        <f>IF(A167="","",IF(ISNUMBER(SEARCH("sanctioned",LOWER(W167&amp;""))),1,0))</f>
        <v/>
      </c>
      <c r="AV167">
        <f>IF(A167="","",IF(ISNUMBER(SEARCH("Docs Pending",W167&amp;"")),1,0))</f>
        <v/>
      </c>
      <c r="AW167">
        <f>IF(A167="","",IF(OR(X167="Rejected",ISNUMBER(SEARCH("Not eligbile",W167&amp;""))),1,0))</f>
        <v/>
      </c>
    </row>
    <row r="168">
      <c r="A168">
        <f>IF('01_Master_Data'!B168="","",167)</f>
        <v/>
      </c>
      <c r="B168">
        <f>IF('01_Master_Data'!B168="","",IF('01_Master_Data'!C168&lt;&gt;"","MOB|"&amp;TEXT('01_Master_Data'!C168,"0"),IF('01_Master_Data'!D168&lt;&gt;"","PID|"&amp;TRIM('01_Master_Data'!D168&amp;""),"")))</f>
        <v/>
      </c>
      <c r="C168">
        <f>IF('01_Master_Data'!B168="","",'01_Master_Data'!B168)</f>
        <v/>
      </c>
      <c r="D168">
        <f>IF('01_Master_Data'!B168="","",'01_Master_Data'!C168)</f>
        <v/>
      </c>
      <c r="E168">
        <f>IF('01_Master_Data'!B168="","",'01_Master_Data'!D168)</f>
        <v/>
      </c>
      <c r="F168">
        <f>IF('01_Master_Data'!B168="","",'01_Master_Data'!E168)</f>
        <v/>
      </c>
      <c r="G168">
        <f>IF('01_Master_Data'!B168="","",IFERROR(VLOOKUP(TRIM('01_Master_Data'!E168&amp;""),'02_Configuration'!$A$40:$B$44,2,FALSE),UPPER(TRIM('01_Master_Data'!E168&amp;""))))</f>
        <v/>
      </c>
      <c r="H168">
        <f>IF('01_Master_Data'!B168="","",IF('01_Master_Data'!U168="","",TRIM('01_Master_Data'!U168&amp;"")))</f>
        <v/>
      </c>
      <c r="I168">
        <f>IF('01_Master_Data'!B168="","",TRIM('01_Master_Data'!F168&amp;""))</f>
        <v/>
      </c>
      <c r="J168">
        <f>IF('01_Master_Data'!B168="","",TRIM('01_Master_Data'!G168&amp;""))</f>
        <v/>
      </c>
      <c r="K168">
        <f>IF('01_Master_Data'!B168="","",'01_Master_Data'!H168)</f>
        <v/>
      </c>
      <c r="L168">
        <f>IF('01_Master_Data'!B168="","",IF(LOWER(TRIM('01_Master_Data'!V168&amp;""))="yes",1,0))</f>
        <v/>
      </c>
      <c r="M168">
        <f>IF('01_Master_Data'!B168="","",IF(LOWER(TRIM('01_Master_Data'!W168&amp;""))="yes",1,0))</f>
        <v/>
      </c>
      <c r="N168">
        <f>IF('01_Master_Data'!B168="","",IF(LOWER(TRIM('01_Master_Data'!X168&amp;""))="yes",1,0))</f>
        <v/>
      </c>
      <c r="O168">
        <f>IF('01_Master_Data'!B168="","",IF(LOWER(TRIM('01_Master_Data'!Y168&amp;""))="yes",1,0))</f>
        <v/>
      </c>
      <c r="P168">
        <f>IF('01_Master_Data'!B168="","",IF(LOWER(TRIM('01_Master_Data'!Z168&amp;""))="yes",1,0))</f>
        <v/>
      </c>
      <c r="Q168">
        <f>IF(A168="","",L168+M168+N168+O168+P168)</f>
        <v/>
      </c>
      <c r="R168">
        <f>IF(A168="","",IF(Q168&gt;1,"Yes","No"))</f>
        <v/>
      </c>
      <c r="S168">
        <f>IF(A168="","",TEXTJOIN(", ",TRUE,IF(L168=1,"ICICI",""),IF(M168=1,"Propelld",""),IF(N168=1,"Study4Buddy",""),IF(O168=1,"Poonawala Fincorp",""),IF(P168=1,"GyanDhan","")))</f>
        <v/>
      </c>
      <c r="T168">
        <f>IF(A168="","",IF(L168=1,"ICICI",IF(M168=1,"Propelld",IF(P168=1,"GyanDhan",IF(N168=1,"Study4Buddy",IF(O168=1,"Poonawala Fincorp",IF(ISNUMBER(SEARCH("GyanDhan",W168&amp;"")),"GyanDhan",IF(ISNUMBER(SEARCH("Icici",W168&amp;"")),"ICICI",IF(ISNUMBER(SEARCH("Propelld",W168&amp;"")),"Propelld",IF(ISNUMBER(SEARCH("vidyalakshmi",LOWER(W168&amp;"")),"PM Vidyalakshmi","—"))))))))))</f>
        <v/>
      </c>
      <c r="U168">
        <f>IF(A168="","",TRIM('01_Master_Data'!AA168&amp;""))</f>
        <v/>
      </c>
      <c r="V168">
        <f>IF(A168="","",TRIM('01_Master_Data'!AG168&amp;""))</f>
        <v/>
      </c>
      <c r="W168">
        <f>IF(A168="","",TRIM('01_Master_Data'!AH168&amp;""))</f>
        <v/>
      </c>
      <c r="X168">
        <f>IF(A168="","",IF(OR(LOWER(H168)="refund",LOWER(U168)="refund case"),"Refund",IF(OR(LOWER(H168)="dnp",LOWER(U168)="dnp"),"DNP",IF(OR(LOWER(V168)="disbursed",ISNUMBER(SEARCH("Disbursed",W168&amp;""))),"Disbursed",IF(OR(LOWER(V168)="loan proccessed/accepted",ISNUMBER(SEARCH("sanctioned",LOWER(W168&amp;"")))),"Sanctioned",IF(OR(LOWER(V168)="rejected",ISNUMBER(SEARCH("Not eligbile",W168&amp;"")),ISNUMBER(SEARCH("Not eligible",W168&amp;""))),"Rejected",IF(ISNUMBER(SEARCH("Docs Pending",W168&amp;"")),"Documents Pending",IF(AND(LOWER(H168)="yes",LOWER(V168)="ongoing"),"Processing",IF(AND(LOWER(H168)="yes",Q168&gt;0,OR(V168="",LOWER(V168)="not even started")),"Vendor Assigned",IF(AND(LOWER(H168)="yes",LOWER(V168)="not even started"),"Need Loan",IF(LOWER(H168)="yes","Loan Started",IF(LOWER(H168)="not sure","Interested",IF(OR(LOWER(H168)="no",LOWER(V168)="not required"),"Not Required","Unclassified")))))))))))))</f>
        <v/>
      </c>
      <c r="Y168">
        <f>IF(A168="","",IF(OR(X168="Sanctioned",X168="Disbursed",X168="Approved"),"Approved",IF(X168="Rejected","Rejected",IF(OR(X168="Processing",X168="Documents Pending",X168="Vendor Assigned"),"In Progress",IF(X168="Need Loan","Pending Start","—"))))</f>
        <v/>
      </c>
      <c r="Z168">
        <f>IF(A168="","",IF(X168="Disbursed","Disbursed",IF(X168="Sanctioned","Sanctioned - Awaiting Disbursement","Not Disbursed")))</f>
        <v/>
      </c>
      <c r="AA168">
        <f>IF(A168="","",IF(LOWER(TRIM('01_Master_Data'!AI168&amp;""))="yes","Need FLDG",IF(LOWER(TRIM('01_Master_Data'!AK168&amp;""))="yes","Need Vidyalakshmi",IF(LOWER(TRIM('01_Master_Data'!AJ168&amp;""))="yes","Need Review",IF(LOWER(J168)="critical","Critical",IF(LOWER(U168)="risk","Risk Case",IF(X168="Refund","Refund","Normal")))))))</f>
        <v/>
      </c>
      <c r="AB168">
        <f>IF(A168="","",IF(OR(LOWER(J168)="critical",LOWER(TRIM('01_Master_Data'!AI168&amp;""))="yes",LOWER(TRIM('01_Master_Data'!AK168&amp;""))="yes",LOWER(U168)="risk"),"Yes","No"))</f>
        <v/>
      </c>
      <c r="AC168">
        <f>IF(A168="","",IF(LOWER(TRIM('01_Master_Data'!AI168&amp;""))="yes","Yes","No"))</f>
        <v/>
      </c>
      <c r="AD168">
        <f>IF(A168="","",IF(LOWER(TRIM('01_Master_Data'!AK168&amp;""))="yes","Yes","No"))</f>
        <v/>
      </c>
      <c r="AE168">
        <f>IF(A168="","",IF(LOWER(TRIM('01_Master_Data'!AJ168&amp;""))="yes","Yes","No"))</f>
        <v/>
      </c>
      <c r="AF168">
        <f>IF(A168="","",TRIM('01_Master_Data'!AL168&amp;""))</f>
        <v/>
      </c>
      <c r="AG168">
        <f>IF(A168="","",IF(AF168="","—",IF(ISNUMBER(SEARCH("DNP",AF168)),"Unreachable / DNP",IF(ISNUMBER(SEARCH("interest",LOWER(AF168))),"High Interest / Terms",IF(OR(ISNUMBER(SEARCH("eligib",LOWER(AF168))),ISNUMBER(SEARCH("income",LOWER(AF168)))),"Eligibility / Income",IF(OR(ISNUMBER(SEARCH("start",LOWER(AF168))),ISNUMBER(SEARCH("Newer",AF168)),ISNUMBER(SEARCH("Will start",AF168))),"Process Yet to Start",IF(ISNUMBER(SEARCH("sure",LOWER(AF168))),"Undecided",IF(OR(ISNUMBER(SEARCH("reject",LOWER(AF168))),ISNUMBER(SEARCH("SBI",AF168))),"Rejected Elsewhere",IF(ISNUMBER(SEARCH("call",LOWER(AF168))),"Bank Communication",IF(OR(ISNUMBER(SEARCH("father",LOWER(AF168))),ISNUMBER(SEARCH("sister",LOWER(AF168)))),"Family / Dependency","Other"))))))))))</f>
        <v/>
      </c>
      <c r="AH168">
        <f>IF(A168="","",'01_Master_Data'!AC168)</f>
        <v/>
      </c>
      <c r="AI168">
        <f>IF(A168="","",IF(OR(AH168="",NOT(ISNUMBER(AH168))),"",MAX(0,'02_Configuration'!$B$82-AH168)))</f>
        <v/>
      </c>
      <c r="AJ168">
        <f>IF(A168="","",IF(AI168="","Unknown",IF(AI168&lt;=3,"0–3 Days",IF(AI168&lt;=7,"4–7 Days",IF(AI168&lt;=15,"8–15 Days",IF(AI168&lt;=30,"16–30 Days","30+ Days"))))))</f>
        <v/>
      </c>
      <c r="AK168">
        <f>IF(A168="","",IF(LOWER(H168)="yes","Yes","No"))</f>
        <v/>
      </c>
      <c r="AL168">
        <f>IF(A168="","",'01_Master_Data'!T168)</f>
        <v/>
      </c>
      <c r="AM168">
        <f>IF(A168="","",'01_Master_Data'!S168)</f>
        <v/>
      </c>
      <c r="AN168">
        <f>IF(A168="","",'01_Master_Data'!I168)</f>
        <v/>
      </c>
      <c r="AO168">
        <f>IF(A168="","",'01_Master_Data'!M168)</f>
        <v/>
      </c>
      <c r="AP168">
        <f>IF(A168="","",IF(ISNUMBER(SEARCH("Icici",W168&amp;"")),1,0))</f>
        <v/>
      </c>
      <c r="AQ168">
        <f>IF(A168="","",IF(ISNUMBER(SEARCH("Propelld",W168&amp;"")),1,0))</f>
        <v/>
      </c>
      <c r="AR168">
        <f>IF(A168="","",IF(ISNUMBER(SEARCH("GyanDhan",W168&amp;"")),1,0))</f>
        <v/>
      </c>
      <c r="AS168">
        <f>IF(A168="","",IF(ISNUMBER(SEARCH("vidyalakshmi",LOWER(W168&amp;""))),1,0))</f>
        <v/>
      </c>
      <c r="AT168">
        <f>IF(A168="","",IF(ISNUMBER(SEARCH("other bank",LOWER(W168&amp;""))),1,0))</f>
        <v/>
      </c>
      <c r="AU168">
        <f>IF(A168="","",IF(ISNUMBER(SEARCH("sanctioned",LOWER(W168&amp;""))),1,0))</f>
        <v/>
      </c>
      <c r="AV168">
        <f>IF(A168="","",IF(ISNUMBER(SEARCH("Docs Pending",W168&amp;"")),1,0))</f>
        <v/>
      </c>
      <c r="AW168">
        <f>IF(A168="","",IF(OR(X168="Rejected",ISNUMBER(SEARCH("Not eligbile",W168&amp;""))),1,0))</f>
        <v/>
      </c>
    </row>
    <row r="169">
      <c r="A169">
        <f>IF('01_Master_Data'!B169="","",168)</f>
        <v/>
      </c>
      <c r="B169">
        <f>IF('01_Master_Data'!B169="","",IF('01_Master_Data'!C169&lt;&gt;"","MOB|"&amp;TEXT('01_Master_Data'!C169,"0"),IF('01_Master_Data'!D169&lt;&gt;"","PID|"&amp;TRIM('01_Master_Data'!D169&amp;""),"")))</f>
        <v/>
      </c>
      <c r="C169">
        <f>IF('01_Master_Data'!B169="","",'01_Master_Data'!B169)</f>
        <v/>
      </c>
      <c r="D169">
        <f>IF('01_Master_Data'!B169="","",'01_Master_Data'!C169)</f>
        <v/>
      </c>
      <c r="E169">
        <f>IF('01_Master_Data'!B169="","",'01_Master_Data'!D169)</f>
        <v/>
      </c>
      <c r="F169">
        <f>IF('01_Master_Data'!B169="","",'01_Master_Data'!E169)</f>
        <v/>
      </c>
      <c r="G169">
        <f>IF('01_Master_Data'!B169="","",IFERROR(VLOOKUP(TRIM('01_Master_Data'!E169&amp;""),'02_Configuration'!$A$40:$B$44,2,FALSE),UPPER(TRIM('01_Master_Data'!E169&amp;""))))</f>
        <v/>
      </c>
      <c r="H169">
        <f>IF('01_Master_Data'!B169="","",IF('01_Master_Data'!U169="","",TRIM('01_Master_Data'!U169&amp;"")))</f>
        <v/>
      </c>
      <c r="I169">
        <f>IF('01_Master_Data'!B169="","",TRIM('01_Master_Data'!F169&amp;""))</f>
        <v/>
      </c>
      <c r="J169">
        <f>IF('01_Master_Data'!B169="","",TRIM('01_Master_Data'!G169&amp;""))</f>
        <v/>
      </c>
      <c r="K169">
        <f>IF('01_Master_Data'!B169="","",'01_Master_Data'!H169)</f>
        <v/>
      </c>
      <c r="L169">
        <f>IF('01_Master_Data'!B169="","",IF(LOWER(TRIM('01_Master_Data'!V169&amp;""))="yes",1,0))</f>
        <v/>
      </c>
      <c r="M169">
        <f>IF('01_Master_Data'!B169="","",IF(LOWER(TRIM('01_Master_Data'!W169&amp;""))="yes",1,0))</f>
        <v/>
      </c>
      <c r="N169">
        <f>IF('01_Master_Data'!B169="","",IF(LOWER(TRIM('01_Master_Data'!X169&amp;""))="yes",1,0))</f>
        <v/>
      </c>
      <c r="O169">
        <f>IF('01_Master_Data'!B169="","",IF(LOWER(TRIM('01_Master_Data'!Y169&amp;""))="yes",1,0))</f>
        <v/>
      </c>
      <c r="P169">
        <f>IF('01_Master_Data'!B169="","",IF(LOWER(TRIM('01_Master_Data'!Z169&amp;""))="yes",1,0))</f>
        <v/>
      </c>
      <c r="Q169">
        <f>IF(A169="","",L169+M169+N169+O169+P169)</f>
        <v/>
      </c>
      <c r="R169">
        <f>IF(A169="","",IF(Q169&gt;1,"Yes","No"))</f>
        <v/>
      </c>
      <c r="S169">
        <f>IF(A169="","",TEXTJOIN(", ",TRUE,IF(L169=1,"ICICI",""),IF(M169=1,"Propelld",""),IF(N169=1,"Study4Buddy",""),IF(O169=1,"Poonawala Fincorp",""),IF(P169=1,"GyanDhan","")))</f>
        <v/>
      </c>
      <c r="T169">
        <f>IF(A169="","",IF(L169=1,"ICICI",IF(M169=1,"Propelld",IF(P169=1,"GyanDhan",IF(N169=1,"Study4Buddy",IF(O169=1,"Poonawala Fincorp",IF(ISNUMBER(SEARCH("GyanDhan",W169&amp;"")),"GyanDhan",IF(ISNUMBER(SEARCH("Icici",W169&amp;"")),"ICICI",IF(ISNUMBER(SEARCH("Propelld",W169&amp;"")),"Propelld",IF(ISNUMBER(SEARCH("vidyalakshmi",LOWER(W169&amp;"")),"PM Vidyalakshmi","—"))))))))))</f>
        <v/>
      </c>
      <c r="U169">
        <f>IF(A169="","",TRIM('01_Master_Data'!AA169&amp;""))</f>
        <v/>
      </c>
      <c r="V169">
        <f>IF(A169="","",TRIM('01_Master_Data'!AG169&amp;""))</f>
        <v/>
      </c>
      <c r="W169">
        <f>IF(A169="","",TRIM('01_Master_Data'!AH169&amp;""))</f>
        <v/>
      </c>
      <c r="X169">
        <f>IF(A169="","",IF(OR(LOWER(H169)="refund",LOWER(U169)="refund case"),"Refund",IF(OR(LOWER(H169)="dnp",LOWER(U169)="dnp"),"DNP",IF(OR(LOWER(V169)="disbursed",ISNUMBER(SEARCH("Disbursed",W169&amp;""))),"Disbursed",IF(OR(LOWER(V169)="loan proccessed/accepted",ISNUMBER(SEARCH("sanctioned",LOWER(W169&amp;"")))),"Sanctioned",IF(OR(LOWER(V169)="rejected",ISNUMBER(SEARCH("Not eligbile",W169&amp;"")),ISNUMBER(SEARCH("Not eligible",W169&amp;""))),"Rejected",IF(ISNUMBER(SEARCH("Docs Pending",W169&amp;"")),"Documents Pending",IF(AND(LOWER(H169)="yes",LOWER(V169)="ongoing"),"Processing",IF(AND(LOWER(H169)="yes",Q169&gt;0,OR(V169="",LOWER(V169)="not even started")),"Vendor Assigned",IF(AND(LOWER(H169)="yes",LOWER(V169)="not even started"),"Need Loan",IF(LOWER(H169)="yes","Loan Started",IF(LOWER(H169)="not sure","Interested",IF(OR(LOWER(H169)="no",LOWER(V169)="not required"),"Not Required","Unclassified")))))))))))))</f>
        <v/>
      </c>
      <c r="Y169">
        <f>IF(A169="","",IF(OR(X169="Sanctioned",X169="Disbursed",X169="Approved"),"Approved",IF(X169="Rejected","Rejected",IF(OR(X169="Processing",X169="Documents Pending",X169="Vendor Assigned"),"In Progress",IF(X169="Need Loan","Pending Start","—"))))</f>
        <v/>
      </c>
      <c r="Z169">
        <f>IF(A169="","",IF(X169="Disbursed","Disbursed",IF(X169="Sanctioned","Sanctioned - Awaiting Disbursement","Not Disbursed")))</f>
        <v/>
      </c>
      <c r="AA169">
        <f>IF(A169="","",IF(LOWER(TRIM('01_Master_Data'!AI169&amp;""))="yes","Need FLDG",IF(LOWER(TRIM('01_Master_Data'!AK169&amp;""))="yes","Need Vidyalakshmi",IF(LOWER(TRIM('01_Master_Data'!AJ169&amp;""))="yes","Need Review",IF(LOWER(J169)="critical","Critical",IF(LOWER(U169)="risk","Risk Case",IF(X169="Refund","Refund","Normal")))))))</f>
        <v/>
      </c>
      <c r="AB169">
        <f>IF(A169="","",IF(OR(LOWER(J169)="critical",LOWER(TRIM('01_Master_Data'!AI169&amp;""))="yes",LOWER(TRIM('01_Master_Data'!AK169&amp;""))="yes",LOWER(U169)="risk"),"Yes","No"))</f>
        <v/>
      </c>
      <c r="AC169">
        <f>IF(A169="","",IF(LOWER(TRIM('01_Master_Data'!AI169&amp;""))="yes","Yes","No"))</f>
        <v/>
      </c>
      <c r="AD169">
        <f>IF(A169="","",IF(LOWER(TRIM('01_Master_Data'!AK169&amp;""))="yes","Yes","No"))</f>
        <v/>
      </c>
      <c r="AE169">
        <f>IF(A169="","",IF(LOWER(TRIM('01_Master_Data'!AJ169&amp;""))="yes","Yes","No"))</f>
        <v/>
      </c>
      <c r="AF169">
        <f>IF(A169="","",TRIM('01_Master_Data'!AL169&amp;""))</f>
        <v/>
      </c>
      <c r="AG169">
        <f>IF(A169="","",IF(AF169="","—",IF(ISNUMBER(SEARCH("DNP",AF169)),"Unreachable / DNP",IF(ISNUMBER(SEARCH("interest",LOWER(AF169))),"High Interest / Terms",IF(OR(ISNUMBER(SEARCH("eligib",LOWER(AF169))),ISNUMBER(SEARCH("income",LOWER(AF169)))),"Eligibility / Income",IF(OR(ISNUMBER(SEARCH("start",LOWER(AF169))),ISNUMBER(SEARCH("Newer",AF169)),ISNUMBER(SEARCH("Will start",AF169))),"Process Yet to Start",IF(ISNUMBER(SEARCH("sure",LOWER(AF169))),"Undecided",IF(OR(ISNUMBER(SEARCH("reject",LOWER(AF169))),ISNUMBER(SEARCH("SBI",AF169))),"Rejected Elsewhere",IF(ISNUMBER(SEARCH("call",LOWER(AF169))),"Bank Communication",IF(OR(ISNUMBER(SEARCH("father",LOWER(AF169))),ISNUMBER(SEARCH("sister",LOWER(AF169)))),"Family / Dependency","Other"))))))))))</f>
        <v/>
      </c>
      <c r="AH169">
        <f>IF(A169="","",'01_Master_Data'!AC169)</f>
        <v/>
      </c>
      <c r="AI169">
        <f>IF(A169="","",IF(OR(AH169="",NOT(ISNUMBER(AH169))),"",MAX(0,'02_Configuration'!$B$82-AH169)))</f>
        <v/>
      </c>
      <c r="AJ169">
        <f>IF(A169="","",IF(AI169="","Unknown",IF(AI169&lt;=3,"0–3 Days",IF(AI169&lt;=7,"4–7 Days",IF(AI169&lt;=15,"8–15 Days",IF(AI169&lt;=30,"16–30 Days","30+ Days"))))))</f>
        <v/>
      </c>
      <c r="AK169">
        <f>IF(A169="","",IF(LOWER(H169)="yes","Yes","No"))</f>
        <v/>
      </c>
      <c r="AL169">
        <f>IF(A169="","",'01_Master_Data'!T169)</f>
        <v/>
      </c>
      <c r="AM169">
        <f>IF(A169="","",'01_Master_Data'!S169)</f>
        <v/>
      </c>
      <c r="AN169">
        <f>IF(A169="","",'01_Master_Data'!I169)</f>
        <v/>
      </c>
      <c r="AO169">
        <f>IF(A169="","",'01_Master_Data'!M169)</f>
        <v/>
      </c>
      <c r="AP169">
        <f>IF(A169="","",IF(ISNUMBER(SEARCH("Icici",W169&amp;"")),1,0))</f>
        <v/>
      </c>
      <c r="AQ169">
        <f>IF(A169="","",IF(ISNUMBER(SEARCH("Propelld",W169&amp;"")),1,0))</f>
        <v/>
      </c>
      <c r="AR169">
        <f>IF(A169="","",IF(ISNUMBER(SEARCH("GyanDhan",W169&amp;"")),1,0))</f>
        <v/>
      </c>
      <c r="AS169">
        <f>IF(A169="","",IF(ISNUMBER(SEARCH("vidyalakshmi",LOWER(W169&amp;""))),1,0))</f>
        <v/>
      </c>
      <c r="AT169">
        <f>IF(A169="","",IF(ISNUMBER(SEARCH("other bank",LOWER(W169&amp;""))),1,0))</f>
        <v/>
      </c>
      <c r="AU169">
        <f>IF(A169="","",IF(ISNUMBER(SEARCH("sanctioned",LOWER(W169&amp;""))),1,0))</f>
        <v/>
      </c>
      <c r="AV169">
        <f>IF(A169="","",IF(ISNUMBER(SEARCH("Docs Pending",W169&amp;"")),1,0))</f>
        <v/>
      </c>
      <c r="AW169">
        <f>IF(A169="","",IF(OR(X169="Rejected",ISNUMBER(SEARCH("Not eligbile",W169&amp;""))),1,0))</f>
        <v/>
      </c>
    </row>
    <row r="170">
      <c r="A170">
        <f>IF('01_Master_Data'!B170="","",169)</f>
        <v/>
      </c>
      <c r="B170">
        <f>IF('01_Master_Data'!B170="","",IF('01_Master_Data'!C170&lt;&gt;"","MOB|"&amp;TEXT('01_Master_Data'!C170,"0"),IF('01_Master_Data'!D170&lt;&gt;"","PID|"&amp;TRIM('01_Master_Data'!D170&amp;""),"")))</f>
        <v/>
      </c>
      <c r="C170">
        <f>IF('01_Master_Data'!B170="","",'01_Master_Data'!B170)</f>
        <v/>
      </c>
      <c r="D170">
        <f>IF('01_Master_Data'!B170="","",'01_Master_Data'!C170)</f>
        <v/>
      </c>
      <c r="E170">
        <f>IF('01_Master_Data'!B170="","",'01_Master_Data'!D170)</f>
        <v/>
      </c>
      <c r="F170">
        <f>IF('01_Master_Data'!B170="","",'01_Master_Data'!E170)</f>
        <v/>
      </c>
      <c r="G170">
        <f>IF('01_Master_Data'!B170="","",IFERROR(VLOOKUP(TRIM('01_Master_Data'!E170&amp;""),'02_Configuration'!$A$40:$B$44,2,FALSE),UPPER(TRIM('01_Master_Data'!E170&amp;""))))</f>
        <v/>
      </c>
      <c r="H170">
        <f>IF('01_Master_Data'!B170="","",IF('01_Master_Data'!U170="","",TRIM('01_Master_Data'!U170&amp;"")))</f>
        <v/>
      </c>
      <c r="I170">
        <f>IF('01_Master_Data'!B170="","",TRIM('01_Master_Data'!F170&amp;""))</f>
        <v/>
      </c>
      <c r="J170">
        <f>IF('01_Master_Data'!B170="","",TRIM('01_Master_Data'!G170&amp;""))</f>
        <v/>
      </c>
      <c r="K170">
        <f>IF('01_Master_Data'!B170="","",'01_Master_Data'!H170)</f>
        <v/>
      </c>
      <c r="L170">
        <f>IF('01_Master_Data'!B170="","",IF(LOWER(TRIM('01_Master_Data'!V170&amp;""))="yes",1,0))</f>
        <v/>
      </c>
      <c r="M170">
        <f>IF('01_Master_Data'!B170="","",IF(LOWER(TRIM('01_Master_Data'!W170&amp;""))="yes",1,0))</f>
        <v/>
      </c>
      <c r="N170">
        <f>IF('01_Master_Data'!B170="","",IF(LOWER(TRIM('01_Master_Data'!X170&amp;""))="yes",1,0))</f>
        <v/>
      </c>
      <c r="O170">
        <f>IF('01_Master_Data'!B170="","",IF(LOWER(TRIM('01_Master_Data'!Y170&amp;""))="yes",1,0))</f>
        <v/>
      </c>
      <c r="P170">
        <f>IF('01_Master_Data'!B170="","",IF(LOWER(TRIM('01_Master_Data'!Z170&amp;""))="yes",1,0))</f>
        <v/>
      </c>
      <c r="Q170">
        <f>IF(A170="","",L170+M170+N170+O170+P170)</f>
        <v/>
      </c>
      <c r="R170">
        <f>IF(A170="","",IF(Q170&gt;1,"Yes","No"))</f>
        <v/>
      </c>
      <c r="S170">
        <f>IF(A170="","",TEXTJOIN(", ",TRUE,IF(L170=1,"ICICI",""),IF(M170=1,"Propelld",""),IF(N170=1,"Study4Buddy",""),IF(O170=1,"Poonawala Fincorp",""),IF(P170=1,"GyanDhan","")))</f>
        <v/>
      </c>
      <c r="T170">
        <f>IF(A170="","",IF(L170=1,"ICICI",IF(M170=1,"Propelld",IF(P170=1,"GyanDhan",IF(N170=1,"Study4Buddy",IF(O170=1,"Poonawala Fincorp",IF(ISNUMBER(SEARCH("GyanDhan",W170&amp;"")),"GyanDhan",IF(ISNUMBER(SEARCH("Icici",W170&amp;"")),"ICICI",IF(ISNUMBER(SEARCH("Propelld",W170&amp;"")),"Propelld",IF(ISNUMBER(SEARCH("vidyalakshmi",LOWER(W170&amp;"")),"PM Vidyalakshmi","—"))))))))))</f>
        <v/>
      </c>
      <c r="U170">
        <f>IF(A170="","",TRIM('01_Master_Data'!AA170&amp;""))</f>
        <v/>
      </c>
      <c r="V170">
        <f>IF(A170="","",TRIM('01_Master_Data'!AG170&amp;""))</f>
        <v/>
      </c>
      <c r="W170">
        <f>IF(A170="","",TRIM('01_Master_Data'!AH170&amp;""))</f>
        <v/>
      </c>
      <c r="X170">
        <f>IF(A170="","",IF(OR(LOWER(H170)="refund",LOWER(U170)="refund case"),"Refund",IF(OR(LOWER(H170)="dnp",LOWER(U170)="dnp"),"DNP",IF(OR(LOWER(V170)="disbursed",ISNUMBER(SEARCH("Disbursed",W170&amp;""))),"Disbursed",IF(OR(LOWER(V170)="loan proccessed/accepted",ISNUMBER(SEARCH("sanctioned",LOWER(W170&amp;"")))),"Sanctioned",IF(OR(LOWER(V170)="rejected",ISNUMBER(SEARCH("Not eligbile",W170&amp;"")),ISNUMBER(SEARCH("Not eligible",W170&amp;""))),"Rejected",IF(ISNUMBER(SEARCH("Docs Pending",W170&amp;"")),"Documents Pending",IF(AND(LOWER(H170)="yes",LOWER(V170)="ongoing"),"Processing",IF(AND(LOWER(H170)="yes",Q170&gt;0,OR(V170="",LOWER(V170)="not even started")),"Vendor Assigned",IF(AND(LOWER(H170)="yes",LOWER(V170)="not even started"),"Need Loan",IF(LOWER(H170)="yes","Loan Started",IF(LOWER(H170)="not sure","Interested",IF(OR(LOWER(H170)="no",LOWER(V170)="not required"),"Not Required","Unclassified")))))))))))))</f>
        <v/>
      </c>
      <c r="Y170">
        <f>IF(A170="","",IF(OR(X170="Sanctioned",X170="Disbursed",X170="Approved"),"Approved",IF(X170="Rejected","Rejected",IF(OR(X170="Processing",X170="Documents Pending",X170="Vendor Assigned"),"In Progress",IF(X170="Need Loan","Pending Start","—"))))</f>
        <v/>
      </c>
      <c r="Z170">
        <f>IF(A170="","",IF(X170="Disbursed","Disbursed",IF(X170="Sanctioned","Sanctioned - Awaiting Disbursement","Not Disbursed")))</f>
        <v/>
      </c>
      <c r="AA170">
        <f>IF(A170="","",IF(LOWER(TRIM('01_Master_Data'!AI170&amp;""))="yes","Need FLDG",IF(LOWER(TRIM('01_Master_Data'!AK170&amp;""))="yes","Need Vidyalakshmi",IF(LOWER(TRIM('01_Master_Data'!AJ170&amp;""))="yes","Need Review",IF(LOWER(J170)="critical","Critical",IF(LOWER(U170)="risk","Risk Case",IF(X170="Refund","Refund","Normal")))))))</f>
        <v/>
      </c>
      <c r="AB170">
        <f>IF(A170="","",IF(OR(LOWER(J170)="critical",LOWER(TRIM('01_Master_Data'!AI170&amp;""))="yes",LOWER(TRIM('01_Master_Data'!AK170&amp;""))="yes",LOWER(U170)="risk"),"Yes","No"))</f>
        <v/>
      </c>
      <c r="AC170">
        <f>IF(A170="","",IF(LOWER(TRIM('01_Master_Data'!AI170&amp;""))="yes","Yes","No"))</f>
        <v/>
      </c>
      <c r="AD170">
        <f>IF(A170="","",IF(LOWER(TRIM('01_Master_Data'!AK170&amp;""))="yes","Yes","No"))</f>
        <v/>
      </c>
      <c r="AE170">
        <f>IF(A170="","",IF(LOWER(TRIM('01_Master_Data'!AJ170&amp;""))="yes","Yes","No"))</f>
        <v/>
      </c>
      <c r="AF170">
        <f>IF(A170="","",TRIM('01_Master_Data'!AL170&amp;""))</f>
        <v/>
      </c>
      <c r="AG170">
        <f>IF(A170="","",IF(AF170="","—",IF(ISNUMBER(SEARCH("DNP",AF170)),"Unreachable / DNP",IF(ISNUMBER(SEARCH("interest",LOWER(AF170))),"High Interest / Terms",IF(OR(ISNUMBER(SEARCH("eligib",LOWER(AF170))),ISNUMBER(SEARCH("income",LOWER(AF170)))),"Eligibility / Income",IF(OR(ISNUMBER(SEARCH("start",LOWER(AF170))),ISNUMBER(SEARCH("Newer",AF170)),ISNUMBER(SEARCH("Will start",AF170))),"Process Yet to Start",IF(ISNUMBER(SEARCH("sure",LOWER(AF170))),"Undecided",IF(OR(ISNUMBER(SEARCH("reject",LOWER(AF170))),ISNUMBER(SEARCH("SBI",AF170))),"Rejected Elsewhere",IF(ISNUMBER(SEARCH("call",LOWER(AF170))),"Bank Communication",IF(OR(ISNUMBER(SEARCH("father",LOWER(AF170))),ISNUMBER(SEARCH("sister",LOWER(AF170)))),"Family / Dependency","Other"))))))))))</f>
        <v/>
      </c>
      <c r="AH170">
        <f>IF(A170="","",'01_Master_Data'!AC170)</f>
        <v/>
      </c>
      <c r="AI170">
        <f>IF(A170="","",IF(OR(AH170="",NOT(ISNUMBER(AH170))),"",MAX(0,'02_Configuration'!$B$82-AH170)))</f>
        <v/>
      </c>
      <c r="AJ170">
        <f>IF(A170="","",IF(AI170="","Unknown",IF(AI170&lt;=3,"0–3 Days",IF(AI170&lt;=7,"4–7 Days",IF(AI170&lt;=15,"8–15 Days",IF(AI170&lt;=30,"16–30 Days","30+ Days"))))))</f>
        <v/>
      </c>
      <c r="AK170">
        <f>IF(A170="","",IF(LOWER(H170)="yes","Yes","No"))</f>
        <v/>
      </c>
      <c r="AL170">
        <f>IF(A170="","",'01_Master_Data'!T170)</f>
        <v/>
      </c>
      <c r="AM170">
        <f>IF(A170="","",'01_Master_Data'!S170)</f>
        <v/>
      </c>
      <c r="AN170">
        <f>IF(A170="","",'01_Master_Data'!I170)</f>
        <v/>
      </c>
      <c r="AO170">
        <f>IF(A170="","",'01_Master_Data'!M170)</f>
        <v/>
      </c>
      <c r="AP170">
        <f>IF(A170="","",IF(ISNUMBER(SEARCH("Icici",W170&amp;"")),1,0))</f>
        <v/>
      </c>
      <c r="AQ170">
        <f>IF(A170="","",IF(ISNUMBER(SEARCH("Propelld",W170&amp;"")),1,0))</f>
        <v/>
      </c>
      <c r="AR170">
        <f>IF(A170="","",IF(ISNUMBER(SEARCH("GyanDhan",W170&amp;"")),1,0))</f>
        <v/>
      </c>
      <c r="AS170">
        <f>IF(A170="","",IF(ISNUMBER(SEARCH("vidyalakshmi",LOWER(W170&amp;""))),1,0))</f>
        <v/>
      </c>
      <c r="AT170">
        <f>IF(A170="","",IF(ISNUMBER(SEARCH("other bank",LOWER(W170&amp;""))),1,0))</f>
        <v/>
      </c>
      <c r="AU170">
        <f>IF(A170="","",IF(ISNUMBER(SEARCH("sanctioned",LOWER(W170&amp;""))),1,0))</f>
        <v/>
      </c>
      <c r="AV170">
        <f>IF(A170="","",IF(ISNUMBER(SEARCH("Docs Pending",W170&amp;"")),1,0))</f>
        <v/>
      </c>
      <c r="AW170">
        <f>IF(A170="","",IF(OR(X170="Rejected",ISNUMBER(SEARCH("Not eligbile",W170&amp;""))),1,0))</f>
        <v/>
      </c>
    </row>
    <row r="171">
      <c r="A171">
        <f>IF('01_Master_Data'!B171="","",170)</f>
        <v/>
      </c>
      <c r="B171">
        <f>IF('01_Master_Data'!B171="","",IF('01_Master_Data'!C171&lt;&gt;"","MOB|"&amp;TEXT('01_Master_Data'!C171,"0"),IF('01_Master_Data'!D171&lt;&gt;"","PID|"&amp;TRIM('01_Master_Data'!D171&amp;""),"")))</f>
        <v/>
      </c>
      <c r="C171">
        <f>IF('01_Master_Data'!B171="","",'01_Master_Data'!B171)</f>
        <v/>
      </c>
      <c r="D171">
        <f>IF('01_Master_Data'!B171="","",'01_Master_Data'!C171)</f>
        <v/>
      </c>
      <c r="E171">
        <f>IF('01_Master_Data'!B171="","",'01_Master_Data'!D171)</f>
        <v/>
      </c>
      <c r="F171">
        <f>IF('01_Master_Data'!B171="","",'01_Master_Data'!E171)</f>
        <v/>
      </c>
      <c r="G171">
        <f>IF('01_Master_Data'!B171="","",IFERROR(VLOOKUP(TRIM('01_Master_Data'!E171&amp;""),'02_Configuration'!$A$40:$B$44,2,FALSE),UPPER(TRIM('01_Master_Data'!E171&amp;""))))</f>
        <v/>
      </c>
      <c r="H171">
        <f>IF('01_Master_Data'!B171="","",IF('01_Master_Data'!U171="","",TRIM('01_Master_Data'!U171&amp;"")))</f>
        <v/>
      </c>
      <c r="I171">
        <f>IF('01_Master_Data'!B171="","",TRIM('01_Master_Data'!F171&amp;""))</f>
        <v/>
      </c>
      <c r="J171">
        <f>IF('01_Master_Data'!B171="","",TRIM('01_Master_Data'!G171&amp;""))</f>
        <v/>
      </c>
      <c r="K171">
        <f>IF('01_Master_Data'!B171="","",'01_Master_Data'!H171)</f>
        <v/>
      </c>
      <c r="L171">
        <f>IF('01_Master_Data'!B171="","",IF(LOWER(TRIM('01_Master_Data'!V171&amp;""))="yes",1,0))</f>
        <v/>
      </c>
      <c r="M171">
        <f>IF('01_Master_Data'!B171="","",IF(LOWER(TRIM('01_Master_Data'!W171&amp;""))="yes",1,0))</f>
        <v/>
      </c>
      <c r="N171">
        <f>IF('01_Master_Data'!B171="","",IF(LOWER(TRIM('01_Master_Data'!X171&amp;""))="yes",1,0))</f>
        <v/>
      </c>
      <c r="O171">
        <f>IF('01_Master_Data'!B171="","",IF(LOWER(TRIM('01_Master_Data'!Y171&amp;""))="yes",1,0))</f>
        <v/>
      </c>
      <c r="P171">
        <f>IF('01_Master_Data'!B171="","",IF(LOWER(TRIM('01_Master_Data'!Z171&amp;""))="yes",1,0))</f>
        <v/>
      </c>
      <c r="Q171">
        <f>IF(A171="","",L171+M171+N171+O171+P171)</f>
        <v/>
      </c>
      <c r="R171">
        <f>IF(A171="","",IF(Q171&gt;1,"Yes","No"))</f>
        <v/>
      </c>
      <c r="S171">
        <f>IF(A171="","",TEXTJOIN(", ",TRUE,IF(L171=1,"ICICI",""),IF(M171=1,"Propelld",""),IF(N171=1,"Study4Buddy",""),IF(O171=1,"Poonawala Fincorp",""),IF(P171=1,"GyanDhan","")))</f>
        <v/>
      </c>
      <c r="T171">
        <f>IF(A171="","",IF(L171=1,"ICICI",IF(M171=1,"Propelld",IF(P171=1,"GyanDhan",IF(N171=1,"Study4Buddy",IF(O171=1,"Poonawala Fincorp",IF(ISNUMBER(SEARCH("GyanDhan",W171&amp;"")),"GyanDhan",IF(ISNUMBER(SEARCH("Icici",W171&amp;"")),"ICICI",IF(ISNUMBER(SEARCH("Propelld",W171&amp;"")),"Propelld",IF(ISNUMBER(SEARCH("vidyalakshmi",LOWER(W171&amp;"")),"PM Vidyalakshmi","—"))))))))))</f>
        <v/>
      </c>
      <c r="U171">
        <f>IF(A171="","",TRIM('01_Master_Data'!AA171&amp;""))</f>
        <v/>
      </c>
      <c r="V171">
        <f>IF(A171="","",TRIM('01_Master_Data'!AG171&amp;""))</f>
        <v/>
      </c>
      <c r="W171">
        <f>IF(A171="","",TRIM('01_Master_Data'!AH171&amp;""))</f>
        <v/>
      </c>
      <c r="X171">
        <f>IF(A171="","",IF(OR(LOWER(H171)="refund",LOWER(U171)="refund case"),"Refund",IF(OR(LOWER(H171)="dnp",LOWER(U171)="dnp"),"DNP",IF(OR(LOWER(V171)="disbursed",ISNUMBER(SEARCH("Disbursed",W171&amp;""))),"Disbursed",IF(OR(LOWER(V171)="loan proccessed/accepted",ISNUMBER(SEARCH("sanctioned",LOWER(W171&amp;"")))),"Sanctioned",IF(OR(LOWER(V171)="rejected",ISNUMBER(SEARCH("Not eligbile",W171&amp;"")),ISNUMBER(SEARCH("Not eligible",W171&amp;""))),"Rejected",IF(ISNUMBER(SEARCH("Docs Pending",W171&amp;"")),"Documents Pending",IF(AND(LOWER(H171)="yes",LOWER(V171)="ongoing"),"Processing",IF(AND(LOWER(H171)="yes",Q171&gt;0,OR(V171="",LOWER(V171)="not even started")),"Vendor Assigned",IF(AND(LOWER(H171)="yes",LOWER(V171)="not even started"),"Need Loan",IF(LOWER(H171)="yes","Loan Started",IF(LOWER(H171)="not sure","Interested",IF(OR(LOWER(H171)="no",LOWER(V171)="not required"),"Not Required","Unclassified")))))))))))))</f>
        <v/>
      </c>
      <c r="Y171">
        <f>IF(A171="","",IF(OR(X171="Sanctioned",X171="Disbursed",X171="Approved"),"Approved",IF(X171="Rejected","Rejected",IF(OR(X171="Processing",X171="Documents Pending",X171="Vendor Assigned"),"In Progress",IF(X171="Need Loan","Pending Start","—"))))</f>
        <v/>
      </c>
      <c r="Z171">
        <f>IF(A171="","",IF(X171="Disbursed","Disbursed",IF(X171="Sanctioned","Sanctioned - Awaiting Disbursement","Not Disbursed")))</f>
        <v/>
      </c>
      <c r="AA171">
        <f>IF(A171="","",IF(LOWER(TRIM('01_Master_Data'!AI171&amp;""))="yes","Need FLDG",IF(LOWER(TRIM('01_Master_Data'!AK171&amp;""))="yes","Need Vidyalakshmi",IF(LOWER(TRIM('01_Master_Data'!AJ171&amp;""))="yes","Need Review",IF(LOWER(J171)="critical","Critical",IF(LOWER(U171)="risk","Risk Case",IF(X171="Refund","Refund","Normal")))))))</f>
        <v/>
      </c>
      <c r="AB171">
        <f>IF(A171="","",IF(OR(LOWER(J171)="critical",LOWER(TRIM('01_Master_Data'!AI171&amp;""))="yes",LOWER(TRIM('01_Master_Data'!AK171&amp;""))="yes",LOWER(U171)="risk"),"Yes","No"))</f>
        <v/>
      </c>
      <c r="AC171">
        <f>IF(A171="","",IF(LOWER(TRIM('01_Master_Data'!AI171&amp;""))="yes","Yes","No"))</f>
        <v/>
      </c>
      <c r="AD171">
        <f>IF(A171="","",IF(LOWER(TRIM('01_Master_Data'!AK171&amp;""))="yes","Yes","No"))</f>
        <v/>
      </c>
      <c r="AE171">
        <f>IF(A171="","",IF(LOWER(TRIM('01_Master_Data'!AJ171&amp;""))="yes","Yes","No"))</f>
        <v/>
      </c>
      <c r="AF171">
        <f>IF(A171="","",TRIM('01_Master_Data'!AL171&amp;""))</f>
        <v/>
      </c>
      <c r="AG171">
        <f>IF(A171="","",IF(AF171="","—",IF(ISNUMBER(SEARCH("DNP",AF171)),"Unreachable / DNP",IF(ISNUMBER(SEARCH("interest",LOWER(AF171))),"High Interest / Terms",IF(OR(ISNUMBER(SEARCH("eligib",LOWER(AF171))),ISNUMBER(SEARCH("income",LOWER(AF171)))),"Eligibility / Income",IF(OR(ISNUMBER(SEARCH("start",LOWER(AF171))),ISNUMBER(SEARCH("Newer",AF171)),ISNUMBER(SEARCH("Will start",AF171))),"Process Yet to Start",IF(ISNUMBER(SEARCH("sure",LOWER(AF171))),"Undecided",IF(OR(ISNUMBER(SEARCH("reject",LOWER(AF171))),ISNUMBER(SEARCH("SBI",AF171))),"Rejected Elsewhere",IF(ISNUMBER(SEARCH("call",LOWER(AF171))),"Bank Communication",IF(OR(ISNUMBER(SEARCH("father",LOWER(AF171))),ISNUMBER(SEARCH("sister",LOWER(AF171)))),"Family / Dependency","Other"))))))))))</f>
        <v/>
      </c>
      <c r="AH171">
        <f>IF(A171="","",'01_Master_Data'!AC171)</f>
        <v/>
      </c>
      <c r="AI171">
        <f>IF(A171="","",IF(OR(AH171="",NOT(ISNUMBER(AH171))),"",MAX(0,'02_Configuration'!$B$82-AH171)))</f>
        <v/>
      </c>
      <c r="AJ171">
        <f>IF(A171="","",IF(AI171="","Unknown",IF(AI171&lt;=3,"0–3 Days",IF(AI171&lt;=7,"4–7 Days",IF(AI171&lt;=15,"8–15 Days",IF(AI171&lt;=30,"16–30 Days","30+ Days"))))))</f>
        <v/>
      </c>
      <c r="AK171">
        <f>IF(A171="","",IF(LOWER(H171)="yes","Yes","No"))</f>
        <v/>
      </c>
      <c r="AL171">
        <f>IF(A171="","",'01_Master_Data'!T171)</f>
        <v/>
      </c>
      <c r="AM171">
        <f>IF(A171="","",'01_Master_Data'!S171)</f>
        <v/>
      </c>
      <c r="AN171">
        <f>IF(A171="","",'01_Master_Data'!I171)</f>
        <v/>
      </c>
      <c r="AO171">
        <f>IF(A171="","",'01_Master_Data'!M171)</f>
        <v/>
      </c>
      <c r="AP171">
        <f>IF(A171="","",IF(ISNUMBER(SEARCH("Icici",W171&amp;"")),1,0))</f>
        <v/>
      </c>
      <c r="AQ171">
        <f>IF(A171="","",IF(ISNUMBER(SEARCH("Propelld",W171&amp;"")),1,0))</f>
        <v/>
      </c>
      <c r="AR171">
        <f>IF(A171="","",IF(ISNUMBER(SEARCH("GyanDhan",W171&amp;"")),1,0))</f>
        <v/>
      </c>
      <c r="AS171">
        <f>IF(A171="","",IF(ISNUMBER(SEARCH("vidyalakshmi",LOWER(W171&amp;""))),1,0))</f>
        <v/>
      </c>
      <c r="AT171">
        <f>IF(A171="","",IF(ISNUMBER(SEARCH("other bank",LOWER(W171&amp;""))),1,0))</f>
        <v/>
      </c>
      <c r="AU171">
        <f>IF(A171="","",IF(ISNUMBER(SEARCH("sanctioned",LOWER(W171&amp;""))),1,0))</f>
        <v/>
      </c>
      <c r="AV171">
        <f>IF(A171="","",IF(ISNUMBER(SEARCH("Docs Pending",W171&amp;"")),1,0))</f>
        <v/>
      </c>
      <c r="AW171">
        <f>IF(A171="","",IF(OR(X171="Rejected",ISNUMBER(SEARCH("Not eligbile",W171&amp;""))),1,0))</f>
        <v/>
      </c>
    </row>
    <row r="172">
      <c r="A172">
        <f>IF('01_Master_Data'!B172="","",171)</f>
        <v/>
      </c>
      <c r="B172">
        <f>IF('01_Master_Data'!B172="","",IF('01_Master_Data'!C172&lt;&gt;"","MOB|"&amp;TEXT('01_Master_Data'!C172,"0"),IF('01_Master_Data'!D172&lt;&gt;"","PID|"&amp;TRIM('01_Master_Data'!D172&amp;""),"")))</f>
        <v/>
      </c>
      <c r="C172">
        <f>IF('01_Master_Data'!B172="","",'01_Master_Data'!B172)</f>
        <v/>
      </c>
      <c r="D172">
        <f>IF('01_Master_Data'!B172="","",'01_Master_Data'!C172)</f>
        <v/>
      </c>
      <c r="E172">
        <f>IF('01_Master_Data'!B172="","",'01_Master_Data'!D172)</f>
        <v/>
      </c>
      <c r="F172">
        <f>IF('01_Master_Data'!B172="","",'01_Master_Data'!E172)</f>
        <v/>
      </c>
      <c r="G172">
        <f>IF('01_Master_Data'!B172="","",IFERROR(VLOOKUP(TRIM('01_Master_Data'!E172&amp;""),'02_Configuration'!$A$40:$B$44,2,FALSE),UPPER(TRIM('01_Master_Data'!E172&amp;""))))</f>
        <v/>
      </c>
      <c r="H172">
        <f>IF('01_Master_Data'!B172="","",IF('01_Master_Data'!U172="","",TRIM('01_Master_Data'!U172&amp;"")))</f>
        <v/>
      </c>
      <c r="I172">
        <f>IF('01_Master_Data'!B172="","",TRIM('01_Master_Data'!F172&amp;""))</f>
        <v/>
      </c>
      <c r="J172">
        <f>IF('01_Master_Data'!B172="","",TRIM('01_Master_Data'!G172&amp;""))</f>
        <v/>
      </c>
      <c r="K172">
        <f>IF('01_Master_Data'!B172="","",'01_Master_Data'!H172)</f>
        <v/>
      </c>
      <c r="L172">
        <f>IF('01_Master_Data'!B172="","",IF(LOWER(TRIM('01_Master_Data'!V172&amp;""))="yes",1,0))</f>
        <v/>
      </c>
      <c r="M172">
        <f>IF('01_Master_Data'!B172="","",IF(LOWER(TRIM('01_Master_Data'!W172&amp;""))="yes",1,0))</f>
        <v/>
      </c>
      <c r="N172">
        <f>IF('01_Master_Data'!B172="","",IF(LOWER(TRIM('01_Master_Data'!X172&amp;""))="yes",1,0))</f>
        <v/>
      </c>
      <c r="O172">
        <f>IF('01_Master_Data'!B172="","",IF(LOWER(TRIM('01_Master_Data'!Y172&amp;""))="yes",1,0))</f>
        <v/>
      </c>
      <c r="P172">
        <f>IF('01_Master_Data'!B172="","",IF(LOWER(TRIM('01_Master_Data'!Z172&amp;""))="yes",1,0))</f>
        <v/>
      </c>
      <c r="Q172">
        <f>IF(A172="","",L172+M172+N172+O172+P172)</f>
        <v/>
      </c>
      <c r="R172">
        <f>IF(A172="","",IF(Q172&gt;1,"Yes","No"))</f>
        <v/>
      </c>
      <c r="S172">
        <f>IF(A172="","",TEXTJOIN(", ",TRUE,IF(L172=1,"ICICI",""),IF(M172=1,"Propelld",""),IF(N172=1,"Study4Buddy",""),IF(O172=1,"Poonawala Fincorp",""),IF(P172=1,"GyanDhan","")))</f>
        <v/>
      </c>
      <c r="T172">
        <f>IF(A172="","",IF(L172=1,"ICICI",IF(M172=1,"Propelld",IF(P172=1,"GyanDhan",IF(N172=1,"Study4Buddy",IF(O172=1,"Poonawala Fincorp",IF(ISNUMBER(SEARCH("GyanDhan",W172&amp;"")),"GyanDhan",IF(ISNUMBER(SEARCH("Icici",W172&amp;"")),"ICICI",IF(ISNUMBER(SEARCH("Propelld",W172&amp;"")),"Propelld",IF(ISNUMBER(SEARCH("vidyalakshmi",LOWER(W172&amp;"")),"PM Vidyalakshmi","—"))))))))))</f>
        <v/>
      </c>
      <c r="U172">
        <f>IF(A172="","",TRIM('01_Master_Data'!AA172&amp;""))</f>
        <v/>
      </c>
      <c r="V172">
        <f>IF(A172="","",TRIM('01_Master_Data'!AG172&amp;""))</f>
        <v/>
      </c>
      <c r="W172">
        <f>IF(A172="","",TRIM('01_Master_Data'!AH172&amp;""))</f>
        <v/>
      </c>
      <c r="X172">
        <f>IF(A172="","",IF(OR(LOWER(H172)="refund",LOWER(U172)="refund case"),"Refund",IF(OR(LOWER(H172)="dnp",LOWER(U172)="dnp"),"DNP",IF(OR(LOWER(V172)="disbursed",ISNUMBER(SEARCH("Disbursed",W172&amp;""))),"Disbursed",IF(OR(LOWER(V172)="loan proccessed/accepted",ISNUMBER(SEARCH("sanctioned",LOWER(W172&amp;"")))),"Sanctioned",IF(OR(LOWER(V172)="rejected",ISNUMBER(SEARCH("Not eligbile",W172&amp;"")),ISNUMBER(SEARCH("Not eligible",W172&amp;""))),"Rejected",IF(ISNUMBER(SEARCH("Docs Pending",W172&amp;"")),"Documents Pending",IF(AND(LOWER(H172)="yes",LOWER(V172)="ongoing"),"Processing",IF(AND(LOWER(H172)="yes",Q172&gt;0,OR(V172="",LOWER(V172)="not even started")),"Vendor Assigned",IF(AND(LOWER(H172)="yes",LOWER(V172)="not even started"),"Need Loan",IF(LOWER(H172)="yes","Loan Started",IF(LOWER(H172)="not sure","Interested",IF(OR(LOWER(H172)="no",LOWER(V172)="not required"),"Not Required","Unclassified")))))))))))))</f>
        <v/>
      </c>
      <c r="Y172">
        <f>IF(A172="","",IF(OR(X172="Sanctioned",X172="Disbursed",X172="Approved"),"Approved",IF(X172="Rejected","Rejected",IF(OR(X172="Processing",X172="Documents Pending",X172="Vendor Assigned"),"In Progress",IF(X172="Need Loan","Pending Start","—"))))</f>
        <v/>
      </c>
      <c r="Z172">
        <f>IF(A172="","",IF(X172="Disbursed","Disbursed",IF(X172="Sanctioned","Sanctioned - Awaiting Disbursement","Not Disbursed")))</f>
        <v/>
      </c>
      <c r="AA172">
        <f>IF(A172="","",IF(LOWER(TRIM('01_Master_Data'!AI172&amp;""))="yes","Need FLDG",IF(LOWER(TRIM('01_Master_Data'!AK172&amp;""))="yes","Need Vidyalakshmi",IF(LOWER(TRIM('01_Master_Data'!AJ172&amp;""))="yes","Need Review",IF(LOWER(J172)="critical","Critical",IF(LOWER(U172)="risk","Risk Case",IF(X172="Refund","Refund","Normal")))))))</f>
        <v/>
      </c>
      <c r="AB172">
        <f>IF(A172="","",IF(OR(LOWER(J172)="critical",LOWER(TRIM('01_Master_Data'!AI172&amp;""))="yes",LOWER(TRIM('01_Master_Data'!AK172&amp;""))="yes",LOWER(U172)="risk"),"Yes","No"))</f>
        <v/>
      </c>
      <c r="AC172">
        <f>IF(A172="","",IF(LOWER(TRIM('01_Master_Data'!AI172&amp;""))="yes","Yes","No"))</f>
        <v/>
      </c>
      <c r="AD172">
        <f>IF(A172="","",IF(LOWER(TRIM('01_Master_Data'!AK172&amp;""))="yes","Yes","No"))</f>
        <v/>
      </c>
      <c r="AE172">
        <f>IF(A172="","",IF(LOWER(TRIM('01_Master_Data'!AJ172&amp;""))="yes","Yes","No"))</f>
        <v/>
      </c>
      <c r="AF172">
        <f>IF(A172="","",TRIM('01_Master_Data'!AL172&amp;""))</f>
        <v/>
      </c>
      <c r="AG172">
        <f>IF(A172="","",IF(AF172="","—",IF(ISNUMBER(SEARCH("DNP",AF172)),"Unreachable / DNP",IF(ISNUMBER(SEARCH("interest",LOWER(AF172))),"High Interest / Terms",IF(OR(ISNUMBER(SEARCH("eligib",LOWER(AF172))),ISNUMBER(SEARCH("income",LOWER(AF172)))),"Eligibility / Income",IF(OR(ISNUMBER(SEARCH("start",LOWER(AF172))),ISNUMBER(SEARCH("Newer",AF172)),ISNUMBER(SEARCH("Will start",AF172))),"Process Yet to Start",IF(ISNUMBER(SEARCH("sure",LOWER(AF172))),"Undecided",IF(OR(ISNUMBER(SEARCH("reject",LOWER(AF172))),ISNUMBER(SEARCH("SBI",AF172))),"Rejected Elsewhere",IF(ISNUMBER(SEARCH("call",LOWER(AF172))),"Bank Communication",IF(OR(ISNUMBER(SEARCH("father",LOWER(AF172))),ISNUMBER(SEARCH("sister",LOWER(AF172)))),"Family / Dependency","Other"))))))))))</f>
        <v/>
      </c>
      <c r="AH172">
        <f>IF(A172="","",'01_Master_Data'!AC172)</f>
        <v/>
      </c>
      <c r="AI172">
        <f>IF(A172="","",IF(OR(AH172="",NOT(ISNUMBER(AH172))),"",MAX(0,'02_Configuration'!$B$82-AH172)))</f>
        <v/>
      </c>
      <c r="AJ172">
        <f>IF(A172="","",IF(AI172="","Unknown",IF(AI172&lt;=3,"0–3 Days",IF(AI172&lt;=7,"4–7 Days",IF(AI172&lt;=15,"8–15 Days",IF(AI172&lt;=30,"16–30 Days","30+ Days"))))))</f>
        <v/>
      </c>
      <c r="AK172">
        <f>IF(A172="","",IF(LOWER(H172)="yes","Yes","No"))</f>
        <v/>
      </c>
      <c r="AL172">
        <f>IF(A172="","",'01_Master_Data'!T172)</f>
        <v/>
      </c>
      <c r="AM172">
        <f>IF(A172="","",'01_Master_Data'!S172)</f>
        <v/>
      </c>
      <c r="AN172">
        <f>IF(A172="","",'01_Master_Data'!I172)</f>
        <v/>
      </c>
      <c r="AO172">
        <f>IF(A172="","",'01_Master_Data'!M172)</f>
        <v/>
      </c>
      <c r="AP172">
        <f>IF(A172="","",IF(ISNUMBER(SEARCH("Icici",W172&amp;"")),1,0))</f>
        <v/>
      </c>
      <c r="AQ172">
        <f>IF(A172="","",IF(ISNUMBER(SEARCH("Propelld",W172&amp;"")),1,0))</f>
        <v/>
      </c>
      <c r="AR172">
        <f>IF(A172="","",IF(ISNUMBER(SEARCH("GyanDhan",W172&amp;"")),1,0))</f>
        <v/>
      </c>
      <c r="AS172">
        <f>IF(A172="","",IF(ISNUMBER(SEARCH("vidyalakshmi",LOWER(W172&amp;""))),1,0))</f>
        <v/>
      </c>
      <c r="AT172">
        <f>IF(A172="","",IF(ISNUMBER(SEARCH("other bank",LOWER(W172&amp;""))),1,0))</f>
        <v/>
      </c>
      <c r="AU172">
        <f>IF(A172="","",IF(ISNUMBER(SEARCH("sanctioned",LOWER(W172&amp;""))),1,0))</f>
        <v/>
      </c>
      <c r="AV172">
        <f>IF(A172="","",IF(ISNUMBER(SEARCH("Docs Pending",W172&amp;"")),1,0))</f>
        <v/>
      </c>
      <c r="AW172">
        <f>IF(A172="","",IF(OR(X172="Rejected",ISNUMBER(SEARCH("Not eligbile",W172&amp;""))),1,0))</f>
        <v/>
      </c>
    </row>
    <row r="173">
      <c r="A173">
        <f>IF('01_Master_Data'!B173="","",172)</f>
        <v/>
      </c>
      <c r="B173">
        <f>IF('01_Master_Data'!B173="","",IF('01_Master_Data'!C173&lt;&gt;"","MOB|"&amp;TEXT('01_Master_Data'!C173,"0"),IF('01_Master_Data'!D173&lt;&gt;"","PID|"&amp;TRIM('01_Master_Data'!D173&amp;""),"")))</f>
        <v/>
      </c>
      <c r="C173">
        <f>IF('01_Master_Data'!B173="","",'01_Master_Data'!B173)</f>
        <v/>
      </c>
      <c r="D173">
        <f>IF('01_Master_Data'!B173="","",'01_Master_Data'!C173)</f>
        <v/>
      </c>
      <c r="E173">
        <f>IF('01_Master_Data'!B173="","",'01_Master_Data'!D173)</f>
        <v/>
      </c>
      <c r="F173">
        <f>IF('01_Master_Data'!B173="","",'01_Master_Data'!E173)</f>
        <v/>
      </c>
      <c r="G173">
        <f>IF('01_Master_Data'!B173="","",IFERROR(VLOOKUP(TRIM('01_Master_Data'!E173&amp;""),'02_Configuration'!$A$40:$B$44,2,FALSE),UPPER(TRIM('01_Master_Data'!E173&amp;""))))</f>
        <v/>
      </c>
      <c r="H173">
        <f>IF('01_Master_Data'!B173="","",IF('01_Master_Data'!U173="","",TRIM('01_Master_Data'!U173&amp;"")))</f>
        <v/>
      </c>
      <c r="I173">
        <f>IF('01_Master_Data'!B173="","",TRIM('01_Master_Data'!F173&amp;""))</f>
        <v/>
      </c>
      <c r="J173">
        <f>IF('01_Master_Data'!B173="","",TRIM('01_Master_Data'!G173&amp;""))</f>
        <v/>
      </c>
      <c r="K173">
        <f>IF('01_Master_Data'!B173="","",'01_Master_Data'!H173)</f>
        <v/>
      </c>
      <c r="L173">
        <f>IF('01_Master_Data'!B173="","",IF(LOWER(TRIM('01_Master_Data'!V173&amp;""))="yes",1,0))</f>
        <v/>
      </c>
      <c r="M173">
        <f>IF('01_Master_Data'!B173="","",IF(LOWER(TRIM('01_Master_Data'!W173&amp;""))="yes",1,0))</f>
        <v/>
      </c>
      <c r="N173">
        <f>IF('01_Master_Data'!B173="","",IF(LOWER(TRIM('01_Master_Data'!X173&amp;""))="yes",1,0))</f>
        <v/>
      </c>
      <c r="O173">
        <f>IF('01_Master_Data'!B173="","",IF(LOWER(TRIM('01_Master_Data'!Y173&amp;""))="yes",1,0))</f>
        <v/>
      </c>
      <c r="P173">
        <f>IF('01_Master_Data'!B173="","",IF(LOWER(TRIM('01_Master_Data'!Z173&amp;""))="yes",1,0))</f>
        <v/>
      </c>
      <c r="Q173">
        <f>IF(A173="","",L173+M173+N173+O173+P173)</f>
        <v/>
      </c>
      <c r="R173">
        <f>IF(A173="","",IF(Q173&gt;1,"Yes","No"))</f>
        <v/>
      </c>
      <c r="S173">
        <f>IF(A173="","",TEXTJOIN(", ",TRUE,IF(L173=1,"ICICI",""),IF(M173=1,"Propelld",""),IF(N173=1,"Study4Buddy",""),IF(O173=1,"Poonawala Fincorp",""),IF(P173=1,"GyanDhan","")))</f>
        <v/>
      </c>
      <c r="T173">
        <f>IF(A173="","",IF(L173=1,"ICICI",IF(M173=1,"Propelld",IF(P173=1,"GyanDhan",IF(N173=1,"Study4Buddy",IF(O173=1,"Poonawala Fincorp",IF(ISNUMBER(SEARCH("GyanDhan",W173&amp;"")),"GyanDhan",IF(ISNUMBER(SEARCH("Icici",W173&amp;"")),"ICICI",IF(ISNUMBER(SEARCH("Propelld",W173&amp;"")),"Propelld",IF(ISNUMBER(SEARCH("vidyalakshmi",LOWER(W173&amp;"")),"PM Vidyalakshmi","—"))))))))))</f>
        <v/>
      </c>
      <c r="U173">
        <f>IF(A173="","",TRIM('01_Master_Data'!AA173&amp;""))</f>
        <v/>
      </c>
      <c r="V173">
        <f>IF(A173="","",TRIM('01_Master_Data'!AG173&amp;""))</f>
        <v/>
      </c>
      <c r="W173">
        <f>IF(A173="","",TRIM('01_Master_Data'!AH173&amp;""))</f>
        <v/>
      </c>
      <c r="X173">
        <f>IF(A173="","",IF(OR(LOWER(H173)="refund",LOWER(U173)="refund case"),"Refund",IF(OR(LOWER(H173)="dnp",LOWER(U173)="dnp"),"DNP",IF(OR(LOWER(V173)="disbursed",ISNUMBER(SEARCH("Disbursed",W173&amp;""))),"Disbursed",IF(OR(LOWER(V173)="loan proccessed/accepted",ISNUMBER(SEARCH("sanctioned",LOWER(W173&amp;"")))),"Sanctioned",IF(OR(LOWER(V173)="rejected",ISNUMBER(SEARCH("Not eligbile",W173&amp;"")),ISNUMBER(SEARCH("Not eligible",W173&amp;""))),"Rejected",IF(ISNUMBER(SEARCH("Docs Pending",W173&amp;"")),"Documents Pending",IF(AND(LOWER(H173)="yes",LOWER(V173)="ongoing"),"Processing",IF(AND(LOWER(H173)="yes",Q173&gt;0,OR(V173="",LOWER(V173)="not even started")),"Vendor Assigned",IF(AND(LOWER(H173)="yes",LOWER(V173)="not even started"),"Need Loan",IF(LOWER(H173)="yes","Loan Started",IF(LOWER(H173)="not sure","Interested",IF(OR(LOWER(H173)="no",LOWER(V173)="not required"),"Not Required","Unclassified")))))))))))))</f>
        <v/>
      </c>
      <c r="Y173">
        <f>IF(A173="","",IF(OR(X173="Sanctioned",X173="Disbursed",X173="Approved"),"Approved",IF(X173="Rejected","Rejected",IF(OR(X173="Processing",X173="Documents Pending",X173="Vendor Assigned"),"In Progress",IF(X173="Need Loan","Pending Start","—"))))</f>
        <v/>
      </c>
      <c r="Z173">
        <f>IF(A173="","",IF(X173="Disbursed","Disbursed",IF(X173="Sanctioned","Sanctioned - Awaiting Disbursement","Not Disbursed")))</f>
        <v/>
      </c>
      <c r="AA173">
        <f>IF(A173="","",IF(LOWER(TRIM('01_Master_Data'!AI173&amp;""))="yes","Need FLDG",IF(LOWER(TRIM('01_Master_Data'!AK173&amp;""))="yes","Need Vidyalakshmi",IF(LOWER(TRIM('01_Master_Data'!AJ173&amp;""))="yes","Need Review",IF(LOWER(J173)="critical","Critical",IF(LOWER(U173)="risk","Risk Case",IF(X173="Refund","Refund","Normal")))))))</f>
        <v/>
      </c>
      <c r="AB173">
        <f>IF(A173="","",IF(OR(LOWER(J173)="critical",LOWER(TRIM('01_Master_Data'!AI173&amp;""))="yes",LOWER(TRIM('01_Master_Data'!AK173&amp;""))="yes",LOWER(U173)="risk"),"Yes","No"))</f>
        <v/>
      </c>
      <c r="AC173">
        <f>IF(A173="","",IF(LOWER(TRIM('01_Master_Data'!AI173&amp;""))="yes","Yes","No"))</f>
        <v/>
      </c>
      <c r="AD173">
        <f>IF(A173="","",IF(LOWER(TRIM('01_Master_Data'!AK173&amp;""))="yes","Yes","No"))</f>
        <v/>
      </c>
      <c r="AE173">
        <f>IF(A173="","",IF(LOWER(TRIM('01_Master_Data'!AJ173&amp;""))="yes","Yes","No"))</f>
        <v/>
      </c>
      <c r="AF173">
        <f>IF(A173="","",TRIM('01_Master_Data'!AL173&amp;""))</f>
        <v/>
      </c>
      <c r="AG173">
        <f>IF(A173="","",IF(AF173="","—",IF(ISNUMBER(SEARCH("DNP",AF173)),"Unreachable / DNP",IF(ISNUMBER(SEARCH("interest",LOWER(AF173))),"High Interest / Terms",IF(OR(ISNUMBER(SEARCH("eligib",LOWER(AF173))),ISNUMBER(SEARCH("income",LOWER(AF173)))),"Eligibility / Income",IF(OR(ISNUMBER(SEARCH("start",LOWER(AF173))),ISNUMBER(SEARCH("Newer",AF173)),ISNUMBER(SEARCH("Will start",AF173))),"Process Yet to Start",IF(ISNUMBER(SEARCH("sure",LOWER(AF173))),"Undecided",IF(OR(ISNUMBER(SEARCH("reject",LOWER(AF173))),ISNUMBER(SEARCH("SBI",AF173))),"Rejected Elsewhere",IF(ISNUMBER(SEARCH("call",LOWER(AF173))),"Bank Communication",IF(OR(ISNUMBER(SEARCH("father",LOWER(AF173))),ISNUMBER(SEARCH("sister",LOWER(AF173)))),"Family / Dependency","Other"))))))))))</f>
        <v/>
      </c>
      <c r="AH173">
        <f>IF(A173="","",'01_Master_Data'!AC173)</f>
        <v/>
      </c>
      <c r="AI173">
        <f>IF(A173="","",IF(OR(AH173="",NOT(ISNUMBER(AH173))),"",MAX(0,'02_Configuration'!$B$82-AH173)))</f>
        <v/>
      </c>
      <c r="AJ173">
        <f>IF(A173="","",IF(AI173="","Unknown",IF(AI173&lt;=3,"0–3 Days",IF(AI173&lt;=7,"4–7 Days",IF(AI173&lt;=15,"8–15 Days",IF(AI173&lt;=30,"16–30 Days","30+ Days"))))))</f>
        <v/>
      </c>
      <c r="AK173">
        <f>IF(A173="","",IF(LOWER(H173)="yes","Yes","No"))</f>
        <v/>
      </c>
      <c r="AL173">
        <f>IF(A173="","",'01_Master_Data'!T173)</f>
        <v/>
      </c>
      <c r="AM173">
        <f>IF(A173="","",'01_Master_Data'!S173)</f>
        <v/>
      </c>
      <c r="AN173">
        <f>IF(A173="","",'01_Master_Data'!I173)</f>
        <v/>
      </c>
      <c r="AO173">
        <f>IF(A173="","",'01_Master_Data'!M173)</f>
        <v/>
      </c>
      <c r="AP173">
        <f>IF(A173="","",IF(ISNUMBER(SEARCH("Icici",W173&amp;"")),1,0))</f>
        <v/>
      </c>
      <c r="AQ173">
        <f>IF(A173="","",IF(ISNUMBER(SEARCH("Propelld",W173&amp;"")),1,0))</f>
        <v/>
      </c>
      <c r="AR173">
        <f>IF(A173="","",IF(ISNUMBER(SEARCH("GyanDhan",W173&amp;"")),1,0))</f>
        <v/>
      </c>
      <c r="AS173">
        <f>IF(A173="","",IF(ISNUMBER(SEARCH("vidyalakshmi",LOWER(W173&amp;""))),1,0))</f>
        <v/>
      </c>
      <c r="AT173">
        <f>IF(A173="","",IF(ISNUMBER(SEARCH("other bank",LOWER(W173&amp;""))),1,0))</f>
        <v/>
      </c>
      <c r="AU173">
        <f>IF(A173="","",IF(ISNUMBER(SEARCH("sanctioned",LOWER(W173&amp;""))),1,0))</f>
        <v/>
      </c>
      <c r="AV173">
        <f>IF(A173="","",IF(ISNUMBER(SEARCH("Docs Pending",W173&amp;"")),1,0))</f>
        <v/>
      </c>
      <c r="AW173">
        <f>IF(A173="","",IF(OR(X173="Rejected",ISNUMBER(SEARCH("Not eligbile",W173&amp;""))),1,0))</f>
        <v/>
      </c>
    </row>
    <row r="174">
      <c r="A174">
        <f>IF('01_Master_Data'!B174="","",173)</f>
        <v/>
      </c>
      <c r="B174">
        <f>IF('01_Master_Data'!B174="","",IF('01_Master_Data'!C174&lt;&gt;"","MOB|"&amp;TEXT('01_Master_Data'!C174,"0"),IF('01_Master_Data'!D174&lt;&gt;"","PID|"&amp;TRIM('01_Master_Data'!D174&amp;""),"")))</f>
        <v/>
      </c>
      <c r="C174">
        <f>IF('01_Master_Data'!B174="","",'01_Master_Data'!B174)</f>
        <v/>
      </c>
      <c r="D174">
        <f>IF('01_Master_Data'!B174="","",'01_Master_Data'!C174)</f>
        <v/>
      </c>
      <c r="E174">
        <f>IF('01_Master_Data'!B174="","",'01_Master_Data'!D174)</f>
        <v/>
      </c>
      <c r="F174">
        <f>IF('01_Master_Data'!B174="","",'01_Master_Data'!E174)</f>
        <v/>
      </c>
      <c r="G174">
        <f>IF('01_Master_Data'!B174="","",IFERROR(VLOOKUP(TRIM('01_Master_Data'!E174&amp;""),'02_Configuration'!$A$40:$B$44,2,FALSE),UPPER(TRIM('01_Master_Data'!E174&amp;""))))</f>
        <v/>
      </c>
      <c r="H174">
        <f>IF('01_Master_Data'!B174="","",IF('01_Master_Data'!U174="","",TRIM('01_Master_Data'!U174&amp;"")))</f>
        <v/>
      </c>
      <c r="I174">
        <f>IF('01_Master_Data'!B174="","",TRIM('01_Master_Data'!F174&amp;""))</f>
        <v/>
      </c>
      <c r="J174">
        <f>IF('01_Master_Data'!B174="","",TRIM('01_Master_Data'!G174&amp;""))</f>
        <v/>
      </c>
      <c r="K174">
        <f>IF('01_Master_Data'!B174="","",'01_Master_Data'!H174)</f>
        <v/>
      </c>
      <c r="L174">
        <f>IF('01_Master_Data'!B174="","",IF(LOWER(TRIM('01_Master_Data'!V174&amp;""))="yes",1,0))</f>
        <v/>
      </c>
      <c r="M174">
        <f>IF('01_Master_Data'!B174="","",IF(LOWER(TRIM('01_Master_Data'!W174&amp;""))="yes",1,0))</f>
        <v/>
      </c>
      <c r="N174">
        <f>IF('01_Master_Data'!B174="","",IF(LOWER(TRIM('01_Master_Data'!X174&amp;""))="yes",1,0))</f>
        <v/>
      </c>
      <c r="O174">
        <f>IF('01_Master_Data'!B174="","",IF(LOWER(TRIM('01_Master_Data'!Y174&amp;""))="yes",1,0))</f>
        <v/>
      </c>
      <c r="P174">
        <f>IF('01_Master_Data'!B174="","",IF(LOWER(TRIM('01_Master_Data'!Z174&amp;""))="yes",1,0))</f>
        <v/>
      </c>
      <c r="Q174">
        <f>IF(A174="","",L174+M174+N174+O174+P174)</f>
        <v/>
      </c>
      <c r="R174">
        <f>IF(A174="","",IF(Q174&gt;1,"Yes","No"))</f>
        <v/>
      </c>
      <c r="S174">
        <f>IF(A174="","",TEXTJOIN(", ",TRUE,IF(L174=1,"ICICI",""),IF(M174=1,"Propelld",""),IF(N174=1,"Study4Buddy",""),IF(O174=1,"Poonawala Fincorp",""),IF(P174=1,"GyanDhan","")))</f>
        <v/>
      </c>
      <c r="T174">
        <f>IF(A174="","",IF(L174=1,"ICICI",IF(M174=1,"Propelld",IF(P174=1,"GyanDhan",IF(N174=1,"Study4Buddy",IF(O174=1,"Poonawala Fincorp",IF(ISNUMBER(SEARCH("GyanDhan",W174&amp;"")),"GyanDhan",IF(ISNUMBER(SEARCH("Icici",W174&amp;"")),"ICICI",IF(ISNUMBER(SEARCH("Propelld",W174&amp;"")),"Propelld",IF(ISNUMBER(SEARCH("vidyalakshmi",LOWER(W174&amp;"")),"PM Vidyalakshmi","—"))))))))))</f>
        <v/>
      </c>
      <c r="U174">
        <f>IF(A174="","",TRIM('01_Master_Data'!AA174&amp;""))</f>
        <v/>
      </c>
      <c r="V174">
        <f>IF(A174="","",TRIM('01_Master_Data'!AG174&amp;""))</f>
        <v/>
      </c>
      <c r="W174">
        <f>IF(A174="","",TRIM('01_Master_Data'!AH174&amp;""))</f>
        <v/>
      </c>
      <c r="X174">
        <f>IF(A174="","",IF(OR(LOWER(H174)="refund",LOWER(U174)="refund case"),"Refund",IF(OR(LOWER(H174)="dnp",LOWER(U174)="dnp"),"DNP",IF(OR(LOWER(V174)="disbursed",ISNUMBER(SEARCH("Disbursed",W174&amp;""))),"Disbursed",IF(OR(LOWER(V174)="loan proccessed/accepted",ISNUMBER(SEARCH("sanctioned",LOWER(W174&amp;"")))),"Sanctioned",IF(OR(LOWER(V174)="rejected",ISNUMBER(SEARCH("Not eligbile",W174&amp;"")),ISNUMBER(SEARCH("Not eligible",W174&amp;""))),"Rejected",IF(ISNUMBER(SEARCH("Docs Pending",W174&amp;"")),"Documents Pending",IF(AND(LOWER(H174)="yes",LOWER(V174)="ongoing"),"Processing",IF(AND(LOWER(H174)="yes",Q174&gt;0,OR(V174="",LOWER(V174)="not even started")),"Vendor Assigned",IF(AND(LOWER(H174)="yes",LOWER(V174)="not even started"),"Need Loan",IF(LOWER(H174)="yes","Loan Started",IF(LOWER(H174)="not sure","Interested",IF(OR(LOWER(H174)="no",LOWER(V174)="not required"),"Not Required","Unclassified")))))))))))))</f>
        <v/>
      </c>
      <c r="Y174">
        <f>IF(A174="","",IF(OR(X174="Sanctioned",X174="Disbursed",X174="Approved"),"Approved",IF(X174="Rejected","Rejected",IF(OR(X174="Processing",X174="Documents Pending",X174="Vendor Assigned"),"In Progress",IF(X174="Need Loan","Pending Start","—"))))</f>
        <v/>
      </c>
      <c r="Z174">
        <f>IF(A174="","",IF(X174="Disbursed","Disbursed",IF(X174="Sanctioned","Sanctioned - Awaiting Disbursement","Not Disbursed")))</f>
        <v/>
      </c>
      <c r="AA174">
        <f>IF(A174="","",IF(LOWER(TRIM('01_Master_Data'!AI174&amp;""))="yes","Need FLDG",IF(LOWER(TRIM('01_Master_Data'!AK174&amp;""))="yes","Need Vidyalakshmi",IF(LOWER(TRIM('01_Master_Data'!AJ174&amp;""))="yes","Need Review",IF(LOWER(J174)="critical","Critical",IF(LOWER(U174)="risk","Risk Case",IF(X174="Refund","Refund","Normal")))))))</f>
        <v/>
      </c>
      <c r="AB174">
        <f>IF(A174="","",IF(OR(LOWER(J174)="critical",LOWER(TRIM('01_Master_Data'!AI174&amp;""))="yes",LOWER(TRIM('01_Master_Data'!AK174&amp;""))="yes",LOWER(U174)="risk"),"Yes","No"))</f>
        <v/>
      </c>
      <c r="AC174">
        <f>IF(A174="","",IF(LOWER(TRIM('01_Master_Data'!AI174&amp;""))="yes","Yes","No"))</f>
        <v/>
      </c>
      <c r="AD174">
        <f>IF(A174="","",IF(LOWER(TRIM('01_Master_Data'!AK174&amp;""))="yes","Yes","No"))</f>
        <v/>
      </c>
      <c r="AE174">
        <f>IF(A174="","",IF(LOWER(TRIM('01_Master_Data'!AJ174&amp;""))="yes","Yes","No"))</f>
        <v/>
      </c>
      <c r="AF174">
        <f>IF(A174="","",TRIM('01_Master_Data'!AL174&amp;""))</f>
        <v/>
      </c>
      <c r="AG174">
        <f>IF(A174="","",IF(AF174="","—",IF(ISNUMBER(SEARCH("DNP",AF174)),"Unreachable / DNP",IF(ISNUMBER(SEARCH("interest",LOWER(AF174))),"High Interest / Terms",IF(OR(ISNUMBER(SEARCH("eligib",LOWER(AF174))),ISNUMBER(SEARCH("income",LOWER(AF174)))),"Eligibility / Income",IF(OR(ISNUMBER(SEARCH("start",LOWER(AF174))),ISNUMBER(SEARCH("Newer",AF174)),ISNUMBER(SEARCH("Will start",AF174))),"Process Yet to Start",IF(ISNUMBER(SEARCH("sure",LOWER(AF174))),"Undecided",IF(OR(ISNUMBER(SEARCH("reject",LOWER(AF174))),ISNUMBER(SEARCH("SBI",AF174))),"Rejected Elsewhere",IF(ISNUMBER(SEARCH("call",LOWER(AF174))),"Bank Communication",IF(OR(ISNUMBER(SEARCH("father",LOWER(AF174))),ISNUMBER(SEARCH("sister",LOWER(AF174)))),"Family / Dependency","Other"))))))))))</f>
        <v/>
      </c>
      <c r="AH174">
        <f>IF(A174="","",'01_Master_Data'!AC174)</f>
        <v/>
      </c>
      <c r="AI174">
        <f>IF(A174="","",IF(OR(AH174="",NOT(ISNUMBER(AH174))),"",MAX(0,'02_Configuration'!$B$82-AH174)))</f>
        <v/>
      </c>
      <c r="AJ174">
        <f>IF(A174="","",IF(AI174="","Unknown",IF(AI174&lt;=3,"0–3 Days",IF(AI174&lt;=7,"4–7 Days",IF(AI174&lt;=15,"8–15 Days",IF(AI174&lt;=30,"16–30 Days","30+ Days"))))))</f>
        <v/>
      </c>
      <c r="AK174">
        <f>IF(A174="","",IF(LOWER(H174)="yes","Yes","No"))</f>
        <v/>
      </c>
      <c r="AL174">
        <f>IF(A174="","",'01_Master_Data'!T174)</f>
        <v/>
      </c>
      <c r="AM174">
        <f>IF(A174="","",'01_Master_Data'!S174)</f>
        <v/>
      </c>
      <c r="AN174">
        <f>IF(A174="","",'01_Master_Data'!I174)</f>
        <v/>
      </c>
      <c r="AO174">
        <f>IF(A174="","",'01_Master_Data'!M174)</f>
        <v/>
      </c>
      <c r="AP174">
        <f>IF(A174="","",IF(ISNUMBER(SEARCH("Icici",W174&amp;"")),1,0))</f>
        <v/>
      </c>
      <c r="AQ174">
        <f>IF(A174="","",IF(ISNUMBER(SEARCH("Propelld",W174&amp;"")),1,0))</f>
        <v/>
      </c>
      <c r="AR174">
        <f>IF(A174="","",IF(ISNUMBER(SEARCH("GyanDhan",W174&amp;"")),1,0))</f>
        <v/>
      </c>
      <c r="AS174">
        <f>IF(A174="","",IF(ISNUMBER(SEARCH("vidyalakshmi",LOWER(W174&amp;""))),1,0))</f>
        <v/>
      </c>
      <c r="AT174">
        <f>IF(A174="","",IF(ISNUMBER(SEARCH("other bank",LOWER(W174&amp;""))),1,0))</f>
        <v/>
      </c>
      <c r="AU174">
        <f>IF(A174="","",IF(ISNUMBER(SEARCH("sanctioned",LOWER(W174&amp;""))),1,0))</f>
        <v/>
      </c>
      <c r="AV174">
        <f>IF(A174="","",IF(ISNUMBER(SEARCH("Docs Pending",W174&amp;"")),1,0))</f>
        <v/>
      </c>
      <c r="AW174">
        <f>IF(A174="","",IF(OR(X174="Rejected",ISNUMBER(SEARCH("Not eligbile",W174&amp;""))),1,0))</f>
        <v/>
      </c>
    </row>
    <row r="175">
      <c r="A175">
        <f>IF('01_Master_Data'!B175="","",174)</f>
        <v/>
      </c>
      <c r="B175">
        <f>IF('01_Master_Data'!B175="","",IF('01_Master_Data'!C175&lt;&gt;"","MOB|"&amp;TEXT('01_Master_Data'!C175,"0"),IF('01_Master_Data'!D175&lt;&gt;"","PID|"&amp;TRIM('01_Master_Data'!D175&amp;""),"")))</f>
        <v/>
      </c>
      <c r="C175">
        <f>IF('01_Master_Data'!B175="","",'01_Master_Data'!B175)</f>
        <v/>
      </c>
      <c r="D175">
        <f>IF('01_Master_Data'!B175="","",'01_Master_Data'!C175)</f>
        <v/>
      </c>
      <c r="E175">
        <f>IF('01_Master_Data'!B175="","",'01_Master_Data'!D175)</f>
        <v/>
      </c>
      <c r="F175">
        <f>IF('01_Master_Data'!B175="","",'01_Master_Data'!E175)</f>
        <v/>
      </c>
      <c r="G175">
        <f>IF('01_Master_Data'!B175="","",IFERROR(VLOOKUP(TRIM('01_Master_Data'!E175&amp;""),'02_Configuration'!$A$40:$B$44,2,FALSE),UPPER(TRIM('01_Master_Data'!E175&amp;""))))</f>
        <v/>
      </c>
      <c r="H175">
        <f>IF('01_Master_Data'!B175="","",IF('01_Master_Data'!U175="","",TRIM('01_Master_Data'!U175&amp;"")))</f>
        <v/>
      </c>
      <c r="I175">
        <f>IF('01_Master_Data'!B175="","",TRIM('01_Master_Data'!F175&amp;""))</f>
        <v/>
      </c>
      <c r="J175">
        <f>IF('01_Master_Data'!B175="","",TRIM('01_Master_Data'!G175&amp;""))</f>
        <v/>
      </c>
      <c r="K175">
        <f>IF('01_Master_Data'!B175="","",'01_Master_Data'!H175)</f>
        <v/>
      </c>
      <c r="L175">
        <f>IF('01_Master_Data'!B175="","",IF(LOWER(TRIM('01_Master_Data'!V175&amp;""))="yes",1,0))</f>
        <v/>
      </c>
      <c r="M175">
        <f>IF('01_Master_Data'!B175="","",IF(LOWER(TRIM('01_Master_Data'!W175&amp;""))="yes",1,0))</f>
        <v/>
      </c>
      <c r="N175">
        <f>IF('01_Master_Data'!B175="","",IF(LOWER(TRIM('01_Master_Data'!X175&amp;""))="yes",1,0))</f>
        <v/>
      </c>
      <c r="O175">
        <f>IF('01_Master_Data'!B175="","",IF(LOWER(TRIM('01_Master_Data'!Y175&amp;""))="yes",1,0))</f>
        <v/>
      </c>
      <c r="P175">
        <f>IF('01_Master_Data'!B175="","",IF(LOWER(TRIM('01_Master_Data'!Z175&amp;""))="yes",1,0))</f>
        <v/>
      </c>
      <c r="Q175">
        <f>IF(A175="","",L175+M175+N175+O175+P175)</f>
        <v/>
      </c>
      <c r="R175">
        <f>IF(A175="","",IF(Q175&gt;1,"Yes","No"))</f>
        <v/>
      </c>
      <c r="S175">
        <f>IF(A175="","",TEXTJOIN(", ",TRUE,IF(L175=1,"ICICI",""),IF(M175=1,"Propelld",""),IF(N175=1,"Study4Buddy",""),IF(O175=1,"Poonawala Fincorp",""),IF(P175=1,"GyanDhan","")))</f>
        <v/>
      </c>
      <c r="T175">
        <f>IF(A175="","",IF(L175=1,"ICICI",IF(M175=1,"Propelld",IF(P175=1,"GyanDhan",IF(N175=1,"Study4Buddy",IF(O175=1,"Poonawala Fincorp",IF(ISNUMBER(SEARCH("GyanDhan",W175&amp;"")),"GyanDhan",IF(ISNUMBER(SEARCH("Icici",W175&amp;"")),"ICICI",IF(ISNUMBER(SEARCH("Propelld",W175&amp;"")),"Propelld",IF(ISNUMBER(SEARCH("vidyalakshmi",LOWER(W175&amp;"")),"PM Vidyalakshmi","—"))))))))))</f>
        <v/>
      </c>
      <c r="U175">
        <f>IF(A175="","",TRIM('01_Master_Data'!AA175&amp;""))</f>
        <v/>
      </c>
      <c r="V175">
        <f>IF(A175="","",TRIM('01_Master_Data'!AG175&amp;""))</f>
        <v/>
      </c>
      <c r="W175">
        <f>IF(A175="","",TRIM('01_Master_Data'!AH175&amp;""))</f>
        <v/>
      </c>
      <c r="X175">
        <f>IF(A175="","",IF(OR(LOWER(H175)="refund",LOWER(U175)="refund case"),"Refund",IF(OR(LOWER(H175)="dnp",LOWER(U175)="dnp"),"DNP",IF(OR(LOWER(V175)="disbursed",ISNUMBER(SEARCH("Disbursed",W175&amp;""))),"Disbursed",IF(OR(LOWER(V175)="loan proccessed/accepted",ISNUMBER(SEARCH("sanctioned",LOWER(W175&amp;"")))),"Sanctioned",IF(OR(LOWER(V175)="rejected",ISNUMBER(SEARCH("Not eligbile",W175&amp;"")),ISNUMBER(SEARCH("Not eligible",W175&amp;""))),"Rejected",IF(ISNUMBER(SEARCH("Docs Pending",W175&amp;"")),"Documents Pending",IF(AND(LOWER(H175)="yes",LOWER(V175)="ongoing"),"Processing",IF(AND(LOWER(H175)="yes",Q175&gt;0,OR(V175="",LOWER(V175)="not even started")),"Vendor Assigned",IF(AND(LOWER(H175)="yes",LOWER(V175)="not even started"),"Need Loan",IF(LOWER(H175)="yes","Loan Started",IF(LOWER(H175)="not sure","Interested",IF(OR(LOWER(H175)="no",LOWER(V175)="not required"),"Not Required","Unclassified")))))))))))))</f>
        <v/>
      </c>
      <c r="Y175">
        <f>IF(A175="","",IF(OR(X175="Sanctioned",X175="Disbursed",X175="Approved"),"Approved",IF(X175="Rejected","Rejected",IF(OR(X175="Processing",X175="Documents Pending",X175="Vendor Assigned"),"In Progress",IF(X175="Need Loan","Pending Start","—"))))</f>
        <v/>
      </c>
      <c r="Z175">
        <f>IF(A175="","",IF(X175="Disbursed","Disbursed",IF(X175="Sanctioned","Sanctioned - Awaiting Disbursement","Not Disbursed")))</f>
        <v/>
      </c>
      <c r="AA175">
        <f>IF(A175="","",IF(LOWER(TRIM('01_Master_Data'!AI175&amp;""))="yes","Need FLDG",IF(LOWER(TRIM('01_Master_Data'!AK175&amp;""))="yes","Need Vidyalakshmi",IF(LOWER(TRIM('01_Master_Data'!AJ175&amp;""))="yes","Need Review",IF(LOWER(J175)="critical","Critical",IF(LOWER(U175)="risk","Risk Case",IF(X175="Refund","Refund","Normal")))))))</f>
        <v/>
      </c>
      <c r="AB175">
        <f>IF(A175="","",IF(OR(LOWER(J175)="critical",LOWER(TRIM('01_Master_Data'!AI175&amp;""))="yes",LOWER(TRIM('01_Master_Data'!AK175&amp;""))="yes",LOWER(U175)="risk"),"Yes","No"))</f>
        <v/>
      </c>
      <c r="AC175">
        <f>IF(A175="","",IF(LOWER(TRIM('01_Master_Data'!AI175&amp;""))="yes","Yes","No"))</f>
        <v/>
      </c>
      <c r="AD175">
        <f>IF(A175="","",IF(LOWER(TRIM('01_Master_Data'!AK175&amp;""))="yes","Yes","No"))</f>
        <v/>
      </c>
      <c r="AE175">
        <f>IF(A175="","",IF(LOWER(TRIM('01_Master_Data'!AJ175&amp;""))="yes","Yes","No"))</f>
        <v/>
      </c>
      <c r="AF175">
        <f>IF(A175="","",TRIM('01_Master_Data'!AL175&amp;""))</f>
        <v/>
      </c>
      <c r="AG175">
        <f>IF(A175="","",IF(AF175="","—",IF(ISNUMBER(SEARCH("DNP",AF175)),"Unreachable / DNP",IF(ISNUMBER(SEARCH("interest",LOWER(AF175))),"High Interest / Terms",IF(OR(ISNUMBER(SEARCH("eligib",LOWER(AF175))),ISNUMBER(SEARCH("income",LOWER(AF175)))),"Eligibility / Income",IF(OR(ISNUMBER(SEARCH("start",LOWER(AF175))),ISNUMBER(SEARCH("Newer",AF175)),ISNUMBER(SEARCH("Will start",AF175))),"Process Yet to Start",IF(ISNUMBER(SEARCH("sure",LOWER(AF175))),"Undecided",IF(OR(ISNUMBER(SEARCH("reject",LOWER(AF175))),ISNUMBER(SEARCH("SBI",AF175))),"Rejected Elsewhere",IF(ISNUMBER(SEARCH("call",LOWER(AF175))),"Bank Communication",IF(OR(ISNUMBER(SEARCH("father",LOWER(AF175))),ISNUMBER(SEARCH("sister",LOWER(AF175)))),"Family / Dependency","Other"))))))))))</f>
        <v/>
      </c>
      <c r="AH175">
        <f>IF(A175="","",'01_Master_Data'!AC175)</f>
        <v/>
      </c>
      <c r="AI175">
        <f>IF(A175="","",IF(OR(AH175="",NOT(ISNUMBER(AH175))),"",MAX(0,'02_Configuration'!$B$82-AH175)))</f>
        <v/>
      </c>
      <c r="AJ175">
        <f>IF(A175="","",IF(AI175="","Unknown",IF(AI175&lt;=3,"0–3 Days",IF(AI175&lt;=7,"4–7 Days",IF(AI175&lt;=15,"8–15 Days",IF(AI175&lt;=30,"16–30 Days","30+ Days"))))))</f>
        <v/>
      </c>
      <c r="AK175">
        <f>IF(A175="","",IF(LOWER(H175)="yes","Yes","No"))</f>
        <v/>
      </c>
      <c r="AL175">
        <f>IF(A175="","",'01_Master_Data'!T175)</f>
        <v/>
      </c>
      <c r="AM175">
        <f>IF(A175="","",'01_Master_Data'!S175)</f>
        <v/>
      </c>
      <c r="AN175">
        <f>IF(A175="","",'01_Master_Data'!I175)</f>
        <v/>
      </c>
      <c r="AO175">
        <f>IF(A175="","",'01_Master_Data'!M175)</f>
        <v/>
      </c>
      <c r="AP175">
        <f>IF(A175="","",IF(ISNUMBER(SEARCH("Icici",W175&amp;"")),1,0))</f>
        <v/>
      </c>
      <c r="AQ175">
        <f>IF(A175="","",IF(ISNUMBER(SEARCH("Propelld",W175&amp;"")),1,0))</f>
        <v/>
      </c>
      <c r="AR175">
        <f>IF(A175="","",IF(ISNUMBER(SEARCH("GyanDhan",W175&amp;"")),1,0))</f>
        <v/>
      </c>
      <c r="AS175">
        <f>IF(A175="","",IF(ISNUMBER(SEARCH("vidyalakshmi",LOWER(W175&amp;""))),1,0))</f>
        <v/>
      </c>
      <c r="AT175">
        <f>IF(A175="","",IF(ISNUMBER(SEARCH("other bank",LOWER(W175&amp;""))),1,0))</f>
        <v/>
      </c>
      <c r="AU175">
        <f>IF(A175="","",IF(ISNUMBER(SEARCH("sanctioned",LOWER(W175&amp;""))),1,0))</f>
        <v/>
      </c>
      <c r="AV175">
        <f>IF(A175="","",IF(ISNUMBER(SEARCH("Docs Pending",W175&amp;"")),1,0))</f>
        <v/>
      </c>
      <c r="AW175">
        <f>IF(A175="","",IF(OR(X175="Rejected",ISNUMBER(SEARCH("Not eligbile",W175&amp;""))),1,0))</f>
        <v/>
      </c>
    </row>
    <row r="176">
      <c r="A176">
        <f>IF('01_Master_Data'!B176="","",175)</f>
        <v/>
      </c>
      <c r="B176">
        <f>IF('01_Master_Data'!B176="","",IF('01_Master_Data'!C176&lt;&gt;"","MOB|"&amp;TEXT('01_Master_Data'!C176,"0"),IF('01_Master_Data'!D176&lt;&gt;"","PID|"&amp;TRIM('01_Master_Data'!D176&amp;""),"")))</f>
        <v/>
      </c>
      <c r="C176">
        <f>IF('01_Master_Data'!B176="","",'01_Master_Data'!B176)</f>
        <v/>
      </c>
      <c r="D176">
        <f>IF('01_Master_Data'!B176="","",'01_Master_Data'!C176)</f>
        <v/>
      </c>
      <c r="E176">
        <f>IF('01_Master_Data'!B176="","",'01_Master_Data'!D176)</f>
        <v/>
      </c>
      <c r="F176">
        <f>IF('01_Master_Data'!B176="","",'01_Master_Data'!E176)</f>
        <v/>
      </c>
      <c r="G176">
        <f>IF('01_Master_Data'!B176="","",IFERROR(VLOOKUP(TRIM('01_Master_Data'!E176&amp;""),'02_Configuration'!$A$40:$B$44,2,FALSE),UPPER(TRIM('01_Master_Data'!E176&amp;""))))</f>
        <v/>
      </c>
      <c r="H176">
        <f>IF('01_Master_Data'!B176="","",IF('01_Master_Data'!U176="","",TRIM('01_Master_Data'!U176&amp;"")))</f>
        <v/>
      </c>
      <c r="I176">
        <f>IF('01_Master_Data'!B176="","",TRIM('01_Master_Data'!F176&amp;""))</f>
        <v/>
      </c>
      <c r="J176">
        <f>IF('01_Master_Data'!B176="","",TRIM('01_Master_Data'!G176&amp;""))</f>
        <v/>
      </c>
      <c r="K176">
        <f>IF('01_Master_Data'!B176="","",'01_Master_Data'!H176)</f>
        <v/>
      </c>
      <c r="L176">
        <f>IF('01_Master_Data'!B176="","",IF(LOWER(TRIM('01_Master_Data'!V176&amp;""))="yes",1,0))</f>
        <v/>
      </c>
      <c r="M176">
        <f>IF('01_Master_Data'!B176="","",IF(LOWER(TRIM('01_Master_Data'!W176&amp;""))="yes",1,0))</f>
        <v/>
      </c>
      <c r="N176">
        <f>IF('01_Master_Data'!B176="","",IF(LOWER(TRIM('01_Master_Data'!X176&amp;""))="yes",1,0))</f>
        <v/>
      </c>
      <c r="O176">
        <f>IF('01_Master_Data'!B176="","",IF(LOWER(TRIM('01_Master_Data'!Y176&amp;""))="yes",1,0))</f>
        <v/>
      </c>
      <c r="P176">
        <f>IF('01_Master_Data'!B176="","",IF(LOWER(TRIM('01_Master_Data'!Z176&amp;""))="yes",1,0))</f>
        <v/>
      </c>
      <c r="Q176">
        <f>IF(A176="","",L176+M176+N176+O176+P176)</f>
        <v/>
      </c>
      <c r="R176">
        <f>IF(A176="","",IF(Q176&gt;1,"Yes","No"))</f>
        <v/>
      </c>
      <c r="S176">
        <f>IF(A176="","",TEXTJOIN(", ",TRUE,IF(L176=1,"ICICI",""),IF(M176=1,"Propelld",""),IF(N176=1,"Study4Buddy",""),IF(O176=1,"Poonawala Fincorp",""),IF(P176=1,"GyanDhan","")))</f>
        <v/>
      </c>
      <c r="T176">
        <f>IF(A176="","",IF(L176=1,"ICICI",IF(M176=1,"Propelld",IF(P176=1,"GyanDhan",IF(N176=1,"Study4Buddy",IF(O176=1,"Poonawala Fincorp",IF(ISNUMBER(SEARCH("GyanDhan",W176&amp;"")),"GyanDhan",IF(ISNUMBER(SEARCH("Icici",W176&amp;"")),"ICICI",IF(ISNUMBER(SEARCH("Propelld",W176&amp;"")),"Propelld",IF(ISNUMBER(SEARCH("vidyalakshmi",LOWER(W176&amp;"")),"PM Vidyalakshmi","—"))))))))))</f>
        <v/>
      </c>
      <c r="U176">
        <f>IF(A176="","",TRIM('01_Master_Data'!AA176&amp;""))</f>
        <v/>
      </c>
      <c r="V176">
        <f>IF(A176="","",TRIM('01_Master_Data'!AG176&amp;""))</f>
        <v/>
      </c>
      <c r="W176">
        <f>IF(A176="","",TRIM('01_Master_Data'!AH176&amp;""))</f>
        <v/>
      </c>
      <c r="X176">
        <f>IF(A176="","",IF(OR(LOWER(H176)="refund",LOWER(U176)="refund case"),"Refund",IF(OR(LOWER(H176)="dnp",LOWER(U176)="dnp"),"DNP",IF(OR(LOWER(V176)="disbursed",ISNUMBER(SEARCH("Disbursed",W176&amp;""))),"Disbursed",IF(OR(LOWER(V176)="loan proccessed/accepted",ISNUMBER(SEARCH("sanctioned",LOWER(W176&amp;"")))),"Sanctioned",IF(OR(LOWER(V176)="rejected",ISNUMBER(SEARCH("Not eligbile",W176&amp;"")),ISNUMBER(SEARCH("Not eligible",W176&amp;""))),"Rejected",IF(ISNUMBER(SEARCH("Docs Pending",W176&amp;"")),"Documents Pending",IF(AND(LOWER(H176)="yes",LOWER(V176)="ongoing"),"Processing",IF(AND(LOWER(H176)="yes",Q176&gt;0,OR(V176="",LOWER(V176)="not even started")),"Vendor Assigned",IF(AND(LOWER(H176)="yes",LOWER(V176)="not even started"),"Need Loan",IF(LOWER(H176)="yes","Loan Started",IF(LOWER(H176)="not sure","Interested",IF(OR(LOWER(H176)="no",LOWER(V176)="not required"),"Not Required","Unclassified")))))))))))))</f>
        <v/>
      </c>
      <c r="Y176">
        <f>IF(A176="","",IF(OR(X176="Sanctioned",X176="Disbursed",X176="Approved"),"Approved",IF(X176="Rejected","Rejected",IF(OR(X176="Processing",X176="Documents Pending",X176="Vendor Assigned"),"In Progress",IF(X176="Need Loan","Pending Start","—"))))</f>
        <v/>
      </c>
      <c r="Z176">
        <f>IF(A176="","",IF(X176="Disbursed","Disbursed",IF(X176="Sanctioned","Sanctioned - Awaiting Disbursement","Not Disbursed")))</f>
        <v/>
      </c>
      <c r="AA176">
        <f>IF(A176="","",IF(LOWER(TRIM('01_Master_Data'!AI176&amp;""))="yes","Need FLDG",IF(LOWER(TRIM('01_Master_Data'!AK176&amp;""))="yes","Need Vidyalakshmi",IF(LOWER(TRIM('01_Master_Data'!AJ176&amp;""))="yes","Need Review",IF(LOWER(J176)="critical","Critical",IF(LOWER(U176)="risk","Risk Case",IF(X176="Refund","Refund","Normal")))))))</f>
        <v/>
      </c>
      <c r="AB176">
        <f>IF(A176="","",IF(OR(LOWER(J176)="critical",LOWER(TRIM('01_Master_Data'!AI176&amp;""))="yes",LOWER(TRIM('01_Master_Data'!AK176&amp;""))="yes",LOWER(U176)="risk"),"Yes","No"))</f>
        <v/>
      </c>
      <c r="AC176">
        <f>IF(A176="","",IF(LOWER(TRIM('01_Master_Data'!AI176&amp;""))="yes","Yes","No"))</f>
        <v/>
      </c>
      <c r="AD176">
        <f>IF(A176="","",IF(LOWER(TRIM('01_Master_Data'!AK176&amp;""))="yes","Yes","No"))</f>
        <v/>
      </c>
      <c r="AE176">
        <f>IF(A176="","",IF(LOWER(TRIM('01_Master_Data'!AJ176&amp;""))="yes","Yes","No"))</f>
        <v/>
      </c>
      <c r="AF176">
        <f>IF(A176="","",TRIM('01_Master_Data'!AL176&amp;""))</f>
        <v/>
      </c>
      <c r="AG176">
        <f>IF(A176="","",IF(AF176="","—",IF(ISNUMBER(SEARCH("DNP",AF176)),"Unreachable / DNP",IF(ISNUMBER(SEARCH("interest",LOWER(AF176))),"High Interest / Terms",IF(OR(ISNUMBER(SEARCH("eligib",LOWER(AF176))),ISNUMBER(SEARCH("income",LOWER(AF176)))),"Eligibility / Income",IF(OR(ISNUMBER(SEARCH("start",LOWER(AF176))),ISNUMBER(SEARCH("Newer",AF176)),ISNUMBER(SEARCH("Will start",AF176))),"Process Yet to Start",IF(ISNUMBER(SEARCH("sure",LOWER(AF176))),"Undecided",IF(OR(ISNUMBER(SEARCH("reject",LOWER(AF176))),ISNUMBER(SEARCH("SBI",AF176))),"Rejected Elsewhere",IF(ISNUMBER(SEARCH("call",LOWER(AF176))),"Bank Communication",IF(OR(ISNUMBER(SEARCH("father",LOWER(AF176))),ISNUMBER(SEARCH("sister",LOWER(AF176)))),"Family / Dependency","Other"))))))))))</f>
        <v/>
      </c>
      <c r="AH176">
        <f>IF(A176="","",'01_Master_Data'!AC176)</f>
        <v/>
      </c>
      <c r="AI176">
        <f>IF(A176="","",IF(OR(AH176="",NOT(ISNUMBER(AH176))),"",MAX(0,'02_Configuration'!$B$82-AH176)))</f>
        <v/>
      </c>
      <c r="AJ176">
        <f>IF(A176="","",IF(AI176="","Unknown",IF(AI176&lt;=3,"0–3 Days",IF(AI176&lt;=7,"4–7 Days",IF(AI176&lt;=15,"8–15 Days",IF(AI176&lt;=30,"16–30 Days","30+ Days"))))))</f>
        <v/>
      </c>
      <c r="AK176">
        <f>IF(A176="","",IF(LOWER(H176)="yes","Yes","No"))</f>
        <v/>
      </c>
      <c r="AL176">
        <f>IF(A176="","",'01_Master_Data'!T176)</f>
        <v/>
      </c>
      <c r="AM176">
        <f>IF(A176="","",'01_Master_Data'!S176)</f>
        <v/>
      </c>
      <c r="AN176">
        <f>IF(A176="","",'01_Master_Data'!I176)</f>
        <v/>
      </c>
      <c r="AO176">
        <f>IF(A176="","",'01_Master_Data'!M176)</f>
        <v/>
      </c>
      <c r="AP176">
        <f>IF(A176="","",IF(ISNUMBER(SEARCH("Icici",W176&amp;"")),1,0))</f>
        <v/>
      </c>
      <c r="AQ176">
        <f>IF(A176="","",IF(ISNUMBER(SEARCH("Propelld",W176&amp;"")),1,0))</f>
        <v/>
      </c>
      <c r="AR176">
        <f>IF(A176="","",IF(ISNUMBER(SEARCH("GyanDhan",W176&amp;"")),1,0))</f>
        <v/>
      </c>
      <c r="AS176">
        <f>IF(A176="","",IF(ISNUMBER(SEARCH("vidyalakshmi",LOWER(W176&amp;""))),1,0))</f>
        <v/>
      </c>
      <c r="AT176">
        <f>IF(A176="","",IF(ISNUMBER(SEARCH("other bank",LOWER(W176&amp;""))),1,0))</f>
        <v/>
      </c>
      <c r="AU176">
        <f>IF(A176="","",IF(ISNUMBER(SEARCH("sanctioned",LOWER(W176&amp;""))),1,0))</f>
        <v/>
      </c>
      <c r="AV176">
        <f>IF(A176="","",IF(ISNUMBER(SEARCH("Docs Pending",W176&amp;"")),1,0))</f>
        <v/>
      </c>
      <c r="AW176">
        <f>IF(A176="","",IF(OR(X176="Rejected",ISNUMBER(SEARCH("Not eligbile",W176&amp;""))),1,0))</f>
        <v/>
      </c>
    </row>
    <row r="177">
      <c r="A177">
        <f>IF('01_Master_Data'!B177="","",176)</f>
        <v/>
      </c>
      <c r="B177">
        <f>IF('01_Master_Data'!B177="","",IF('01_Master_Data'!C177&lt;&gt;"","MOB|"&amp;TEXT('01_Master_Data'!C177,"0"),IF('01_Master_Data'!D177&lt;&gt;"","PID|"&amp;TRIM('01_Master_Data'!D177&amp;""),"")))</f>
        <v/>
      </c>
      <c r="C177">
        <f>IF('01_Master_Data'!B177="","",'01_Master_Data'!B177)</f>
        <v/>
      </c>
      <c r="D177">
        <f>IF('01_Master_Data'!B177="","",'01_Master_Data'!C177)</f>
        <v/>
      </c>
      <c r="E177">
        <f>IF('01_Master_Data'!B177="","",'01_Master_Data'!D177)</f>
        <v/>
      </c>
      <c r="F177">
        <f>IF('01_Master_Data'!B177="","",'01_Master_Data'!E177)</f>
        <v/>
      </c>
      <c r="G177">
        <f>IF('01_Master_Data'!B177="","",IFERROR(VLOOKUP(TRIM('01_Master_Data'!E177&amp;""),'02_Configuration'!$A$40:$B$44,2,FALSE),UPPER(TRIM('01_Master_Data'!E177&amp;""))))</f>
        <v/>
      </c>
      <c r="H177">
        <f>IF('01_Master_Data'!B177="","",IF('01_Master_Data'!U177="","",TRIM('01_Master_Data'!U177&amp;"")))</f>
        <v/>
      </c>
      <c r="I177">
        <f>IF('01_Master_Data'!B177="","",TRIM('01_Master_Data'!F177&amp;""))</f>
        <v/>
      </c>
      <c r="J177">
        <f>IF('01_Master_Data'!B177="","",TRIM('01_Master_Data'!G177&amp;""))</f>
        <v/>
      </c>
      <c r="K177">
        <f>IF('01_Master_Data'!B177="","",'01_Master_Data'!H177)</f>
        <v/>
      </c>
      <c r="L177">
        <f>IF('01_Master_Data'!B177="","",IF(LOWER(TRIM('01_Master_Data'!V177&amp;""))="yes",1,0))</f>
        <v/>
      </c>
      <c r="M177">
        <f>IF('01_Master_Data'!B177="","",IF(LOWER(TRIM('01_Master_Data'!W177&amp;""))="yes",1,0))</f>
        <v/>
      </c>
      <c r="N177">
        <f>IF('01_Master_Data'!B177="","",IF(LOWER(TRIM('01_Master_Data'!X177&amp;""))="yes",1,0))</f>
        <v/>
      </c>
      <c r="O177">
        <f>IF('01_Master_Data'!B177="","",IF(LOWER(TRIM('01_Master_Data'!Y177&amp;""))="yes",1,0))</f>
        <v/>
      </c>
      <c r="P177">
        <f>IF('01_Master_Data'!B177="","",IF(LOWER(TRIM('01_Master_Data'!Z177&amp;""))="yes",1,0))</f>
        <v/>
      </c>
      <c r="Q177">
        <f>IF(A177="","",L177+M177+N177+O177+P177)</f>
        <v/>
      </c>
      <c r="R177">
        <f>IF(A177="","",IF(Q177&gt;1,"Yes","No"))</f>
        <v/>
      </c>
      <c r="S177">
        <f>IF(A177="","",TEXTJOIN(", ",TRUE,IF(L177=1,"ICICI",""),IF(M177=1,"Propelld",""),IF(N177=1,"Study4Buddy",""),IF(O177=1,"Poonawala Fincorp",""),IF(P177=1,"GyanDhan","")))</f>
        <v/>
      </c>
      <c r="T177">
        <f>IF(A177="","",IF(L177=1,"ICICI",IF(M177=1,"Propelld",IF(P177=1,"GyanDhan",IF(N177=1,"Study4Buddy",IF(O177=1,"Poonawala Fincorp",IF(ISNUMBER(SEARCH("GyanDhan",W177&amp;"")),"GyanDhan",IF(ISNUMBER(SEARCH("Icici",W177&amp;"")),"ICICI",IF(ISNUMBER(SEARCH("Propelld",W177&amp;"")),"Propelld",IF(ISNUMBER(SEARCH("vidyalakshmi",LOWER(W177&amp;"")),"PM Vidyalakshmi","—"))))))))))</f>
        <v/>
      </c>
      <c r="U177">
        <f>IF(A177="","",TRIM('01_Master_Data'!AA177&amp;""))</f>
        <v/>
      </c>
      <c r="V177">
        <f>IF(A177="","",TRIM('01_Master_Data'!AG177&amp;""))</f>
        <v/>
      </c>
      <c r="W177">
        <f>IF(A177="","",TRIM('01_Master_Data'!AH177&amp;""))</f>
        <v/>
      </c>
      <c r="X177">
        <f>IF(A177="","",IF(OR(LOWER(H177)="refund",LOWER(U177)="refund case"),"Refund",IF(OR(LOWER(H177)="dnp",LOWER(U177)="dnp"),"DNP",IF(OR(LOWER(V177)="disbursed",ISNUMBER(SEARCH("Disbursed",W177&amp;""))),"Disbursed",IF(OR(LOWER(V177)="loan proccessed/accepted",ISNUMBER(SEARCH("sanctioned",LOWER(W177&amp;"")))),"Sanctioned",IF(OR(LOWER(V177)="rejected",ISNUMBER(SEARCH("Not eligbile",W177&amp;"")),ISNUMBER(SEARCH("Not eligible",W177&amp;""))),"Rejected",IF(ISNUMBER(SEARCH("Docs Pending",W177&amp;"")),"Documents Pending",IF(AND(LOWER(H177)="yes",LOWER(V177)="ongoing"),"Processing",IF(AND(LOWER(H177)="yes",Q177&gt;0,OR(V177="",LOWER(V177)="not even started")),"Vendor Assigned",IF(AND(LOWER(H177)="yes",LOWER(V177)="not even started"),"Need Loan",IF(LOWER(H177)="yes","Loan Started",IF(LOWER(H177)="not sure","Interested",IF(OR(LOWER(H177)="no",LOWER(V177)="not required"),"Not Required","Unclassified")))))))))))))</f>
        <v/>
      </c>
      <c r="Y177">
        <f>IF(A177="","",IF(OR(X177="Sanctioned",X177="Disbursed",X177="Approved"),"Approved",IF(X177="Rejected","Rejected",IF(OR(X177="Processing",X177="Documents Pending",X177="Vendor Assigned"),"In Progress",IF(X177="Need Loan","Pending Start","—"))))</f>
        <v/>
      </c>
      <c r="Z177">
        <f>IF(A177="","",IF(X177="Disbursed","Disbursed",IF(X177="Sanctioned","Sanctioned - Awaiting Disbursement","Not Disbursed")))</f>
        <v/>
      </c>
      <c r="AA177">
        <f>IF(A177="","",IF(LOWER(TRIM('01_Master_Data'!AI177&amp;""))="yes","Need FLDG",IF(LOWER(TRIM('01_Master_Data'!AK177&amp;""))="yes","Need Vidyalakshmi",IF(LOWER(TRIM('01_Master_Data'!AJ177&amp;""))="yes","Need Review",IF(LOWER(J177)="critical","Critical",IF(LOWER(U177)="risk","Risk Case",IF(X177="Refund","Refund","Normal")))))))</f>
        <v/>
      </c>
      <c r="AB177">
        <f>IF(A177="","",IF(OR(LOWER(J177)="critical",LOWER(TRIM('01_Master_Data'!AI177&amp;""))="yes",LOWER(TRIM('01_Master_Data'!AK177&amp;""))="yes",LOWER(U177)="risk"),"Yes","No"))</f>
        <v/>
      </c>
      <c r="AC177">
        <f>IF(A177="","",IF(LOWER(TRIM('01_Master_Data'!AI177&amp;""))="yes","Yes","No"))</f>
        <v/>
      </c>
      <c r="AD177">
        <f>IF(A177="","",IF(LOWER(TRIM('01_Master_Data'!AK177&amp;""))="yes","Yes","No"))</f>
        <v/>
      </c>
      <c r="AE177">
        <f>IF(A177="","",IF(LOWER(TRIM('01_Master_Data'!AJ177&amp;""))="yes","Yes","No"))</f>
        <v/>
      </c>
      <c r="AF177">
        <f>IF(A177="","",TRIM('01_Master_Data'!AL177&amp;""))</f>
        <v/>
      </c>
      <c r="AG177">
        <f>IF(A177="","",IF(AF177="","—",IF(ISNUMBER(SEARCH("DNP",AF177)),"Unreachable / DNP",IF(ISNUMBER(SEARCH("interest",LOWER(AF177))),"High Interest / Terms",IF(OR(ISNUMBER(SEARCH("eligib",LOWER(AF177))),ISNUMBER(SEARCH("income",LOWER(AF177)))),"Eligibility / Income",IF(OR(ISNUMBER(SEARCH("start",LOWER(AF177))),ISNUMBER(SEARCH("Newer",AF177)),ISNUMBER(SEARCH("Will start",AF177))),"Process Yet to Start",IF(ISNUMBER(SEARCH("sure",LOWER(AF177))),"Undecided",IF(OR(ISNUMBER(SEARCH("reject",LOWER(AF177))),ISNUMBER(SEARCH("SBI",AF177))),"Rejected Elsewhere",IF(ISNUMBER(SEARCH("call",LOWER(AF177))),"Bank Communication",IF(OR(ISNUMBER(SEARCH("father",LOWER(AF177))),ISNUMBER(SEARCH("sister",LOWER(AF177)))),"Family / Dependency","Other"))))))))))</f>
        <v/>
      </c>
      <c r="AH177">
        <f>IF(A177="","",'01_Master_Data'!AC177)</f>
        <v/>
      </c>
      <c r="AI177">
        <f>IF(A177="","",IF(OR(AH177="",NOT(ISNUMBER(AH177))),"",MAX(0,'02_Configuration'!$B$82-AH177)))</f>
        <v/>
      </c>
      <c r="AJ177">
        <f>IF(A177="","",IF(AI177="","Unknown",IF(AI177&lt;=3,"0–3 Days",IF(AI177&lt;=7,"4–7 Days",IF(AI177&lt;=15,"8–15 Days",IF(AI177&lt;=30,"16–30 Days","30+ Days"))))))</f>
        <v/>
      </c>
      <c r="AK177">
        <f>IF(A177="","",IF(LOWER(H177)="yes","Yes","No"))</f>
        <v/>
      </c>
      <c r="AL177">
        <f>IF(A177="","",'01_Master_Data'!T177)</f>
        <v/>
      </c>
      <c r="AM177">
        <f>IF(A177="","",'01_Master_Data'!S177)</f>
        <v/>
      </c>
      <c r="AN177">
        <f>IF(A177="","",'01_Master_Data'!I177)</f>
        <v/>
      </c>
      <c r="AO177">
        <f>IF(A177="","",'01_Master_Data'!M177)</f>
        <v/>
      </c>
      <c r="AP177">
        <f>IF(A177="","",IF(ISNUMBER(SEARCH("Icici",W177&amp;"")),1,0))</f>
        <v/>
      </c>
      <c r="AQ177">
        <f>IF(A177="","",IF(ISNUMBER(SEARCH("Propelld",W177&amp;"")),1,0))</f>
        <v/>
      </c>
      <c r="AR177">
        <f>IF(A177="","",IF(ISNUMBER(SEARCH("GyanDhan",W177&amp;"")),1,0))</f>
        <v/>
      </c>
      <c r="AS177">
        <f>IF(A177="","",IF(ISNUMBER(SEARCH("vidyalakshmi",LOWER(W177&amp;""))),1,0))</f>
        <v/>
      </c>
      <c r="AT177">
        <f>IF(A177="","",IF(ISNUMBER(SEARCH("other bank",LOWER(W177&amp;""))),1,0))</f>
        <v/>
      </c>
      <c r="AU177">
        <f>IF(A177="","",IF(ISNUMBER(SEARCH("sanctioned",LOWER(W177&amp;""))),1,0))</f>
        <v/>
      </c>
      <c r="AV177">
        <f>IF(A177="","",IF(ISNUMBER(SEARCH("Docs Pending",W177&amp;"")),1,0))</f>
        <v/>
      </c>
      <c r="AW177">
        <f>IF(A177="","",IF(OR(X177="Rejected",ISNUMBER(SEARCH("Not eligbile",W177&amp;""))),1,0))</f>
        <v/>
      </c>
    </row>
    <row r="178">
      <c r="A178">
        <f>IF('01_Master_Data'!B178="","",177)</f>
        <v/>
      </c>
      <c r="B178">
        <f>IF('01_Master_Data'!B178="","",IF('01_Master_Data'!C178&lt;&gt;"","MOB|"&amp;TEXT('01_Master_Data'!C178,"0"),IF('01_Master_Data'!D178&lt;&gt;"","PID|"&amp;TRIM('01_Master_Data'!D178&amp;""),"")))</f>
        <v/>
      </c>
      <c r="C178">
        <f>IF('01_Master_Data'!B178="","",'01_Master_Data'!B178)</f>
        <v/>
      </c>
      <c r="D178">
        <f>IF('01_Master_Data'!B178="","",'01_Master_Data'!C178)</f>
        <v/>
      </c>
      <c r="E178">
        <f>IF('01_Master_Data'!B178="","",'01_Master_Data'!D178)</f>
        <v/>
      </c>
      <c r="F178">
        <f>IF('01_Master_Data'!B178="","",'01_Master_Data'!E178)</f>
        <v/>
      </c>
      <c r="G178">
        <f>IF('01_Master_Data'!B178="","",IFERROR(VLOOKUP(TRIM('01_Master_Data'!E178&amp;""),'02_Configuration'!$A$40:$B$44,2,FALSE),UPPER(TRIM('01_Master_Data'!E178&amp;""))))</f>
        <v/>
      </c>
      <c r="H178">
        <f>IF('01_Master_Data'!B178="","",IF('01_Master_Data'!U178="","",TRIM('01_Master_Data'!U178&amp;"")))</f>
        <v/>
      </c>
      <c r="I178">
        <f>IF('01_Master_Data'!B178="","",TRIM('01_Master_Data'!F178&amp;""))</f>
        <v/>
      </c>
      <c r="J178">
        <f>IF('01_Master_Data'!B178="","",TRIM('01_Master_Data'!G178&amp;""))</f>
        <v/>
      </c>
      <c r="K178">
        <f>IF('01_Master_Data'!B178="","",'01_Master_Data'!H178)</f>
        <v/>
      </c>
      <c r="L178">
        <f>IF('01_Master_Data'!B178="","",IF(LOWER(TRIM('01_Master_Data'!V178&amp;""))="yes",1,0))</f>
        <v/>
      </c>
      <c r="M178">
        <f>IF('01_Master_Data'!B178="","",IF(LOWER(TRIM('01_Master_Data'!W178&amp;""))="yes",1,0))</f>
        <v/>
      </c>
      <c r="N178">
        <f>IF('01_Master_Data'!B178="","",IF(LOWER(TRIM('01_Master_Data'!X178&amp;""))="yes",1,0))</f>
        <v/>
      </c>
      <c r="O178">
        <f>IF('01_Master_Data'!B178="","",IF(LOWER(TRIM('01_Master_Data'!Y178&amp;""))="yes",1,0))</f>
        <v/>
      </c>
      <c r="P178">
        <f>IF('01_Master_Data'!B178="","",IF(LOWER(TRIM('01_Master_Data'!Z178&amp;""))="yes",1,0))</f>
        <v/>
      </c>
      <c r="Q178">
        <f>IF(A178="","",L178+M178+N178+O178+P178)</f>
        <v/>
      </c>
      <c r="R178">
        <f>IF(A178="","",IF(Q178&gt;1,"Yes","No"))</f>
        <v/>
      </c>
      <c r="S178">
        <f>IF(A178="","",TEXTJOIN(", ",TRUE,IF(L178=1,"ICICI",""),IF(M178=1,"Propelld",""),IF(N178=1,"Study4Buddy",""),IF(O178=1,"Poonawala Fincorp",""),IF(P178=1,"GyanDhan","")))</f>
        <v/>
      </c>
      <c r="T178">
        <f>IF(A178="","",IF(L178=1,"ICICI",IF(M178=1,"Propelld",IF(P178=1,"GyanDhan",IF(N178=1,"Study4Buddy",IF(O178=1,"Poonawala Fincorp",IF(ISNUMBER(SEARCH("GyanDhan",W178&amp;"")),"GyanDhan",IF(ISNUMBER(SEARCH("Icici",W178&amp;"")),"ICICI",IF(ISNUMBER(SEARCH("Propelld",W178&amp;"")),"Propelld",IF(ISNUMBER(SEARCH("vidyalakshmi",LOWER(W178&amp;"")),"PM Vidyalakshmi","—"))))))))))</f>
        <v/>
      </c>
      <c r="U178">
        <f>IF(A178="","",TRIM('01_Master_Data'!AA178&amp;""))</f>
        <v/>
      </c>
      <c r="V178">
        <f>IF(A178="","",TRIM('01_Master_Data'!AG178&amp;""))</f>
        <v/>
      </c>
      <c r="W178">
        <f>IF(A178="","",TRIM('01_Master_Data'!AH178&amp;""))</f>
        <v/>
      </c>
      <c r="X178">
        <f>IF(A178="","",IF(OR(LOWER(H178)="refund",LOWER(U178)="refund case"),"Refund",IF(OR(LOWER(H178)="dnp",LOWER(U178)="dnp"),"DNP",IF(OR(LOWER(V178)="disbursed",ISNUMBER(SEARCH("Disbursed",W178&amp;""))),"Disbursed",IF(OR(LOWER(V178)="loan proccessed/accepted",ISNUMBER(SEARCH("sanctioned",LOWER(W178&amp;"")))),"Sanctioned",IF(OR(LOWER(V178)="rejected",ISNUMBER(SEARCH("Not eligbile",W178&amp;"")),ISNUMBER(SEARCH("Not eligible",W178&amp;""))),"Rejected",IF(ISNUMBER(SEARCH("Docs Pending",W178&amp;"")),"Documents Pending",IF(AND(LOWER(H178)="yes",LOWER(V178)="ongoing"),"Processing",IF(AND(LOWER(H178)="yes",Q178&gt;0,OR(V178="",LOWER(V178)="not even started")),"Vendor Assigned",IF(AND(LOWER(H178)="yes",LOWER(V178)="not even started"),"Need Loan",IF(LOWER(H178)="yes","Loan Started",IF(LOWER(H178)="not sure","Interested",IF(OR(LOWER(H178)="no",LOWER(V178)="not required"),"Not Required","Unclassified")))))))))))))</f>
        <v/>
      </c>
      <c r="Y178">
        <f>IF(A178="","",IF(OR(X178="Sanctioned",X178="Disbursed",X178="Approved"),"Approved",IF(X178="Rejected","Rejected",IF(OR(X178="Processing",X178="Documents Pending",X178="Vendor Assigned"),"In Progress",IF(X178="Need Loan","Pending Start","—"))))</f>
        <v/>
      </c>
      <c r="Z178">
        <f>IF(A178="","",IF(X178="Disbursed","Disbursed",IF(X178="Sanctioned","Sanctioned - Awaiting Disbursement","Not Disbursed")))</f>
        <v/>
      </c>
      <c r="AA178">
        <f>IF(A178="","",IF(LOWER(TRIM('01_Master_Data'!AI178&amp;""))="yes","Need FLDG",IF(LOWER(TRIM('01_Master_Data'!AK178&amp;""))="yes","Need Vidyalakshmi",IF(LOWER(TRIM('01_Master_Data'!AJ178&amp;""))="yes","Need Review",IF(LOWER(J178)="critical","Critical",IF(LOWER(U178)="risk","Risk Case",IF(X178="Refund","Refund","Normal")))))))</f>
        <v/>
      </c>
      <c r="AB178">
        <f>IF(A178="","",IF(OR(LOWER(J178)="critical",LOWER(TRIM('01_Master_Data'!AI178&amp;""))="yes",LOWER(TRIM('01_Master_Data'!AK178&amp;""))="yes",LOWER(U178)="risk"),"Yes","No"))</f>
        <v/>
      </c>
      <c r="AC178">
        <f>IF(A178="","",IF(LOWER(TRIM('01_Master_Data'!AI178&amp;""))="yes","Yes","No"))</f>
        <v/>
      </c>
      <c r="AD178">
        <f>IF(A178="","",IF(LOWER(TRIM('01_Master_Data'!AK178&amp;""))="yes","Yes","No"))</f>
        <v/>
      </c>
      <c r="AE178">
        <f>IF(A178="","",IF(LOWER(TRIM('01_Master_Data'!AJ178&amp;""))="yes","Yes","No"))</f>
        <v/>
      </c>
      <c r="AF178">
        <f>IF(A178="","",TRIM('01_Master_Data'!AL178&amp;""))</f>
        <v/>
      </c>
      <c r="AG178">
        <f>IF(A178="","",IF(AF178="","—",IF(ISNUMBER(SEARCH("DNP",AF178)),"Unreachable / DNP",IF(ISNUMBER(SEARCH("interest",LOWER(AF178))),"High Interest / Terms",IF(OR(ISNUMBER(SEARCH("eligib",LOWER(AF178))),ISNUMBER(SEARCH("income",LOWER(AF178)))),"Eligibility / Income",IF(OR(ISNUMBER(SEARCH("start",LOWER(AF178))),ISNUMBER(SEARCH("Newer",AF178)),ISNUMBER(SEARCH("Will start",AF178))),"Process Yet to Start",IF(ISNUMBER(SEARCH("sure",LOWER(AF178))),"Undecided",IF(OR(ISNUMBER(SEARCH("reject",LOWER(AF178))),ISNUMBER(SEARCH("SBI",AF178))),"Rejected Elsewhere",IF(ISNUMBER(SEARCH("call",LOWER(AF178))),"Bank Communication",IF(OR(ISNUMBER(SEARCH("father",LOWER(AF178))),ISNUMBER(SEARCH("sister",LOWER(AF178)))),"Family / Dependency","Other"))))))))))</f>
        <v/>
      </c>
      <c r="AH178">
        <f>IF(A178="","",'01_Master_Data'!AC178)</f>
        <v/>
      </c>
      <c r="AI178">
        <f>IF(A178="","",IF(OR(AH178="",NOT(ISNUMBER(AH178))),"",MAX(0,'02_Configuration'!$B$82-AH178)))</f>
        <v/>
      </c>
      <c r="AJ178">
        <f>IF(A178="","",IF(AI178="","Unknown",IF(AI178&lt;=3,"0–3 Days",IF(AI178&lt;=7,"4–7 Days",IF(AI178&lt;=15,"8–15 Days",IF(AI178&lt;=30,"16–30 Days","30+ Days"))))))</f>
        <v/>
      </c>
      <c r="AK178">
        <f>IF(A178="","",IF(LOWER(H178)="yes","Yes","No"))</f>
        <v/>
      </c>
      <c r="AL178">
        <f>IF(A178="","",'01_Master_Data'!T178)</f>
        <v/>
      </c>
      <c r="AM178">
        <f>IF(A178="","",'01_Master_Data'!S178)</f>
        <v/>
      </c>
      <c r="AN178">
        <f>IF(A178="","",'01_Master_Data'!I178)</f>
        <v/>
      </c>
      <c r="AO178">
        <f>IF(A178="","",'01_Master_Data'!M178)</f>
        <v/>
      </c>
      <c r="AP178">
        <f>IF(A178="","",IF(ISNUMBER(SEARCH("Icici",W178&amp;"")),1,0))</f>
        <v/>
      </c>
      <c r="AQ178">
        <f>IF(A178="","",IF(ISNUMBER(SEARCH("Propelld",W178&amp;"")),1,0))</f>
        <v/>
      </c>
      <c r="AR178">
        <f>IF(A178="","",IF(ISNUMBER(SEARCH("GyanDhan",W178&amp;"")),1,0))</f>
        <v/>
      </c>
      <c r="AS178">
        <f>IF(A178="","",IF(ISNUMBER(SEARCH("vidyalakshmi",LOWER(W178&amp;""))),1,0))</f>
        <v/>
      </c>
      <c r="AT178">
        <f>IF(A178="","",IF(ISNUMBER(SEARCH("other bank",LOWER(W178&amp;""))),1,0))</f>
        <v/>
      </c>
      <c r="AU178">
        <f>IF(A178="","",IF(ISNUMBER(SEARCH("sanctioned",LOWER(W178&amp;""))),1,0))</f>
        <v/>
      </c>
      <c r="AV178">
        <f>IF(A178="","",IF(ISNUMBER(SEARCH("Docs Pending",W178&amp;"")),1,0))</f>
        <v/>
      </c>
      <c r="AW178">
        <f>IF(A178="","",IF(OR(X178="Rejected",ISNUMBER(SEARCH("Not eligbile",W178&amp;""))),1,0))</f>
        <v/>
      </c>
    </row>
    <row r="179">
      <c r="A179">
        <f>IF('01_Master_Data'!B179="","",178)</f>
        <v/>
      </c>
      <c r="B179">
        <f>IF('01_Master_Data'!B179="","",IF('01_Master_Data'!C179&lt;&gt;"","MOB|"&amp;TEXT('01_Master_Data'!C179,"0"),IF('01_Master_Data'!D179&lt;&gt;"","PID|"&amp;TRIM('01_Master_Data'!D179&amp;""),"")))</f>
        <v/>
      </c>
      <c r="C179">
        <f>IF('01_Master_Data'!B179="","",'01_Master_Data'!B179)</f>
        <v/>
      </c>
      <c r="D179">
        <f>IF('01_Master_Data'!B179="","",'01_Master_Data'!C179)</f>
        <v/>
      </c>
      <c r="E179">
        <f>IF('01_Master_Data'!B179="","",'01_Master_Data'!D179)</f>
        <v/>
      </c>
      <c r="F179">
        <f>IF('01_Master_Data'!B179="","",'01_Master_Data'!E179)</f>
        <v/>
      </c>
      <c r="G179">
        <f>IF('01_Master_Data'!B179="","",IFERROR(VLOOKUP(TRIM('01_Master_Data'!E179&amp;""),'02_Configuration'!$A$40:$B$44,2,FALSE),UPPER(TRIM('01_Master_Data'!E179&amp;""))))</f>
        <v/>
      </c>
      <c r="H179">
        <f>IF('01_Master_Data'!B179="","",IF('01_Master_Data'!U179="","",TRIM('01_Master_Data'!U179&amp;"")))</f>
        <v/>
      </c>
      <c r="I179">
        <f>IF('01_Master_Data'!B179="","",TRIM('01_Master_Data'!F179&amp;""))</f>
        <v/>
      </c>
      <c r="J179">
        <f>IF('01_Master_Data'!B179="","",TRIM('01_Master_Data'!G179&amp;""))</f>
        <v/>
      </c>
      <c r="K179">
        <f>IF('01_Master_Data'!B179="","",'01_Master_Data'!H179)</f>
        <v/>
      </c>
      <c r="L179">
        <f>IF('01_Master_Data'!B179="","",IF(LOWER(TRIM('01_Master_Data'!V179&amp;""))="yes",1,0))</f>
        <v/>
      </c>
      <c r="M179">
        <f>IF('01_Master_Data'!B179="","",IF(LOWER(TRIM('01_Master_Data'!W179&amp;""))="yes",1,0))</f>
        <v/>
      </c>
      <c r="N179">
        <f>IF('01_Master_Data'!B179="","",IF(LOWER(TRIM('01_Master_Data'!X179&amp;""))="yes",1,0))</f>
        <v/>
      </c>
      <c r="O179">
        <f>IF('01_Master_Data'!B179="","",IF(LOWER(TRIM('01_Master_Data'!Y179&amp;""))="yes",1,0))</f>
        <v/>
      </c>
      <c r="P179">
        <f>IF('01_Master_Data'!B179="","",IF(LOWER(TRIM('01_Master_Data'!Z179&amp;""))="yes",1,0))</f>
        <v/>
      </c>
      <c r="Q179">
        <f>IF(A179="","",L179+M179+N179+O179+P179)</f>
        <v/>
      </c>
      <c r="R179">
        <f>IF(A179="","",IF(Q179&gt;1,"Yes","No"))</f>
        <v/>
      </c>
      <c r="S179">
        <f>IF(A179="","",TEXTJOIN(", ",TRUE,IF(L179=1,"ICICI",""),IF(M179=1,"Propelld",""),IF(N179=1,"Study4Buddy",""),IF(O179=1,"Poonawala Fincorp",""),IF(P179=1,"GyanDhan","")))</f>
        <v/>
      </c>
      <c r="T179">
        <f>IF(A179="","",IF(L179=1,"ICICI",IF(M179=1,"Propelld",IF(P179=1,"GyanDhan",IF(N179=1,"Study4Buddy",IF(O179=1,"Poonawala Fincorp",IF(ISNUMBER(SEARCH("GyanDhan",W179&amp;"")),"GyanDhan",IF(ISNUMBER(SEARCH("Icici",W179&amp;"")),"ICICI",IF(ISNUMBER(SEARCH("Propelld",W179&amp;"")),"Propelld",IF(ISNUMBER(SEARCH("vidyalakshmi",LOWER(W179&amp;"")),"PM Vidyalakshmi","—"))))))))))</f>
        <v/>
      </c>
      <c r="U179">
        <f>IF(A179="","",TRIM('01_Master_Data'!AA179&amp;""))</f>
        <v/>
      </c>
      <c r="V179">
        <f>IF(A179="","",TRIM('01_Master_Data'!AG179&amp;""))</f>
        <v/>
      </c>
      <c r="W179">
        <f>IF(A179="","",TRIM('01_Master_Data'!AH179&amp;""))</f>
        <v/>
      </c>
      <c r="X179">
        <f>IF(A179="","",IF(OR(LOWER(H179)="refund",LOWER(U179)="refund case"),"Refund",IF(OR(LOWER(H179)="dnp",LOWER(U179)="dnp"),"DNP",IF(OR(LOWER(V179)="disbursed",ISNUMBER(SEARCH("Disbursed",W179&amp;""))),"Disbursed",IF(OR(LOWER(V179)="loan proccessed/accepted",ISNUMBER(SEARCH("sanctioned",LOWER(W179&amp;"")))),"Sanctioned",IF(OR(LOWER(V179)="rejected",ISNUMBER(SEARCH("Not eligbile",W179&amp;"")),ISNUMBER(SEARCH("Not eligible",W179&amp;""))),"Rejected",IF(ISNUMBER(SEARCH("Docs Pending",W179&amp;"")),"Documents Pending",IF(AND(LOWER(H179)="yes",LOWER(V179)="ongoing"),"Processing",IF(AND(LOWER(H179)="yes",Q179&gt;0,OR(V179="",LOWER(V179)="not even started")),"Vendor Assigned",IF(AND(LOWER(H179)="yes",LOWER(V179)="not even started"),"Need Loan",IF(LOWER(H179)="yes","Loan Started",IF(LOWER(H179)="not sure","Interested",IF(OR(LOWER(H179)="no",LOWER(V179)="not required"),"Not Required","Unclassified")))))))))))))</f>
        <v/>
      </c>
      <c r="Y179">
        <f>IF(A179="","",IF(OR(X179="Sanctioned",X179="Disbursed",X179="Approved"),"Approved",IF(X179="Rejected","Rejected",IF(OR(X179="Processing",X179="Documents Pending",X179="Vendor Assigned"),"In Progress",IF(X179="Need Loan","Pending Start","—"))))</f>
        <v/>
      </c>
      <c r="Z179">
        <f>IF(A179="","",IF(X179="Disbursed","Disbursed",IF(X179="Sanctioned","Sanctioned - Awaiting Disbursement","Not Disbursed")))</f>
        <v/>
      </c>
      <c r="AA179">
        <f>IF(A179="","",IF(LOWER(TRIM('01_Master_Data'!AI179&amp;""))="yes","Need FLDG",IF(LOWER(TRIM('01_Master_Data'!AK179&amp;""))="yes","Need Vidyalakshmi",IF(LOWER(TRIM('01_Master_Data'!AJ179&amp;""))="yes","Need Review",IF(LOWER(J179)="critical","Critical",IF(LOWER(U179)="risk","Risk Case",IF(X179="Refund","Refund","Normal")))))))</f>
        <v/>
      </c>
      <c r="AB179">
        <f>IF(A179="","",IF(OR(LOWER(J179)="critical",LOWER(TRIM('01_Master_Data'!AI179&amp;""))="yes",LOWER(TRIM('01_Master_Data'!AK179&amp;""))="yes",LOWER(U179)="risk"),"Yes","No"))</f>
        <v/>
      </c>
      <c r="AC179">
        <f>IF(A179="","",IF(LOWER(TRIM('01_Master_Data'!AI179&amp;""))="yes","Yes","No"))</f>
        <v/>
      </c>
      <c r="AD179">
        <f>IF(A179="","",IF(LOWER(TRIM('01_Master_Data'!AK179&amp;""))="yes","Yes","No"))</f>
        <v/>
      </c>
      <c r="AE179">
        <f>IF(A179="","",IF(LOWER(TRIM('01_Master_Data'!AJ179&amp;""))="yes","Yes","No"))</f>
        <v/>
      </c>
      <c r="AF179">
        <f>IF(A179="","",TRIM('01_Master_Data'!AL179&amp;""))</f>
        <v/>
      </c>
      <c r="AG179">
        <f>IF(A179="","",IF(AF179="","—",IF(ISNUMBER(SEARCH("DNP",AF179)),"Unreachable / DNP",IF(ISNUMBER(SEARCH("interest",LOWER(AF179))),"High Interest / Terms",IF(OR(ISNUMBER(SEARCH("eligib",LOWER(AF179))),ISNUMBER(SEARCH("income",LOWER(AF179)))),"Eligibility / Income",IF(OR(ISNUMBER(SEARCH("start",LOWER(AF179))),ISNUMBER(SEARCH("Newer",AF179)),ISNUMBER(SEARCH("Will start",AF179))),"Process Yet to Start",IF(ISNUMBER(SEARCH("sure",LOWER(AF179))),"Undecided",IF(OR(ISNUMBER(SEARCH("reject",LOWER(AF179))),ISNUMBER(SEARCH("SBI",AF179))),"Rejected Elsewhere",IF(ISNUMBER(SEARCH("call",LOWER(AF179))),"Bank Communication",IF(OR(ISNUMBER(SEARCH("father",LOWER(AF179))),ISNUMBER(SEARCH("sister",LOWER(AF179)))),"Family / Dependency","Other"))))))))))</f>
        <v/>
      </c>
      <c r="AH179">
        <f>IF(A179="","",'01_Master_Data'!AC179)</f>
        <v/>
      </c>
      <c r="AI179">
        <f>IF(A179="","",IF(OR(AH179="",NOT(ISNUMBER(AH179))),"",MAX(0,'02_Configuration'!$B$82-AH179)))</f>
        <v/>
      </c>
      <c r="AJ179">
        <f>IF(A179="","",IF(AI179="","Unknown",IF(AI179&lt;=3,"0–3 Days",IF(AI179&lt;=7,"4–7 Days",IF(AI179&lt;=15,"8–15 Days",IF(AI179&lt;=30,"16–30 Days","30+ Days"))))))</f>
        <v/>
      </c>
      <c r="AK179">
        <f>IF(A179="","",IF(LOWER(H179)="yes","Yes","No"))</f>
        <v/>
      </c>
      <c r="AL179">
        <f>IF(A179="","",'01_Master_Data'!T179)</f>
        <v/>
      </c>
      <c r="AM179">
        <f>IF(A179="","",'01_Master_Data'!S179)</f>
        <v/>
      </c>
      <c r="AN179">
        <f>IF(A179="","",'01_Master_Data'!I179)</f>
        <v/>
      </c>
      <c r="AO179">
        <f>IF(A179="","",'01_Master_Data'!M179)</f>
        <v/>
      </c>
      <c r="AP179">
        <f>IF(A179="","",IF(ISNUMBER(SEARCH("Icici",W179&amp;"")),1,0))</f>
        <v/>
      </c>
      <c r="AQ179">
        <f>IF(A179="","",IF(ISNUMBER(SEARCH("Propelld",W179&amp;"")),1,0))</f>
        <v/>
      </c>
      <c r="AR179">
        <f>IF(A179="","",IF(ISNUMBER(SEARCH("GyanDhan",W179&amp;"")),1,0))</f>
        <v/>
      </c>
      <c r="AS179">
        <f>IF(A179="","",IF(ISNUMBER(SEARCH("vidyalakshmi",LOWER(W179&amp;""))),1,0))</f>
        <v/>
      </c>
      <c r="AT179">
        <f>IF(A179="","",IF(ISNUMBER(SEARCH("other bank",LOWER(W179&amp;""))),1,0))</f>
        <v/>
      </c>
      <c r="AU179">
        <f>IF(A179="","",IF(ISNUMBER(SEARCH("sanctioned",LOWER(W179&amp;""))),1,0))</f>
        <v/>
      </c>
      <c r="AV179">
        <f>IF(A179="","",IF(ISNUMBER(SEARCH("Docs Pending",W179&amp;"")),1,0))</f>
        <v/>
      </c>
      <c r="AW179">
        <f>IF(A179="","",IF(OR(X179="Rejected",ISNUMBER(SEARCH("Not eligbile",W179&amp;""))),1,0))</f>
        <v/>
      </c>
    </row>
    <row r="180">
      <c r="A180">
        <f>IF('01_Master_Data'!B180="","",179)</f>
        <v/>
      </c>
      <c r="B180">
        <f>IF('01_Master_Data'!B180="","",IF('01_Master_Data'!C180&lt;&gt;"","MOB|"&amp;TEXT('01_Master_Data'!C180,"0"),IF('01_Master_Data'!D180&lt;&gt;"","PID|"&amp;TRIM('01_Master_Data'!D180&amp;""),"")))</f>
        <v/>
      </c>
      <c r="C180">
        <f>IF('01_Master_Data'!B180="","",'01_Master_Data'!B180)</f>
        <v/>
      </c>
      <c r="D180">
        <f>IF('01_Master_Data'!B180="","",'01_Master_Data'!C180)</f>
        <v/>
      </c>
      <c r="E180">
        <f>IF('01_Master_Data'!B180="","",'01_Master_Data'!D180)</f>
        <v/>
      </c>
      <c r="F180">
        <f>IF('01_Master_Data'!B180="","",'01_Master_Data'!E180)</f>
        <v/>
      </c>
      <c r="G180">
        <f>IF('01_Master_Data'!B180="","",IFERROR(VLOOKUP(TRIM('01_Master_Data'!E180&amp;""),'02_Configuration'!$A$40:$B$44,2,FALSE),UPPER(TRIM('01_Master_Data'!E180&amp;""))))</f>
        <v/>
      </c>
      <c r="H180">
        <f>IF('01_Master_Data'!B180="","",IF('01_Master_Data'!U180="","",TRIM('01_Master_Data'!U180&amp;"")))</f>
        <v/>
      </c>
      <c r="I180">
        <f>IF('01_Master_Data'!B180="","",TRIM('01_Master_Data'!F180&amp;""))</f>
        <v/>
      </c>
      <c r="J180">
        <f>IF('01_Master_Data'!B180="","",TRIM('01_Master_Data'!G180&amp;""))</f>
        <v/>
      </c>
      <c r="K180">
        <f>IF('01_Master_Data'!B180="","",'01_Master_Data'!H180)</f>
        <v/>
      </c>
      <c r="L180">
        <f>IF('01_Master_Data'!B180="","",IF(LOWER(TRIM('01_Master_Data'!V180&amp;""))="yes",1,0))</f>
        <v/>
      </c>
      <c r="M180">
        <f>IF('01_Master_Data'!B180="","",IF(LOWER(TRIM('01_Master_Data'!W180&amp;""))="yes",1,0))</f>
        <v/>
      </c>
      <c r="N180">
        <f>IF('01_Master_Data'!B180="","",IF(LOWER(TRIM('01_Master_Data'!X180&amp;""))="yes",1,0))</f>
        <v/>
      </c>
      <c r="O180">
        <f>IF('01_Master_Data'!B180="","",IF(LOWER(TRIM('01_Master_Data'!Y180&amp;""))="yes",1,0))</f>
        <v/>
      </c>
      <c r="P180">
        <f>IF('01_Master_Data'!B180="","",IF(LOWER(TRIM('01_Master_Data'!Z180&amp;""))="yes",1,0))</f>
        <v/>
      </c>
      <c r="Q180">
        <f>IF(A180="","",L180+M180+N180+O180+P180)</f>
        <v/>
      </c>
      <c r="R180">
        <f>IF(A180="","",IF(Q180&gt;1,"Yes","No"))</f>
        <v/>
      </c>
      <c r="S180">
        <f>IF(A180="","",TEXTJOIN(", ",TRUE,IF(L180=1,"ICICI",""),IF(M180=1,"Propelld",""),IF(N180=1,"Study4Buddy",""),IF(O180=1,"Poonawala Fincorp",""),IF(P180=1,"GyanDhan","")))</f>
        <v/>
      </c>
      <c r="T180">
        <f>IF(A180="","",IF(L180=1,"ICICI",IF(M180=1,"Propelld",IF(P180=1,"GyanDhan",IF(N180=1,"Study4Buddy",IF(O180=1,"Poonawala Fincorp",IF(ISNUMBER(SEARCH("GyanDhan",W180&amp;"")),"GyanDhan",IF(ISNUMBER(SEARCH("Icici",W180&amp;"")),"ICICI",IF(ISNUMBER(SEARCH("Propelld",W180&amp;"")),"Propelld",IF(ISNUMBER(SEARCH("vidyalakshmi",LOWER(W180&amp;"")),"PM Vidyalakshmi","—"))))))))))</f>
        <v/>
      </c>
      <c r="U180">
        <f>IF(A180="","",TRIM('01_Master_Data'!AA180&amp;""))</f>
        <v/>
      </c>
      <c r="V180">
        <f>IF(A180="","",TRIM('01_Master_Data'!AG180&amp;""))</f>
        <v/>
      </c>
      <c r="W180">
        <f>IF(A180="","",TRIM('01_Master_Data'!AH180&amp;""))</f>
        <v/>
      </c>
      <c r="X180">
        <f>IF(A180="","",IF(OR(LOWER(H180)="refund",LOWER(U180)="refund case"),"Refund",IF(OR(LOWER(H180)="dnp",LOWER(U180)="dnp"),"DNP",IF(OR(LOWER(V180)="disbursed",ISNUMBER(SEARCH("Disbursed",W180&amp;""))),"Disbursed",IF(OR(LOWER(V180)="loan proccessed/accepted",ISNUMBER(SEARCH("sanctioned",LOWER(W180&amp;"")))),"Sanctioned",IF(OR(LOWER(V180)="rejected",ISNUMBER(SEARCH("Not eligbile",W180&amp;"")),ISNUMBER(SEARCH("Not eligible",W180&amp;""))),"Rejected",IF(ISNUMBER(SEARCH("Docs Pending",W180&amp;"")),"Documents Pending",IF(AND(LOWER(H180)="yes",LOWER(V180)="ongoing"),"Processing",IF(AND(LOWER(H180)="yes",Q180&gt;0,OR(V180="",LOWER(V180)="not even started")),"Vendor Assigned",IF(AND(LOWER(H180)="yes",LOWER(V180)="not even started"),"Need Loan",IF(LOWER(H180)="yes","Loan Started",IF(LOWER(H180)="not sure","Interested",IF(OR(LOWER(H180)="no",LOWER(V180)="not required"),"Not Required","Unclassified")))))))))))))</f>
        <v/>
      </c>
      <c r="Y180">
        <f>IF(A180="","",IF(OR(X180="Sanctioned",X180="Disbursed",X180="Approved"),"Approved",IF(X180="Rejected","Rejected",IF(OR(X180="Processing",X180="Documents Pending",X180="Vendor Assigned"),"In Progress",IF(X180="Need Loan","Pending Start","—"))))</f>
        <v/>
      </c>
      <c r="Z180">
        <f>IF(A180="","",IF(X180="Disbursed","Disbursed",IF(X180="Sanctioned","Sanctioned - Awaiting Disbursement","Not Disbursed")))</f>
        <v/>
      </c>
      <c r="AA180">
        <f>IF(A180="","",IF(LOWER(TRIM('01_Master_Data'!AI180&amp;""))="yes","Need FLDG",IF(LOWER(TRIM('01_Master_Data'!AK180&amp;""))="yes","Need Vidyalakshmi",IF(LOWER(TRIM('01_Master_Data'!AJ180&amp;""))="yes","Need Review",IF(LOWER(J180)="critical","Critical",IF(LOWER(U180)="risk","Risk Case",IF(X180="Refund","Refund","Normal")))))))</f>
        <v/>
      </c>
      <c r="AB180">
        <f>IF(A180="","",IF(OR(LOWER(J180)="critical",LOWER(TRIM('01_Master_Data'!AI180&amp;""))="yes",LOWER(TRIM('01_Master_Data'!AK180&amp;""))="yes",LOWER(U180)="risk"),"Yes","No"))</f>
        <v/>
      </c>
      <c r="AC180">
        <f>IF(A180="","",IF(LOWER(TRIM('01_Master_Data'!AI180&amp;""))="yes","Yes","No"))</f>
        <v/>
      </c>
      <c r="AD180">
        <f>IF(A180="","",IF(LOWER(TRIM('01_Master_Data'!AK180&amp;""))="yes","Yes","No"))</f>
        <v/>
      </c>
      <c r="AE180">
        <f>IF(A180="","",IF(LOWER(TRIM('01_Master_Data'!AJ180&amp;""))="yes","Yes","No"))</f>
        <v/>
      </c>
      <c r="AF180">
        <f>IF(A180="","",TRIM('01_Master_Data'!AL180&amp;""))</f>
        <v/>
      </c>
      <c r="AG180">
        <f>IF(A180="","",IF(AF180="","—",IF(ISNUMBER(SEARCH("DNP",AF180)),"Unreachable / DNP",IF(ISNUMBER(SEARCH("interest",LOWER(AF180))),"High Interest / Terms",IF(OR(ISNUMBER(SEARCH("eligib",LOWER(AF180))),ISNUMBER(SEARCH("income",LOWER(AF180)))),"Eligibility / Income",IF(OR(ISNUMBER(SEARCH("start",LOWER(AF180))),ISNUMBER(SEARCH("Newer",AF180)),ISNUMBER(SEARCH("Will start",AF180))),"Process Yet to Start",IF(ISNUMBER(SEARCH("sure",LOWER(AF180))),"Undecided",IF(OR(ISNUMBER(SEARCH("reject",LOWER(AF180))),ISNUMBER(SEARCH("SBI",AF180))),"Rejected Elsewhere",IF(ISNUMBER(SEARCH("call",LOWER(AF180))),"Bank Communication",IF(OR(ISNUMBER(SEARCH("father",LOWER(AF180))),ISNUMBER(SEARCH("sister",LOWER(AF180)))),"Family / Dependency","Other"))))))))))</f>
        <v/>
      </c>
      <c r="AH180">
        <f>IF(A180="","",'01_Master_Data'!AC180)</f>
        <v/>
      </c>
      <c r="AI180">
        <f>IF(A180="","",IF(OR(AH180="",NOT(ISNUMBER(AH180))),"",MAX(0,'02_Configuration'!$B$82-AH180)))</f>
        <v/>
      </c>
      <c r="AJ180">
        <f>IF(A180="","",IF(AI180="","Unknown",IF(AI180&lt;=3,"0–3 Days",IF(AI180&lt;=7,"4–7 Days",IF(AI180&lt;=15,"8–15 Days",IF(AI180&lt;=30,"16–30 Days","30+ Days"))))))</f>
        <v/>
      </c>
      <c r="AK180">
        <f>IF(A180="","",IF(LOWER(H180)="yes","Yes","No"))</f>
        <v/>
      </c>
      <c r="AL180">
        <f>IF(A180="","",'01_Master_Data'!T180)</f>
        <v/>
      </c>
      <c r="AM180">
        <f>IF(A180="","",'01_Master_Data'!S180)</f>
        <v/>
      </c>
      <c r="AN180">
        <f>IF(A180="","",'01_Master_Data'!I180)</f>
        <v/>
      </c>
      <c r="AO180">
        <f>IF(A180="","",'01_Master_Data'!M180)</f>
        <v/>
      </c>
      <c r="AP180">
        <f>IF(A180="","",IF(ISNUMBER(SEARCH("Icici",W180&amp;"")),1,0))</f>
        <v/>
      </c>
      <c r="AQ180">
        <f>IF(A180="","",IF(ISNUMBER(SEARCH("Propelld",W180&amp;"")),1,0))</f>
        <v/>
      </c>
      <c r="AR180">
        <f>IF(A180="","",IF(ISNUMBER(SEARCH("GyanDhan",W180&amp;"")),1,0))</f>
        <v/>
      </c>
      <c r="AS180">
        <f>IF(A180="","",IF(ISNUMBER(SEARCH("vidyalakshmi",LOWER(W180&amp;""))),1,0))</f>
        <v/>
      </c>
      <c r="AT180">
        <f>IF(A180="","",IF(ISNUMBER(SEARCH("other bank",LOWER(W180&amp;""))),1,0))</f>
        <v/>
      </c>
      <c r="AU180">
        <f>IF(A180="","",IF(ISNUMBER(SEARCH("sanctioned",LOWER(W180&amp;""))),1,0))</f>
        <v/>
      </c>
      <c r="AV180">
        <f>IF(A180="","",IF(ISNUMBER(SEARCH("Docs Pending",W180&amp;"")),1,0))</f>
        <v/>
      </c>
      <c r="AW180">
        <f>IF(A180="","",IF(OR(X180="Rejected",ISNUMBER(SEARCH("Not eligbile",W180&amp;""))),1,0))</f>
        <v/>
      </c>
    </row>
    <row r="181">
      <c r="A181">
        <f>IF('01_Master_Data'!B181="","",180)</f>
        <v/>
      </c>
      <c r="B181">
        <f>IF('01_Master_Data'!B181="","",IF('01_Master_Data'!C181&lt;&gt;"","MOB|"&amp;TEXT('01_Master_Data'!C181,"0"),IF('01_Master_Data'!D181&lt;&gt;"","PID|"&amp;TRIM('01_Master_Data'!D181&amp;""),"")))</f>
        <v/>
      </c>
      <c r="C181">
        <f>IF('01_Master_Data'!B181="","",'01_Master_Data'!B181)</f>
        <v/>
      </c>
      <c r="D181">
        <f>IF('01_Master_Data'!B181="","",'01_Master_Data'!C181)</f>
        <v/>
      </c>
      <c r="E181">
        <f>IF('01_Master_Data'!B181="","",'01_Master_Data'!D181)</f>
        <v/>
      </c>
      <c r="F181">
        <f>IF('01_Master_Data'!B181="","",'01_Master_Data'!E181)</f>
        <v/>
      </c>
      <c r="G181">
        <f>IF('01_Master_Data'!B181="","",IFERROR(VLOOKUP(TRIM('01_Master_Data'!E181&amp;""),'02_Configuration'!$A$40:$B$44,2,FALSE),UPPER(TRIM('01_Master_Data'!E181&amp;""))))</f>
        <v/>
      </c>
      <c r="H181">
        <f>IF('01_Master_Data'!B181="","",IF('01_Master_Data'!U181="","",TRIM('01_Master_Data'!U181&amp;"")))</f>
        <v/>
      </c>
      <c r="I181">
        <f>IF('01_Master_Data'!B181="","",TRIM('01_Master_Data'!F181&amp;""))</f>
        <v/>
      </c>
      <c r="J181">
        <f>IF('01_Master_Data'!B181="","",TRIM('01_Master_Data'!G181&amp;""))</f>
        <v/>
      </c>
      <c r="K181">
        <f>IF('01_Master_Data'!B181="","",'01_Master_Data'!H181)</f>
        <v/>
      </c>
      <c r="L181">
        <f>IF('01_Master_Data'!B181="","",IF(LOWER(TRIM('01_Master_Data'!V181&amp;""))="yes",1,0))</f>
        <v/>
      </c>
      <c r="M181">
        <f>IF('01_Master_Data'!B181="","",IF(LOWER(TRIM('01_Master_Data'!W181&amp;""))="yes",1,0))</f>
        <v/>
      </c>
      <c r="N181">
        <f>IF('01_Master_Data'!B181="","",IF(LOWER(TRIM('01_Master_Data'!X181&amp;""))="yes",1,0))</f>
        <v/>
      </c>
      <c r="O181">
        <f>IF('01_Master_Data'!B181="","",IF(LOWER(TRIM('01_Master_Data'!Y181&amp;""))="yes",1,0))</f>
        <v/>
      </c>
      <c r="P181">
        <f>IF('01_Master_Data'!B181="","",IF(LOWER(TRIM('01_Master_Data'!Z181&amp;""))="yes",1,0))</f>
        <v/>
      </c>
      <c r="Q181">
        <f>IF(A181="","",L181+M181+N181+O181+P181)</f>
        <v/>
      </c>
      <c r="R181">
        <f>IF(A181="","",IF(Q181&gt;1,"Yes","No"))</f>
        <v/>
      </c>
      <c r="S181">
        <f>IF(A181="","",TEXTJOIN(", ",TRUE,IF(L181=1,"ICICI",""),IF(M181=1,"Propelld",""),IF(N181=1,"Study4Buddy",""),IF(O181=1,"Poonawala Fincorp",""),IF(P181=1,"GyanDhan","")))</f>
        <v/>
      </c>
      <c r="T181">
        <f>IF(A181="","",IF(L181=1,"ICICI",IF(M181=1,"Propelld",IF(P181=1,"GyanDhan",IF(N181=1,"Study4Buddy",IF(O181=1,"Poonawala Fincorp",IF(ISNUMBER(SEARCH("GyanDhan",W181&amp;"")),"GyanDhan",IF(ISNUMBER(SEARCH("Icici",W181&amp;"")),"ICICI",IF(ISNUMBER(SEARCH("Propelld",W181&amp;"")),"Propelld",IF(ISNUMBER(SEARCH("vidyalakshmi",LOWER(W181&amp;"")),"PM Vidyalakshmi","—"))))))))))</f>
        <v/>
      </c>
      <c r="U181">
        <f>IF(A181="","",TRIM('01_Master_Data'!AA181&amp;""))</f>
        <v/>
      </c>
      <c r="V181">
        <f>IF(A181="","",TRIM('01_Master_Data'!AG181&amp;""))</f>
        <v/>
      </c>
      <c r="W181">
        <f>IF(A181="","",TRIM('01_Master_Data'!AH181&amp;""))</f>
        <v/>
      </c>
      <c r="X181">
        <f>IF(A181="","",IF(OR(LOWER(H181)="refund",LOWER(U181)="refund case"),"Refund",IF(OR(LOWER(H181)="dnp",LOWER(U181)="dnp"),"DNP",IF(OR(LOWER(V181)="disbursed",ISNUMBER(SEARCH("Disbursed",W181&amp;""))),"Disbursed",IF(OR(LOWER(V181)="loan proccessed/accepted",ISNUMBER(SEARCH("sanctioned",LOWER(W181&amp;"")))),"Sanctioned",IF(OR(LOWER(V181)="rejected",ISNUMBER(SEARCH("Not eligbile",W181&amp;"")),ISNUMBER(SEARCH("Not eligible",W181&amp;""))),"Rejected",IF(ISNUMBER(SEARCH("Docs Pending",W181&amp;"")),"Documents Pending",IF(AND(LOWER(H181)="yes",LOWER(V181)="ongoing"),"Processing",IF(AND(LOWER(H181)="yes",Q181&gt;0,OR(V181="",LOWER(V181)="not even started")),"Vendor Assigned",IF(AND(LOWER(H181)="yes",LOWER(V181)="not even started"),"Need Loan",IF(LOWER(H181)="yes","Loan Started",IF(LOWER(H181)="not sure","Interested",IF(OR(LOWER(H181)="no",LOWER(V181)="not required"),"Not Required","Unclassified")))))))))))))</f>
        <v/>
      </c>
      <c r="Y181">
        <f>IF(A181="","",IF(OR(X181="Sanctioned",X181="Disbursed",X181="Approved"),"Approved",IF(X181="Rejected","Rejected",IF(OR(X181="Processing",X181="Documents Pending",X181="Vendor Assigned"),"In Progress",IF(X181="Need Loan","Pending Start","—"))))</f>
        <v/>
      </c>
      <c r="Z181">
        <f>IF(A181="","",IF(X181="Disbursed","Disbursed",IF(X181="Sanctioned","Sanctioned - Awaiting Disbursement","Not Disbursed")))</f>
        <v/>
      </c>
      <c r="AA181">
        <f>IF(A181="","",IF(LOWER(TRIM('01_Master_Data'!AI181&amp;""))="yes","Need FLDG",IF(LOWER(TRIM('01_Master_Data'!AK181&amp;""))="yes","Need Vidyalakshmi",IF(LOWER(TRIM('01_Master_Data'!AJ181&amp;""))="yes","Need Review",IF(LOWER(J181)="critical","Critical",IF(LOWER(U181)="risk","Risk Case",IF(X181="Refund","Refund","Normal")))))))</f>
        <v/>
      </c>
      <c r="AB181">
        <f>IF(A181="","",IF(OR(LOWER(J181)="critical",LOWER(TRIM('01_Master_Data'!AI181&amp;""))="yes",LOWER(TRIM('01_Master_Data'!AK181&amp;""))="yes",LOWER(U181)="risk"),"Yes","No"))</f>
        <v/>
      </c>
      <c r="AC181">
        <f>IF(A181="","",IF(LOWER(TRIM('01_Master_Data'!AI181&amp;""))="yes","Yes","No"))</f>
        <v/>
      </c>
      <c r="AD181">
        <f>IF(A181="","",IF(LOWER(TRIM('01_Master_Data'!AK181&amp;""))="yes","Yes","No"))</f>
        <v/>
      </c>
      <c r="AE181">
        <f>IF(A181="","",IF(LOWER(TRIM('01_Master_Data'!AJ181&amp;""))="yes","Yes","No"))</f>
        <v/>
      </c>
      <c r="AF181">
        <f>IF(A181="","",TRIM('01_Master_Data'!AL181&amp;""))</f>
        <v/>
      </c>
      <c r="AG181">
        <f>IF(A181="","",IF(AF181="","—",IF(ISNUMBER(SEARCH("DNP",AF181)),"Unreachable / DNP",IF(ISNUMBER(SEARCH("interest",LOWER(AF181))),"High Interest / Terms",IF(OR(ISNUMBER(SEARCH("eligib",LOWER(AF181))),ISNUMBER(SEARCH("income",LOWER(AF181)))),"Eligibility / Income",IF(OR(ISNUMBER(SEARCH("start",LOWER(AF181))),ISNUMBER(SEARCH("Newer",AF181)),ISNUMBER(SEARCH("Will start",AF181))),"Process Yet to Start",IF(ISNUMBER(SEARCH("sure",LOWER(AF181))),"Undecided",IF(OR(ISNUMBER(SEARCH("reject",LOWER(AF181))),ISNUMBER(SEARCH("SBI",AF181))),"Rejected Elsewhere",IF(ISNUMBER(SEARCH("call",LOWER(AF181))),"Bank Communication",IF(OR(ISNUMBER(SEARCH("father",LOWER(AF181))),ISNUMBER(SEARCH("sister",LOWER(AF181)))),"Family / Dependency","Other"))))))))))</f>
        <v/>
      </c>
      <c r="AH181">
        <f>IF(A181="","",'01_Master_Data'!AC181)</f>
        <v/>
      </c>
      <c r="AI181">
        <f>IF(A181="","",IF(OR(AH181="",NOT(ISNUMBER(AH181))),"",MAX(0,'02_Configuration'!$B$82-AH181)))</f>
        <v/>
      </c>
      <c r="AJ181">
        <f>IF(A181="","",IF(AI181="","Unknown",IF(AI181&lt;=3,"0–3 Days",IF(AI181&lt;=7,"4–7 Days",IF(AI181&lt;=15,"8–15 Days",IF(AI181&lt;=30,"16–30 Days","30+ Days"))))))</f>
        <v/>
      </c>
      <c r="AK181">
        <f>IF(A181="","",IF(LOWER(H181)="yes","Yes","No"))</f>
        <v/>
      </c>
      <c r="AL181">
        <f>IF(A181="","",'01_Master_Data'!T181)</f>
        <v/>
      </c>
      <c r="AM181">
        <f>IF(A181="","",'01_Master_Data'!S181)</f>
        <v/>
      </c>
      <c r="AN181">
        <f>IF(A181="","",'01_Master_Data'!I181)</f>
        <v/>
      </c>
      <c r="AO181">
        <f>IF(A181="","",'01_Master_Data'!M181)</f>
        <v/>
      </c>
      <c r="AP181">
        <f>IF(A181="","",IF(ISNUMBER(SEARCH("Icici",W181&amp;"")),1,0))</f>
        <v/>
      </c>
      <c r="AQ181">
        <f>IF(A181="","",IF(ISNUMBER(SEARCH("Propelld",W181&amp;"")),1,0))</f>
        <v/>
      </c>
      <c r="AR181">
        <f>IF(A181="","",IF(ISNUMBER(SEARCH("GyanDhan",W181&amp;"")),1,0))</f>
        <v/>
      </c>
      <c r="AS181">
        <f>IF(A181="","",IF(ISNUMBER(SEARCH("vidyalakshmi",LOWER(W181&amp;""))),1,0))</f>
        <v/>
      </c>
      <c r="AT181">
        <f>IF(A181="","",IF(ISNUMBER(SEARCH("other bank",LOWER(W181&amp;""))),1,0))</f>
        <v/>
      </c>
      <c r="AU181">
        <f>IF(A181="","",IF(ISNUMBER(SEARCH("sanctioned",LOWER(W181&amp;""))),1,0))</f>
        <v/>
      </c>
      <c r="AV181">
        <f>IF(A181="","",IF(ISNUMBER(SEARCH("Docs Pending",W181&amp;"")),1,0))</f>
        <v/>
      </c>
      <c r="AW181">
        <f>IF(A181="","",IF(OR(X181="Rejected",ISNUMBER(SEARCH("Not eligbile",W181&amp;""))),1,0))</f>
        <v/>
      </c>
    </row>
    <row r="182">
      <c r="A182">
        <f>IF('01_Master_Data'!B182="","",181)</f>
        <v/>
      </c>
      <c r="B182">
        <f>IF('01_Master_Data'!B182="","",IF('01_Master_Data'!C182&lt;&gt;"","MOB|"&amp;TEXT('01_Master_Data'!C182,"0"),IF('01_Master_Data'!D182&lt;&gt;"","PID|"&amp;TRIM('01_Master_Data'!D182&amp;""),"")))</f>
        <v/>
      </c>
      <c r="C182">
        <f>IF('01_Master_Data'!B182="","",'01_Master_Data'!B182)</f>
        <v/>
      </c>
      <c r="D182">
        <f>IF('01_Master_Data'!B182="","",'01_Master_Data'!C182)</f>
        <v/>
      </c>
      <c r="E182">
        <f>IF('01_Master_Data'!B182="","",'01_Master_Data'!D182)</f>
        <v/>
      </c>
      <c r="F182">
        <f>IF('01_Master_Data'!B182="","",'01_Master_Data'!E182)</f>
        <v/>
      </c>
      <c r="G182">
        <f>IF('01_Master_Data'!B182="","",IFERROR(VLOOKUP(TRIM('01_Master_Data'!E182&amp;""),'02_Configuration'!$A$40:$B$44,2,FALSE),UPPER(TRIM('01_Master_Data'!E182&amp;""))))</f>
        <v/>
      </c>
      <c r="H182">
        <f>IF('01_Master_Data'!B182="","",IF('01_Master_Data'!U182="","",TRIM('01_Master_Data'!U182&amp;"")))</f>
        <v/>
      </c>
      <c r="I182">
        <f>IF('01_Master_Data'!B182="","",TRIM('01_Master_Data'!F182&amp;""))</f>
        <v/>
      </c>
      <c r="J182">
        <f>IF('01_Master_Data'!B182="","",TRIM('01_Master_Data'!G182&amp;""))</f>
        <v/>
      </c>
      <c r="K182">
        <f>IF('01_Master_Data'!B182="","",'01_Master_Data'!H182)</f>
        <v/>
      </c>
      <c r="L182">
        <f>IF('01_Master_Data'!B182="","",IF(LOWER(TRIM('01_Master_Data'!V182&amp;""))="yes",1,0))</f>
        <v/>
      </c>
      <c r="M182">
        <f>IF('01_Master_Data'!B182="","",IF(LOWER(TRIM('01_Master_Data'!W182&amp;""))="yes",1,0))</f>
        <v/>
      </c>
      <c r="N182">
        <f>IF('01_Master_Data'!B182="","",IF(LOWER(TRIM('01_Master_Data'!X182&amp;""))="yes",1,0))</f>
        <v/>
      </c>
      <c r="O182">
        <f>IF('01_Master_Data'!B182="","",IF(LOWER(TRIM('01_Master_Data'!Y182&amp;""))="yes",1,0))</f>
        <v/>
      </c>
      <c r="P182">
        <f>IF('01_Master_Data'!B182="","",IF(LOWER(TRIM('01_Master_Data'!Z182&amp;""))="yes",1,0))</f>
        <v/>
      </c>
      <c r="Q182">
        <f>IF(A182="","",L182+M182+N182+O182+P182)</f>
        <v/>
      </c>
      <c r="R182">
        <f>IF(A182="","",IF(Q182&gt;1,"Yes","No"))</f>
        <v/>
      </c>
      <c r="S182">
        <f>IF(A182="","",TEXTJOIN(", ",TRUE,IF(L182=1,"ICICI",""),IF(M182=1,"Propelld",""),IF(N182=1,"Study4Buddy",""),IF(O182=1,"Poonawala Fincorp",""),IF(P182=1,"GyanDhan","")))</f>
        <v/>
      </c>
      <c r="T182">
        <f>IF(A182="","",IF(L182=1,"ICICI",IF(M182=1,"Propelld",IF(P182=1,"GyanDhan",IF(N182=1,"Study4Buddy",IF(O182=1,"Poonawala Fincorp",IF(ISNUMBER(SEARCH("GyanDhan",W182&amp;"")),"GyanDhan",IF(ISNUMBER(SEARCH("Icici",W182&amp;"")),"ICICI",IF(ISNUMBER(SEARCH("Propelld",W182&amp;"")),"Propelld",IF(ISNUMBER(SEARCH("vidyalakshmi",LOWER(W182&amp;"")),"PM Vidyalakshmi","—"))))))))))</f>
        <v/>
      </c>
      <c r="U182">
        <f>IF(A182="","",TRIM('01_Master_Data'!AA182&amp;""))</f>
        <v/>
      </c>
      <c r="V182">
        <f>IF(A182="","",TRIM('01_Master_Data'!AG182&amp;""))</f>
        <v/>
      </c>
      <c r="W182">
        <f>IF(A182="","",TRIM('01_Master_Data'!AH182&amp;""))</f>
        <v/>
      </c>
      <c r="X182">
        <f>IF(A182="","",IF(OR(LOWER(H182)="refund",LOWER(U182)="refund case"),"Refund",IF(OR(LOWER(H182)="dnp",LOWER(U182)="dnp"),"DNP",IF(OR(LOWER(V182)="disbursed",ISNUMBER(SEARCH("Disbursed",W182&amp;""))),"Disbursed",IF(OR(LOWER(V182)="loan proccessed/accepted",ISNUMBER(SEARCH("sanctioned",LOWER(W182&amp;"")))),"Sanctioned",IF(OR(LOWER(V182)="rejected",ISNUMBER(SEARCH("Not eligbile",W182&amp;"")),ISNUMBER(SEARCH("Not eligible",W182&amp;""))),"Rejected",IF(ISNUMBER(SEARCH("Docs Pending",W182&amp;"")),"Documents Pending",IF(AND(LOWER(H182)="yes",LOWER(V182)="ongoing"),"Processing",IF(AND(LOWER(H182)="yes",Q182&gt;0,OR(V182="",LOWER(V182)="not even started")),"Vendor Assigned",IF(AND(LOWER(H182)="yes",LOWER(V182)="not even started"),"Need Loan",IF(LOWER(H182)="yes","Loan Started",IF(LOWER(H182)="not sure","Interested",IF(OR(LOWER(H182)="no",LOWER(V182)="not required"),"Not Required","Unclassified")))))))))))))</f>
        <v/>
      </c>
      <c r="Y182">
        <f>IF(A182="","",IF(OR(X182="Sanctioned",X182="Disbursed",X182="Approved"),"Approved",IF(X182="Rejected","Rejected",IF(OR(X182="Processing",X182="Documents Pending",X182="Vendor Assigned"),"In Progress",IF(X182="Need Loan","Pending Start","—"))))</f>
        <v/>
      </c>
      <c r="Z182">
        <f>IF(A182="","",IF(X182="Disbursed","Disbursed",IF(X182="Sanctioned","Sanctioned - Awaiting Disbursement","Not Disbursed")))</f>
        <v/>
      </c>
      <c r="AA182">
        <f>IF(A182="","",IF(LOWER(TRIM('01_Master_Data'!AI182&amp;""))="yes","Need FLDG",IF(LOWER(TRIM('01_Master_Data'!AK182&amp;""))="yes","Need Vidyalakshmi",IF(LOWER(TRIM('01_Master_Data'!AJ182&amp;""))="yes","Need Review",IF(LOWER(J182)="critical","Critical",IF(LOWER(U182)="risk","Risk Case",IF(X182="Refund","Refund","Normal")))))))</f>
        <v/>
      </c>
      <c r="AB182">
        <f>IF(A182="","",IF(OR(LOWER(J182)="critical",LOWER(TRIM('01_Master_Data'!AI182&amp;""))="yes",LOWER(TRIM('01_Master_Data'!AK182&amp;""))="yes",LOWER(U182)="risk"),"Yes","No"))</f>
        <v/>
      </c>
      <c r="AC182">
        <f>IF(A182="","",IF(LOWER(TRIM('01_Master_Data'!AI182&amp;""))="yes","Yes","No"))</f>
        <v/>
      </c>
      <c r="AD182">
        <f>IF(A182="","",IF(LOWER(TRIM('01_Master_Data'!AK182&amp;""))="yes","Yes","No"))</f>
        <v/>
      </c>
      <c r="AE182">
        <f>IF(A182="","",IF(LOWER(TRIM('01_Master_Data'!AJ182&amp;""))="yes","Yes","No"))</f>
        <v/>
      </c>
      <c r="AF182">
        <f>IF(A182="","",TRIM('01_Master_Data'!AL182&amp;""))</f>
        <v/>
      </c>
      <c r="AG182">
        <f>IF(A182="","",IF(AF182="","—",IF(ISNUMBER(SEARCH("DNP",AF182)),"Unreachable / DNP",IF(ISNUMBER(SEARCH("interest",LOWER(AF182))),"High Interest / Terms",IF(OR(ISNUMBER(SEARCH("eligib",LOWER(AF182))),ISNUMBER(SEARCH("income",LOWER(AF182)))),"Eligibility / Income",IF(OR(ISNUMBER(SEARCH("start",LOWER(AF182))),ISNUMBER(SEARCH("Newer",AF182)),ISNUMBER(SEARCH("Will start",AF182))),"Process Yet to Start",IF(ISNUMBER(SEARCH("sure",LOWER(AF182))),"Undecided",IF(OR(ISNUMBER(SEARCH("reject",LOWER(AF182))),ISNUMBER(SEARCH("SBI",AF182))),"Rejected Elsewhere",IF(ISNUMBER(SEARCH("call",LOWER(AF182))),"Bank Communication",IF(OR(ISNUMBER(SEARCH("father",LOWER(AF182))),ISNUMBER(SEARCH("sister",LOWER(AF182)))),"Family / Dependency","Other"))))))))))</f>
        <v/>
      </c>
      <c r="AH182">
        <f>IF(A182="","",'01_Master_Data'!AC182)</f>
        <v/>
      </c>
      <c r="AI182">
        <f>IF(A182="","",IF(OR(AH182="",NOT(ISNUMBER(AH182))),"",MAX(0,'02_Configuration'!$B$82-AH182)))</f>
        <v/>
      </c>
      <c r="AJ182">
        <f>IF(A182="","",IF(AI182="","Unknown",IF(AI182&lt;=3,"0–3 Days",IF(AI182&lt;=7,"4–7 Days",IF(AI182&lt;=15,"8–15 Days",IF(AI182&lt;=30,"16–30 Days","30+ Days"))))))</f>
        <v/>
      </c>
      <c r="AK182">
        <f>IF(A182="","",IF(LOWER(H182)="yes","Yes","No"))</f>
        <v/>
      </c>
      <c r="AL182">
        <f>IF(A182="","",'01_Master_Data'!T182)</f>
        <v/>
      </c>
      <c r="AM182">
        <f>IF(A182="","",'01_Master_Data'!S182)</f>
        <v/>
      </c>
      <c r="AN182">
        <f>IF(A182="","",'01_Master_Data'!I182)</f>
        <v/>
      </c>
      <c r="AO182">
        <f>IF(A182="","",'01_Master_Data'!M182)</f>
        <v/>
      </c>
      <c r="AP182">
        <f>IF(A182="","",IF(ISNUMBER(SEARCH("Icici",W182&amp;"")),1,0))</f>
        <v/>
      </c>
      <c r="AQ182">
        <f>IF(A182="","",IF(ISNUMBER(SEARCH("Propelld",W182&amp;"")),1,0))</f>
        <v/>
      </c>
      <c r="AR182">
        <f>IF(A182="","",IF(ISNUMBER(SEARCH("GyanDhan",W182&amp;"")),1,0))</f>
        <v/>
      </c>
      <c r="AS182">
        <f>IF(A182="","",IF(ISNUMBER(SEARCH("vidyalakshmi",LOWER(W182&amp;""))),1,0))</f>
        <v/>
      </c>
      <c r="AT182">
        <f>IF(A182="","",IF(ISNUMBER(SEARCH("other bank",LOWER(W182&amp;""))),1,0))</f>
        <v/>
      </c>
      <c r="AU182">
        <f>IF(A182="","",IF(ISNUMBER(SEARCH("sanctioned",LOWER(W182&amp;""))),1,0))</f>
        <v/>
      </c>
      <c r="AV182">
        <f>IF(A182="","",IF(ISNUMBER(SEARCH("Docs Pending",W182&amp;"")),1,0))</f>
        <v/>
      </c>
      <c r="AW182">
        <f>IF(A182="","",IF(OR(X182="Rejected",ISNUMBER(SEARCH("Not eligbile",W182&amp;""))),1,0))</f>
        <v/>
      </c>
    </row>
    <row r="183">
      <c r="A183">
        <f>IF('01_Master_Data'!B183="","",182)</f>
        <v/>
      </c>
      <c r="B183">
        <f>IF('01_Master_Data'!B183="","",IF('01_Master_Data'!C183&lt;&gt;"","MOB|"&amp;TEXT('01_Master_Data'!C183,"0"),IF('01_Master_Data'!D183&lt;&gt;"","PID|"&amp;TRIM('01_Master_Data'!D183&amp;""),"")))</f>
        <v/>
      </c>
      <c r="C183">
        <f>IF('01_Master_Data'!B183="","",'01_Master_Data'!B183)</f>
        <v/>
      </c>
      <c r="D183">
        <f>IF('01_Master_Data'!B183="","",'01_Master_Data'!C183)</f>
        <v/>
      </c>
      <c r="E183">
        <f>IF('01_Master_Data'!B183="","",'01_Master_Data'!D183)</f>
        <v/>
      </c>
      <c r="F183">
        <f>IF('01_Master_Data'!B183="","",'01_Master_Data'!E183)</f>
        <v/>
      </c>
      <c r="G183">
        <f>IF('01_Master_Data'!B183="","",IFERROR(VLOOKUP(TRIM('01_Master_Data'!E183&amp;""),'02_Configuration'!$A$40:$B$44,2,FALSE),UPPER(TRIM('01_Master_Data'!E183&amp;""))))</f>
        <v/>
      </c>
      <c r="H183">
        <f>IF('01_Master_Data'!B183="","",IF('01_Master_Data'!U183="","",TRIM('01_Master_Data'!U183&amp;"")))</f>
        <v/>
      </c>
      <c r="I183">
        <f>IF('01_Master_Data'!B183="","",TRIM('01_Master_Data'!F183&amp;""))</f>
        <v/>
      </c>
      <c r="J183">
        <f>IF('01_Master_Data'!B183="","",TRIM('01_Master_Data'!G183&amp;""))</f>
        <v/>
      </c>
      <c r="K183">
        <f>IF('01_Master_Data'!B183="","",'01_Master_Data'!H183)</f>
        <v/>
      </c>
      <c r="L183">
        <f>IF('01_Master_Data'!B183="","",IF(LOWER(TRIM('01_Master_Data'!V183&amp;""))="yes",1,0))</f>
        <v/>
      </c>
      <c r="M183">
        <f>IF('01_Master_Data'!B183="","",IF(LOWER(TRIM('01_Master_Data'!W183&amp;""))="yes",1,0))</f>
        <v/>
      </c>
      <c r="N183">
        <f>IF('01_Master_Data'!B183="","",IF(LOWER(TRIM('01_Master_Data'!X183&amp;""))="yes",1,0))</f>
        <v/>
      </c>
      <c r="O183">
        <f>IF('01_Master_Data'!B183="","",IF(LOWER(TRIM('01_Master_Data'!Y183&amp;""))="yes",1,0))</f>
        <v/>
      </c>
      <c r="P183">
        <f>IF('01_Master_Data'!B183="","",IF(LOWER(TRIM('01_Master_Data'!Z183&amp;""))="yes",1,0))</f>
        <v/>
      </c>
      <c r="Q183">
        <f>IF(A183="","",L183+M183+N183+O183+P183)</f>
        <v/>
      </c>
      <c r="R183">
        <f>IF(A183="","",IF(Q183&gt;1,"Yes","No"))</f>
        <v/>
      </c>
      <c r="S183">
        <f>IF(A183="","",TEXTJOIN(", ",TRUE,IF(L183=1,"ICICI",""),IF(M183=1,"Propelld",""),IF(N183=1,"Study4Buddy",""),IF(O183=1,"Poonawala Fincorp",""),IF(P183=1,"GyanDhan","")))</f>
        <v/>
      </c>
      <c r="T183">
        <f>IF(A183="","",IF(L183=1,"ICICI",IF(M183=1,"Propelld",IF(P183=1,"GyanDhan",IF(N183=1,"Study4Buddy",IF(O183=1,"Poonawala Fincorp",IF(ISNUMBER(SEARCH("GyanDhan",W183&amp;"")),"GyanDhan",IF(ISNUMBER(SEARCH("Icici",W183&amp;"")),"ICICI",IF(ISNUMBER(SEARCH("Propelld",W183&amp;"")),"Propelld",IF(ISNUMBER(SEARCH("vidyalakshmi",LOWER(W183&amp;"")),"PM Vidyalakshmi","—"))))))))))</f>
        <v/>
      </c>
      <c r="U183">
        <f>IF(A183="","",TRIM('01_Master_Data'!AA183&amp;""))</f>
        <v/>
      </c>
      <c r="V183">
        <f>IF(A183="","",TRIM('01_Master_Data'!AG183&amp;""))</f>
        <v/>
      </c>
      <c r="W183">
        <f>IF(A183="","",TRIM('01_Master_Data'!AH183&amp;""))</f>
        <v/>
      </c>
      <c r="X183">
        <f>IF(A183="","",IF(OR(LOWER(H183)="refund",LOWER(U183)="refund case"),"Refund",IF(OR(LOWER(H183)="dnp",LOWER(U183)="dnp"),"DNP",IF(OR(LOWER(V183)="disbursed",ISNUMBER(SEARCH("Disbursed",W183&amp;""))),"Disbursed",IF(OR(LOWER(V183)="loan proccessed/accepted",ISNUMBER(SEARCH("sanctioned",LOWER(W183&amp;"")))),"Sanctioned",IF(OR(LOWER(V183)="rejected",ISNUMBER(SEARCH("Not eligbile",W183&amp;"")),ISNUMBER(SEARCH("Not eligible",W183&amp;""))),"Rejected",IF(ISNUMBER(SEARCH("Docs Pending",W183&amp;"")),"Documents Pending",IF(AND(LOWER(H183)="yes",LOWER(V183)="ongoing"),"Processing",IF(AND(LOWER(H183)="yes",Q183&gt;0,OR(V183="",LOWER(V183)="not even started")),"Vendor Assigned",IF(AND(LOWER(H183)="yes",LOWER(V183)="not even started"),"Need Loan",IF(LOWER(H183)="yes","Loan Started",IF(LOWER(H183)="not sure","Interested",IF(OR(LOWER(H183)="no",LOWER(V183)="not required"),"Not Required","Unclassified")))))))))))))</f>
        <v/>
      </c>
      <c r="Y183">
        <f>IF(A183="","",IF(OR(X183="Sanctioned",X183="Disbursed",X183="Approved"),"Approved",IF(X183="Rejected","Rejected",IF(OR(X183="Processing",X183="Documents Pending",X183="Vendor Assigned"),"In Progress",IF(X183="Need Loan","Pending Start","—"))))</f>
        <v/>
      </c>
      <c r="Z183">
        <f>IF(A183="","",IF(X183="Disbursed","Disbursed",IF(X183="Sanctioned","Sanctioned - Awaiting Disbursement","Not Disbursed")))</f>
        <v/>
      </c>
      <c r="AA183">
        <f>IF(A183="","",IF(LOWER(TRIM('01_Master_Data'!AI183&amp;""))="yes","Need FLDG",IF(LOWER(TRIM('01_Master_Data'!AK183&amp;""))="yes","Need Vidyalakshmi",IF(LOWER(TRIM('01_Master_Data'!AJ183&amp;""))="yes","Need Review",IF(LOWER(J183)="critical","Critical",IF(LOWER(U183)="risk","Risk Case",IF(X183="Refund","Refund","Normal")))))))</f>
        <v/>
      </c>
      <c r="AB183">
        <f>IF(A183="","",IF(OR(LOWER(J183)="critical",LOWER(TRIM('01_Master_Data'!AI183&amp;""))="yes",LOWER(TRIM('01_Master_Data'!AK183&amp;""))="yes",LOWER(U183)="risk"),"Yes","No"))</f>
        <v/>
      </c>
      <c r="AC183">
        <f>IF(A183="","",IF(LOWER(TRIM('01_Master_Data'!AI183&amp;""))="yes","Yes","No"))</f>
        <v/>
      </c>
      <c r="AD183">
        <f>IF(A183="","",IF(LOWER(TRIM('01_Master_Data'!AK183&amp;""))="yes","Yes","No"))</f>
        <v/>
      </c>
      <c r="AE183">
        <f>IF(A183="","",IF(LOWER(TRIM('01_Master_Data'!AJ183&amp;""))="yes","Yes","No"))</f>
        <v/>
      </c>
      <c r="AF183">
        <f>IF(A183="","",TRIM('01_Master_Data'!AL183&amp;""))</f>
        <v/>
      </c>
      <c r="AG183">
        <f>IF(A183="","",IF(AF183="","—",IF(ISNUMBER(SEARCH("DNP",AF183)),"Unreachable / DNP",IF(ISNUMBER(SEARCH("interest",LOWER(AF183))),"High Interest / Terms",IF(OR(ISNUMBER(SEARCH("eligib",LOWER(AF183))),ISNUMBER(SEARCH("income",LOWER(AF183)))),"Eligibility / Income",IF(OR(ISNUMBER(SEARCH("start",LOWER(AF183))),ISNUMBER(SEARCH("Newer",AF183)),ISNUMBER(SEARCH("Will start",AF183))),"Process Yet to Start",IF(ISNUMBER(SEARCH("sure",LOWER(AF183))),"Undecided",IF(OR(ISNUMBER(SEARCH("reject",LOWER(AF183))),ISNUMBER(SEARCH("SBI",AF183))),"Rejected Elsewhere",IF(ISNUMBER(SEARCH("call",LOWER(AF183))),"Bank Communication",IF(OR(ISNUMBER(SEARCH("father",LOWER(AF183))),ISNUMBER(SEARCH("sister",LOWER(AF183)))),"Family / Dependency","Other"))))))))))</f>
        <v/>
      </c>
      <c r="AH183">
        <f>IF(A183="","",'01_Master_Data'!AC183)</f>
        <v/>
      </c>
      <c r="AI183">
        <f>IF(A183="","",IF(OR(AH183="",NOT(ISNUMBER(AH183))),"",MAX(0,'02_Configuration'!$B$82-AH183)))</f>
        <v/>
      </c>
      <c r="AJ183">
        <f>IF(A183="","",IF(AI183="","Unknown",IF(AI183&lt;=3,"0–3 Days",IF(AI183&lt;=7,"4–7 Days",IF(AI183&lt;=15,"8–15 Days",IF(AI183&lt;=30,"16–30 Days","30+ Days"))))))</f>
        <v/>
      </c>
      <c r="AK183">
        <f>IF(A183="","",IF(LOWER(H183)="yes","Yes","No"))</f>
        <v/>
      </c>
      <c r="AL183">
        <f>IF(A183="","",'01_Master_Data'!T183)</f>
        <v/>
      </c>
      <c r="AM183">
        <f>IF(A183="","",'01_Master_Data'!S183)</f>
        <v/>
      </c>
      <c r="AN183">
        <f>IF(A183="","",'01_Master_Data'!I183)</f>
        <v/>
      </c>
      <c r="AO183">
        <f>IF(A183="","",'01_Master_Data'!M183)</f>
        <v/>
      </c>
      <c r="AP183">
        <f>IF(A183="","",IF(ISNUMBER(SEARCH("Icici",W183&amp;"")),1,0))</f>
        <v/>
      </c>
      <c r="AQ183">
        <f>IF(A183="","",IF(ISNUMBER(SEARCH("Propelld",W183&amp;"")),1,0))</f>
        <v/>
      </c>
      <c r="AR183">
        <f>IF(A183="","",IF(ISNUMBER(SEARCH("GyanDhan",W183&amp;"")),1,0))</f>
        <v/>
      </c>
      <c r="AS183">
        <f>IF(A183="","",IF(ISNUMBER(SEARCH("vidyalakshmi",LOWER(W183&amp;""))),1,0))</f>
        <v/>
      </c>
      <c r="AT183">
        <f>IF(A183="","",IF(ISNUMBER(SEARCH("other bank",LOWER(W183&amp;""))),1,0))</f>
        <v/>
      </c>
      <c r="AU183">
        <f>IF(A183="","",IF(ISNUMBER(SEARCH("sanctioned",LOWER(W183&amp;""))),1,0))</f>
        <v/>
      </c>
      <c r="AV183">
        <f>IF(A183="","",IF(ISNUMBER(SEARCH("Docs Pending",W183&amp;"")),1,0))</f>
        <v/>
      </c>
      <c r="AW183">
        <f>IF(A183="","",IF(OR(X183="Rejected",ISNUMBER(SEARCH("Not eligbile",W183&amp;""))),1,0))</f>
        <v/>
      </c>
    </row>
    <row r="184">
      <c r="A184">
        <f>IF('01_Master_Data'!B184="","",183)</f>
        <v/>
      </c>
      <c r="B184">
        <f>IF('01_Master_Data'!B184="","",IF('01_Master_Data'!C184&lt;&gt;"","MOB|"&amp;TEXT('01_Master_Data'!C184,"0"),IF('01_Master_Data'!D184&lt;&gt;"","PID|"&amp;TRIM('01_Master_Data'!D184&amp;""),"")))</f>
        <v/>
      </c>
      <c r="C184">
        <f>IF('01_Master_Data'!B184="","",'01_Master_Data'!B184)</f>
        <v/>
      </c>
      <c r="D184">
        <f>IF('01_Master_Data'!B184="","",'01_Master_Data'!C184)</f>
        <v/>
      </c>
      <c r="E184">
        <f>IF('01_Master_Data'!B184="","",'01_Master_Data'!D184)</f>
        <v/>
      </c>
      <c r="F184">
        <f>IF('01_Master_Data'!B184="","",'01_Master_Data'!E184)</f>
        <v/>
      </c>
      <c r="G184">
        <f>IF('01_Master_Data'!B184="","",IFERROR(VLOOKUP(TRIM('01_Master_Data'!E184&amp;""),'02_Configuration'!$A$40:$B$44,2,FALSE),UPPER(TRIM('01_Master_Data'!E184&amp;""))))</f>
        <v/>
      </c>
      <c r="H184">
        <f>IF('01_Master_Data'!B184="","",IF('01_Master_Data'!U184="","",TRIM('01_Master_Data'!U184&amp;"")))</f>
        <v/>
      </c>
      <c r="I184">
        <f>IF('01_Master_Data'!B184="","",TRIM('01_Master_Data'!F184&amp;""))</f>
        <v/>
      </c>
      <c r="J184">
        <f>IF('01_Master_Data'!B184="","",TRIM('01_Master_Data'!G184&amp;""))</f>
        <v/>
      </c>
      <c r="K184">
        <f>IF('01_Master_Data'!B184="","",'01_Master_Data'!H184)</f>
        <v/>
      </c>
      <c r="L184">
        <f>IF('01_Master_Data'!B184="","",IF(LOWER(TRIM('01_Master_Data'!V184&amp;""))="yes",1,0))</f>
        <v/>
      </c>
      <c r="M184">
        <f>IF('01_Master_Data'!B184="","",IF(LOWER(TRIM('01_Master_Data'!W184&amp;""))="yes",1,0))</f>
        <v/>
      </c>
      <c r="N184">
        <f>IF('01_Master_Data'!B184="","",IF(LOWER(TRIM('01_Master_Data'!X184&amp;""))="yes",1,0))</f>
        <v/>
      </c>
      <c r="O184">
        <f>IF('01_Master_Data'!B184="","",IF(LOWER(TRIM('01_Master_Data'!Y184&amp;""))="yes",1,0))</f>
        <v/>
      </c>
      <c r="P184">
        <f>IF('01_Master_Data'!B184="","",IF(LOWER(TRIM('01_Master_Data'!Z184&amp;""))="yes",1,0))</f>
        <v/>
      </c>
      <c r="Q184">
        <f>IF(A184="","",L184+M184+N184+O184+P184)</f>
        <v/>
      </c>
      <c r="R184">
        <f>IF(A184="","",IF(Q184&gt;1,"Yes","No"))</f>
        <v/>
      </c>
      <c r="S184">
        <f>IF(A184="","",TEXTJOIN(", ",TRUE,IF(L184=1,"ICICI",""),IF(M184=1,"Propelld",""),IF(N184=1,"Study4Buddy",""),IF(O184=1,"Poonawala Fincorp",""),IF(P184=1,"GyanDhan","")))</f>
        <v/>
      </c>
      <c r="T184">
        <f>IF(A184="","",IF(L184=1,"ICICI",IF(M184=1,"Propelld",IF(P184=1,"GyanDhan",IF(N184=1,"Study4Buddy",IF(O184=1,"Poonawala Fincorp",IF(ISNUMBER(SEARCH("GyanDhan",W184&amp;"")),"GyanDhan",IF(ISNUMBER(SEARCH("Icici",W184&amp;"")),"ICICI",IF(ISNUMBER(SEARCH("Propelld",W184&amp;"")),"Propelld",IF(ISNUMBER(SEARCH("vidyalakshmi",LOWER(W184&amp;"")),"PM Vidyalakshmi","—"))))))))))</f>
        <v/>
      </c>
      <c r="U184">
        <f>IF(A184="","",TRIM('01_Master_Data'!AA184&amp;""))</f>
        <v/>
      </c>
      <c r="V184">
        <f>IF(A184="","",TRIM('01_Master_Data'!AG184&amp;""))</f>
        <v/>
      </c>
      <c r="W184">
        <f>IF(A184="","",TRIM('01_Master_Data'!AH184&amp;""))</f>
        <v/>
      </c>
      <c r="X184">
        <f>IF(A184="","",IF(OR(LOWER(H184)="refund",LOWER(U184)="refund case"),"Refund",IF(OR(LOWER(H184)="dnp",LOWER(U184)="dnp"),"DNP",IF(OR(LOWER(V184)="disbursed",ISNUMBER(SEARCH("Disbursed",W184&amp;""))),"Disbursed",IF(OR(LOWER(V184)="loan proccessed/accepted",ISNUMBER(SEARCH("sanctioned",LOWER(W184&amp;"")))),"Sanctioned",IF(OR(LOWER(V184)="rejected",ISNUMBER(SEARCH("Not eligbile",W184&amp;"")),ISNUMBER(SEARCH("Not eligible",W184&amp;""))),"Rejected",IF(ISNUMBER(SEARCH("Docs Pending",W184&amp;"")),"Documents Pending",IF(AND(LOWER(H184)="yes",LOWER(V184)="ongoing"),"Processing",IF(AND(LOWER(H184)="yes",Q184&gt;0,OR(V184="",LOWER(V184)="not even started")),"Vendor Assigned",IF(AND(LOWER(H184)="yes",LOWER(V184)="not even started"),"Need Loan",IF(LOWER(H184)="yes","Loan Started",IF(LOWER(H184)="not sure","Interested",IF(OR(LOWER(H184)="no",LOWER(V184)="not required"),"Not Required","Unclassified")))))))))))))</f>
        <v/>
      </c>
      <c r="Y184">
        <f>IF(A184="","",IF(OR(X184="Sanctioned",X184="Disbursed",X184="Approved"),"Approved",IF(X184="Rejected","Rejected",IF(OR(X184="Processing",X184="Documents Pending",X184="Vendor Assigned"),"In Progress",IF(X184="Need Loan","Pending Start","—"))))</f>
        <v/>
      </c>
      <c r="Z184">
        <f>IF(A184="","",IF(X184="Disbursed","Disbursed",IF(X184="Sanctioned","Sanctioned - Awaiting Disbursement","Not Disbursed")))</f>
        <v/>
      </c>
      <c r="AA184">
        <f>IF(A184="","",IF(LOWER(TRIM('01_Master_Data'!AI184&amp;""))="yes","Need FLDG",IF(LOWER(TRIM('01_Master_Data'!AK184&amp;""))="yes","Need Vidyalakshmi",IF(LOWER(TRIM('01_Master_Data'!AJ184&amp;""))="yes","Need Review",IF(LOWER(J184)="critical","Critical",IF(LOWER(U184)="risk","Risk Case",IF(X184="Refund","Refund","Normal")))))))</f>
        <v/>
      </c>
      <c r="AB184">
        <f>IF(A184="","",IF(OR(LOWER(J184)="critical",LOWER(TRIM('01_Master_Data'!AI184&amp;""))="yes",LOWER(TRIM('01_Master_Data'!AK184&amp;""))="yes",LOWER(U184)="risk"),"Yes","No"))</f>
        <v/>
      </c>
      <c r="AC184">
        <f>IF(A184="","",IF(LOWER(TRIM('01_Master_Data'!AI184&amp;""))="yes","Yes","No"))</f>
        <v/>
      </c>
      <c r="AD184">
        <f>IF(A184="","",IF(LOWER(TRIM('01_Master_Data'!AK184&amp;""))="yes","Yes","No"))</f>
        <v/>
      </c>
      <c r="AE184">
        <f>IF(A184="","",IF(LOWER(TRIM('01_Master_Data'!AJ184&amp;""))="yes","Yes","No"))</f>
        <v/>
      </c>
      <c r="AF184">
        <f>IF(A184="","",TRIM('01_Master_Data'!AL184&amp;""))</f>
        <v/>
      </c>
      <c r="AG184">
        <f>IF(A184="","",IF(AF184="","—",IF(ISNUMBER(SEARCH("DNP",AF184)),"Unreachable / DNP",IF(ISNUMBER(SEARCH("interest",LOWER(AF184))),"High Interest / Terms",IF(OR(ISNUMBER(SEARCH("eligib",LOWER(AF184))),ISNUMBER(SEARCH("income",LOWER(AF184)))),"Eligibility / Income",IF(OR(ISNUMBER(SEARCH("start",LOWER(AF184))),ISNUMBER(SEARCH("Newer",AF184)),ISNUMBER(SEARCH("Will start",AF184))),"Process Yet to Start",IF(ISNUMBER(SEARCH("sure",LOWER(AF184))),"Undecided",IF(OR(ISNUMBER(SEARCH("reject",LOWER(AF184))),ISNUMBER(SEARCH("SBI",AF184))),"Rejected Elsewhere",IF(ISNUMBER(SEARCH("call",LOWER(AF184))),"Bank Communication",IF(OR(ISNUMBER(SEARCH("father",LOWER(AF184))),ISNUMBER(SEARCH("sister",LOWER(AF184)))),"Family / Dependency","Other"))))))))))</f>
        <v/>
      </c>
      <c r="AH184">
        <f>IF(A184="","",'01_Master_Data'!AC184)</f>
        <v/>
      </c>
      <c r="AI184">
        <f>IF(A184="","",IF(OR(AH184="",NOT(ISNUMBER(AH184))),"",MAX(0,'02_Configuration'!$B$82-AH184)))</f>
        <v/>
      </c>
      <c r="AJ184">
        <f>IF(A184="","",IF(AI184="","Unknown",IF(AI184&lt;=3,"0–3 Days",IF(AI184&lt;=7,"4–7 Days",IF(AI184&lt;=15,"8–15 Days",IF(AI184&lt;=30,"16–30 Days","30+ Days"))))))</f>
        <v/>
      </c>
      <c r="AK184">
        <f>IF(A184="","",IF(LOWER(H184)="yes","Yes","No"))</f>
        <v/>
      </c>
      <c r="AL184">
        <f>IF(A184="","",'01_Master_Data'!T184)</f>
        <v/>
      </c>
      <c r="AM184">
        <f>IF(A184="","",'01_Master_Data'!S184)</f>
        <v/>
      </c>
      <c r="AN184">
        <f>IF(A184="","",'01_Master_Data'!I184)</f>
        <v/>
      </c>
      <c r="AO184">
        <f>IF(A184="","",'01_Master_Data'!M184)</f>
        <v/>
      </c>
      <c r="AP184">
        <f>IF(A184="","",IF(ISNUMBER(SEARCH("Icici",W184&amp;"")),1,0))</f>
        <v/>
      </c>
      <c r="AQ184">
        <f>IF(A184="","",IF(ISNUMBER(SEARCH("Propelld",W184&amp;"")),1,0))</f>
        <v/>
      </c>
      <c r="AR184">
        <f>IF(A184="","",IF(ISNUMBER(SEARCH("GyanDhan",W184&amp;"")),1,0))</f>
        <v/>
      </c>
      <c r="AS184">
        <f>IF(A184="","",IF(ISNUMBER(SEARCH("vidyalakshmi",LOWER(W184&amp;""))),1,0))</f>
        <v/>
      </c>
      <c r="AT184">
        <f>IF(A184="","",IF(ISNUMBER(SEARCH("other bank",LOWER(W184&amp;""))),1,0))</f>
        <v/>
      </c>
      <c r="AU184">
        <f>IF(A184="","",IF(ISNUMBER(SEARCH("sanctioned",LOWER(W184&amp;""))),1,0))</f>
        <v/>
      </c>
      <c r="AV184">
        <f>IF(A184="","",IF(ISNUMBER(SEARCH("Docs Pending",W184&amp;"")),1,0))</f>
        <v/>
      </c>
      <c r="AW184">
        <f>IF(A184="","",IF(OR(X184="Rejected",ISNUMBER(SEARCH("Not eligbile",W184&amp;""))),1,0))</f>
        <v/>
      </c>
    </row>
    <row r="185">
      <c r="A185">
        <f>IF('01_Master_Data'!B185="","",184)</f>
        <v/>
      </c>
      <c r="B185">
        <f>IF('01_Master_Data'!B185="","",IF('01_Master_Data'!C185&lt;&gt;"","MOB|"&amp;TEXT('01_Master_Data'!C185,"0"),IF('01_Master_Data'!D185&lt;&gt;"","PID|"&amp;TRIM('01_Master_Data'!D185&amp;""),"")))</f>
        <v/>
      </c>
      <c r="C185">
        <f>IF('01_Master_Data'!B185="","",'01_Master_Data'!B185)</f>
        <v/>
      </c>
      <c r="D185">
        <f>IF('01_Master_Data'!B185="","",'01_Master_Data'!C185)</f>
        <v/>
      </c>
      <c r="E185">
        <f>IF('01_Master_Data'!B185="","",'01_Master_Data'!D185)</f>
        <v/>
      </c>
      <c r="F185">
        <f>IF('01_Master_Data'!B185="","",'01_Master_Data'!E185)</f>
        <v/>
      </c>
      <c r="G185">
        <f>IF('01_Master_Data'!B185="","",IFERROR(VLOOKUP(TRIM('01_Master_Data'!E185&amp;""),'02_Configuration'!$A$40:$B$44,2,FALSE),UPPER(TRIM('01_Master_Data'!E185&amp;""))))</f>
        <v/>
      </c>
      <c r="H185">
        <f>IF('01_Master_Data'!B185="","",IF('01_Master_Data'!U185="","",TRIM('01_Master_Data'!U185&amp;"")))</f>
        <v/>
      </c>
      <c r="I185">
        <f>IF('01_Master_Data'!B185="","",TRIM('01_Master_Data'!F185&amp;""))</f>
        <v/>
      </c>
      <c r="J185">
        <f>IF('01_Master_Data'!B185="","",TRIM('01_Master_Data'!G185&amp;""))</f>
        <v/>
      </c>
      <c r="K185">
        <f>IF('01_Master_Data'!B185="","",'01_Master_Data'!H185)</f>
        <v/>
      </c>
      <c r="L185">
        <f>IF('01_Master_Data'!B185="","",IF(LOWER(TRIM('01_Master_Data'!V185&amp;""))="yes",1,0))</f>
        <v/>
      </c>
      <c r="M185">
        <f>IF('01_Master_Data'!B185="","",IF(LOWER(TRIM('01_Master_Data'!W185&amp;""))="yes",1,0))</f>
        <v/>
      </c>
      <c r="N185">
        <f>IF('01_Master_Data'!B185="","",IF(LOWER(TRIM('01_Master_Data'!X185&amp;""))="yes",1,0))</f>
        <v/>
      </c>
      <c r="O185">
        <f>IF('01_Master_Data'!B185="","",IF(LOWER(TRIM('01_Master_Data'!Y185&amp;""))="yes",1,0))</f>
        <v/>
      </c>
      <c r="P185">
        <f>IF('01_Master_Data'!B185="","",IF(LOWER(TRIM('01_Master_Data'!Z185&amp;""))="yes",1,0))</f>
        <v/>
      </c>
      <c r="Q185">
        <f>IF(A185="","",L185+M185+N185+O185+P185)</f>
        <v/>
      </c>
      <c r="R185">
        <f>IF(A185="","",IF(Q185&gt;1,"Yes","No"))</f>
        <v/>
      </c>
      <c r="S185">
        <f>IF(A185="","",TEXTJOIN(", ",TRUE,IF(L185=1,"ICICI",""),IF(M185=1,"Propelld",""),IF(N185=1,"Study4Buddy",""),IF(O185=1,"Poonawala Fincorp",""),IF(P185=1,"GyanDhan","")))</f>
        <v/>
      </c>
      <c r="T185">
        <f>IF(A185="","",IF(L185=1,"ICICI",IF(M185=1,"Propelld",IF(P185=1,"GyanDhan",IF(N185=1,"Study4Buddy",IF(O185=1,"Poonawala Fincorp",IF(ISNUMBER(SEARCH("GyanDhan",W185&amp;"")),"GyanDhan",IF(ISNUMBER(SEARCH("Icici",W185&amp;"")),"ICICI",IF(ISNUMBER(SEARCH("Propelld",W185&amp;"")),"Propelld",IF(ISNUMBER(SEARCH("vidyalakshmi",LOWER(W185&amp;"")),"PM Vidyalakshmi","—"))))))))))</f>
        <v/>
      </c>
      <c r="U185">
        <f>IF(A185="","",TRIM('01_Master_Data'!AA185&amp;""))</f>
        <v/>
      </c>
      <c r="V185">
        <f>IF(A185="","",TRIM('01_Master_Data'!AG185&amp;""))</f>
        <v/>
      </c>
      <c r="W185">
        <f>IF(A185="","",TRIM('01_Master_Data'!AH185&amp;""))</f>
        <v/>
      </c>
      <c r="X185">
        <f>IF(A185="","",IF(OR(LOWER(H185)="refund",LOWER(U185)="refund case"),"Refund",IF(OR(LOWER(H185)="dnp",LOWER(U185)="dnp"),"DNP",IF(OR(LOWER(V185)="disbursed",ISNUMBER(SEARCH("Disbursed",W185&amp;""))),"Disbursed",IF(OR(LOWER(V185)="loan proccessed/accepted",ISNUMBER(SEARCH("sanctioned",LOWER(W185&amp;"")))),"Sanctioned",IF(OR(LOWER(V185)="rejected",ISNUMBER(SEARCH("Not eligbile",W185&amp;"")),ISNUMBER(SEARCH("Not eligible",W185&amp;""))),"Rejected",IF(ISNUMBER(SEARCH("Docs Pending",W185&amp;"")),"Documents Pending",IF(AND(LOWER(H185)="yes",LOWER(V185)="ongoing"),"Processing",IF(AND(LOWER(H185)="yes",Q185&gt;0,OR(V185="",LOWER(V185)="not even started")),"Vendor Assigned",IF(AND(LOWER(H185)="yes",LOWER(V185)="not even started"),"Need Loan",IF(LOWER(H185)="yes","Loan Started",IF(LOWER(H185)="not sure","Interested",IF(OR(LOWER(H185)="no",LOWER(V185)="not required"),"Not Required","Unclassified")))))))))))))</f>
        <v/>
      </c>
      <c r="Y185">
        <f>IF(A185="","",IF(OR(X185="Sanctioned",X185="Disbursed",X185="Approved"),"Approved",IF(X185="Rejected","Rejected",IF(OR(X185="Processing",X185="Documents Pending",X185="Vendor Assigned"),"In Progress",IF(X185="Need Loan","Pending Start","—"))))</f>
        <v/>
      </c>
      <c r="Z185">
        <f>IF(A185="","",IF(X185="Disbursed","Disbursed",IF(X185="Sanctioned","Sanctioned - Awaiting Disbursement","Not Disbursed")))</f>
        <v/>
      </c>
      <c r="AA185">
        <f>IF(A185="","",IF(LOWER(TRIM('01_Master_Data'!AI185&amp;""))="yes","Need FLDG",IF(LOWER(TRIM('01_Master_Data'!AK185&amp;""))="yes","Need Vidyalakshmi",IF(LOWER(TRIM('01_Master_Data'!AJ185&amp;""))="yes","Need Review",IF(LOWER(J185)="critical","Critical",IF(LOWER(U185)="risk","Risk Case",IF(X185="Refund","Refund","Normal")))))))</f>
        <v/>
      </c>
      <c r="AB185">
        <f>IF(A185="","",IF(OR(LOWER(J185)="critical",LOWER(TRIM('01_Master_Data'!AI185&amp;""))="yes",LOWER(TRIM('01_Master_Data'!AK185&amp;""))="yes",LOWER(U185)="risk"),"Yes","No"))</f>
        <v/>
      </c>
      <c r="AC185">
        <f>IF(A185="","",IF(LOWER(TRIM('01_Master_Data'!AI185&amp;""))="yes","Yes","No"))</f>
        <v/>
      </c>
      <c r="AD185">
        <f>IF(A185="","",IF(LOWER(TRIM('01_Master_Data'!AK185&amp;""))="yes","Yes","No"))</f>
        <v/>
      </c>
      <c r="AE185">
        <f>IF(A185="","",IF(LOWER(TRIM('01_Master_Data'!AJ185&amp;""))="yes","Yes","No"))</f>
        <v/>
      </c>
      <c r="AF185">
        <f>IF(A185="","",TRIM('01_Master_Data'!AL185&amp;""))</f>
        <v/>
      </c>
      <c r="AG185">
        <f>IF(A185="","",IF(AF185="","—",IF(ISNUMBER(SEARCH("DNP",AF185)),"Unreachable / DNP",IF(ISNUMBER(SEARCH("interest",LOWER(AF185))),"High Interest / Terms",IF(OR(ISNUMBER(SEARCH("eligib",LOWER(AF185))),ISNUMBER(SEARCH("income",LOWER(AF185)))),"Eligibility / Income",IF(OR(ISNUMBER(SEARCH("start",LOWER(AF185))),ISNUMBER(SEARCH("Newer",AF185)),ISNUMBER(SEARCH("Will start",AF185))),"Process Yet to Start",IF(ISNUMBER(SEARCH("sure",LOWER(AF185))),"Undecided",IF(OR(ISNUMBER(SEARCH("reject",LOWER(AF185))),ISNUMBER(SEARCH("SBI",AF185))),"Rejected Elsewhere",IF(ISNUMBER(SEARCH("call",LOWER(AF185))),"Bank Communication",IF(OR(ISNUMBER(SEARCH("father",LOWER(AF185))),ISNUMBER(SEARCH("sister",LOWER(AF185)))),"Family / Dependency","Other"))))))))))</f>
        <v/>
      </c>
      <c r="AH185">
        <f>IF(A185="","",'01_Master_Data'!AC185)</f>
        <v/>
      </c>
      <c r="AI185">
        <f>IF(A185="","",IF(OR(AH185="",NOT(ISNUMBER(AH185))),"",MAX(0,'02_Configuration'!$B$82-AH185)))</f>
        <v/>
      </c>
      <c r="AJ185">
        <f>IF(A185="","",IF(AI185="","Unknown",IF(AI185&lt;=3,"0–3 Days",IF(AI185&lt;=7,"4–7 Days",IF(AI185&lt;=15,"8–15 Days",IF(AI185&lt;=30,"16–30 Days","30+ Days"))))))</f>
        <v/>
      </c>
      <c r="AK185">
        <f>IF(A185="","",IF(LOWER(H185)="yes","Yes","No"))</f>
        <v/>
      </c>
      <c r="AL185">
        <f>IF(A185="","",'01_Master_Data'!T185)</f>
        <v/>
      </c>
      <c r="AM185">
        <f>IF(A185="","",'01_Master_Data'!S185)</f>
        <v/>
      </c>
      <c r="AN185">
        <f>IF(A185="","",'01_Master_Data'!I185)</f>
        <v/>
      </c>
      <c r="AO185">
        <f>IF(A185="","",'01_Master_Data'!M185)</f>
        <v/>
      </c>
      <c r="AP185">
        <f>IF(A185="","",IF(ISNUMBER(SEARCH("Icici",W185&amp;"")),1,0))</f>
        <v/>
      </c>
      <c r="AQ185">
        <f>IF(A185="","",IF(ISNUMBER(SEARCH("Propelld",W185&amp;"")),1,0))</f>
        <v/>
      </c>
      <c r="AR185">
        <f>IF(A185="","",IF(ISNUMBER(SEARCH("GyanDhan",W185&amp;"")),1,0))</f>
        <v/>
      </c>
      <c r="AS185">
        <f>IF(A185="","",IF(ISNUMBER(SEARCH("vidyalakshmi",LOWER(W185&amp;""))),1,0))</f>
        <v/>
      </c>
      <c r="AT185">
        <f>IF(A185="","",IF(ISNUMBER(SEARCH("other bank",LOWER(W185&amp;""))),1,0))</f>
        <v/>
      </c>
      <c r="AU185">
        <f>IF(A185="","",IF(ISNUMBER(SEARCH("sanctioned",LOWER(W185&amp;""))),1,0))</f>
        <v/>
      </c>
      <c r="AV185">
        <f>IF(A185="","",IF(ISNUMBER(SEARCH("Docs Pending",W185&amp;"")),1,0))</f>
        <v/>
      </c>
      <c r="AW185">
        <f>IF(A185="","",IF(OR(X185="Rejected",ISNUMBER(SEARCH("Not eligbile",W185&amp;""))),1,0))</f>
        <v/>
      </c>
    </row>
    <row r="186">
      <c r="A186">
        <f>IF('01_Master_Data'!B186="","",185)</f>
        <v/>
      </c>
      <c r="B186">
        <f>IF('01_Master_Data'!B186="","",IF('01_Master_Data'!C186&lt;&gt;"","MOB|"&amp;TEXT('01_Master_Data'!C186,"0"),IF('01_Master_Data'!D186&lt;&gt;"","PID|"&amp;TRIM('01_Master_Data'!D186&amp;""),"")))</f>
        <v/>
      </c>
      <c r="C186">
        <f>IF('01_Master_Data'!B186="","",'01_Master_Data'!B186)</f>
        <v/>
      </c>
      <c r="D186">
        <f>IF('01_Master_Data'!B186="","",'01_Master_Data'!C186)</f>
        <v/>
      </c>
      <c r="E186">
        <f>IF('01_Master_Data'!B186="","",'01_Master_Data'!D186)</f>
        <v/>
      </c>
      <c r="F186">
        <f>IF('01_Master_Data'!B186="","",'01_Master_Data'!E186)</f>
        <v/>
      </c>
      <c r="G186">
        <f>IF('01_Master_Data'!B186="","",IFERROR(VLOOKUP(TRIM('01_Master_Data'!E186&amp;""),'02_Configuration'!$A$40:$B$44,2,FALSE),UPPER(TRIM('01_Master_Data'!E186&amp;""))))</f>
        <v/>
      </c>
      <c r="H186">
        <f>IF('01_Master_Data'!B186="","",IF('01_Master_Data'!U186="","",TRIM('01_Master_Data'!U186&amp;"")))</f>
        <v/>
      </c>
      <c r="I186">
        <f>IF('01_Master_Data'!B186="","",TRIM('01_Master_Data'!F186&amp;""))</f>
        <v/>
      </c>
      <c r="J186">
        <f>IF('01_Master_Data'!B186="","",TRIM('01_Master_Data'!G186&amp;""))</f>
        <v/>
      </c>
      <c r="K186">
        <f>IF('01_Master_Data'!B186="","",'01_Master_Data'!H186)</f>
        <v/>
      </c>
      <c r="L186">
        <f>IF('01_Master_Data'!B186="","",IF(LOWER(TRIM('01_Master_Data'!V186&amp;""))="yes",1,0))</f>
        <v/>
      </c>
      <c r="M186">
        <f>IF('01_Master_Data'!B186="","",IF(LOWER(TRIM('01_Master_Data'!W186&amp;""))="yes",1,0))</f>
        <v/>
      </c>
      <c r="N186">
        <f>IF('01_Master_Data'!B186="","",IF(LOWER(TRIM('01_Master_Data'!X186&amp;""))="yes",1,0))</f>
        <v/>
      </c>
      <c r="O186">
        <f>IF('01_Master_Data'!B186="","",IF(LOWER(TRIM('01_Master_Data'!Y186&amp;""))="yes",1,0))</f>
        <v/>
      </c>
      <c r="P186">
        <f>IF('01_Master_Data'!B186="","",IF(LOWER(TRIM('01_Master_Data'!Z186&amp;""))="yes",1,0))</f>
        <v/>
      </c>
      <c r="Q186">
        <f>IF(A186="","",L186+M186+N186+O186+P186)</f>
        <v/>
      </c>
      <c r="R186">
        <f>IF(A186="","",IF(Q186&gt;1,"Yes","No"))</f>
        <v/>
      </c>
      <c r="S186">
        <f>IF(A186="","",TEXTJOIN(", ",TRUE,IF(L186=1,"ICICI",""),IF(M186=1,"Propelld",""),IF(N186=1,"Study4Buddy",""),IF(O186=1,"Poonawala Fincorp",""),IF(P186=1,"GyanDhan","")))</f>
        <v/>
      </c>
      <c r="T186">
        <f>IF(A186="","",IF(L186=1,"ICICI",IF(M186=1,"Propelld",IF(P186=1,"GyanDhan",IF(N186=1,"Study4Buddy",IF(O186=1,"Poonawala Fincorp",IF(ISNUMBER(SEARCH("GyanDhan",W186&amp;"")),"GyanDhan",IF(ISNUMBER(SEARCH("Icici",W186&amp;"")),"ICICI",IF(ISNUMBER(SEARCH("Propelld",W186&amp;"")),"Propelld",IF(ISNUMBER(SEARCH("vidyalakshmi",LOWER(W186&amp;"")),"PM Vidyalakshmi","—"))))))))))</f>
        <v/>
      </c>
      <c r="U186">
        <f>IF(A186="","",TRIM('01_Master_Data'!AA186&amp;""))</f>
        <v/>
      </c>
      <c r="V186">
        <f>IF(A186="","",TRIM('01_Master_Data'!AG186&amp;""))</f>
        <v/>
      </c>
      <c r="W186">
        <f>IF(A186="","",TRIM('01_Master_Data'!AH186&amp;""))</f>
        <v/>
      </c>
      <c r="X186">
        <f>IF(A186="","",IF(OR(LOWER(H186)="refund",LOWER(U186)="refund case"),"Refund",IF(OR(LOWER(H186)="dnp",LOWER(U186)="dnp"),"DNP",IF(OR(LOWER(V186)="disbursed",ISNUMBER(SEARCH("Disbursed",W186&amp;""))),"Disbursed",IF(OR(LOWER(V186)="loan proccessed/accepted",ISNUMBER(SEARCH("sanctioned",LOWER(W186&amp;"")))),"Sanctioned",IF(OR(LOWER(V186)="rejected",ISNUMBER(SEARCH("Not eligbile",W186&amp;"")),ISNUMBER(SEARCH("Not eligible",W186&amp;""))),"Rejected",IF(ISNUMBER(SEARCH("Docs Pending",W186&amp;"")),"Documents Pending",IF(AND(LOWER(H186)="yes",LOWER(V186)="ongoing"),"Processing",IF(AND(LOWER(H186)="yes",Q186&gt;0,OR(V186="",LOWER(V186)="not even started")),"Vendor Assigned",IF(AND(LOWER(H186)="yes",LOWER(V186)="not even started"),"Need Loan",IF(LOWER(H186)="yes","Loan Started",IF(LOWER(H186)="not sure","Interested",IF(OR(LOWER(H186)="no",LOWER(V186)="not required"),"Not Required","Unclassified")))))))))))))</f>
        <v/>
      </c>
      <c r="Y186">
        <f>IF(A186="","",IF(OR(X186="Sanctioned",X186="Disbursed",X186="Approved"),"Approved",IF(X186="Rejected","Rejected",IF(OR(X186="Processing",X186="Documents Pending",X186="Vendor Assigned"),"In Progress",IF(X186="Need Loan","Pending Start","—"))))</f>
        <v/>
      </c>
      <c r="Z186">
        <f>IF(A186="","",IF(X186="Disbursed","Disbursed",IF(X186="Sanctioned","Sanctioned - Awaiting Disbursement","Not Disbursed")))</f>
        <v/>
      </c>
      <c r="AA186">
        <f>IF(A186="","",IF(LOWER(TRIM('01_Master_Data'!AI186&amp;""))="yes","Need FLDG",IF(LOWER(TRIM('01_Master_Data'!AK186&amp;""))="yes","Need Vidyalakshmi",IF(LOWER(TRIM('01_Master_Data'!AJ186&amp;""))="yes","Need Review",IF(LOWER(J186)="critical","Critical",IF(LOWER(U186)="risk","Risk Case",IF(X186="Refund","Refund","Normal")))))))</f>
        <v/>
      </c>
      <c r="AB186">
        <f>IF(A186="","",IF(OR(LOWER(J186)="critical",LOWER(TRIM('01_Master_Data'!AI186&amp;""))="yes",LOWER(TRIM('01_Master_Data'!AK186&amp;""))="yes",LOWER(U186)="risk"),"Yes","No"))</f>
        <v/>
      </c>
      <c r="AC186">
        <f>IF(A186="","",IF(LOWER(TRIM('01_Master_Data'!AI186&amp;""))="yes","Yes","No"))</f>
        <v/>
      </c>
      <c r="AD186">
        <f>IF(A186="","",IF(LOWER(TRIM('01_Master_Data'!AK186&amp;""))="yes","Yes","No"))</f>
        <v/>
      </c>
      <c r="AE186">
        <f>IF(A186="","",IF(LOWER(TRIM('01_Master_Data'!AJ186&amp;""))="yes","Yes","No"))</f>
        <v/>
      </c>
      <c r="AF186">
        <f>IF(A186="","",TRIM('01_Master_Data'!AL186&amp;""))</f>
        <v/>
      </c>
      <c r="AG186">
        <f>IF(A186="","",IF(AF186="","—",IF(ISNUMBER(SEARCH("DNP",AF186)),"Unreachable / DNP",IF(ISNUMBER(SEARCH("interest",LOWER(AF186))),"High Interest / Terms",IF(OR(ISNUMBER(SEARCH("eligib",LOWER(AF186))),ISNUMBER(SEARCH("income",LOWER(AF186)))),"Eligibility / Income",IF(OR(ISNUMBER(SEARCH("start",LOWER(AF186))),ISNUMBER(SEARCH("Newer",AF186)),ISNUMBER(SEARCH("Will start",AF186))),"Process Yet to Start",IF(ISNUMBER(SEARCH("sure",LOWER(AF186))),"Undecided",IF(OR(ISNUMBER(SEARCH("reject",LOWER(AF186))),ISNUMBER(SEARCH("SBI",AF186))),"Rejected Elsewhere",IF(ISNUMBER(SEARCH("call",LOWER(AF186))),"Bank Communication",IF(OR(ISNUMBER(SEARCH("father",LOWER(AF186))),ISNUMBER(SEARCH("sister",LOWER(AF186)))),"Family / Dependency","Other"))))))))))</f>
        <v/>
      </c>
      <c r="AH186">
        <f>IF(A186="","",'01_Master_Data'!AC186)</f>
        <v/>
      </c>
      <c r="AI186">
        <f>IF(A186="","",IF(OR(AH186="",NOT(ISNUMBER(AH186))),"",MAX(0,'02_Configuration'!$B$82-AH186)))</f>
        <v/>
      </c>
      <c r="AJ186">
        <f>IF(A186="","",IF(AI186="","Unknown",IF(AI186&lt;=3,"0–3 Days",IF(AI186&lt;=7,"4–7 Days",IF(AI186&lt;=15,"8–15 Days",IF(AI186&lt;=30,"16–30 Days","30+ Days"))))))</f>
        <v/>
      </c>
      <c r="AK186">
        <f>IF(A186="","",IF(LOWER(H186)="yes","Yes","No"))</f>
        <v/>
      </c>
      <c r="AL186">
        <f>IF(A186="","",'01_Master_Data'!T186)</f>
        <v/>
      </c>
      <c r="AM186">
        <f>IF(A186="","",'01_Master_Data'!S186)</f>
        <v/>
      </c>
      <c r="AN186">
        <f>IF(A186="","",'01_Master_Data'!I186)</f>
        <v/>
      </c>
      <c r="AO186">
        <f>IF(A186="","",'01_Master_Data'!M186)</f>
        <v/>
      </c>
      <c r="AP186">
        <f>IF(A186="","",IF(ISNUMBER(SEARCH("Icici",W186&amp;"")),1,0))</f>
        <v/>
      </c>
      <c r="AQ186">
        <f>IF(A186="","",IF(ISNUMBER(SEARCH("Propelld",W186&amp;"")),1,0))</f>
        <v/>
      </c>
      <c r="AR186">
        <f>IF(A186="","",IF(ISNUMBER(SEARCH("GyanDhan",W186&amp;"")),1,0))</f>
        <v/>
      </c>
      <c r="AS186">
        <f>IF(A186="","",IF(ISNUMBER(SEARCH("vidyalakshmi",LOWER(W186&amp;""))),1,0))</f>
        <v/>
      </c>
      <c r="AT186">
        <f>IF(A186="","",IF(ISNUMBER(SEARCH("other bank",LOWER(W186&amp;""))),1,0))</f>
        <v/>
      </c>
      <c r="AU186">
        <f>IF(A186="","",IF(ISNUMBER(SEARCH("sanctioned",LOWER(W186&amp;""))),1,0))</f>
        <v/>
      </c>
      <c r="AV186">
        <f>IF(A186="","",IF(ISNUMBER(SEARCH("Docs Pending",W186&amp;"")),1,0))</f>
        <v/>
      </c>
      <c r="AW186">
        <f>IF(A186="","",IF(OR(X186="Rejected",ISNUMBER(SEARCH("Not eligbile",W186&amp;""))),1,0))</f>
        <v/>
      </c>
    </row>
    <row r="187">
      <c r="A187">
        <f>IF('01_Master_Data'!B187="","",186)</f>
        <v/>
      </c>
      <c r="B187">
        <f>IF('01_Master_Data'!B187="","",IF('01_Master_Data'!C187&lt;&gt;"","MOB|"&amp;TEXT('01_Master_Data'!C187,"0"),IF('01_Master_Data'!D187&lt;&gt;"","PID|"&amp;TRIM('01_Master_Data'!D187&amp;""),"")))</f>
        <v/>
      </c>
      <c r="C187">
        <f>IF('01_Master_Data'!B187="","",'01_Master_Data'!B187)</f>
        <v/>
      </c>
      <c r="D187">
        <f>IF('01_Master_Data'!B187="","",'01_Master_Data'!C187)</f>
        <v/>
      </c>
      <c r="E187">
        <f>IF('01_Master_Data'!B187="","",'01_Master_Data'!D187)</f>
        <v/>
      </c>
      <c r="F187">
        <f>IF('01_Master_Data'!B187="","",'01_Master_Data'!E187)</f>
        <v/>
      </c>
      <c r="G187">
        <f>IF('01_Master_Data'!B187="","",IFERROR(VLOOKUP(TRIM('01_Master_Data'!E187&amp;""),'02_Configuration'!$A$40:$B$44,2,FALSE),UPPER(TRIM('01_Master_Data'!E187&amp;""))))</f>
        <v/>
      </c>
      <c r="H187">
        <f>IF('01_Master_Data'!B187="","",IF('01_Master_Data'!U187="","",TRIM('01_Master_Data'!U187&amp;"")))</f>
        <v/>
      </c>
      <c r="I187">
        <f>IF('01_Master_Data'!B187="","",TRIM('01_Master_Data'!F187&amp;""))</f>
        <v/>
      </c>
      <c r="J187">
        <f>IF('01_Master_Data'!B187="","",TRIM('01_Master_Data'!G187&amp;""))</f>
        <v/>
      </c>
      <c r="K187">
        <f>IF('01_Master_Data'!B187="","",'01_Master_Data'!H187)</f>
        <v/>
      </c>
      <c r="L187">
        <f>IF('01_Master_Data'!B187="","",IF(LOWER(TRIM('01_Master_Data'!V187&amp;""))="yes",1,0))</f>
        <v/>
      </c>
      <c r="M187">
        <f>IF('01_Master_Data'!B187="","",IF(LOWER(TRIM('01_Master_Data'!W187&amp;""))="yes",1,0))</f>
        <v/>
      </c>
      <c r="N187">
        <f>IF('01_Master_Data'!B187="","",IF(LOWER(TRIM('01_Master_Data'!X187&amp;""))="yes",1,0))</f>
        <v/>
      </c>
      <c r="O187">
        <f>IF('01_Master_Data'!B187="","",IF(LOWER(TRIM('01_Master_Data'!Y187&amp;""))="yes",1,0))</f>
        <v/>
      </c>
      <c r="P187">
        <f>IF('01_Master_Data'!B187="","",IF(LOWER(TRIM('01_Master_Data'!Z187&amp;""))="yes",1,0))</f>
        <v/>
      </c>
      <c r="Q187">
        <f>IF(A187="","",L187+M187+N187+O187+P187)</f>
        <v/>
      </c>
      <c r="R187">
        <f>IF(A187="","",IF(Q187&gt;1,"Yes","No"))</f>
        <v/>
      </c>
      <c r="S187">
        <f>IF(A187="","",TEXTJOIN(", ",TRUE,IF(L187=1,"ICICI",""),IF(M187=1,"Propelld",""),IF(N187=1,"Study4Buddy",""),IF(O187=1,"Poonawala Fincorp",""),IF(P187=1,"GyanDhan","")))</f>
        <v/>
      </c>
      <c r="T187">
        <f>IF(A187="","",IF(L187=1,"ICICI",IF(M187=1,"Propelld",IF(P187=1,"GyanDhan",IF(N187=1,"Study4Buddy",IF(O187=1,"Poonawala Fincorp",IF(ISNUMBER(SEARCH("GyanDhan",W187&amp;"")),"GyanDhan",IF(ISNUMBER(SEARCH("Icici",W187&amp;"")),"ICICI",IF(ISNUMBER(SEARCH("Propelld",W187&amp;"")),"Propelld",IF(ISNUMBER(SEARCH("vidyalakshmi",LOWER(W187&amp;"")),"PM Vidyalakshmi","—"))))))))))</f>
        <v/>
      </c>
      <c r="U187">
        <f>IF(A187="","",TRIM('01_Master_Data'!AA187&amp;""))</f>
        <v/>
      </c>
      <c r="V187">
        <f>IF(A187="","",TRIM('01_Master_Data'!AG187&amp;""))</f>
        <v/>
      </c>
      <c r="W187">
        <f>IF(A187="","",TRIM('01_Master_Data'!AH187&amp;""))</f>
        <v/>
      </c>
      <c r="X187">
        <f>IF(A187="","",IF(OR(LOWER(H187)="refund",LOWER(U187)="refund case"),"Refund",IF(OR(LOWER(H187)="dnp",LOWER(U187)="dnp"),"DNP",IF(OR(LOWER(V187)="disbursed",ISNUMBER(SEARCH("Disbursed",W187&amp;""))),"Disbursed",IF(OR(LOWER(V187)="loan proccessed/accepted",ISNUMBER(SEARCH("sanctioned",LOWER(W187&amp;"")))),"Sanctioned",IF(OR(LOWER(V187)="rejected",ISNUMBER(SEARCH("Not eligbile",W187&amp;"")),ISNUMBER(SEARCH("Not eligible",W187&amp;""))),"Rejected",IF(ISNUMBER(SEARCH("Docs Pending",W187&amp;"")),"Documents Pending",IF(AND(LOWER(H187)="yes",LOWER(V187)="ongoing"),"Processing",IF(AND(LOWER(H187)="yes",Q187&gt;0,OR(V187="",LOWER(V187)="not even started")),"Vendor Assigned",IF(AND(LOWER(H187)="yes",LOWER(V187)="not even started"),"Need Loan",IF(LOWER(H187)="yes","Loan Started",IF(LOWER(H187)="not sure","Interested",IF(OR(LOWER(H187)="no",LOWER(V187)="not required"),"Not Required","Unclassified")))))))))))))</f>
        <v/>
      </c>
      <c r="Y187">
        <f>IF(A187="","",IF(OR(X187="Sanctioned",X187="Disbursed",X187="Approved"),"Approved",IF(X187="Rejected","Rejected",IF(OR(X187="Processing",X187="Documents Pending",X187="Vendor Assigned"),"In Progress",IF(X187="Need Loan","Pending Start","—"))))</f>
        <v/>
      </c>
      <c r="Z187">
        <f>IF(A187="","",IF(X187="Disbursed","Disbursed",IF(X187="Sanctioned","Sanctioned - Awaiting Disbursement","Not Disbursed")))</f>
        <v/>
      </c>
      <c r="AA187">
        <f>IF(A187="","",IF(LOWER(TRIM('01_Master_Data'!AI187&amp;""))="yes","Need FLDG",IF(LOWER(TRIM('01_Master_Data'!AK187&amp;""))="yes","Need Vidyalakshmi",IF(LOWER(TRIM('01_Master_Data'!AJ187&amp;""))="yes","Need Review",IF(LOWER(J187)="critical","Critical",IF(LOWER(U187)="risk","Risk Case",IF(X187="Refund","Refund","Normal")))))))</f>
        <v/>
      </c>
      <c r="AB187">
        <f>IF(A187="","",IF(OR(LOWER(J187)="critical",LOWER(TRIM('01_Master_Data'!AI187&amp;""))="yes",LOWER(TRIM('01_Master_Data'!AK187&amp;""))="yes",LOWER(U187)="risk"),"Yes","No"))</f>
        <v/>
      </c>
      <c r="AC187">
        <f>IF(A187="","",IF(LOWER(TRIM('01_Master_Data'!AI187&amp;""))="yes","Yes","No"))</f>
        <v/>
      </c>
      <c r="AD187">
        <f>IF(A187="","",IF(LOWER(TRIM('01_Master_Data'!AK187&amp;""))="yes","Yes","No"))</f>
        <v/>
      </c>
      <c r="AE187">
        <f>IF(A187="","",IF(LOWER(TRIM('01_Master_Data'!AJ187&amp;""))="yes","Yes","No"))</f>
        <v/>
      </c>
      <c r="AF187">
        <f>IF(A187="","",TRIM('01_Master_Data'!AL187&amp;""))</f>
        <v/>
      </c>
      <c r="AG187">
        <f>IF(A187="","",IF(AF187="","—",IF(ISNUMBER(SEARCH("DNP",AF187)),"Unreachable / DNP",IF(ISNUMBER(SEARCH("interest",LOWER(AF187))),"High Interest / Terms",IF(OR(ISNUMBER(SEARCH("eligib",LOWER(AF187))),ISNUMBER(SEARCH("income",LOWER(AF187)))),"Eligibility / Income",IF(OR(ISNUMBER(SEARCH("start",LOWER(AF187))),ISNUMBER(SEARCH("Newer",AF187)),ISNUMBER(SEARCH("Will start",AF187))),"Process Yet to Start",IF(ISNUMBER(SEARCH("sure",LOWER(AF187))),"Undecided",IF(OR(ISNUMBER(SEARCH("reject",LOWER(AF187))),ISNUMBER(SEARCH("SBI",AF187))),"Rejected Elsewhere",IF(ISNUMBER(SEARCH("call",LOWER(AF187))),"Bank Communication",IF(OR(ISNUMBER(SEARCH("father",LOWER(AF187))),ISNUMBER(SEARCH("sister",LOWER(AF187)))),"Family / Dependency","Other"))))))))))</f>
        <v/>
      </c>
      <c r="AH187">
        <f>IF(A187="","",'01_Master_Data'!AC187)</f>
        <v/>
      </c>
      <c r="AI187">
        <f>IF(A187="","",IF(OR(AH187="",NOT(ISNUMBER(AH187))),"",MAX(0,'02_Configuration'!$B$82-AH187)))</f>
        <v/>
      </c>
      <c r="AJ187">
        <f>IF(A187="","",IF(AI187="","Unknown",IF(AI187&lt;=3,"0–3 Days",IF(AI187&lt;=7,"4–7 Days",IF(AI187&lt;=15,"8–15 Days",IF(AI187&lt;=30,"16–30 Days","30+ Days"))))))</f>
        <v/>
      </c>
      <c r="AK187">
        <f>IF(A187="","",IF(LOWER(H187)="yes","Yes","No"))</f>
        <v/>
      </c>
      <c r="AL187">
        <f>IF(A187="","",'01_Master_Data'!T187)</f>
        <v/>
      </c>
      <c r="AM187">
        <f>IF(A187="","",'01_Master_Data'!S187)</f>
        <v/>
      </c>
      <c r="AN187">
        <f>IF(A187="","",'01_Master_Data'!I187)</f>
        <v/>
      </c>
      <c r="AO187">
        <f>IF(A187="","",'01_Master_Data'!M187)</f>
        <v/>
      </c>
      <c r="AP187">
        <f>IF(A187="","",IF(ISNUMBER(SEARCH("Icici",W187&amp;"")),1,0))</f>
        <v/>
      </c>
      <c r="AQ187">
        <f>IF(A187="","",IF(ISNUMBER(SEARCH("Propelld",W187&amp;"")),1,0))</f>
        <v/>
      </c>
      <c r="AR187">
        <f>IF(A187="","",IF(ISNUMBER(SEARCH("GyanDhan",W187&amp;"")),1,0))</f>
        <v/>
      </c>
      <c r="AS187">
        <f>IF(A187="","",IF(ISNUMBER(SEARCH("vidyalakshmi",LOWER(W187&amp;""))),1,0))</f>
        <v/>
      </c>
      <c r="AT187">
        <f>IF(A187="","",IF(ISNUMBER(SEARCH("other bank",LOWER(W187&amp;""))),1,0))</f>
        <v/>
      </c>
      <c r="AU187">
        <f>IF(A187="","",IF(ISNUMBER(SEARCH("sanctioned",LOWER(W187&amp;""))),1,0))</f>
        <v/>
      </c>
      <c r="AV187">
        <f>IF(A187="","",IF(ISNUMBER(SEARCH("Docs Pending",W187&amp;"")),1,0))</f>
        <v/>
      </c>
      <c r="AW187">
        <f>IF(A187="","",IF(OR(X187="Rejected",ISNUMBER(SEARCH("Not eligbile",W187&amp;""))),1,0))</f>
        <v/>
      </c>
    </row>
    <row r="188">
      <c r="A188">
        <f>IF('01_Master_Data'!B188="","",187)</f>
        <v/>
      </c>
      <c r="B188">
        <f>IF('01_Master_Data'!B188="","",IF('01_Master_Data'!C188&lt;&gt;"","MOB|"&amp;TEXT('01_Master_Data'!C188,"0"),IF('01_Master_Data'!D188&lt;&gt;"","PID|"&amp;TRIM('01_Master_Data'!D188&amp;""),"")))</f>
        <v/>
      </c>
      <c r="C188">
        <f>IF('01_Master_Data'!B188="","",'01_Master_Data'!B188)</f>
        <v/>
      </c>
      <c r="D188">
        <f>IF('01_Master_Data'!B188="","",'01_Master_Data'!C188)</f>
        <v/>
      </c>
      <c r="E188">
        <f>IF('01_Master_Data'!B188="","",'01_Master_Data'!D188)</f>
        <v/>
      </c>
      <c r="F188">
        <f>IF('01_Master_Data'!B188="","",'01_Master_Data'!E188)</f>
        <v/>
      </c>
      <c r="G188">
        <f>IF('01_Master_Data'!B188="","",IFERROR(VLOOKUP(TRIM('01_Master_Data'!E188&amp;""),'02_Configuration'!$A$40:$B$44,2,FALSE),UPPER(TRIM('01_Master_Data'!E188&amp;""))))</f>
        <v/>
      </c>
      <c r="H188">
        <f>IF('01_Master_Data'!B188="","",IF('01_Master_Data'!U188="","",TRIM('01_Master_Data'!U188&amp;"")))</f>
        <v/>
      </c>
      <c r="I188">
        <f>IF('01_Master_Data'!B188="","",TRIM('01_Master_Data'!F188&amp;""))</f>
        <v/>
      </c>
      <c r="J188">
        <f>IF('01_Master_Data'!B188="","",TRIM('01_Master_Data'!G188&amp;""))</f>
        <v/>
      </c>
      <c r="K188">
        <f>IF('01_Master_Data'!B188="","",'01_Master_Data'!H188)</f>
        <v/>
      </c>
      <c r="L188">
        <f>IF('01_Master_Data'!B188="","",IF(LOWER(TRIM('01_Master_Data'!V188&amp;""))="yes",1,0))</f>
        <v/>
      </c>
      <c r="M188">
        <f>IF('01_Master_Data'!B188="","",IF(LOWER(TRIM('01_Master_Data'!W188&amp;""))="yes",1,0))</f>
        <v/>
      </c>
      <c r="N188">
        <f>IF('01_Master_Data'!B188="","",IF(LOWER(TRIM('01_Master_Data'!X188&amp;""))="yes",1,0))</f>
        <v/>
      </c>
      <c r="O188">
        <f>IF('01_Master_Data'!B188="","",IF(LOWER(TRIM('01_Master_Data'!Y188&amp;""))="yes",1,0))</f>
        <v/>
      </c>
      <c r="P188">
        <f>IF('01_Master_Data'!B188="","",IF(LOWER(TRIM('01_Master_Data'!Z188&amp;""))="yes",1,0))</f>
        <v/>
      </c>
      <c r="Q188">
        <f>IF(A188="","",L188+M188+N188+O188+P188)</f>
        <v/>
      </c>
      <c r="R188">
        <f>IF(A188="","",IF(Q188&gt;1,"Yes","No"))</f>
        <v/>
      </c>
      <c r="S188">
        <f>IF(A188="","",TEXTJOIN(", ",TRUE,IF(L188=1,"ICICI",""),IF(M188=1,"Propelld",""),IF(N188=1,"Study4Buddy",""),IF(O188=1,"Poonawala Fincorp",""),IF(P188=1,"GyanDhan","")))</f>
        <v/>
      </c>
      <c r="T188">
        <f>IF(A188="","",IF(L188=1,"ICICI",IF(M188=1,"Propelld",IF(P188=1,"GyanDhan",IF(N188=1,"Study4Buddy",IF(O188=1,"Poonawala Fincorp",IF(ISNUMBER(SEARCH("GyanDhan",W188&amp;"")),"GyanDhan",IF(ISNUMBER(SEARCH("Icici",W188&amp;"")),"ICICI",IF(ISNUMBER(SEARCH("Propelld",W188&amp;"")),"Propelld",IF(ISNUMBER(SEARCH("vidyalakshmi",LOWER(W188&amp;"")),"PM Vidyalakshmi","—"))))))))))</f>
        <v/>
      </c>
      <c r="U188">
        <f>IF(A188="","",TRIM('01_Master_Data'!AA188&amp;""))</f>
        <v/>
      </c>
      <c r="V188">
        <f>IF(A188="","",TRIM('01_Master_Data'!AG188&amp;""))</f>
        <v/>
      </c>
      <c r="W188">
        <f>IF(A188="","",TRIM('01_Master_Data'!AH188&amp;""))</f>
        <v/>
      </c>
      <c r="X188">
        <f>IF(A188="","",IF(OR(LOWER(H188)="refund",LOWER(U188)="refund case"),"Refund",IF(OR(LOWER(H188)="dnp",LOWER(U188)="dnp"),"DNP",IF(OR(LOWER(V188)="disbursed",ISNUMBER(SEARCH("Disbursed",W188&amp;""))),"Disbursed",IF(OR(LOWER(V188)="loan proccessed/accepted",ISNUMBER(SEARCH("sanctioned",LOWER(W188&amp;"")))),"Sanctioned",IF(OR(LOWER(V188)="rejected",ISNUMBER(SEARCH("Not eligbile",W188&amp;"")),ISNUMBER(SEARCH("Not eligible",W188&amp;""))),"Rejected",IF(ISNUMBER(SEARCH("Docs Pending",W188&amp;"")),"Documents Pending",IF(AND(LOWER(H188)="yes",LOWER(V188)="ongoing"),"Processing",IF(AND(LOWER(H188)="yes",Q188&gt;0,OR(V188="",LOWER(V188)="not even started")),"Vendor Assigned",IF(AND(LOWER(H188)="yes",LOWER(V188)="not even started"),"Need Loan",IF(LOWER(H188)="yes","Loan Started",IF(LOWER(H188)="not sure","Interested",IF(OR(LOWER(H188)="no",LOWER(V188)="not required"),"Not Required","Unclassified")))))))))))))</f>
        <v/>
      </c>
      <c r="Y188">
        <f>IF(A188="","",IF(OR(X188="Sanctioned",X188="Disbursed",X188="Approved"),"Approved",IF(X188="Rejected","Rejected",IF(OR(X188="Processing",X188="Documents Pending",X188="Vendor Assigned"),"In Progress",IF(X188="Need Loan","Pending Start","—"))))</f>
        <v/>
      </c>
      <c r="Z188">
        <f>IF(A188="","",IF(X188="Disbursed","Disbursed",IF(X188="Sanctioned","Sanctioned - Awaiting Disbursement","Not Disbursed")))</f>
        <v/>
      </c>
      <c r="AA188">
        <f>IF(A188="","",IF(LOWER(TRIM('01_Master_Data'!AI188&amp;""))="yes","Need FLDG",IF(LOWER(TRIM('01_Master_Data'!AK188&amp;""))="yes","Need Vidyalakshmi",IF(LOWER(TRIM('01_Master_Data'!AJ188&amp;""))="yes","Need Review",IF(LOWER(J188)="critical","Critical",IF(LOWER(U188)="risk","Risk Case",IF(X188="Refund","Refund","Normal")))))))</f>
        <v/>
      </c>
      <c r="AB188">
        <f>IF(A188="","",IF(OR(LOWER(J188)="critical",LOWER(TRIM('01_Master_Data'!AI188&amp;""))="yes",LOWER(TRIM('01_Master_Data'!AK188&amp;""))="yes",LOWER(U188)="risk"),"Yes","No"))</f>
        <v/>
      </c>
      <c r="AC188">
        <f>IF(A188="","",IF(LOWER(TRIM('01_Master_Data'!AI188&amp;""))="yes","Yes","No"))</f>
        <v/>
      </c>
      <c r="AD188">
        <f>IF(A188="","",IF(LOWER(TRIM('01_Master_Data'!AK188&amp;""))="yes","Yes","No"))</f>
        <v/>
      </c>
      <c r="AE188">
        <f>IF(A188="","",IF(LOWER(TRIM('01_Master_Data'!AJ188&amp;""))="yes","Yes","No"))</f>
        <v/>
      </c>
      <c r="AF188">
        <f>IF(A188="","",TRIM('01_Master_Data'!AL188&amp;""))</f>
        <v/>
      </c>
      <c r="AG188">
        <f>IF(A188="","",IF(AF188="","—",IF(ISNUMBER(SEARCH("DNP",AF188)),"Unreachable / DNP",IF(ISNUMBER(SEARCH("interest",LOWER(AF188))),"High Interest / Terms",IF(OR(ISNUMBER(SEARCH("eligib",LOWER(AF188))),ISNUMBER(SEARCH("income",LOWER(AF188)))),"Eligibility / Income",IF(OR(ISNUMBER(SEARCH("start",LOWER(AF188))),ISNUMBER(SEARCH("Newer",AF188)),ISNUMBER(SEARCH("Will start",AF188))),"Process Yet to Start",IF(ISNUMBER(SEARCH("sure",LOWER(AF188))),"Undecided",IF(OR(ISNUMBER(SEARCH("reject",LOWER(AF188))),ISNUMBER(SEARCH("SBI",AF188))),"Rejected Elsewhere",IF(ISNUMBER(SEARCH("call",LOWER(AF188))),"Bank Communication",IF(OR(ISNUMBER(SEARCH("father",LOWER(AF188))),ISNUMBER(SEARCH("sister",LOWER(AF188)))),"Family / Dependency","Other"))))))))))</f>
        <v/>
      </c>
      <c r="AH188">
        <f>IF(A188="","",'01_Master_Data'!AC188)</f>
        <v/>
      </c>
      <c r="AI188">
        <f>IF(A188="","",IF(OR(AH188="",NOT(ISNUMBER(AH188))),"",MAX(0,'02_Configuration'!$B$82-AH188)))</f>
        <v/>
      </c>
      <c r="AJ188">
        <f>IF(A188="","",IF(AI188="","Unknown",IF(AI188&lt;=3,"0–3 Days",IF(AI188&lt;=7,"4–7 Days",IF(AI188&lt;=15,"8–15 Days",IF(AI188&lt;=30,"16–30 Days","30+ Days"))))))</f>
        <v/>
      </c>
      <c r="AK188">
        <f>IF(A188="","",IF(LOWER(H188)="yes","Yes","No"))</f>
        <v/>
      </c>
      <c r="AL188">
        <f>IF(A188="","",'01_Master_Data'!T188)</f>
        <v/>
      </c>
      <c r="AM188">
        <f>IF(A188="","",'01_Master_Data'!S188)</f>
        <v/>
      </c>
      <c r="AN188">
        <f>IF(A188="","",'01_Master_Data'!I188)</f>
        <v/>
      </c>
      <c r="AO188">
        <f>IF(A188="","",'01_Master_Data'!M188)</f>
        <v/>
      </c>
      <c r="AP188">
        <f>IF(A188="","",IF(ISNUMBER(SEARCH("Icici",W188&amp;"")),1,0))</f>
        <v/>
      </c>
      <c r="AQ188">
        <f>IF(A188="","",IF(ISNUMBER(SEARCH("Propelld",W188&amp;"")),1,0))</f>
        <v/>
      </c>
      <c r="AR188">
        <f>IF(A188="","",IF(ISNUMBER(SEARCH("GyanDhan",W188&amp;"")),1,0))</f>
        <v/>
      </c>
      <c r="AS188">
        <f>IF(A188="","",IF(ISNUMBER(SEARCH("vidyalakshmi",LOWER(W188&amp;""))),1,0))</f>
        <v/>
      </c>
      <c r="AT188">
        <f>IF(A188="","",IF(ISNUMBER(SEARCH("other bank",LOWER(W188&amp;""))),1,0))</f>
        <v/>
      </c>
      <c r="AU188">
        <f>IF(A188="","",IF(ISNUMBER(SEARCH("sanctioned",LOWER(W188&amp;""))),1,0))</f>
        <v/>
      </c>
      <c r="AV188">
        <f>IF(A188="","",IF(ISNUMBER(SEARCH("Docs Pending",W188&amp;"")),1,0))</f>
        <v/>
      </c>
      <c r="AW188">
        <f>IF(A188="","",IF(OR(X188="Rejected",ISNUMBER(SEARCH("Not eligbile",W188&amp;""))),1,0))</f>
        <v/>
      </c>
    </row>
    <row r="189">
      <c r="A189">
        <f>IF('01_Master_Data'!B189="","",188)</f>
        <v/>
      </c>
      <c r="B189">
        <f>IF('01_Master_Data'!B189="","",IF('01_Master_Data'!C189&lt;&gt;"","MOB|"&amp;TEXT('01_Master_Data'!C189,"0"),IF('01_Master_Data'!D189&lt;&gt;"","PID|"&amp;TRIM('01_Master_Data'!D189&amp;""),"")))</f>
        <v/>
      </c>
      <c r="C189">
        <f>IF('01_Master_Data'!B189="","",'01_Master_Data'!B189)</f>
        <v/>
      </c>
      <c r="D189">
        <f>IF('01_Master_Data'!B189="","",'01_Master_Data'!C189)</f>
        <v/>
      </c>
      <c r="E189">
        <f>IF('01_Master_Data'!B189="","",'01_Master_Data'!D189)</f>
        <v/>
      </c>
      <c r="F189">
        <f>IF('01_Master_Data'!B189="","",'01_Master_Data'!E189)</f>
        <v/>
      </c>
      <c r="G189">
        <f>IF('01_Master_Data'!B189="","",IFERROR(VLOOKUP(TRIM('01_Master_Data'!E189&amp;""),'02_Configuration'!$A$40:$B$44,2,FALSE),UPPER(TRIM('01_Master_Data'!E189&amp;""))))</f>
        <v/>
      </c>
      <c r="H189">
        <f>IF('01_Master_Data'!B189="","",IF('01_Master_Data'!U189="","",TRIM('01_Master_Data'!U189&amp;"")))</f>
        <v/>
      </c>
      <c r="I189">
        <f>IF('01_Master_Data'!B189="","",TRIM('01_Master_Data'!F189&amp;""))</f>
        <v/>
      </c>
      <c r="J189">
        <f>IF('01_Master_Data'!B189="","",TRIM('01_Master_Data'!G189&amp;""))</f>
        <v/>
      </c>
      <c r="K189">
        <f>IF('01_Master_Data'!B189="","",'01_Master_Data'!H189)</f>
        <v/>
      </c>
      <c r="L189">
        <f>IF('01_Master_Data'!B189="","",IF(LOWER(TRIM('01_Master_Data'!V189&amp;""))="yes",1,0))</f>
        <v/>
      </c>
      <c r="M189">
        <f>IF('01_Master_Data'!B189="","",IF(LOWER(TRIM('01_Master_Data'!W189&amp;""))="yes",1,0))</f>
        <v/>
      </c>
      <c r="N189">
        <f>IF('01_Master_Data'!B189="","",IF(LOWER(TRIM('01_Master_Data'!X189&amp;""))="yes",1,0))</f>
        <v/>
      </c>
      <c r="O189">
        <f>IF('01_Master_Data'!B189="","",IF(LOWER(TRIM('01_Master_Data'!Y189&amp;""))="yes",1,0))</f>
        <v/>
      </c>
      <c r="P189">
        <f>IF('01_Master_Data'!B189="","",IF(LOWER(TRIM('01_Master_Data'!Z189&amp;""))="yes",1,0))</f>
        <v/>
      </c>
      <c r="Q189">
        <f>IF(A189="","",L189+M189+N189+O189+P189)</f>
        <v/>
      </c>
      <c r="R189">
        <f>IF(A189="","",IF(Q189&gt;1,"Yes","No"))</f>
        <v/>
      </c>
      <c r="S189">
        <f>IF(A189="","",TEXTJOIN(", ",TRUE,IF(L189=1,"ICICI",""),IF(M189=1,"Propelld",""),IF(N189=1,"Study4Buddy",""),IF(O189=1,"Poonawala Fincorp",""),IF(P189=1,"GyanDhan","")))</f>
        <v/>
      </c>
      <c r="T189">
        <f>IF(A189="","",IF(L189=1,"ICICI",IF(M189=1,"Propelld",IF(P189=1,"GyanDhan",IF(N189=1,"Study4Buddy",IF(O189=1,"Poonawala Fincorp",IF(ISNUMBER(SEARCH("GyanDhan",W189&amp;"")),"GyanDhan",IF(ISNUMBER(SEARCH("Icici",W189&amp;"")),"ICICI",IF(ISNUMBER(SEARCH("Propelld",W189&amp;"")),"Propelld",IF(ISNUMBER(SEARCH("vidyalakshmi",LOWER(W189&amp;"")),"PM Vidyalakshmi","—"))))))))))</f>
        <v/>
      </c>
      <c r="U189">
        <f>IF(A189="","",TRIM('01_Master_Data'!AA189&amp;""))</f>
        <v/>
      </c>
      <c r="V189">
        <f>IF(A189="","",TRIM('01_Master_Data'!AG189&amp;""))</f>
        <v/>
      </c>
      <c r="W189">
        <f>IF(A189="","",TRIM('01_Master_Data'!AH189&amp;""))</f>
        <v/>
      </c>
      <c r="X189">
        <f>IF(A189="","",IF(OR(LOWER(H189)="refund",LOWER(U189)="refund case"),"Refund",IF(OR(LOWER(H189)="dnp",LOWER(U189)="dnp"),"DNP",IF(OR(LOWER(V189)="disbursed",ISNUMBER(SEARCH("Disbursed",W189&amp;""))),"Disbursed",IF(OR(LOWER(V189)="loan proccessed/accepted",ISNUMBER(SEARCH("sanctioned",LOWER(W189&amp;"")))),"Sanctioned",IF(OR(LOWER(V189)="rejected",ISNUMBER(SEARCH("Not eligbile",W189&amp;"")),ISNUMBER(SEARCH("Not eligible",W189&amp;""))),"Rejected",IF(ISNUMBER(SEARCH("Docs Pending",W189&amp;"")),"Documents Pending",IF(AND(LOWER(H189)="yes",LOWER(V189)="ongoing"),"Processing",IF(AND(LOWER(H189)="yes",Q189&gt;0,OR(V189="",LOWER(V189)="not even started")),"Vendor Assigned",IF(AND(LOWER(H189)="yes",LOWER(V189)="not even started"),"Need Loan",IF(LOWER(H189)="yes","Loan Started",IF(LOWER(H189)="not sure","Interested",IF(OR(LOWER(H189)="no",LOWER(V189)="not required"),"Not Required","Unclassified")))))))))))))</f>
        <v/>
      </c>
      <c r="Y189">
        <f>IF(A189="","",IF(OR(X189="Sanctioned",X189="Disbursed",X189="Approved"),"Approved",IF(X189="Rejected","Rejected",IF(OR(X189="Processing",X189="Documents Pending",X189="Vendor Assigned"),"In Progress",IF(X189="Need Loan","Pending Start","—"))))</f>
        <v/>
      </c>
      <c r="Z189">
        <f>IF(A189="","",IF(X189="Disbursed","Disbursed",IF(X189="Sanctioned","Sanctioned - Awaiting Disbursement","Not Disbursed")))</f>
        <v/>
      </c>
      <c r="AA189">
        <f>IF(A189="","",IF(LOWER(TRIM('01_Master_Data'!AI189&amp;""))="yes","Need FLDG",IF(LOWER(TRIM('01_Master_Data'!AK189&amp;""))="yes","Need Vidyalakshmi",IF(LOWER(TRIM('01_Master_Data'!AJ189&amp;""))="yes","Need Review",IF(LOWER(J189)="critical","Critical",IF(LOWER(U189)="risk","Risk Case",IF(X189="Refund","Refund","Normal")))))))</f>
        <v/>
      </c>
      <c r="AB189">
        <f>IF(A189="","",IF(OR(LOWER(J189)="critical",LOWER(TRIM('01_Master_Data'!AI189&amp;""))="yes",LOWER(TRIM('01_Master_Data'!AK189&amp;""))="yes",LOWER(U189)="risk"),"Yes","No"))</f>
        <v/>
      </c>
      <c r="AC189">
        <f>IF(A189="","",IF(LOWER(TRIM('01_Master_Data'!AI189&amp;""))="yes","Yes","No"))</f>
        <v/>
      </c>
      <c r="AD189">
        <f>IF(A189="","",IF(LOWER(TRIM('01_Master_Data'!AK189&amp;""))="yes","Yes","No"))</f>
        <v/>
      </c>
      <c r="AE189">
        <f>IF(A189="","",IF(LOWER(TRIM('01_Master_Data'!AJ189&amp;""))="yes","Yes","No"))</f>
        <v/>
      </c>
      <c r="AF189">
        <f>IF(A189="","",TRIM('01_Master_Data'!AL189&amp;""))</f>
        <v/>
      </c>
      <c r="AG189">
        <f>IF(A189="","",IF(AF189="","—",IF(ISNUMBER(SEARCH("DNP",AF189)),"Unreachable / DNP",IF(ISNUMBER(SEARCH("interest",LOWER(AF189))),"High Interest / Terms",IF(OR(ISNUMBER(SEARCH("eligib",LOWER(AF189))),ISNUMBER(SEARCH("income",LOWER(AF189)))),"Eligibility / Income",IF(OR(ISNUMBER(SEARCH("start",LOWER(AF189))),ISNUMBER(SEARCH("Newer",AF189)),ISNUMBER(SEARCH("Will start",AF189))),"Process Yet to Start",IF(ISNUMBER(SEARCH("sure",LOWER(AF189))),"Undecided",IF(OR(ISNUMBER(SEARCH("reject",LOWER(AF189))),ISNUMBER(SEARCH("SBI",AF189))),"Rejected Elsewhere",IF(ISNUMBER(SEARCH("call",LOWER(AF189))),"Bank Communication",IF(OR(ISNUMBER(SEARCH("father",LOWER(AF189))),ISNUMBER(SEARCH("sister",LOWER(AF189)))),"Family / Dependency","Other"))))))))))</f>
        <v/>
      </c>
      <c r="AH189">
        <f>IF(A189="","",'01_Master_Data'!AC189)</f>
        <v/>
      </c>
      <c r="AI189">
        <f>IF(A189="","",IF(OR(AH189="",NOT(ISNUMBER(AH189))),"",MAX(0,'02_Configuration'!$B$82-AH189)))</f>
        <v/>
      </c>
      <c r="AJ189">
        <f>IF(A189="","",IF(AI189="","Unknown",IF(AI189&lt;=3,"0–3 Days",IF(AI189&lt;=7,"4–7 Days",IF(AI189&lt;=15,"8–15 Days",IF(AI189&lt;=30,"16–30 Days","30+ Days"))))))</f>
        <v/>
      </c>
      <c r="AK189">
        <f>IF(A189="","",IF(LOWER(H189)="yes","Yes","No"))</f>
        <v/>
      </c>
      <c r="AL189">
        <f>IF(A189="","",'01_Master_Data'!T189)</f>
        <v/>
      </c>
      <c r="AM189">
        <f>IF(A189="","",'01_Master_Data'!S189)</f>
        <v/>
      </c>
      <c r="AN189">
        <f>IF(A189="","",'01_Master_Data'!I189)</f>
        <v/>
      </c>
      <c r="AO189">
        <f>IF(A189="","",'01_Master_Data'!M189)</f>
        <v/>
      </c>
      <c r="AP189">
        <f>IF(A189="","",IF(ISNUMBER(SEARCH("Icici",W189&amp;"")),1,0))</f>
        <v/>
      </c>
      <c r="AQ189">
        <f>IF(A189="","",IF(ISNUMBER(SEARCH("Propelld",W189&amp;"")),1,0))</f>
        <v/>
      </c>
      <c r="AR189">
        <f>IF(A189="","",IF(ISNUMBER(SEARCH("GyanDhan",W189&amp;"")),1,0))</f>
        <v/>
      </c>
      <c r="AS189">
        <f>IF(A189="","",IF(ISNUMBER(SEARCH("vidyalakshmi",LOWER(W189&amp;""))),1,0))</f>
        <v/>
      </c>
      <c r="AT189">
        <f>IF(A189="","",IF(ISNUMBER(SEARCH("other bank",LOWER(W189&amp;""))),1,0))</f>
        <v/>
      </c>
      <c r="AU189">
        <f>IF(A189="","",IF(ISNUMBER(SEARCH("sanctioned",LOWER(W189&amp;""))),1,0))</f>
        <v/>
      </c>
      <c r="AV189">
        <f>IF(A189="","",IF(ISNUMBER(SEARCH("Docs Pending",W189&amp;"")),1,0))</f>
        <v/>
      </c>
      <c r="AW189">
        <f>IF(A189="","",IF(OR(X189="Rejected",ISNUMBER(SEARCH("Not eligbile",W189&amp;""))),1,0))</f>
        <v/>
      </c>
    </row>
    <row r="190">
      <c r="A190">
        <f>IF('01_Master_Data'!B190="","",189)</f>
        <v/>
      </c>
      <c r="B190">
        <f>IF('01_Master_Data'!B190="","",IF('01_Master_Data'!C190&lt;&gt;"","MOB|"&amp;TEXT('01_Master_Data'!C190,"0"),IF('01_Master_Data'!D190&lt;&gt;"","PID|"&amp;TRIM('01_Master_Data'!D190&amp;""),"")))</f>
        <v/>
      </c>
      <c r="C190">
        <f>IF('01_Master_Data'!B190="","",'01_Master_Data'!B190)</f>
        <v/>
      </c>
      <c r="D190">
        <f>IF('01_Master_Data'!B190="","",'01_Master_Data'!C190)</f>
        <v/>
      </c>
      <c r="E190">
        <f>IF('01_Master_Data'!B190="","",'01_Master_Data'!D190)</f>
        <v/>
      </c>
      <c r="F190">
        <f>IF('01_Master_Data'!B190="","",'01_Master_Data'!E190)</f>
        <v/>
      </c>
      <c r="G190">
        <f>IF('01_Master_Data'!B190="","",IFERROR(VLOOKUP(TRIM('01_Master_Data'!E190&amp;""),'02_Configuration'!$A$40:$B$44,2,FALSE),UPPER(TRIM('01_Master_Data'!E190&amp;""))))</f>
        <v/>
      </c>
      <c r="H190">
        <f>IF('01_Master_Data'!B190="","",IF('01_Master_Data'!U190="","",TRIM('01_Master_Data'!U190&amp;"")))</f>
        <v/>
      </c>
      <c r="I190">
        <f>IF('01_Master_Data'!B190="","",TRIM('01_Master_Data'!F190&amp;""))</f>
        <v/>
      </c>
      <c r="J190">
        <f>IF('01_Master_Data'!B190="","",TRIM('01_Master_Data'!G190&amp;""))</f>
        <v/>
      </c>
      <c r="K190">
        <f>IF('01_Master_Data'!B190="","",'01_Master_Data'!H190)</f>
        <v/>
      </c>
      <c r="L190">
        <f>IF('01_Master_Data'!B190="","",IF(LOWER(TRIM('01_Master_Data'!V190&amp;""))="yes",1,0))</f>
        <v/>
      </c>
      <c r="M190">
        <f>IF('01_Master_Data'!B190="","",IF(LOWER(TRIM('01_Master_Data'!W190&amp;""))="yes",1,0))</f>
        <v/>
      </c>
      <c r="N190">
        <f>IF('01_Master_Data'!B190="","",IF(LOWER(TRIM('01_Master_Data'!X190&amp;""))="yes",1,0))</f>
        <v/>
      </c>
      <c r="O190">
        <f>IF('01_Master_Data'!B190="","",IF(LOWER(TRIM('01_Master_Data'!Y190&amp;""))="yes",1,0))</f>
        <v/>
      </c>
      <c r="P190">
        <f>IF('01_Master_Data'!B190="","",IF(LOWER(TRIM('01_Master_Data'!Z190&amp;""))="yes",1,0))</f>
        <v/>
      </c>
      <c r="Q190">
        <f>IF(A190="","",L190+M190+N190+O190+P190)</f>
        <v/>
      </c>
      <c r="R190">
        <f>IF(A190="","",IF(Q190&gt;1,"Yes","No"))</f>
        <v/>
      </c>
      <c r="S190">
        <f>IF(A190="","",TEXTJOIN(", ",TRUE,IF(L190=1,"ICICI",""),IF(M190=1,"Propelld",""),IF(N190=1,"Study4Buddy",""),IF(O190=1,"Poonawala Fincorp",""),IF(P190=1,"GyanDhan","")))</f>
        <v/>
      </c>
      <c r="T190">
        <f>IF(A190="","",IF(L190=1,"ICICI",IF(M190=1,"Propelld",IF(P190=1,"GyanDhan",IF(N190=1,"Study4Buddy",IF(O190=1,"Poonawala Fincorp",IF(ISNUMBER(SEARCH("GyanDhan",W190&amp;"")),"GyanDhan",IF(ISNUMBER(SEARCH("Icici",W190&amp;"")),"ICICI",IF(ISNUMBER(SEARCH("Propelld",W190&amp;"")),"Propelld",IF(ISNUMBER(SEARCH("vidyalakshmi",LOWER(W190&amp;"")),"PM Vidyalakshmi","—"))))))))))</f>
        <v/>
      </c>
      <c r="U190">
        <f>IF(A190="","",TRIM('01_Master_Data'!AA190&amp;""))</f>
        <v/>
      </c>
      <c r="V190">
        <f>IF(A190="","",TRIM('01_Master_Data'!AG190&amp;""))</f>
        <v/>
      </c>
      <c r="W190">
        <f>IF(A190="","",TRIM('01_Master_Data'!AH190&amp;""))</f>
        <v/>
      </c>
      <c r="X190">
        <f>IF(A190="","",IF(OR(LOWER(H190)="refund",LOWER(U190)="refund case"),"Refund",IF(OR(LOWER(H190)="dnp",LOWER(U190)="dnp"),"DNP",IF(OR(LOWER(V190)="disbursed",ISNUMBER(SEARCH("Disbursed",W190&amp;""))),"Disbursed",IF(OR(LOWER(V190)="loan proccessed/accepted",ISNUMBER(SEARCH("sanctioned",LOWER(W190&amp;"")))),"Sanctioned",IF(OR(LOWER(V190)="rejected",ISNUMBER(SEARCH("Not eligbile",W190&amp;"")),ISNUMBER(SEARCH("Not eligible",W190&amp;""))),"Rejected",IF(ISNUMBER(SEARCH("Docs Pending",W190&amp;"")),"Documents Pending",IF(AND(LOWER(H190)="yes",LOWER(V190)="ongoing"),"Processing",IF(AND(LOWER(H190)="yes",Q190&gt;0,OR(V190="",LOWER(V190)="not even started")),"Vendor Assigned",IF(AND(LOWER(H190)="yes",LOWER(V190)="not even started"),"Need Loan",IF(LOWER(H190)="yes","Loan Started",IF(LOWER(H190)="not sure","Interested",IF(OR(LOWER(H190)="no",LOWER(V190)="not required"),"Not Required","Unclassified")))))))))))))</f>
        <v/>
      </c>
      <c r="Y190">
        <f>IF(A190="","",IF(OR(X190="Sanctioned",X190="Disbursed",X190="Approved"),"Approved",IF(X190="Rejected","Rejected",IF(OR(X190="Processing",X190="Documents Pending",X190="Vendor Assigned"),"In Progress",IF(X190="Need Loan","Pending Start","—"))))</f>
        <v/>
      </c>
      <c r="Z190">
        <f>IF(A190="","",IF(X190="Disbursed","Disbursed",IF(X190="Sanctioned","Sanctioned - Awaiting Disbursement","Not Disbursed")))</f>
        <v/>
      </c>
      <c r="AA190">
        <f>IF(A190="","",IF(LOWER(TRIM('01_Master_Data'!AI190&amp;""))="yes","Need FLDG",IF(LOWER(TRIM('01_Master_Data'!AK190&amp;""))="yes","Need Vidyalakshmi",IF(LOWER(TRIM('01_Master_Data'!AJ190&amp;""))="yes","Need Review",IF(LOWER(J190)="critical","Critical",IF(LOWER(U190)="risk","Risk Case",IF(X190="Refund","Refund","Normal")))))))</f>
        <v/>
      </c>
      <c r="AB190">
        <f>IF(A190="","",IF(OR(LOWER(J190)="critical",LOWER(TRIM('01_Master_Data'!AI190&amp;""))="yes",LOWER(TRIM('01_Master_Data'!AK190&amp;""))="yes",LOWER(U190)="risk"),"Yes","No"))</f>
        <v/>
      </c>
      <c r="AC190">
        <f>IF(A190="","",IF(LOWER(TRIM('01_Master_Data'!AI190&amp;""))="yes","Yes","No"))</f>
        <v/>
      </c>
      <c r="AD190">
        <f>IF(A190="","",IF(LOWER(TRIM('01_Master_Data'!AK190&amp;""))="yes","Yes","No"))</f>
        <v/>
      </c>
      <c r="AE190">
        <f>IF(A190="","",IF(LOWER(TRIM('01_Master_Data'!AJ190&amp;""))="yes","Yes","No"))</f>
        <v/>
      </c>
      <c r="AF190">
        <f>IF(A190="","",TRIM('01_Master_Data'!AL190&amp;""))</f>
        <v/>
      </c>
      <c r="AG190">
        <f>IF(A190="","",IF(AF190="","—",IF(ISNUMBER(SEARCH("DNP",AF190)),"Unreachable / DNP",IF(ISNUMBER(SEARCH("interest",LOWER(AF190))),"High Interest / Terms",IF(OR(ISNUMBER(SEARCH("eligib",LOWER(AF190))),ISNUMBER(SEARCH("income",LOWER(AF190)))),"Eligibility / Income",IF(OR(ISNUMBER(SEARCH("start",LOWER(AF190))),ISNUMBER(SEARCH("Newer",AF190)),ISNUMBER(SEARCH("Will start",AF190))),"Process Yet to Start",IF(ISNUMBER(SEARCH("sure",LOWER(AF190))),"Undecided",IF(OR(ISNUMBER(SEARCH("reject",LOWER(AF190))),ISNUMBER(SEARCH("SBI",AF190))),"Rejected Elsewhere",IF(ISNUMBER(SEARCH("call",LOWER(AF190))),"Bank Communication",IF(OR(ISNUMBER(SEARCH("father",LOWER(AF190))),ISNUMBER(SEARCH("sister",LOWER(AF190)))),"Family / Dependency","Other"))))))))))</f>
        <v/>
      </c>
      <c r="AH190">
        <f>IF(A190="","",'01_Master_Data'!AC190)</f>
        <v/>
      </c>
      <c r="AI190">
        <f>IF(A190="","",IF(OR(AH190="",NOT(ISNUMBER(AH190))),"",MAX(0,'02_Configuration'!$B$82-AH190)))</f>
        <v/>
      </c>
      <c r="AJ190">
        <f>IF(A190="","",IF(AI190="","Unknown",IF(AI190&lt;=3,"0–3 Days",IF(AI190&lt;=7,"4–7 Days",IF(AI190&lt;=15,"8–15 Days",IF(AI190&lt;=30,"16–30 Days","30+ Days"))))))</f>
        <v/>
      </c>
      <c r="AK190">
        <f>IF(A190="","",IF(LOWER(H190)="yes","Yes","No"))</f>
        <v/>
      </c>
      <c r="AL190">
        <f>IF(A190="","",'01_Master_Data'!T190)</f>
        <v/>
      </c>
      <c r="AM190">
        <f>IF(A190="","",'01_Master_Data'!S190)</f>
        <v/>
      </c>
      <c r="AN190">
        <f>IF(A190="","",'01_Master_Data'!I190)</f>
        <v/>
      </c>
      <c r="AO190">
        <f>IF(A190="","",'01_Master_Data'!M190)</f>
        <v/>
      </c>
      <c r="AP190">
        <f>IF(A190="","",IF(ISNUMBER(SEARCH("Icici",W190&amp;"")),1,0))</f>
        <v/>
      </c>
      <c r="AQ190">
        <f>IF(A190="","",IF(ISNUMBER(SEARCH("Propelld",W190&amp;"")),1,0))</f>
        <v/>
      </c>
      <c r="AR190">
        <f>IF(A190="","",IF(ISNUMBER(SEARCH("GyanDhan",W190&amp;"")),1,0))</f>
        <v/>
      </c>
      <c r="AS190">
        <f>IF(A190="","",IF(ISNUMBER(SEARCH("vidyalakshmi",LOWER(W190&amp;""))),1,0))</f>
        <v/>
      </c>
      <c r="AT190">
        <f>IF(A190="","",IF(ISNUMBER(SEARCH("other bank",LOWER(W190&amp;""))),1,0))</f>
        <v/>
      </c>
      <c r="AU190">
        <f>IF(A190="","",IF(ISNUMBER(SEARCH("sanctioned",LOWER(W190&amp;""))),1,0))</f>
        <v/>
      </c>
      <c r="AV190">
        <f>IF(A190="","",IF(ISNUMBER(SEARCH("Docs Pending",W190&amp;"")),1,0))</f>
        <v/>
      </c>
      <c r="AW190">
        <f>IF(A190="","",IF(OR(X190="Rejected",ISNUMBER(SEARCH("Not eligbile",W190&amp;""))),1,0))</f>
        <v/>
      </c>
    </row>
    <row r="191">
      <c r="A191">
        <f>IF('01_Master_Data'!B191="","",190)</f>
        <v/>
      </c>
      <c r="B191">
        <f>IF('01_Master_Data'!B191="","",IF('01_Master_Data'!C191&lt;&gt;"","MOB|"&amp;TEXT('01_Master_Data'!C191,"0"),IF('01_Master_Data'!D191&lt;&gt;"","PID|"&amp;TRIM('01_Master_Data'!D191&amp;""),"")))</f>
        <v/>
      </c>
      <c r="C191">
        <f>IF('01_Master_Data'!B191="","",'01_Master_Data'!B191)</f>
        <v/>
      </c>
      <c r="D191">
        <f>IF('01_Master_Data'!B191="","",'01_Master_Data'!C191)</f>
        <v/>
      </c>
      <c r="E191">
        <f>IF('01_Master_Data'!B191="","",'01_Master_Data'!D191)</f>
        <v/>
      </c>
      <c r="F191">
        <f>IF('01_Master_Data'!B191="","",'01_Master_Data'!E191)</f>
        <v/>
      </c>
      <c r="G191">
        <f>IF('01_Master_Data'!B191="","",IFERROR(VLOOKUP(TRIM('01_Master_Data'!E191&amp;""),'02_Configuration'!$A$40:$B$44,2,FALSE),UPPER(TRIM('01_Master_Data'!E191&amp;""))))</f>
        <v/>
      </c>
      <c r="H191">
        <f>IF('01_Master_Data'!B191="","",IF('01_Master_Data'!U191="","",TRIM('01_Master_Data'!U191&amp;"")))</f>
        <v/>
      </c>
      <c r="I191">
        <f>IF('01_Master_Data'!B191="","",TRIM('01_Master_Data'!F191&amp;""))</f>
        <v/>
      </c>
      <c r="J191">
        <f>IF('01_Master_Data'!B191="","",TRIM('01_Master_Data'!G191&amp;""))</f>
        <v/>
      </c>
      <c r="K191">
        <f>IF('01_Master_Data'!B191="","",'01_Master_Data'!H191)</f>
        <v/>
      </c>
      <c r="L191">
        <f>IF('01_Master_Data'!B191="","",IF(LOWER(TRIM('01_Master_Data'!V191&amp;""))="yes",1,0))</f>
        <v/>
      </c>
      <c r="M191">
        <f>IF('01_Master_Data'!B191="","",IF(LOWER(TRIM('01_Master_Data'!W191&amp;""))="yes",1,0))</f>
        <v/>
      </c>
      <c r="N191">
        <f>IF('01_Master_Data'!B191="","",IF(LOWER(TRIM('01_Master_Data'!X191&amp;""))="yes",1,0))</f>
        <v/>
      </c>
      <c r="O191">
        <f>IF('01_Master_Data'!B191="","",IF(LOWER(TRIM('01_Master_Data'!Y191&amp;""))="yes",1,0))</f>
        <v/>
      </c>
      <c r="P191">
        <f>IF('01_Master_Data'!B191="","",IF(LOWER(TRIM('01_Master_Data'!Z191&amp;""))="yes",1,0))</f>
        <v/>
      </c>
      <c r="Q191">
        <f>IF(A191="","",L191+M191+N191+O191+P191)</f>
        <v/>
      </c>
      <c r="R191">
        <f>IF(A191="","",IF(Q191&gt;1,"Yes","No"))</f>
        <v/>
      </c>
      <c r="S191">
        <f>IF(A191="","",TEXTJOIN(", ",TRUE,IF(L191=1,"ICICI",""),IF(M191=1,"Propelld",""),IF(N191=1,"Study4Buddy",""),IF(O191=1,"Poonawala Fincorp",""),IF(P191=1,"GyanDhan","")))</f>
        <v/>
      </c>
      <c r="T191">
        <f>IF(A191="","",IF(L191=1,"ICICI",IF(M191=1,"Propelld",IF(P191=1,"GyanDhan",IF(N191=1,"Study4Buddy",IF(O191=1,"Poonawala Fincorp",IF(ISNUMBER(SEARCH("GyanDhan",W191&amp;"")),"GyanDhan",IF(ISNUMBER(SEARCH("Icici",W191&amp;"")),"ICICI",IF(ISNUMBER(SEARCH("Propelld",W191&amp;"")),"Propelld",IF(ISNUMBER(SEARCH("vidyalakshmi",LOWER(W191&amp;"")),"PM Vidyalakshmi","—"))))))))))</f>
        <v/>
      </c>
      <c r="U191">
        <f>IF(A191="","",TRIM('01_Master_Data'!AA191&amp;""))</f>
        <v/>
      </c>
      <c r="V191">
        <f>IF(A191="","",TRIM('01_Master_Data'!AG191&amp;""))</f>
        <v/>
      </c>
      <c r="W191">
        <f>IF(A191="","",TRIM('01_Master_Data'!AH191&amp;""))</f>
        <v/>
      </c>
      <c r="X191">
        <f>IF(A191="","",IF(OR(LOWER(H191)="refund",LOWER(U191)="refund case"),"Refund",IF(OR(LOWER(H191)="dnp",LOWER(U191)="dnp"),"DNP",IF(OR(LOWER(V191)="disbursed",ISNUMBER(SEARCH("Disbursed",W191&amp;""))),"Disbursed",IF(OR(LOWER(V191)="loan proccessed/accepted",ISNUMBER(SEARCH("sanctioned",LOWER(W191&amp;"")))),"Sanctioned",IF(OR(LOWER(V191)="rejected",ISNUMBER(SEARCH("Not eligbile",W191&amp;"")),ISNUMBER(SEARCH("Not eligible",W191&amp;""))),"Rejected",IF(ISNUMBER(SEARCH("Docs Pending",W191&amp;"")),"Documents Pending",IF(AND(LOWER(H191)="yes",LOWER(V191)="ongoing"),"Processing",IF(AND(LOWER(H191)="yes",Q191&gt;0,OR(V191="",LOWER(V191)="not even started")),"Vendor Assigned",IF(AND(LOWER(H191)="yes",LOWER(V191)="not even started"),"Need Loan",IF(LOWER(H191)="yes","Loan Started",IF(LOWER(H191)="not sure","Interested",IF(OR(LOWER(H191)="no",LOWER(V191)="not required"),"Not Required","Unclassified")))))))))))))</f>
        <v/>
      </c>
      <c r="Y191">
        <f>IF(A191="","",IF(OR(X191="Sanctioned",X191="Disbursed",X191="Approved"),"Approved",IF(X191="Rejected","Rejected",IF(OR(X191="Processing",X191="Documents Pending",X191="Vendor Assigned"),"In Progress",IF(X191="Need Loan","Pending Start","—"))))</f>
        <v/>
      </c>
      <c r="Z191">
        <f>IF(A191="","",IF(X191="Disbursed","Disbursed",IF(X191="Sanctioned","Sanctioned - Awaiting Disbursement","Not Disbursed")))</f>
        <v/>
      </c>
      <c r="AA191">
        <f>IF(A191="","",IF(LOWER(TRIM('01_Master_Data'!AI191&amp;""))="yes","Need FLDG",IF(LOWER(TRIM('01_Master_Data'!AK191&amp;""))="yes","Need Vidyalakshmi",IF(LOWER(TRIM('01_Master_Data'!AJ191&amp;""))="yes","Need Review",IF(LOWER(J191)="critical","Critical",IF(LOWER(U191)="risk","Risk Case",IF(X191="Refund","Refund","Normal")))))))</f>
        <v/>
      </c>
      <c r="AB191">
        <f>IF(A191="","",IF(OR(LOWER(J191)="critical",LOWER(TRIM('01_Master_Data'!AI191&amp;""))="yes",LOWER(TRIM('01_Master_Data'!AK191&amp;""))="yes",LOWER(U191)="risk"),"Yes","No"))</f>
        <v/>
      </c>
      <c r="AC191">
        <f>IF(A191="","",IF(LOWER(TRIM('01_Master_Data'!AI191&amp;""))="yes","Yes","No"))</f>
        <v/>
      </c>
      <c r="AD191">
        <f>IF(A191="","",IF(LOWER(TRIM('01_Master_Data'!AK191&amp;""))="yes","Yes","No"))</f>
        <v/>
      </c>
      <c r="AE191">
        <f>IF(A191="","",IF(LOWER(TRIM('01_Master_Data'!AJ191&amp;""))="yes","Yes","No"))</f>
        <v/>
      </c>
      <c r="AF191">
        <f>IF(A191="","",TRIM('01_Master_Data'!AL191&amp;""))</f>
        <v/>
      </c>
      <c r="AG191">
        <f>IF(A191="","",IF(AF191="","—",IF(ISNUMBER(SEARCH("DNP",AF191)),"Unreachable / DNP",IF(ISNUMBER(SEARCH("interest",LOWER(AF191))),"High Interest / Terms",IF(OR(ISNUMBER(SEARCH("eligib",LOWER(AF191))),ISNUMBER(SEARCH("income",LOWER(AF191)))),"Eligibility / Income",IF(OR(ISNUMBER(SEARCH("start",LOWER(AF191))),ISNUMBER(SEARCH("Newer",AF191)),ISNUMBER(SEARCH("Will start",AF191))),"Process Yet to Start",IF(ISNUMBER(SEARCH("sure",LOWER(AF191))),"Undecided",IF(OR(ISNUMBER(SEARCH("reject",LOWER(AF191))),ISNUMBER(SEARCH("SBI",AF191))),"Rejected Elsewhere",IF(ISNUMBER(SEARCH("call",LOWER(AF191))),"Bank Communication",IF(OR(ISNUMBER(SEARCH("father",LOWER(AF191))),ISNUMBER(SEARCH("sister",LOWER(AF191)))),"Family / Dependency","Other"))))))))))</f>
        <v/>
      </c>
      <c r="AH191">
        <f>IF(A191="","",'01_Master_Data'!AC191)</f>
        <v/>
      </c>
      <c r="AI191">
        <f>IF(A191="","",IF(OR(AH191="",NOT(ISNUMBER(AH191))),"",MAX(0,'02_Configuration'!$B$82-AH191)))</f>
        <v/>
      </c>
      <c r="AJ191">
        <f>IF(A191="","",IF(AI191="","Unknown",IF(AI191&lt;=3,"0–3 Days",IF(AI191&lt;=7,"4–7 Days",IF(AI191&lt;=15,"8–15 Days",IF(AI191&lt;=30,"16–30 Days","30+ Days"))))))</f>
        <v/>
      </c>
      <c r="AK191">
        <f>IF(A191="","",IF(LOWER(H191)="yes","Yes","No"))</f>
        <v/>
      </c>
      <c r="AL191">
        <f>IF(A191="","",'01_Master_Data'!T191)</f>
        <v/>
      </c>
      <c r="AM191">
        <f>IF(A191="","",'01_Master_Data'!S191)</f>
        <v/>
      </c>
      <c r="AN191">
        <f>IF(A191="","",'01_Master_Data'!I191)</f>
        <v/>
      </c>
      <c r="AO191">
        <f>IF(A191="","",'01_Master_Data'!M191)</f>
        <v/>
      </c>
      <c r="AP191">
        <f>IF(A191="","",IF(ISNUMBER(SEARCH("Icici",W191&amp;"")),1,0))</f>
        <v/>
      </c>
      <c r="AQ191">
        <f>IF(A191="","",IF(ISNUMBER(SEARCH("Propelld",W191&amp;"")),1,0))</f>
        <v/>
      </c>
      <c r="AR191">
        <f>IF(A191="","",IF(ISNUMBER(SEARCH("GyanDhan",W191&amp;"")),1,0))</f>
        <v/>
      </c>
      <c r="AS191">
        <f>IF(A191="","",IF(ISNUMBER(SEARCH("vidyalakshmi",LOWER(W191&amp;""))),1,0))</f>
        <v/>
      </c>
      <c r="AT191">
        <f>IF(A191="","",IF(ISNUMBER(SEARCH("other bank",LOWER(W191&amp;""))),1,0))</f>
        <v/>
      </c>
      <c r="AU191">
        <f>IF(A191="","",IF(ISNUMBER(SEARCH("sanctioned",LOWER(W191&amp;""))),1,0))</f>
        <v/>
      </c>
      <c r="AV191">
        <f>IF(A191="","",IF(ISNUMBER(SEARCH("Docs Pending",W191&amp;"")),1,0))</f>
        <v/>
      </c>
      <c r="AW191">
        <f>IF(A191="","",IF(OR(X191="Rejected",ISNUMBER(SEARCH("Not eligbile",W191&amp;""))),1,0))</f>
        <v/>
      </c>
    </row>
    <row r="192">
      <c r="A192">
        <f>IF('01_Master_Data'!B192="","",191)</f>
        <v/>
      </c>
      <c r="B192">
        <f>IF('01_Master_Data'!B192="","",IF('01_Master_Data'!C192&lt;&gt;"","MOB|"&amp;TEXT('01_Master_Data'!C192,"0"),IF('01_Master_Data'!D192&lt;&gt;"","PID|"&amp;TRIM('01_Master_Data'!D192&amp;""),"")))</f>
        <v/>
      </c>
      <c r="C192">
        <f>IF('01_Master_Data'!B192="","",'01_Master_Data'!B192)</f>
        <v/>
      </c>
      <c r="D192">
        <f>IF('01_Master_Data'!B192="","",'01_Master_Data'!C192)</f>
        <v/>
      </c>
      <c r="E192">
        <f>IF('01_Master_Data'!B192="","",'01_Master_Data'!D192)</f>
        <v/>
      </c>
      <c r="F192">
        <f>IF('01_Master_Data'!B192="","",'01_Master_Data'!E192)</f>
        <v/>
      </c>
      <c r="G192">
        <f>IF('01_Master_Data'!B192="","",IFERROR(VLOOKUP(TRIM('01_Master_Data'!E192&amp;""),'02_Configuration'!$A$40:$B$44,2,FALSE),UPPER(TRIM('01_Master_Data'!E192&amp;""))))</f>
        <v/>
      </c>
      <c r="H192">
        <f>IF('01_Master_Data'!B192="","",IF('01_Master_Data'!U192="","",TRIM('01_Master_Data'!U192&amp;"")))</f>
        <v/>
      </c>
      <c r="I192">
        <f>IF('01_Master_Data'!B192="","",TRIM('01_Master_Data'!F192&amp;""))</f>
        <v/>
      </c>
      <c r="J192">
        <f>IF('01_Master_Data'!B192="","",TRIM('01_Master_Data'!G192&amp;""))</f>
        <v/>
      </c>
      <c r="K192">
        <f>IF('01_Master_Data'!B192="","",'01_Master_Data'!H192)</f>
        <v/>
      </c>
      <c r="L192">
        <f>IF('01_Master_Data'!B192="","",IF(LOWER(TRIM('01_Master_Data'!V192&amp;""))="yes",1,0))</f>
        <v/>
      </c>
      <c r="M192">
        <f>IF('01_Master_Data'!B192="","",IF(LOWER(TRIM('01_Master_Data'!W192&amp;""))="yes",1,0))</f>
        <v/>
      </c>
      <c r="N192">
        <f>IF('01_Master_Data'!B192="","",IF(LOWER(TRIM('01_Master_Data'!X192&amp;""))="yes",1,0))</f>
        <v/>
      </c>
      <c r="O192">
        <f>IF('01_Master_Data'!B192="","",IF(LOWER(TRIM('01_Master_Data'!Y192&amp;""))="yes",1,0))</f>
        <v/>
      </c>
      <c r="P192">
        <f>IF('01_Master_Data'!B192="","",IF(LOWER(TRIM('01_Master_Data'!Z192&amp;""))="yes",1,0))</f>
        <v/>
      </c>
      <c r="Q192">
        <f>IF(A192="","",L192+M192+N192+O192+P192)</f>
        <v/>
      </c>
      <c r="R192">
        <f>IF(A192="","",IF(Q192&gt;1,"Yes","No"))</f>
        <v/>
      </c>
      <c r="S192">
        <f>IF(A192="","",TEXTJOIN(", ",TRUE,IF(L192=1,"ICICI",""),IF(M192=1,"Propelld",""),IF(N192=1,"Study4Buddy",""),IF(O192=1,"Poonawala Fincorp",""),IF(P192=1,"GyanDhan","")))</f>
        <v/>
      </c>
      <c r="T192">
        <f>IF(A192="","",IF(L192=1,"ICICI",IF(M192=1,"Propelld",IF(P192=1,"GyanDhan",IF(N192=1,"Study4Buddy",IF(O192=1,"Poonawala Fincorp",IF(ISNUMBER(SEARCH("GyanDhan",W192&amp;"")),"GyanDhan",IF(ISNUMBER(SEARCH("Icici",W192&amp;"")),"ICICI",IF(ISNUMBER(SEARCH("Propelld",W192&amp;"")),"Propelld",IF(ISNUMBER(SEARCH("vidyalakshmi",LOWER(W192&amp;"")),"PM Vidyalakshmi","—"))))))))))</f>
        <v/>
      </c>
      <c r="U192">
        <f>IF(A192="","",TRIM('01_Master_Data'!AA192&amp;""))</f>
        <v/>
      </c>
      <c r="V192">
        <f>IF(A192="","",TRIM('01_Master_Data'!AG192&amp;""))</f>
        <v/>
      </c>
      <c r="W192">
        <f>IF(A192="","",TRIM('01_Master_Data'!AH192&amp;""))</f>
        <v/>
      </c>
      <c r="X192">
        <f>IF(A192="","",IF(OR(LOWER(H192)="refund",LOWER(U192)="refund case"),"Refund",IF(OR(LOWER(H192)="dnp",LOWER(U192)="dnp"),"DNP",IF(OR(LOWER(V192)="disbursed",ISNUMBER(SEARCH("Disbursed",W192&amp;""))),"Disbursed",IF(OR(LOWER(V192)="loan proccessed/accepted",ISNUMBER(SEARCH("sanctioned",LOWER(W192&amp;"")))),"Sanctioned",IF(OR(LOWER(V192)="rejected",ISNUMBER(SEARCH("Not eligbile",W192&amp;"")),ISNUMBER(SEARCH("Not eligible",W192&amp;""))),"Rejected",IF(ISNUMBER(SEARCH("Docs Pending",W192&amp;"")),"Documents Pending",IF(AND(LOWER(H192)="yes",LOWER(V192)="ongoing"),"Processing",IF(AND(LOWER(H192)="yes",Q192&gt;0,OR(V192="",LOWER(V192)="not even started")),"Vendor Assigned",IF(AND(LOWER(H192)="yes",LOWER(V192)="not even started"),"Need Loan",IF(LOWER(H192)="yes","Loan Started",IF(LOWER(H192)="not sure","Interested",IF(OR(LOWER(H192)="no",LOWER(V192)="not required"),"Not Required","Unclassified")))))))))))))</f>
        <v/>
      </c>
      <c r="Y192">
        <f>IF(A192="","",IF(OR(X192="Sanctioned",X192="Disbursed",X192="Approved"),"Approved",IF(X192="Rejected","Rejected",IF(OR(X192="Processing",X192="Documents Pending",X192="Vendor Assigned"),"In Progress",IF(X192="Need Loan","Pending Start","—"))))</f>
        <v/>
      </c>
      <c r="Z192">
        <f>IF(A192="","",IF(X192="Disbursed","Disbursed",IF(X192="Sanctioned","Sanctioned - Awaiting Disbursement","Not Disbursed")))</f>
        <v/>
      </c>
      <c r="AA192">
        <f>IF(A192="","",IF(LOWER(TRIM('01_Master_Data'!AI192&amp;""))="yes","Need FLDG",IF(LOWER(TRIM('01_Master_Data'!AK192&amp;""))="yes","Need Vidyalakshmi",IF(LOWER(TRIM('01_Master_Data'!AJ192&amp;""))="yes","Need Review",IF(LOWER(J192)="critical","Critical",IF(LOWER(U192)="risk","Risk Case",IF(X192="Refund","Refund","Normal")))))))</f>
        <v/>
      </c>
      <c r="AB192">
        <f>IF(A192="","",IF(OR(LOWER(J192)="critical",LOWER(TRIM('01_Master_Data'!AI192&amp;""))="yes",LOWER(TRIM('01_Master_Data'!AK192&amp;""))="yes",LOWER(U192)="risk"),"Yes","No"))</f>
        <v/>
      </c>
      <c r="AC192">
        <f>IF(A192="","",IF(LOWER(TRIM('01_Master_Data'!AI192&amp;""))="yes","Yes","No"))</f>
        <v/>
      </c>
      <c r="AD192">
        <f>IF(A192="","",IF(LOWER(TRIM('01_Master_Data'!AK192&amp;""))="yes","Yes","No"))</f>
        <v/>
      </c>
      <c r="AE192">
        <f>IF(A192="","",IF(LOWER(TRIM('01_Master_Data'!AJ192&amp;""))="yes","Yes","No"))</f>
        <v/>
      </c>
      <c r="AF192">
        <f>IF(A192="","",TRIM('01_Master_Data'!AL192&amp;""))</f>
        <v/>
      </c>
      <c r="AG192">
        <f>IF(A192="","",IF(AF192="","—",IF(ISNUMBER(SEARCH("DNP",AF192)),"Unreachable / DNP",IF(ISNUMBER(SEARCH("interest",LOWER(AF192))),"High Interest / Terms",IF(OR(ISNUMBER(SEARCH("eligib",LOWER(AF192))),ISNUMBER(SEARCH("income",LOWER(AF192)))),"Eligibility / Income",IF(OR(ISNUMBER(SEARCH("start",LOWER(AF192))),ISNUMBER(SEARCH("Newer",AF192)),ISNUMBER(SEARCH("Will start",AF192))),"Process Yet to Start",IF(ISNUMBER(SEARCH("sure",LOWER(AF192))),"Undecided",IF(OR(ISNUMBER(SEARCH("reject",LOWER(AF192))),ISNUMBER(SEARCH("SBI",AF192))),"Rejected Elsewhere",IF(ISNUMBER(SEARCH("call",LOWER(AF192))),"Bank Communication",IF(OR(ISNUMBER(SEARCH("father",LOWER(AF192))),ISNUMBER(SEARCH("sister",LOWER(AF192)))),"Family / Dependency","Other"))))))))))</f>
        <v/>
      </c>
      <c r="AH192">
        <f>IF(A192="","",'01_Master_Data'!AC192)</f>
        <v/>
      </c>
      <c r="AI192">
        <f>IF(A192="","",IF(OR(AH192="",NOT(ISNUMBER(AH192))),"",MAX(0,'02_Configuration'!$B$82-AH192)))</f>
        <v/>
      </c>
      <c r="AJ192">
        <f>IF(A192="","",IF(AI192="","Unknown",IF(AI192&lt;=3,"0–3 Days",IF(AI192&lt;=7,"4–7 Days",IF(AI192&lt;=15,"8–15 Days",IF(AI192&lt;=30,"16–30 Days","30+ Days"))))))</f>
        <v/>
      </c>
      <c r="AK192">
        <f>IF(A192="","",IF(LOWER(H192)="yes","Yes","No"))</f>
        <v/>
      </c>
      <c r="AL192">
        <f>IF(A192="","",'01_Master_Data'!T192)</f>
        <v/>
      </c>
      <c r="AM192">
        <f>IF(A192="","",'01_Master_Data'!S192)</f>
        <v/>
      </c>
      <c r="AN192">
        <f>IF(A192="","",'01_Master_Data'!I192)</f>
        <v/>
      </c>
      <c r="AO192">
        <f>IF(A192="","",'01_Master_Data'!M192)</f>
        <v/>
      </c>
      <c r="AP192">
        <f>IF(A192="","",IF(ISNUMBER(SEARCH("Icici",W192&amp;"")),1,0))</f>
        <v/>
      </c>
      <c r="AQ192">
        <f>IF(A192="","",IF(ISNUMBER(SEARCH("Propelld",W192&amp;"")),1,0))</f>
        <v/>
      </c>
      <c r="AR192">
        <f>IF(A192="","",IF(ISNUMBER(SEARCH("GyanDhan",W192&amp;"")),1,0))</f>
        <v/>
      </c>
      <c r="AS192">
        <f>IF(A192="","",IF(ISNUMBER(SEARCH("vidyalakshmi",LOWER(W192&amp;""))),1,0))</f>
        <v/>
      </c>
      <c r="AT192">
        <f>IF(A192="","",IF(ISNUMBER(SEARCH("other bank",LOWER(W192&amp;""))),1,0))</f>
        <v/>
      </c>
      <c r="AU192">
        <f>IF(A192="","",IF(ISNUMBER(SEARCH("sanctioned",LOWER(W192&amp;""))),1,0))</f>
        <v/>
      </c>
      <c r="AV192">
        <f>IF(A192="","",IF(ISNUMBER(SEARCH("Docs Pending",W192&amp;"")),1,0))</f>
        <v/>
      </c>
      <c r="AW192">
        <f>IF(A192="","",IF(OR(X192="Rejected",ISNUMBER(SEARCH("Not eligbile",W192&amp;""))),1,0))</f>
        <v/>
      </c>
    </row>
    <row r="193">
      <c r="A193">
        <f>IF('01_Master_Data'!B193="","",192)</f>
        <v/>
      </c>
      <c r="B193">
        <f>IF('01_Master_Data'!B193="","",IF('01_Master_Data'!C193&lt;&gt;"","MOB|"&amp;TEXT('01_Master_Data'!C193,"0"),IF('01_Master_Data'!D193&lt;&gt;"","PID|"&amp;TRIM('01_Master_Data'!D193&amp;""),"")))</f>
        <v/>
      </c>
      <c r="C193">
        <f>IF('01_Master_Data'!B193="","",'01_Master_Data'!B193)</f>
        <v/>
      </c>
      <c r="D193">
        <f>IF('01_Master_Data'!B193="","",'01_Master_Data'!C193)</f>
        <v/>
      </c>
      <c r="E193">
        <f>IF('01_Master_Data'!B193="","",'01_Master_Data'!D193)</f>
        <v/>
      </c>
      <c r="F193">
        <f>IF('01_Master_Data'!B193="","",'01_Master_Data'!E193)</f>
        <v/>
      </c>
      <c r="G193">
        <f>IF('01_Master_Data'!B193="","",IFERROR(VLOOKUP(TRIM('01_Master_Data'!E193&amp;""),'02_Configuration'!$A$40:$B$44,2,FALSE),UPPER(TRIM('01_Master_Data'!E193&amp;""))))</f>
        <v/>
      </c>
      <c r="H193">
        <f>IF('01_Master_Data'!B193="","",IF('01_Master_Data'!U193="","",TRIM('01_Master_Data'!U193&amp;"")))</f>
        <v/>
      </c>
      <c r="I193">
        <f>IF('01_Master_Data'!B193="","",TRIM('01_Master_Data'!F193&amp;""))</f>
        <v/>
      </c>
      <c r="J193">
        <f>IF('01_Master_Data'!B193="","",TRIM('01_Master_Data'!G193&amp;""))</f>
        <v/>
      </c>
      <c r="K193">
        <f>IF('01_Master_Data'!B193="","",'01_Master_Data'!H193)</f>
        <v/>
      </c>
      <c r="L193">
        <f>IF('01_Master_Data'!B193="","",IF(LOWER(TRIM('01_Master_Data'!V193&amp;""))="yes",1,0))</f>
        <v/>
      </c>
      <c r="M193">
        <f>IF('01_Master_Data'!B193="","",IF(LOWER(TRIM('01_Master_Data'!W193&amp;""))="yes",1,0))</f>
        <v/>
      </c>
      <c r="N193">
        <f>IF('01_Master_Data'!B193="","",IF(LOWER(TRIM('01_Master_Data'!X193&amp;""))="yes",1,0))</f>
        <v/>
      </c>
      <c r="O193">
        <f>IF('01_Master_Data'!B193="","",IF(LOWER(TRIM('01_Master_Data'!Y193&amp;""))="yes",1,0))</f>
        <v/>
      </c>
      <c r="P193">
        <f>IF('01_Master_Data'!B193="","",IF(LOWER(TRIM('01_Master_Data'!Z193&amp;""))="yes",1,0))</f>
        <v/>
      </c>
      <c r="Q193">
        <f>IF(A193="","",L193+M193+N193+O193+P193)</f>
        <v/>
      </c>
      <c r="R193">
        <f>IF(A193="","",IF(Q193&gt;1,"Yes","No"))</f>
        <v/>
      </c>
      <c r="S193">
        <f>IF(A193="","",TEXTJOIN(", ",TRUE,IF(L193=1,"ICICI",""),IF(M193=1,"Propelld",""),IF(N193=1,"Study4Buddy",""),IF(O193=1,"Poonawala Fincorp",""),IF(P193=1,"GyanDhan","")))</f>
        <v/>
      </c>
      <c r="T193">
        <f>IF(A193="","",IF(L193=1,"ICICI",IF(M193=1,"Propelld",IF(P193=1,"GyanDhan",IF(N193=1,"Study4Buddy",IF(O193=1,"Poonawala Fincorp",IF(ISNUMBER(SEARCH("GyanDhan",W193&amp;"")),"GyanDhan",IF(ISNUMBER(SEARCH("Icici",W193&amp;"")),"ICICI",IF(ISNUMBER(SEARCH("Propelld",W193&amp;"")),"Propelld",IF(ISNUMBER(SEARCH("vidyalakshmi",LOWER(W193&amp;"")),"PM Vidyalakshmi","—"))))))))))</f>
        <v/>
      </c>
      <c r="U193">
        <f>IF(A193="","",TRIM('01_Master_Data'!AA193&amp;""))</f>
        <v/>
      </c>
      <c r="V193">
        <f>IF(A193="","",TRIM('01_Master_Data'!AG193&amp;""))</f>
        <v/>
      </c>
      <c r="W193">
        <f>IF(A193="","",TRIM('01_Master_Data'!AH193&amp;""))</f>
        <v/>
      </c>
      <c r="X193">
        <f>IF(A193="","",IF(OR(LOWER(H193)="refund",LOWER(U193)="refund case"),"Refund",IF(OR(LOWER(H193)="dnp",LOWER(U193)="dnp"),"DNP",IF(OR(LOWER(V193)="disbursed",ISNUMBER(SEARCH("Disbursed",W193&amp;""))),"Disbursed",IF(OR(LOWER(V193)="loan proccessed/accepted",ISNUMBER(SEARCH("sanctioned",LOWER(W193&amp;"")))),"Sanctioned",IF(OR(LOWER(V193)="rejected",ISNUMBER(SEARCH("Not eligbile",W193&amp;"")),ISNUMBER(SEARCH("Not eligible",W193&amp;""))),"Rejected",IF(ISNUMBER(SEARCH("Docs Pending",W193&amp;"")),"Documents Pending",IF(AND(LOWER(H193)="yes",LOWER(V193)="ongoing"),"Processing",IF(AND(LOWER(H193)="yes",Q193&gt;0,OR(V193="",LOWER(V193)="not even started")),"Vendor Assigned",IF(AND(LOWER(H193)="yes",LOWER(V193)="not even started"),"Need Loan",IF(LOWER(H193)="yes","Loan Started",IF(LOWER(H193)="not sure","Interested",IF(OR(LOWER(H193)="no",LOWER(V193)="not required"),"Not Required","Unclassified")))))))))))))</f>
        <v/>
      </c>
      <c r="Y193">
        <f>IF(A193="","",IF(OR(X193="Sanctioned",X193="Disbursed",X193="Approved"),"Approved",IF(X193="Rejected","Rejected",IF(OR(X193="Processing",X193="Documents Pending",X193="Vendor Assigned"),"In Progress",IF(X193="Need Loan","Pending Start","—"))))</f>
        <v/>
      </c>
      <c r="Z193">
        <f>IF(A193="","",IF(X193="Disbursed","Disbursed",IF(X193="Sanctioned","Sanctioned - Awaiting Disbursement","Not Disbursed")))</f>
        <v/>
      </c>
      <c r="AA193">
        <f>IF(A193="","",IF(LOWER(TRIM('01_Master_Data'!AI193&amp;""))="yes","Need FLDG",IF(LOWER(TRIM('01_Master_Data'!AK193&amp;""))="yes","Need Vidyalakshmi",IF(LOWER(TRIM('01_Master_Data'!AJ193&amp;""))="yes","Need Review",IF(LOWER(J193)="critical","Critical",IF(LOWER(U193)="risk","Risk Case",IF(X193="Refund","Refund","Normal")))))))</f>
        <v/>
      </c>
      <c r="AB193">
        <f>IF(A193="","",IF(OR(LOWER(J193)="critical",LOWER(TRIM('01_Master_Data'!AI193&amp;""))="yes",LOWER(TRIM('01_Master_Data'!AK193&amp;""))="yes",LOWER(U193)="risk"),"Yes","No"))</f>
        <v/>
      </c>
      <c r="AC193">
        <f>IF(A193="","",IF(LOWER(TRIM('01_Master_Data'!AI193&amp;""))="yes","Yes","No"))</f>
        <v/>
      </c>
      <c r="AD193">
        <f>IF(A193="","",IF(LOWER(TRIM('01_Master_Data'!AK193&amp;""))="yes","Yes","No"))</f>
        <v/>
      </c>
      <c r="AE193">
        <f>IF(A193="","",IF(LOWER(TRIM('01_Master_Data'!AJ193&amp;""))="yes","Yes","No"))</f>
        <v/>
      </c>
      <c r="AF193">
        <f>IF(A193="","",TRIM('01_Master_Data'!AL193&amp;""))</f>
        <v/>
      </c>
      <c r="AG193">
        <f>IF(A193="","",IF(AF193="","—",IF(ISNUMBER(SEARCH("DNP",AF193)),"Unreachable / DNP",IF(ISNUMBER(SEARCH("interest",LOWER(AF193))),"High Interest / Terms",IF(OR(ISNUMBER(SEARCH("eligib",LOWER(AF193))),ISNUMBER(SEARCH("income",LOWER(AF193)))),"Eligibility / Income",IF(OR(ISNUMBER(SEARCH("start",LOWER(AF193))),ISNUMBER(SEARCH("Newer",AF193)),ISNUMBER(SEARCH("Will start",AF193))),"Process Yet to Start",IF(ISNUMBER(SEARCH("sure",LOWER(AF193))),"Undecided",IF(OR(ISNUMBER(SEARCH("reject",LOWER(AF193))),ISNUMBER(SEARCH("SBI",AF193))),"Rejected Elsewhere",IF(ISNUMBER(SEARCH("call",LOWER(AF193))),"Bank Communication",IF(OR(ISNUMBER(SEARCH("father",LOWER(AF193))),ISNUMBER(SEARCH("sister",LOWER(AF193)))),"Family / Dependency","Other"))))))))))</f>
        <v/>
      </c>
      <c r="AH193">
        <f>IF(A193="","",'01_Master_Data'!AC193)</f>
        <v/>
      </c>
      <c r="AI193">
        <f>IF(A193="","",IF(OR(AH193="",NOT(ISNUMBER(AH193))),"",MAX(0,'02_Configuration'!$B$82-AH193)))</f>
        <v/>
      </c>
      <c r="AJ193">
        <f>IF(A193="","",IF(AI193="","Unknown",IF(AI193&lt;=3,"0–3 Days",IF(AI193&lt;=7,"4–7 Days",IF(AI193&lt;=15,"8–15 Days",IF(AI193&lt;=30,"16–30 Days","30+ Days"))))))</f>
        <v/>
      </c>
      <c r="AK193">
        <f>IF(A193="","",IF(LOWER(H193)="yes","Yes","No"))</f>
        <v/>
      </c>
      <c r="AL193">
        <f>IF(A193="","",'01_Master_Data'!T193)</f>
        <v/>
      </c>
      <c r="AM193">
        <f>IF(A193="","",'01_Master_Data'!S193)</f>
        <v/>
      </c>
      <c r="AN193">
        <f>IF(A193="","",'01_Master_Data'!I193)</f>
        <v/>
      </c>
      <c r="AO193">
        <f>IF(A193="","",'01_Master_Data'!M193)</f>
        <v/>
      </c>
      <c r="AP193">
        <f>IF(A193="","",IF(ISNUMBER(SEARCH("Icici",W193&amp;"")),1,0))</f>
        <v/>
      </c>
      <c r="AQ193">
        <f>IF(A193="","",IF(ISNUMBER(SEARCH("Propelld",W193&amp;"")),1,0))</f>
        <v/>
      </c>
      <c r="AR193">
        <f>IF(A193="","",IF(ISNUMBER(SEARCH("GyanDhan",W193&amp;"")),1,0))</f>
        <v/>
      </c>
      <c r="AS193">
        <f>IF(A193="","",IF(ISNUMBER(SEARCH("vidyalakshmi",LOWER(W193&amp;""))),1,0))</f>
        <v/>
      </c>
      <c r="AT193">
        <f>IF(A193="","",IF(ISNUMBER(SEARCH("other bank",LOWER(W193&amp;""))),1,0))</f>
        <v/>
      </c>
      <c r="AU193">
        <f>IF(A193="","",IF(ISNUMBER(SEARCH("sanctioned",LOWER(W193&amp;""))),1,0))</f>
        <v/>
      </c>
      <c r="AV193">
        <f>IF(A193="","",IF(ISNUMBER(SEARCH("Docs Pending",W193&amp;"")),1,0))</f>
        <v/>
      </c>
      <c r="AW193">
        <f>IF(A193="","",IF(OR(X193="Rejected",ISNUMBER(SEARCH("Not eligbile",W193&amp;""))),1,0))</f>
        <v/>
      </c>
    </row>
    <row r="194">
      <c r="A194">
        <f>IF('01_Master_Data'!B194="","",193)</f>
        <v/>
      </c>
      <c r="B194">
        <f>IF('01_Master_Data'!B194="","",IF('01_Master_Data'!C194&lt;&gt;"","MOB|"&amp;TEXT('01_Master_Data'!C194,"0"),IF('01_Master_Data'!D194&lt;&gt;"","PID|"&amp;TRIM('01_Master_Data'!D194&amp;""),"")))</f>
        <v/>
      </c>
      <c r="C194">
        <f>IF('01_Master_Data'!B194="","",'01_Master_Data'!B194)</f>
        <v/>
      </c>
      <c r="D194">
        <f>IF('01_Master_Data'!B194="","",'01_Master_Data'!C194)</f>
        <v/>
      </c>
      <c r="E194">
        <f>IF('01_Master_Data'!B194="","",'01_Master_Data'!D194)</f>
        <v/>
      </c>
      <c r="F194">
        <f>IF('01_Master_Data'!B194="","",'01_Master_Data'!E194)</f>
        <v/>
      </c>
      <c r="G194">
        <f>IF('01_Master_Data'!B194="","",IFERROR(VLOOKUP(TRIM('01_Master_Data'!E194&amp;""),'02_Configuration'!$A$40:$B$44,2,FALSE),UPPER(TRIM('01_Master_Data'!E194&amp;""))))</f>
        <v/>
      </c>
      <c r="H194">
        <f>IF('01_Master_Data'!B194="","",IF('01_Master_Data'!U194="","",TRIM('01_Master_Data'!U194&amp;"")))</f>
        <v/>
      </c>
      <c r="I194">
        <f>IF('01_Master_Data'!B194="","",TRIM('01_Master_Data'!F194&amp;""))</f>
        <v/>
      </c>
      <c r="J194">
        <f>IF('01_Master_Data'!B194="","",TRIM('01_Master_Data'!G194&amp;""))</f>
        <v/>
      </c>
      <c r="K194">
        <f>IF('01_Master_Data'!B194="","",'01_Master_Data'!H194)</f>
        <v/>
      </c>
      <c r="L194">
        <f>IF('01_Master_Data'!B194="","",IF(LOWER(TRIM('01_Master_Data'!V194&amp;""))="yes",1,0))</f>
        <v/>
      </c>
      <c r="M194">
        <f>IF('01_Master_Data'!B194="","",IF(LOWER(TRIM('01_Master_Data'!W194&amp;""))="yes",1,0))</f>
        <v/>
      </c>
      <c r="N194">
        <f>IF('01_Master_Data'!B194="","",IF(LOWER(TRIM('01_Master_Data'!X194&amp;""))="yes",1,0))</f>
        <v/>
      </c>
      <c r="O194">
        <f>IF('01_Master_Data'!B194="","",IF(LOWER(TRIM('01_Master_Data'!Y194&amp;""))="yes",1,0))</f>
        <v/>
      </c>
      <c r="P194">
        <f>IF('01_Master_Data'!B194="","",IF(LOWER(TRIM('01_Master_Data'!Z194&amp;""))="yes",1,0))</f>
        <v/>
      </c>
      <c r="Q194">
        <f>IF(A194="","",L194+M194+N194+O194+P194)</f>
        <v/>
      </c>
      <c r="R194">
        <f>IF(A194="","",IF(Q194&gt;1,"Yes","No"))</f>
        <v/>
      </c>
      <c r="S194">
        <f>IF(A194="","",TEXTJOIN(", ",TRUE,IF(L194=1,"ICICI",""),IF(M194=1,"Propelld",""),IF(N194=1,"Study4Buddy",""),IF(O194=1,"Poonawala Fincorp",""),IF(P194=1,"GyanDhan","")))</f>
        <v/>
      </c>
      <c r="T194">
        <f>IF(A194="","",IF(L194=1,"ICICI",IF(M194=1,"Propelld",IF(P194=1,"GyanDhan",IF(N194=1,"Study4Buddy",IF(O194=1,"Poonawala Fincorp",IF(ISNUMBER(SEARCH("GyanDhan",W194&amp;"")),"GyanDhan",IF(ISNUMBER(SEARCH("Icici",W194&amp;"")),"ICICI",IF(ISNUMBER(SEARCH("Propelld",W194&amp;"")),"Propelld",IF(ISNUMBER(SEARCH("vidyalakshmi",LOWER(W194&amp;"")),"PM Vidyalakshmi","—"))))))))))</f>
        <v/>
      </c>
      <c r="U194">
        <f>IF(A194="","",TRIM('01_Master_Data'!AA194&amp;""))</f>
        <v/>
      </c>
      <c r="V194">
        <f>IF(A194="","",TRIM('01_Master_Data'!AG194&amp;""))</f>
        <v/>
      </c>
      <c r="W194">
        <f>IF(A194="","",TRIM('01_Master_Data'!AH194&amp;""))</f>
        <v/>
      </c>
      <c r="X194">
        <f>IF(A194="","",IF(OR(LOWER(H194)="refund",LOWER(U194)="refund case"),"Refund",IF(OR(LOWER(H194)="dnp",LOWER(U194)="dnp"),"DNP",IF(OR(LOWER(V194)="disbursed",ISNUMBER(SEARCH("Disbursed",W194&amp;""))),"Disbursed",IF(OR(LOWER(V194)="loan proccessed/accepted",ISNUMBER(SEARCH("sanctioned",LOWER(W194&amp;"")))),"Sanctioned",IF(OR(LOWER(V194)="rejected",ISNUMBER(SEARCH("Not eligbile",W194&amp;"")),ISNUMBER(SEARCH("Not eligible",W194&amp;""))),"Rejected",IF(ISNUMBER(SEARCH("Docs Pending",W194&amp;"")),"Documents Pending",IF(AND(LOWER(H194)="yes",LOWER(V194)="ongoing"),"Processing",IF(AND(LOWER(H194)="yes",Q194&gt;0,OR(V194="",LOWER(V194)="not even started")),"Vendor Assigned",IF(AND(LOWER(H194)="yes",LOWER(V194)="not even started"),"Need Loan",IF(LOWER(H194)="yes","Loan Started",IF(LOWER(H194)="not sure","Interested",IF(OR(LOWER(H194)="no",LOWER(V194)="not required"),"Not Required","Unclassified")))))))))))))</f>
        <v/>
      </c>
      <c r="Y194">
        <f>IF(A194="","",IF(OR(X194="Sanctioned",X194="Disbursed",X194="Approved"),"Approved",IF(X194="Rejected","Rejected",IF(OR(X194="Processing",X194="Documents Pending",X194="Vendor Assigned"),"In Progress",IF(X194="Need Loan","Pending Start","—"))))</f>
        <v/>
      </c>
      <c r="Z194">
        <f>IF(A194="","",IF(X194="Disbursed","Disbursed",IF(X194="Sanctioned","Sanctioned - Awaiting Disbursement","Not Disbursed")))</f>
        <v/>
      </c>
      <c r="AA194">
        <f>IF(A194="","",IF(LOWER(TRIM('01_Master_Data'!AI194&amp;""))="yes","Need FLDG",IF(LOWER(TRIM('01_Master_Data'!AK194&amp;""))="yes","Need Vidyalakshmi",IF(LOWER(TRIM('01_Master_Data'!AJ194&amp;""))="yes","Need Review",IF(LOWER(J194)="critical","Critical",IF(LOWER(U194)="risk","Risk Case",IF(X194="Refund","Refund","Normal")))))))</f>
        <v/>
      </c>
      <c r="AB194">
        <f>IF(A194="","",IF(OR(LOWER(J194)="critical",LOWER(TRIM('01_Master_Data'!AI194&amp;""))="yes",LOWER(TRIM('01_Master_Data'!AK194&amp;""))="yes",LOWER(U194)="risk"),"Yes","No"))</f>
        <v/>
      </c>
      <c r="AC194">
        <f>IF(A194="","",IF(LOWER(TRIM('01_Master_Data'!AI194&amp;""))="yes","Yes","No"))</f>
        <v/>
      </c>
      <c r="AD194">
        <f>IF(A194="","",IF(LOWER(TRIM('01_Master_Data'!AK194&amp;""))="yes","Yes","No"))</f>
        <v/>
      </c>
      <c r="AE194">
        <f>IF(A194="","",IF(LOWER(TRIM('01_Master_Data'!AJ194&amp;""))="yes","Yes","No"))</f>
        <v/>
      </c>
      <c r="AF194">
        <f>IF(A194="","",TRIM('01_Master_Data'!AL194&amp;""))</f>
        <v/>
      </c>
      <c r="AG194">
        <f>IF(A194="","",IF(AF194="","—",IF(ISNUMBER(SEARCH("DNP",AF194)),"Unreachable / DNP",IF(ISNUMBER(SEARCH("interest",LOWER(AF194))),"High Interest / Terms",IF(OR(ISNUMBER(SEARCH("eligib",LOWER(AF194))),ISNUMBER(SEARCH("income",LOWER(AF194)))),"Eligibility / Income",IF(OR(ISNUMBER(SEARCH("start",LOWER(AF194))),ISNUMBER(SEARCH("Newer",AF194)),ISNUMBER(SEARCH("Will start",AF194))),"Process Yet to Start",IF(ISNUMBER(SEARCH("sure",LOWER(AF194))),"Undecided",IF(OR(ISNUMBER(SEARCH("reject",LOWER(AF194))),ISNUMBER(SEARCH("SBI",AF194))),"Rejected Elsewhere",IF(ISNUMBER(SEARCH("call",LOWER(AF194))),"Bank Communication",IF(OR(ISNUMBER(SEARCH("father",LOWER(AF194))),ISNUMBER(SEARCH("sister",LOWER(AF194)))),"Family / Dependency","Other"))))))))))</f>
        <v/>
      </c>
      <c r="AH194">
        <f>IF(A194="","",'01_Master_Data'!AC194)</f>
        <v/>
      </c>
      <c r="AI194">
        <f>IF(A194="","",IF(OR(AH194="",NOT(ISNUMBER(AH194))),"",MAX(0,'02_Configuration'!$B$82-AH194)))</f>
        <v/>
      </c>
      <c r="AJ194">
        <f>IF(A194="","",IF(AI194="","Unknown",IF(AI194&lt;=3,"0–3 Days",IF(AI194&lt;=7,"4–7 Days",IF(AI194&lt;=15,"8–15 Days",IF(AI194&lt;=30,"16–30 Days","30+ Days"))))))</f>
        <v/>
      </c>
      <c r="AK194">
        <f>IF(A194="","",IF(LOWER(H194)="yes","Yes","No"))</f>
        <v/>
      </c>
      <c r="AL194">
        <f>IF(A194="","",'01_Master_Data'!T194)</f>
        <v/>
      </c>
      <c r="AM194">
        <f>IF(A194="","",'01_Master_Data'!S194)</f>
        <v/>
      </c>
      <c r="AN194">
        <f>IF(A194="","",'01_Master_Data'!I194)</f>
        <v/>
      </c>
      <c r="AO194">
        <f>IF(A194="","",'01_Master_Data'!M194)</f>
        <v/>
      </c>
      <c r="AP194">
        <f>IF(A194="","",IF(ISNUMBER(SEARCH("Icici",W194&amp;"")),1,0))</f>
        <v/>
      </c>
      <c r="AQ194">
        <f>IF(A194="","",IF(ISNUMBER(SEARCH("Propelld",W194&amp;"")),1,0))</f>
        <v/>
      </c>
      <c r="AR194">
        <f>IF(A194="","",IF(ISNUMBER(SEARCH("GyanDhan",W194&amp;"")),1,0))</f>
        <v/>
      </c>
      <c r="AS194">
        <f>IF(A194="","",IF(ISNUMBER(SEARCH("vidyalakshmi",LOWER(W194&amp;""))),1,0))</f>
        <v/>
      </c>
      <c r="AT194">
        <f>IF(A194="","",IF(ISNUMBER(SEARCH("other bank",LOWER(W194&amp;""))),1,0))</f>
        <v/>
      </c>
      <c r="AU194">
        <f>IF(A194="","",IF(ISNUMBER(SEARCH("sanctioned",LOWER(W194&amp;""))),1,0))</f>
        <v/>
      </c>
      <c r="AV194">
        <f>IF(A194="","",IF(ISNUMBER(SEARCH("Docs Pending",W194&amp;"")),1,0))</f>
        <v/>
      </c>
      <c r="AW194">
        <f>IF(A194="","",IF(OR(X194="Rejected",ISNUMBER(SEARCH("Not eligbile",W194&amp;""))),1,0))</f>
        <v/>
      </c>
    </row>
    <row r="195">
      <c r="A195">
        <f>IF('01_Master_Data'!B195="","",194)</f>
        <v/>
      </c>
      <c r="B195">
        <f>IF('01_Master_Data'!B195="","",IF('01_Master_Data'!C195&lt;&gt;"","MOB|"&amp;TEXT('01_Master_Data'!C195,"0"),IF('01_Master_Data'!D195&lt;&gt;"","PID|"&amp;TRIM('01_Master_Data'!D195&amp;""),"")))</f>
        <v/>
      </c>
      <c r="C195">
        <f>IF('01_Master_Data'!B195="","",'01_Master_Data'!B195)</f>
        <v/>
      </c>
      <c r="D195">
        <f>IF('01_Master_Data'!B195="","",'01_Master_Data'!C195)</f>
        <v/>
      </c>
      <c r="E195">
        <f>IF('01_Master_Data'!B195="","",'01_Master_Data'!D195)</f>
        <v/>
      </c>
      <c r="F195">
        <f>IF('01_Master_Data'!B195="","",'01_Master_Data'!E195)</f>
        <v/>
      </c>
      <c r="G195">
        <f>IF('01_Master_Data'!B195="","",IFERROR(VLOOKUP(TRIM('01_Master_Data'!E195&amp;""),'02_Configuration'!$A$40:$B$44,2,FALSE),UPPER(TRIM('01_Master_Data'!E195&amp;""))))</f>
        <v/>
      </c>
      <c r="H195">
        <f>IF('01_Master_Data'!B195="","",IF('01_Master_Data'!U195="","",TRIM('01_Master_Data'!U195&amp;"")))</f>
        <v/>
      </c>
      <c r="I195">
        <f>IF('01_Master_Data'!B195="","",TRIM('01_Master_Data'!F195&amp;""))</f>
        <v/>
      </c>
      <c r="J195">
        <f>IF('01_Master_Data'!B195="","",TRIM('01_Master_Data'!G195&amp;""))</f>
        <v/>
      </c>
      <c r="K195">
        <f>IF('01_Master_Data'!B195="","",'01_Master_Data'!H195)</f>
        <v/>
      </c>
      <c r="L195">
        <f>IF('01_Master_Data'!B195="","",IF(LOWER(TRIM('01_Master_Data'!V195&amp;""))="yes",1,0))</f>
        <v/>
      </c>
      <c r="M195">
        <f>IF('01_Master_Data'!B195="","",IF(LOWER(TRIM('01_Master_Data'!W195&amp;""))="yes",1,0))</f>
        <v/>
      </c>
      <c r="N195">
        <f>IF('01_Master_Data'!B195="","",IF(LOWER(TRIM('01_Master_Data'!X195&amp;""))="yes",1,0))</f>
        <v/>
      </c>
      <c r="O195">
        <f>IF('01_Master_Data'!B195="","",IF(LOWER(TRIM('01_Master_Data'!Y195&amp;""))="yes",1,0))</f>
        <v/>
      </c>
      <c r="P195">
        <f>IF('01_Master_Data'!B195="","",IF(LOWER(TRIM('01_Master_Data'!Z195&amp;""))="yes",1,0))</f>
        <v/>
      </c>
      <c r="Q195">
        <f>IF(A195="","",L195+M195+N195+O195+P195)</f>
        <v/>
      </c>
      <c r="R195">
        <f>IF(A195="","",IF(Q195&gt;1,"Yes","No"))</f>
        <v/>
      </c>
      <c r="S195">
        <f>IF(A195="","",TEXTJOIN(", ",TRUE,IF(L195=1,"ICICI",""),IF(M195=1,"Propelld",""),IF(N195=1,"Study4Buddy",""),IF(O195=1,"Poonawala Fincorp",""),IF(P195=1,"GyanDhan","")))</f>
        <v/>
      </c>
      <c r="T195">
        <f>IF(A195="","",IF(L195=1,"ICICI",IF(M195=1,"Propelld",IF(P195=1,"GyanDhan",IF(N195=1,"Study4Buddy",IF(O195=1,"Poonawala Fincorp",IF(ISNUMBER(SEARCH("GyanDhan",W195&amp;"")),"GyanDhan",IF(ISNUMBER(SEARCH("Icici",W195&amp;"")),"ICICI",IF(ISNUMBER(SEARCH("Propelld",W195&amp;"")),"Propelld",IF(ISNUMBER(SEARCH("vidyalakshmi",LOWER(W195&amp;"")),"PM Vidyalakshmi","—"))))))))))</f>
        <v/>
      </c>
      <c r="U195">
        <f>IF(A195="","",TRIM('01_Master_Data'!AA195&amp;""))</f>
        <v/>
      </c>
      <c r="V195">
        <f>IF(A195="","",TRIM('01_Master_Data'!AG195&amp;""))</f>
        <v/>
      </c>
      <c r="W195">
        <f>IF(A195="","",TRIM('01_Master_Data'!AH195&amp;""))</f>
        <v/>
      </c>
      <c r="X195">
        <f>IF(A195="","",IF(OR(LOWER(H195)="refund",LOWER(U195)="refund case"),"Refund",IF(OR(LOWER(H195)="dnp",LOWER(U195)="dnp"),"DNP",IF(OR(LOWER(V195)="disbursed",ISNUMBER(SEARCH("Disbursed",W195&amp;""))),"Disbursed",IF(OR(LOWER(V195)="loan proccessed/accepted",ISNUMBER(SEARCH("sanctioned",LOWER(W195&amp;"")))),"Sanctioned",IF(OR(LOWER(V195)="rejected",ISNUMBER(SEARCH("Not eligbile",W195&amp;"")),ISNUMBER(SEARCH("Not eligible",W195&amp;""))),"Rejected",IF(ISNUMBER(SEARCH("Docs Pending",W195&amp;"")),"Documents Pending",IF(AND(LOWER(H195)="yes",LOWER(V195)="ongoing"),"Processing",IF(AND(LOWER(H195)="yes",Q195&gt;0,OR(V195="",LOWER(V195)="not even started")),"Vendor Assigned",IF(AND(LOWER(H195)="yes",LOWER(V195)="not even started"),"Need Loan",IF(LOWER(H195)="yes","Loan Started",IF(LOWER(H195)="not sure","Interested",IF(OR(LOWER(H195)="no",LOWER(V195)="not required"),"Not Required","Unclassified")))))))))))))</f>
        <v/>
      </c>
      <c r="Y195">
        <f>IF(A195="","",IF(OR(X195="Sanctioned",X195="Disbursed",X195="Approved"),"Approved",IF(X195="Rejected","Rejected",IF(OR(X195="Processing",X195="Documents Pending",X195="Vendor Assigned"),"In Progress",IF(X195="Need Loan","Pending Start","—"))))</f>
        <v/>
      </c>
      <c r="Z195">
        <f>IF(A195="","",IF(X195="Disbursed","Disbursed",IF(X195="Sanctioned","Sanctioned - Awaiting Disbursement","Not Disbursed")))</f>
        <v/>
      </c>
      <c r="AA195">
        <f>IF(A195="","",IF(LOWER(TRIM('01_Master_Data'!AI195&amp;""))="yes","Need FLDG",IF(LOWER(TRIM('01_Master_Data'!AK195&amp;""))="yes","Need Vidyalakshmi",IF(LOWER(TRIM('01_Master_Data'!AJ195&amp;""))="yes","Need Review",IF(LOWER(J195)="critical","Critical",IF(LOWER(U195)="risk","Risk Case",IF(X195="Refund","Refund","Normal")))))))</f>
        <v/>
      </c>
      <c r="AB195">
        <f>IF(A195="","",IF(OR(LOWER(J195)="critical",LOWER(TRIM('01_Master_Data'!AI195&amp;""))="yes",LOWER(TRIM('01_Master_Data'!AK195&amp;""))="yes",LOWER(U195)="risk"),"Yes","No"))</f>
        <v/>
      </c>
      <c r="AC195">
        <f>IF(A195="","",IF(LOWER(TRIM('01_Master_Data'!AI195&amp;""))="yes","Yes","No"))</f>
        <v/>
      </c>
      <c r="AD195">
        <f>IF(A195="","",IF(LOWER(TRIM('01_Master_Data'!AK195&amp;""))="yes","Yes","No"))</f>
        <v/>
      </c>
      <c r="AE195">
        <f>IF(A195="","",IF(LOWER(TRIM('01_Master_Data'!AJ195&amp;""))="yes","Yes","No"))</f>
        <v/>
      </c>
      <c r="AF195">
        <f>IF(A195="","",TRIM('01_Master_Data'!AL195&amp;""))</f>
        <v/>
      </c>
      <c r="AG195">
        <f>IF(A195="","",IF(AF195="","—",IF(ISNUMBER(SEARCH("DNP",AF195)),"Unreachable / DNP",IF(ISNUMBER(SEARCH("interest",LOWER(AF195))),"High Interest / Terms",IF(OR(ISNUMBER(SEARCH("eligib",LOWER(AF195))),ISNUMBER(SEARCH("income",LOWER(AF195)))),"Eligibility / Income",IF(OR(ISNUMBER(SEARCH("start",LOWER(AF195))),ISNUMBER(SEARCH("Newer",AF195)),ISNUMBER(SEARCH("Will start",AF195))),"Process Yet to Start",IF(ISNUMBER(SEARCH("sure",LOWER(AF195))),"Undecided",IF(OR(ISNUMBER(SEARCH("reject",LOWER(AF195))),ISNUMBER(SEARCH("SBI",AF195))),"Rejected Elsewhere",IF(ISNUMBER(SEARCH("call",LOWER(AF195))),"Bank Communication",IF(OR(ISNUMBER(SEARCH("father",LOWER(AF195))),ISNUMBER(SEARCH("sister",LOWER(AF195)))),"Family / Dependency","Other"))))))))))</f>
        <v/>
      </c>
      <c r="AH195">
        <f>IF(A195="","",'01_Master_Data'!AC195)</f>
        <v/>
      </c>
      <c r="AI195">
        <f>IF(A195="","",IF(OR(AH195="",NOT(ISNUMBER(AH195))),"",MAX(0,'02_Configuration'!$B$82-AH195)))</f>
        <v/>
      </c>
      <c r="AJ195">
        <f>IF(A195="","",IF(AI195="","Unknown",IF(AI195&lt;=3,"0–3 Days",IF(AI195&lt;=7,"4–7 Days",IF(AI195&lt;=15,"8–15 Days",IF(AI195&lt;=30,"16–30 Days","30+ Days"))))))</f>
        <v/>
      </c>
      <c r="AK195">
        <f>IF(A195="","",IF(LOWER(H195)="yes","Yes","No"))</f>
        <v/>
      </c>
      <c r="AL195">
        <f>IF(A195="","",'01_Master_Data'!T195)</f>
        <v/>
      </c>
      <c r="AM195">
        <f>IF(A195="","",'01_Master_Data'!S195)</f>
        <v/>
      </c>
      <c r="AN195">
        <f>IF(A195="","",'01_Master_Data'!I195)</f>
        <v/>
      </c>
      <c r="AO195">
        <f>IF(A195="","",'01_Master_Data'!M195)</f>
        <v/>
      </c>
      <c r="AP195">
        <f>IF(A195="","",IF(ISNUMBER(SEARCH("Icici",W195&amp;"")),1,0))</f>
        <v/>
      </c>
      <c r="AQ195">
        <f>IF(A195="","",IF(ISNUMBER(SEARCH("Propelld",W195&amp;"")),1,0))</f>
        <v/>
      </c>
      <c r="AR195">
        <f>IF(A195="","",IF(ISNUMBER(SEARCH("GyanDhan",W195&amp;"")),1,0))</f>
        <v/>
      </c>
      <c r="AS195">
        <f>IF(A195="","",IF(ISNUMBER(SEARCH("vidyalakshmi",LOWER(W195&amp;""))),1,0))</f>
        <v/>
      </c>
      <c r="AT195">
        <f>IF(A195="","",IF(ISNUMBER(SEARCH("other bank",LOWER(W195&amp;""))),1,0))</f>
        <v/>
      </c>
      <c r="AU195">
        <f>IF(A195="","",IF(ISNUMBER(SEARCH("sanctioned",LOWER(W195&amp;""))),1,0))</f>
        <v/>
      </c>
      <c r="AV195">
        <f>IF(A195="","",IF(ISNUMBER(SEARCH("Docs Pending",W195&amp;"")),1,0))</f>
        <v/>
      </c>
      <c r="AW195">
        <f>IF(A195="","",IF(OR(X195="Rejected",ISNUMBER(SEARCH("Not eligbile",W195&amp;""))),1,0))</f>
        <v/>
      </c>
    </row>
    <row r="196">
      <c r="A196">
        <f>IF('01_Master_Data'!B196="","",195)</f>
        <v/>
      </c>
      <c r="B196">
        <f>IF('01_Master_Data'!B196="","",IF('01_Master_Data'!C196&lt;&gt;"","MOB|"&amp;TEXT('01_Master_Data'!C196,"0"),IF('01_Master_Data'!D196&lt;&gt;"","PID|"&amp;TRIM('01_Master_Data'!D196&amp;""),"")))</f>
        <v/>
      </c>
      <c r="C196">
        <f>IF('01_Master_Data'!B196="","",'01_Master_Data'!B196)</f>
        <v/>
      </c>
      <c r="D196">
        <f>IF('01_Master_Data'!B196="","",'01_Master_Data'!C196)</f>
        <v/>
      </c>
      <c r="E196">
        <f>IF('01_Master_Data'!B196="","",'01_Master_Data'!D196)</f>
        <v/>
      </c>
      <c r="F196">
        <f>IF('01_Master_Data'!B196="","",'01_Master_Data'!E196)</f>
        <v/>
      </c>
      <c r="G196">
        <f>IF('01_Master_Data'!B196="","",IFERROR(VLOOKUP(TRIM('01_Master_Data'!E196&amp;""),'02_Configuration'!$A$40:$B$44,2,FALSE),UPPER(TRIM('01_Master_Data'!E196&amp;""))))</f>
        <v/>
      </c>
      <c r="H196">
        <f>IF('01_Master_Data'!B196="","",IF('01_Master_Data'!U196="","",TRIM('01_Master_Data'!U196&amp;"")))</f>
        <v/>
      </c>
      <c r="I196">
        <f>IF('01_Master_Data'!B196="","",TRIM('01_Master_Data'!F196&amp;""))</f>
        <v/>
      </c>
      <c r="J196">
        <f>IF('01_Master_Data'!B196="","",TRIM('01_Master_Data'!G196&amp;""))</f>
        <v/>
      </c>
      <c r="K196">
        <f>IF('01_Master_Data'!B196="","",'01_Master_Data'!H196)</f>
        <v/>
      </c>
      <c r="L196">
        <f>IF('01_Master_Data'!B196="","",IF(LOWER(TRIM('01_Master_Data'!V196&amp;""))="yes",1,0))</f>
        <v/>
      </c>
      <c r="M196">
        <f>IF('01_Master_Data'!B196="","",IF(LOWER(TRIM('01_Master_Data'!W196&amp;""))="yes",1,0))</f>
        <v/>
      </c>
      <c r="N196">
        <f>IF('01_Master_Data'!B196="","",IF(LOWER(TRIM('01_Master_Data'!X196&amp;""))="yes",1,0))</f>
        <v/>
      </c>
      <c r="O196">
        <f>IF('01_Master_Data'!B196="","",IF(LOWER(TRIM('01_Master_Data'!Y196&amp;""))="yes",1,0))</f>
        <v/>
      </c>
      <c r="P196">
        <f>IF('01_Master_Data'!B196="","",IF(LOWER(TRIM('01_Master_Data'!Z196&amp;""))="yes",1,0))</f>
        <v/>
      </c>
      <c r="Q196">
        <f>IF(A196="","",L196+M196+N196+O196+P196)</f>
        <v/>
      </c>
      <c r="R196">
        <f>IF(A196="","",IF(Q196&gt;1,"Yes","No"))</f>
        <v/>
      </c>
      <c r="S196">
        <f>IF(A196="","",TEXTJOIN(", ",TRUE,IF(L196=1,"ICICI",""),IF(M196=1,"Propelld",""),IF(N196=1,"Study4Buddy",""),IF(O196=1,"Poonawala Fincorp",""),IF(P196=1,"GyanDhan","")))</f>
        <v/>
      </c>
      <c r="T196">
        <f>IF(A196="","",IF(L196=1,"ICICI",IF(M196=1,"Propelld",IF(P196=1,"GyanDhan",IF(N196=1,"Study4Buddy",IF(O196=1,"Poonawala Fincorp",IF(ISNUMBER(SEARCH("GyanDhan",W196&amp;"")),"GyanDhan",IF(ISNUMBER(SEARCH("Icici",W196&amp;"")),"ICICI",IF(ISNUMBER(SEARCH("Propelld",W196&amp;"")),"Propelld",IF(ISNUMBER(SEARCH("vidyalakshmi",LOWER(W196&amp;"")),"PM Vidyalakshmi","—"))))))))))</f>
        <v/>
      </c>
      <c r="U196">
        <f>IF(A196="","",TRIM('01_Master_Data'!AA196&amp;""))</f>
        <v/>
      </c>
      <c r="V196">
        <f>IF(A196="","",TRIM('01_Master_Data'!AG196&amp;""))</f>
        <v/>
      </c>
      <c r="W196">
        <f>IF(A196="","",TRIM('01_Master_Data'!AH196&amp;""))</f>
        <v/>
      </c>
      <c r="X196">
        <f>IF(A196="","",IF(OR(LOWER(H196)="refund",LOWER(U196)="refund case"),"Refund",IF(OR(LOWER(H196)="dnp",LOWER(U196)="dnp"),"DNP",IF(OR(LOWER(V196)="disbursed",ISNUMBER(SEARCH("Disbursed",W196&amp;""))),"Disbursed",IF(OR(LOWER(V196)="loan proccessed/accepted",ISNUMBER(SEARCH("sanctioned",LOWER(W196&amp;"")))),"Sanctioned",IF(OR(LOWER(V196)="rejected",ISNUMBER(SEARCH("Not eligbile",W196&amp;"")),ISNUMBER(SEARCH("Not eligible",W196&amp;""))),"Rejected",IF(ISNUMBER(SEARCH("Docs Pending",W196&amp;"")),"Documents Pending",IF(AND(LOWER(H196)="yes",LOWER(V196)="ongoing"),"Processing",IF(AND(LOWER(H196)="yes",Q196&gt;0,OR(V196="",LOWER(V196)="not even started")),"Vendor Assigned",IF(AND(LOWER(H196)="yes",LOWER(V196)="not even started"),"Need Loan",IF(LOWER(H196)="yes","Loan Started",IF(LOWER(H196)="not sure","Interested",IF(OR(LOWER(H196)="no",LOWER(V196)="not required"),"Not Required","Unclassified")))))))))))))</f>
        <v/>
      </c>
      <c r="Y196">
        <f>IF(A196="","",IF(OR(X196="Sanctioned",X196="Disbursed",X196="Approved"),"Approved",IF(X196="Rejected","Rejected",IF(OR(X196="Processing",X196="Documents Pending",X196="Vendor Assigned"),"In Progress",IF(X196="Need Loan","Pending Start","—"))))</f>
        <v/>
      </c>
      <c r="Z196">
        <f>IF(A196="","",IF(X196="Disbursed","Disbursed",IF(X196="Sanctioned","Sanctioned - Awaiting Disbursement","Not Disbursed")))</f>
        <v/>
      </c>
      <c r="AA196">
        <f>IF(A196="","",IF(LOWER(TRIM('01_Master_Data'!AI196&amp;""))="yes","Need FLDG",IF(LOWER(TRIM('01_Master_Data'!AK196&amp;""))="yes","Need Vidyalakshmi",IF(LOWER(TRIM('01_Master_Data'!AJ196&amp;""))="yes","Need Review",IF(LOWER(J196)="critical","Critical",IF(LOWER(U196)="risk","Risk Case",IF(X196="Refund","Refund","Normal")))))))</f>
        <v/>
      </c>
      <c r="AB196">
        <f>IF(A196="","",IF(OR(LOWER(J196)="critical",LOWER(TRIM('01_Master_Data'!AI196&amp;""))="yes",LOWER(TRIM('01_Master_Data'!AK196&amp;""))="yes",LOWER(U196)="risk"),"Yes","No"))</f>
        <v/>
      </c>
      <c r="AC196">
        <f>IF(A196="","",IF(LOWER(TRIM('01_Master_Data'!AI196&amp;""))="yes","Yes","No"))</f>
        <v/>
      </c>
      <c r="AD196">
        <f>IF(A196="","",IF(LOWER(TRIM('01_Master_Data'!AK196&amp;""))="yes","Yes","No"))</f>
        <v/>
      </c>
      <c r="AE196">
        <f>IF(A196="","",IF(LOWER(TRIM('01_Master_Data'!AJ196&amp;""))="yes","Yes","No"))</f>
        <v/>
      </c>
      <c r="AF196">
        <f>IF(A196="","",TRIM('01_Master_Data'!AL196&amp;""))</f>
        <v/>
      </c>
      <c r="AG196">
        <f>IF(A196="","",IF(AF196="","—",IF(ISNUMBER(SEARCH("DNP",AF196)),"Unreachable / DNP",IF(ISNUMBER(SEARCH("interest",LOWER(AF196))),"High Interest / Terms",IF(OR(ISNUMBER(SEARCH("eligib",LOWER(AF196))),ISNUMBER(SEARCH("income",LOWER(AF196)))),"Eligibility / Income",IF(OR(ISNUMBER(SEARCH("start",LOWER(AF196))),ISNUMBER(SEARCH("Newer",AF196)),ISNUMBER(SEARCH("Will start",AF196))),"Process Yet to Start",IF(ISNUMBER(SEARCH("sure",LOWER(AF196))),"Undecided",IF(OR(ISNUMBER(SEARCH("reject",LOWER(AF196))),ISNUMBER(SEARCH("SBI",AF196))),"Rejected Elsewhere",IF(ISNUMBER(SEARCH("call",LOWER(AF196))),"Bank Communication",IF(OR(ISNUMBER(SEARCH("father",LOWER(AF196))),ISNUMBER(SEARCH("sister",LOWER(AF196)))),"Family / Dependency","Other"))))))))))</f>
        <v/>
      </c>
      <c r="AH196">
        <f>IF(A196="","",'01_Master_Data'!AC196)</f>
        <v/>
      </c>
      <c r="AI196">
        <f>IF(A196="","",IF(OR(AH196="",NOT(ISNUMBER(AH196))),"",MAX(0,'02_Configuration'!$B$82-AH196)))</f>
        <v/>
      </c>
      <c r="AJ196">
        <f>IF(A196="","",IF(AI196="","Unknown",IF(AI196&lt;=3,"0–3 Days",IF(AI196&lt;=7,"4–7 Days",IF(AI196&lt;=15,"8–15 Days",IF(AI196&lt;=30,"16–30 Days","30+ Days"))))))</f>
        <v/>
      </c>
      <c r="AK196">
        <f>IF(A196="","",IF(LOWER(H196)="yes","Yes","No"))</f>
        <v/>
      </c>
      <c r="AL196">
        <f>IF(A196="","",'01_Master_Data'!T196)</f>
        <v/>
      </c>
      <c r="AM196">
        <f>IF(A196="","",'01_Master_Data'!S196)</f>
        <v/>
      </c>
      <c r="AN196">
        <f>IF(A196="","",'01_Master_Data'!I196)</f>
        <v/>
      </c>
      <c r="AO196">
        <f>IF(A196="","",'01_Master_Data'!M196)</f>
        <v/>
      </c>
      <c r="AP196">
        <f>IF(A196="","",IF(ISNUMBER(SEARCH("Icici",W196&amp;"")),1,0))</f>
        <v/>
      </c>
      <c r="AQ196">
        <f>IF(A196="","",IF(ISNUMBER(SEARCH("Propelld",W196&amp;"")),1,0))</f>
        <v/>
      </c>
      <c r="AR196">
        <f>IF(A196="","",IF(ISNUMBER(SEARCH("GyanDhan",W196&amp;"")),1,0))</f>
        <v/>
      </c>
      <c r="AS196">
        <f>IF(A196="","",IF(ISNUMBER(SEARCH("vidyalakshmi",LOWER(W196&amp;""))),1,0))</f>
        <v/>
      </c>
      <c r="AT196">
        <f>IF(A196="","",IF(ISNUMBER(SEARCH("other bank",LOWER(W196&amp;""))),1,0))</f>
        <v/>
      </c>
      <c r="AU196">
        <f>IF(A196="","",IF(ISNUMBER(SEARCH("sanctioned",LOWER(W196&amp;""))),1,0))</f>
        <v/>
      </c>
      <c r="AV196">
        <f>IF(A196="","",IF(ISNUMBER(SEARCH("Docs Pending",W196&amp;"")),1,0))</f>
        <v/>
      </c>
      <c r="AW196">
        <f>IF(A196="","",IF(OR(X196="Rejected",ISNUMBER(SEARCH("Not eligbile",W196&amp;""))),1,0))</f>
        <v/>
      </c>
    </row>
    <row r="197">
      <c r="A197">
        <f>IF('01_Master_Data'!B197="","",196)</f>
        <v/>
      </c>
      <c r="B197">
        <f>IF('01_Master_Data'!B197="","",IF('01_Master_Data'!C197&lt;&gt;"","MOB|"&amp;TEXT('01_Master_Data'!C197,"0"),IF('01_Master_Data'!D197&lt;&gt;"","PID|"&amp;TRIM('01_Master_Data'!D197&amp;""),"")))</f>
        <v/>
      </c>
      <c r="C197">
        <f>IF('01_Master_Data'!B197="","",'01_Master_Data'!B197)</f>
        <v/>
      </c>
      <c r="D197">
        <f>IF('01_Master_Data'!B197="","",'01_Master_Data'!C197)</f>
        <v/>
      </c>
      <c r="E197">
        <f>IF('01_Master_Data'!B197="","",'01_Master_Data'!D197)</f>
        <v/>
      </c>
      <c r="F197">
        <f>IF('01_Master_Data'!B197="","",'01_Master_Data'!E197)</f>
        <v/>
      </c>
      <c r="G197">
        <f>IF('01_Master_Data'!B197="","",IFERROR(VLOOKUP(TRIM('01_Master_Data'!E197&amp;""),'02_Configuration'!$A$40:$B$44,2,FALSE),UPPER(TRIM('01_Master_Data'!E197&amp;""))))</f>
        <v/>
      </c>
      <c r="H197">
        <f>IF('01_Master_Data'!B197="","",IF('01_Master_Data'!U197="","",TRIM('01_Master_Data'!U197&amp;"")))</f>
        <v/>
      </c>
      <c r="I197">
        <f>IF('01_Master_Data'!B197="","",TRIM('01_Master_Data'!F197&amp;""))</f>
        <v/>
      </c>
      <c r="J197">
        <f>IF('01_Master_Data'!B197="","",TRIM('01_Master_Data'!G197&amp;""))</f>
        <v/>
      </c>
      <c r="K197">
        <f>IF('01_Master_Data'!B197="","",'01_Master_Data'!H197)</f>
        <v/>
      </c>
      <c r="L197">
        <f>IF('01_Master_Data'!B197="","",IF(LOWER(TRIM('01_Master_Data'!V197&amp;""))="yes",1,0))</f>
        <v/>
      </c>
      <c r="M197">
        <f>IF('01_Master_Data'!B197="","",IF(LOWER(TRIM('01_Master_Data'!W197&amp;""))="yes",1,0))</f>
        <v/>
      </c>
      <c r="N197">
        <f>IF('01_Master_Data'!B197="","",IF(LOWER(TRIM('01_Master_Data'!X197&amp;""))="yes",1,0))</f>
        <v/>
      </c>
      <c r="O197">
        <f>IF('01_Master_Data'!B197="","",IF(LOWER(TRIM('01_Master_Data'!Y197&amp;""))="yes",1,0))</f>
        <v/>
      </c>
      <c r="P197">
        <f>IF('01_Master_Data'!B197="","",IF(LOWER(TRIM('01_Master_Data'!Z197&amp;""))="yes",1,0))</f>
        <v/>
      </c>
      <c r="Q197">
        <f>IF(A197="","",L197+M197+N197+O197+P197)</f>
        <v/>
      </c>
      <c r="R197">
        <f>IF(A197="","",IF(Q197&gt;1,"Yes","No"))</f>
        <v/>
      </c>
      <c r="S197">
        <f>IF(A197="","",TEXTJOIN(", ",TRUE,IF(L197=1,"ICICI",""),IF(M197=1,"Propelld",""),IF(N197=1,"Study4Buddy",""),IF(O197=1,"Poonawala Fincorp",""),IF(P197=1,"GyanDhan","")))</f>
        <v/>
      </c>
      <c r="T197">
        <f>IF(A197="","",IF(L197=1,"ICICI",IF(M197=1,"Propelld",IF(P197=1,"GyanDhan",IF(N197=1,"Study4Buddy",IF(O197=1,"Poonawala Fincorp",IF(ISNUMBER(SEARCH("GyanDhan",W197&amp;"")),"GyanDhan",IF(ISNUMBER(SEARCH("Icici",W197&amp;"")),"ICICI",IF(ISNUMBER(SEARCH("Propelld",W197&amp;"")),"Propelld",IF(ISNUMBER(SEARCH("vidyalakshmi",LOWER(W197&amp;"")),"PM Vidyalakshmi","—"))))))))))</f>
        <v/>
      </c>
      <c r="U197">
        <f>IF(A197="","",TRIM('01_Master_Data'!AA197&amp;""))</f>
        <v/>
      </c>
      <c r="V197">
        <f>IF(A197="","",TRIM('01_Master_Data'!AG197&amp;""))</f>
        <v/>
      </c>
      <c r="W197">
        <f>IF(A197="","",TRIM('01_Master_Data'!AH197&amp;""))</f>
        <v/>
      </c>
      <c r="X197">
        <f>IF(A197="","",IF(OR(LOWER(H197)="refund",LOWER(U197)="refund case"),"Refund",IF(OR(LOWER(H197)="dnp",LOWER(U197)="dnp"),"DNP",IF(OR(LOWER(V197)="disbursed",ISNUMBER(SEARCH("Disbursed",W197&amp;""))),"Disbursed",IF(OR(LOWER(V197)="loan proccessed/accepted",ISNUMBER(SEARCH("sanctioned",LOWER(W197&amp;"")))),"Sanctioned",IF(OR(LOWER(V197)="rejected",ISNUMBER(SEARCH("Not eligbile",W197&amp;"")),ISNUMBER(SEARCH("Not eligible",W197&amp;""))),"Rejected",IF(ISNUMBER(SEARCH("Docs Pending",W197&amp;"")),"Documents Pending",IF(AND(LOWER(H197)="yes",LOWER(V197)="ongoing"),"Processing",IF(AND(LOWER(H197)="yes",Q197&gt;0,OR(V197="",LOWER(V197)="not even started")),"Vendor Assigned",IF(AND(LOWER(H197)="yes",LOWER(V197)="not even started"),"Need Loan",IF(LOWER(H197)="yes","Loan Started",IF(LOWER(H197)="not sure","Interested",IF(OR(LOWER(H197)="no",LOWER(V197)="not required"),"Not Required","Unclassified")))))))))))))</f>
        <v/>
      </c>
      <c r="Y197">
        <f>IF(A197="","",IF(OR(X197="Sanctioned",X197="Disbursed",X197="Approved"),"Approved",IF(X197="Rejected","Rejected",IF(OR(X197="Processing",X197="Documents Pending",X197="Vendor Assigned"),"In Progress",IF(X197="Need Loan","Pending Start","—"))))</f>
        <v/>
      </c>
      <c r="Z197">
        <f>IF(A197="","",IF(X197="Disbursed","Disbursed",IF(X197="Sanctioned","Sanctioned - Awaiting Disbursement","Not Disbursed")))</f>
        <v/>
      </c>
      <c r="AA197">
        <f>IF(A197="","",IF(LOWER(TRIM('01_Master_Data'!AI197&amp;""))="yes","Need FLDG",IF(LOWER(TRIM('01_Master_Data'!AK197&amp;""))="yes","Need Vidyalakshmi",IF(LOWER(TRIM('01_Master_Data'!AJ197&amp;""))="yes","Need Review",IF(LOWER(J197)="critical","Critical",IF(LOWER(U197)="risk","Risk Case",IF(X197="Refund","Refund","Normal")))))))</f>
        <v/>
      </c>
      <c r="AB197">
        <f>IF(A197="","",IF(OR(LOWER(J197)="critical",LOWER(TRIM('01_Master_Data'!AI197&amp;""))="yes",LOWER(TRIM('01_Master_Data'!AK197&amp;""))="yes",LOWER(U197)="risk"),"Yes","No"))</f>
        <v/>
      </c>
      <c r="AC197">
        <f>IF(A197="","",IF(LOWER(TRIM('01_Master_Data'!AI197&amp;""))="yes","Yes","No"))</f>
        <v/>
      </c>
      <c r="AD197">
        <f>IF(A197="","",IF(LOWER(TRIM('01_Master_Data'!AK197&amp;""))="yes","Yes","No"))</f>
        <v/>
      </c>
      <c r="AE197">
        <f>IF(A197="","",IF(LOWER(TRIM('01_Master_Data'!AJ197&amp;""))="yes","Yes","No"))</f>
        <v/>
      </c>
      <c r="AF197">
        <f>IF(A197="","",TRIM('01_Master_Data'!AL197&amp;""))</f>
        <v/>
      </c>
      <c r="AG197">
        <f>IF(A197="","",IF(AF197="","—",IF(ISNUMBER(SEARCH("DNP",AF197)),"Unreachable / DNP",IF(ISNUMBER(SEARCH("interest",LOWER(AF197))),"High Interest / Terms",IF(OR(ISNUMBER(SEARCH("eligib",LOWER(AF197))),ISNUMBER(SEARCH("income",LOWER(AF197)))),"Eligibility / Income",IF(OR(ISNUMBER(SEARCH("start",LOWER(AF197))),ISNUMBER(SEARCH("Newer",AF197)),ISNUMBER(SEARCH("Will start",AF197))),"Process Yet to Start",IF(ISNUMBER(SEARCH("sure",LOWER(AF197))),"Undecided",IF(OR(ISNUMBER(SEARCH("reject",LOWER(AF197))),ISNUMBER(SEARCH("SBI",AF197))),"Rejected Elsewhere",IF(ISNUMBER(SEARCH("call",LOWER(AF197))),"Bank Communication",IF(OR(ISNUMBER(SEARCH("father",LOWER(AF197))),ISNUMBER(SEARCH("sister",LOWER(AF197)))),"Family / Dependency","Other"))))))))))</f>
        <v/>
      </c>
      <c r="AH197">
        <f>IF(A197="","",'01_Master_Data'!AC197)</f>
        <v/>
      </c>
      <c r="AI197">
        <f>IF(A197="","",IF(OR(AH197="",NOT(ISNUMBER(AH197))),"",MAX(0,'02_Configuration'!$B$82-AH197)))</f>
        <v/>
      </c>
      <c r="AJ197">
        <f>IF(A197="","",IF(AI197="","Unknown",IF(AI197&lt;=3,"0–3 Days",IF(AI197&lt;=7,"4–7 Days",IF(AI197&lt;=15,"8–15 Days",IF(AI197&lt;=30,"16–30 Days","30+ Days"))))))</f>
        <v/>
      </c>
      <c r="AK197">
        <f>IF(A197="","",IF(LOWER(H197)="yes","Yes","No"))</f>
        <v/>
      </c>
      <c r="AL197">
        <f>IF(A197="","",'01_Master_Data'!T197)</f>
        <v/>
      </c>
      <c r="AM197">
        <f>IF(A197="","",'01_Master_Data'!S197)</f>
        <v/>
      </c>
      <c r="AN197">
        <f>IF(A197="","",'01_Master_Data'!I197)</f>
        <v/>
      </c>
      <c r="AO197">
        <f>IF(A197="","",'01_Master_Data'!M197)</f>
        <v/>
      </c>
      <c r="AP197">
        <f>IF(A197="","",IF(ISNUMBER(SEARCH("Icici",W197&amp;"")),1,0))</f>
        <v/>
      </c>
      <c r="AQ197">
        <f>IF(A197="","",IF(ISNUMBER(SEARCH("Propelld",W197&amp;"")),1,0))</f>
        <v/>
      </c>
      <c r="AR197">
        <f>IF(A197="","",IF(ISNUMBER(SEARCH("GyanDhan",W197&amp;"")),1,0))</f>
        <v/>
      </c>
      <c r="AS197">
        <f>IF(A197="","",IF(ISNUMBER(SEARCH("vidyalakshmi",LOWER(W197&amp;""))),1,0))</f>
        <v/>
      </c>
      <c r="AT197">
        <f>IF(A197="","",IF(ISNUMBER(SEARCH("other bank",LOWER(W197&amp;""))),1,0))</f>
        <v/>
      </c>
      <c r="AU197">
        <f>IF(A197="","",IF(ISNUMBER(SEARCH("sanctioned",LOWER(W197&amp;""))),1,0))</f>
        <v/>
      </c>
      <c r="AV197">
        <f>IF(A197="","",IF(ISNUMBER(SEARCH("Docs Pending",W197&amp;"")),1,0))</f>
        <v/>
      </c>
      <c r="AW197">
        <f>IF(A197="","",IF(OR(X197="Rejected",ISNUMBER(SEARCH("Not eligbile",W197&amp;""))),1,0))</f>
        <v/>
      </c>
    </row>
    <row r="198">
      <c r="A198">
        <f>IF('01_Master_Data'!B198="","",197)</f>
        <v/>
      </c>
      <c r="B198">
        <f>IF('01_Master_Data'!B198="","",IF('01_Master_Data'!C198&lt;&gt;"","MOB|"&amp;TEXT('01_Master_Data'!C198,"0"),IF('01_Master_Data'!D198&lt;&gt;"","PID|"&amp;TRIM('01_Master_Data'!D198&amp;""),"")))</f>
        <v/>
      </c>
      <c r="C198">
        <f>IF('01_Master_Data'!B198="","",'01_Master_Data'!B198)</f>
        <v/>
      </c>
      <c r="D198">
        <f>IF('01_Master_Data'!B198="","",'01_Master_Data'!C198)</f>
        <v/>
      </c>
      <c r="E198">
        <f>IF('01_Master_Data'!B198="","",'01_Master_Data'!D198)</f>
        <v/>
      </c>
      <c r="F198">
        <f>IF('01_Master_Data'!B198="","",'01_Master_Data'!E198)</f>
        <v/>
      </c>
      <c r="G198">
        <f>IF('01_Master_Data'!B198="","",IFERROR(VLOOKUP(TRIM('01_Master_Data'!E198&amp;""),'02_Configuration'!$A$40:$B$44,2,FALSE),UPPER(TRIM('01_Master_Data'!E198&amp;""))))</f>
        <v/>
      </c>
      <c r="H198">
        <f>IF('01_Master_Data'!B198="","",IF('01_Master_Data'!U198="","",TRIM('01_Master_Data'!U198&amp;"")))</f>
        <v/>
      </c>
      <c r="I198">
        <f>IF('01_Master_Data'!B198="","",TRIM('01_Master_Data'!F198&amp;""))</f>
        <v/>
      </c>
      <c r="J198">
        <f>IF('01_Master_Data'!B198="","",TRIM('01_Master_Data'!G198&amp;""))</f>
        <v/>
      </c>
      <c r="K198">
        <f>IF('01_Master_Data'!B198="","",'01_Master_Data'!H198)</f>
        <v/>
      </c>
      <c r="L198">
        <f>IF('01_Master_Data'!B198="","",IF(LOWER(TRIM('01_Master_Data'!V198&amp;""))="yes",1,0))</f>
        <v/>
      </c>
      <c r="M198">
        <f>IF('01_Master_Data'!B198="","",IF(LOWER(TRIM('01_Master_Data'!W198&amp;""))="yes",1,0))</f>
        <v/>
      </c>
      <c r="N198">
        <f>IF('01_Master_Data'!B198="","",IF(LOWER(TRIM('01_Master_Data'!X198&amp;""))="yes",1,0))</f>
        <v/>
      </c>
      <c r="O198">
        <f>IF('01_Master_Data'!B198="","",IF(LOWER(TRIM('01_Master_Data'!Y198&amp;""))="yes",1,0))</f>
        <v/>
      </c>
      <c r="P198">
        <f>IF('01_Master_Data'!B198="","",IF(LOWER(TRIM('01_Master_Data'!Z198&amp;""))="yes",1,0))</f>
        <v/>
      </c>
      <c r="Q198">
        <f>IF(A198="","",L198+M198+N198+O198+P198)</f>
        <v/>
      </c>
      <c r="R198">
        <f>IF(A198="","",IF(Q198&gt;1,"Yes","No"))</f>
        <v/>
      </c>
      <c r="S198">
        <f>IF(A198="","",TEXTJOIN(", ",TRUE,IF(L198=1,"ICICI",""),IF(M198=1,"Propelld",""),IF(N198=1,"Study4Buddy",""),IF(O198=1,"Poonawala Fincorp",""),IF(P198=1,"GyanDhan","")))</f>
        <v/>
      </c>
      <c r="T198">
        <f>IF(A198="","",IF(L198=1,"ICICI",IF(M198=1,"Propelld",IF(P198=1,"GyanDhan",IF(N198=1,"Study4Buddy",IF(O198=1,"Poonawala Fincorp",IF(ISNUMBER(SEARCH("GyanDhan",W198&amp;"")),"GyanDhan",IF(ISNUMBER(SEARCH("Icici",W198&amp;"")),"ICICI",IF(ISNUMBER(SEARCH("Propelld",W198&amp;"")),"Propelld",IF(ISNUMBER(SEARCH("vidyalakshmi",LOWER(W198&amp;"")),"PM Vidyalakshmi","—"))))))))))</f>
        <v/>
      </c>
      <c r="U198">
        <f>IF(A198="","",TRIM('01_Master_Data'!AA198&amp;""))</f>
        <v/>
      </c>
      <c r="V198">
        <f>IF(A198="","",TRIM('01_Master_Data'!AG198&amp;""))</f>
        <v/>
      </c>
      <c r="W198">
        <f>IF(A198="","",TRIM('01_Master_Data'!AH198&amp;""))</f>
        <v/>
      </c>
      <c r="X198">
        <f>IF(A198="","",IF(OR(LOWER(H198)="refund",LOWER(U198)="refund case"),"Refund",IF(OR(LOWER(H198)="dnp",LOWER(U198)="dnp"),"DNP",IF(OR(LOWER(V198)="disbursed",ISNUMBER(SEARCH("Disbursed",W198&amp;""))),"Disbursed",IF(OR(LOWER(V198)="loan proccessed/accepted",ISNUMBER(SEARCH("sanctioned",LOWER(W198&amp;"")))),"Sanctioned",IF(OR(LOWER(V198)="rejected",ISNUMBER(SEARCH("Not eligbile",W198&amp;"")),ISNUMBER(SEARCH("Not eligible",W198&amp;""))),"Rejected",IF(ISNUMBER(SEARCH("Docs Pending",W198&amp;"")),"Documents Pending",IF(AND(LOWER(H198)="yes",LOWER(V198)="ongoing"),"Processing",IF(AND(LOWER(H198)="yes",Q198&gt;0,OR(V198="",LOWER(V198)="not even started")),"Vendor Assigned",IF(AND(LOWER(H198)="yes",LOWER(V198)="not even started"),"Need Loan",IF(LOWER(H198)="yes","Loan Started",IF(LOWER(H198)="not sure","Interested",IF(OR(LOWER(H198)="no",LOWER(V198)="not required"),"Not Required","Unclassified")))))))))))))</f>
        <v/>
      </c>
      <c r="Y198">
        <f>IF(A198="","",IF(OR(X198="Sanctioned",X198="Disbursed",X198="Approved"),"Approved",IF(X198="Rejected","Rejected",IF(OR(X198="Processing",X198="Documents Pending",X198="Vendor Assigned"),"In Progress",IF(X198="Need Loan","Pending Start","—"))))</f>
        <v/>
      </c>
      <c r="Z198">
        <f>IF(A198="","",IF(X198="Disbursed","Disbursed",IF(X198="Sanctioned","Sanctioned - Awaiting Disbursement","Not Disbursed")))</f>
        <v/>
      </c>
      <c r="AA198">
        <f>IF(A198="","",IF(LOWER(TRIM('01_Master_Data'!AI198&amp;""))="yes","Need FLDG",IF(LOWER(TRIM('01_Master_Data'!AK198&amp;""))="yes","Need Vidyalakshmi",IF(LOWER(TRIM('01_Master_Data'!AJ198&amp;""))="yes","Need Review",IF(LOWER(J198)="critical","Critical",IF(LOWER(U198)="risk","Risk Case",IF(X198="Refund","Refund","Normal")))))))</f>
        <v/>
      </c>
      <c r="AB198">
        <f>IF(A198="","",IF(OR(LOWER(J198)="critical",LOWER(TRIM('01_Master_Data'!AI198&amp;""))="yes",LOWER(TRIM('01_Master_Data'!AK198&amp;""))="yes",LOWER(U198)="risk"),"Yes","No"))</f>
        <v/>
      </c>
      <c r="AC198">
        <f>IF(A198="","",IF(LOWER(TRIM('01_Master_Data'!AI198&amp;""))="yes","Yes","No"))</f>
        <v/>
      </c>
      <c r="AD198">
        <f>IF(A198="","",IF(LOWER(TRIM('01_Master_Data'!AK198&amp;""))="yes","Yes","No"))</f>
        <v/>
      </c>
      <c r="AE198">
        <f>IF(A198="","",IF(LOWER(TRIM('01_Master_Data'!AJ198&amp;""))="yes","Yes","No"))</f>
        <v/>
      </c>
      <c r="AF198">
        <f>IF(A198="","",TRIM('01_Master_Data'!AL198&amp;""))</f>
        <v/>
      </c>
      <c r="AG198">
        <f>IF(A198="","",IF(AF198="","—",IF(ISNUMBER(SEARCH("DNP",AF198)),"Unreachable / DNP",IF(ISNUMBER(SEARCH("interest",LOWER(AF198))),"High Interest / Terms",IF(OR(ISNUMBER(SEARCH("eligib",LOWER(AF198))),ISNUMBER(SEARCH("income",LOWER(AF198)))),"Eligibility / Income",IF(OR(ISNUMBER(SEARCH("start",LOWER(AF198))),ISNUMBER(SEARCH("Newer",AF198)),ISNUMBER(SEARCH("Will start",AF198))),"Process Yet to Start",IF(ISNUMBER(SEARCH("sure",LOWER(AF198))),"Undecided",IF(OR(ISNUMBER(SEARCH("reject",LOWER(AF198))),ISNUMBER(SEARCH("SBI",AF198))),"Rejected Elsewhere",IF(ISNUMBER(SEARCH("call",LOWER(AF198))),"Bank Communication",IF(OR(ISNUMBER(SEARCH("father",LOWER(AF198))),ISNUMBER(SEARCH("sister",LOWER(AF198)))),"Family / Dependency","Other"))))))))))</f>
        <v/>
      </c>
      <c r="AH198">
        <f>IF(A198="","",'01_Master_Data'!AC198)</f>
        <v/>
      </c>
      <c r="AI198">
        <f>IF(A198="","",IF(OR(AH198="",NOT(ISNUMBER(AH198))),"",MAX(0,'02_Configuration'!$B$82-AH198)))</f>
        <v/>
      </c>
      <c r="AJ198">
        <f>IF(A198="","",IF(AI198="","Unknown",IF(AI198&lt;=3,"0–3 Days",IF(AI198&lt;=7,"4–7 Days",IF(AI198&lt;=15,"8–15 Days",IF(AI198&lt;=30,"16–30 Days","30+ Days"))))))</f>
        <v/>
      </c>
      <c r="AK198">
        <f>IF(A198="","",IF(LOWER(H198)="yes","Yes","No"))</f>
        <v/>
      </c>
      <c r="AL198">
        <f>IF(A198="","",'01_Master_Data'!T198)</f>
        <v/>
      </c>
      <c r="AM198">
        <f>IF(A198="","",'01_Master_Data'!S198)</f>
        <v/>
      </c>
      <c r="AN198">
        <f>IF(A198="","",'01_Master_Data'!I198)</f>
        <v/>
      </c>
      <c r="AO198">
        <f>IF(A198="","",'01_Master_Data'!M198)</f>
        <v/>
      </c>
      <c r="AP198">
        <f>IF(A198="","",IF(ISNUMBER(SEARCH("Icici",W198&amp;"")),1,0))</f>
        <v/>
      </c>
      <c r="AQ198">
        <f>IF(A198="","",IF(ISNUMBER(SEARCH("Propelld",W198&amp;"")),1,0))</f>
        <v/>
      </c>
      <c r="AR198">
        <f>IF(A198="","",IF(ISNUMBER(SEARCH("GyanDhan",W198&amp;"")),1,0))</f>
        <v/>
      </c>
      <c r="AS198">
        <f>IF(A198="","",IF(ISNUMBER(SEARCH("vidyalakshmi",LOWER(W198&amp;""))),1,0))</f>
        <v/>
      </c>
      <c r="AT198">
        <f>IF(A198="","",IF(ISNUMBER(SEARCH("other bank",LOWER(W198&amp;""))),1,0))</f>
        <v/>
      </c>
      <c r="AU198">
        <f>IF(A198="","",IF(ISNUMBER(SEARCH("sanctioned",LOWER(W198&amp;""))),1,0))</f>
        <v/>
      </c>
      <c r="AV198">
        <f>IF(A198="","",IF(ISNUMBER(SEARCH("Docs Pending",W198&amp;"")),1,0))</f>
        <v/>
      </c>
      <c r="AW198">
        <f>IF(A198="","",IF(OR(X198="Rejected",ISNUMBER(SEARCH("Not eligbile",W198&amp;""))),1,0))</f>
        <v/>
      </c>
    </row>
    <row r="199">
      <c r="A199">
        <f>IF('01_Master_Data'!B199="","",198)</f>
        <v/>
      </c>
      <c r="B199">
        <f>IF('01_Master_Data'!B199="","",IF('01_Master_Data'!C199&lt;&gt;"","MOB|"&amp;TEXT('01_Master_Data'!C199,"0"),IF('01_Master_Data'!D199&lt;&gt;"","PID|"&amp;TRIM('01_Master_Data'!D199&amp;""),"")))</f>
        <v/>
      </c>
      <c r="C199">
        <f>IF('01_Master_Data'!B199="","",'01_Master_Data'!B199)</f>
        <v/>
      </c>
      <c r="D199">
        <f>IF('01_Master_Data'!B199="","",'01_Master_Data'!C199)</f>
        <v/>
      </c>
      <c r="E199">
        <f>IF('01_Master_Data'!B199="","",'01_Master_Data'!D199)</f>
        <v/>
      </c>
      <c r="F199">
        <f>IF('01_Master_Data'!B199="","",'01_Master_Data'!E199)</f>
        <v/>
      </c>
      <c r="G199">
        <f>IF('01_Master_Data'!B199="","",IFERROR(VLOOKUP(TRIM('01_Master_Data'!E199&amp;""),'02_Configuration'!$A$40:$B$44,2,FALSE),UPPER(TRIM('01_Master_Data'!E199&amp;""))))</f>
        <v/>
      </c>
      <c r="H199">
        <f>IF('01_Master_Data'!B199="","",IF('01_Master_Data'!U199="","",TRIM('01_Master_Data'!U199&amp;"")))</f>
        <v/>
      </c>
      <c r="I199">
        <f>IF('01_Master_Data'!B199="","",TRIM('01_Master_Data'!F199&amp;""))</f>
        <v/>
      </c>
      <c r="J199">
        <f>IF('01_Master_Data'!B199="","",TRIM('01_Master_Data'!G199&amp;""))</f>
        <v/>
      </c>
      <c r="K199">
        <f>IF('01_Master_Data'!B199="","",'01_Master_Data'!H199)</f>
        <v/>
      </c>
      <c r="L199">
        <f>IF('01_Master_Data'!B199="","",IF(LOWER(TRIM('01_Master_Data'!V199&amp;""))="yes",1,0))</f>
        <v/>
      </c>
      <c r="M199">
        <f>IF('01_Master_Data'!B199="","",IF(LOWER(TRIM('01_Master_Data'!W199&amp;""))="yes",1,0))</f>
        <v/>
      </c>
      <c r="N199">
        <f>IF('01_Master_Data'!B199="","",IF(LOWER(TRIM('01_Master_Data'!X199&amp;""))="yes",1,0))</f>
        <v/>
      </c>
      <c r="O199">
        <f>IF('01_Master_Data'!B199="","",IF(LOWER(TRIM('01_Master_Data'!Y199&amp;""))="yes",1,0))</f>
        <v/>
      </c>
      <c r="P199">
        <f>IF('01_Master_Data'!B199="","",IF(LOWER(TRIM('01_Master_Data'!Z199&amp;""))="yes",1,0))</f>
        <v/>
      </c>
      <c r="Q199">
        <f>IF(A199="","",L199+M199+N199+O199+P199)</f>
        <v/>
      </c>
      <c r="R199">
        <f>IF(A199="","",IF(Q199&gt;1,"Yes","No"))</f>
        <v/>
      </c>
      <c r="S199">
        <f>IF(A199="","",TEXTJOIN(", ",TRUE,IF(L199=1,"ICICI",""),IF(M199=1,"Propelld",""),IF(N199=1,"Study4Buddy",""),IF(O199=1,"Poonawala Fincorp",""),IF(P199=1,"GyanDhan","")))</f>
        <v/>
      </c>
      <c r="T199">
        <f>IF(A199="","",IF(L199=1,"ICICI",IF(M199=1,"Propelld",IF(P199=1,"GyanDhan",IF(N199=1,"Study4Buddy",IF(O199=1,"Poonawala Fincorp",IF(ISNUMBER(SEARCH("GyanDhan",W199&amp;"")),"GyanDhan",IF(ISNUMBER(SEARCH("Icici",W199&amp;"")),"ICICI",IF(ISNUMBER(SEARCH("Propelld",W199&amp;"")),"Propelld",IF(ISNUMBER(SEARCH("vidyalakshmi",LOWER(W199&amp;"")),"PM Vidyalakshmi","—"))))))))))</f>
        <v/>
      </c>
      <c r="U199">
        <f>IF(A199="","",TRIM('01_Master_Data'!AA199&amp;""))</f>
        <v/>
      </c>
      <c r="V199">
        <f>IF(A199="","",TRIM('01_Master_Data'!AG199&amp;""))</f>
        <v/>
      </c>
      <c r="W199">
        <f>IF(A199="","",TRIM('01_Master_Data'!AH199&amp;""))</f>
        <v/>
      </c>
      <c r="X199">
        <f>IF(A199="","",IF(OR(LOWER(H199)="refund",LOWER(U199)="refund case"),"Refund",IF(OR(LOWER(H199)="dnp",LOWER(U199)="dnp"),"DNP",IF(OR(LOWER(V199)="disbursed",ISNUMBER(SEARCH("Disbursed",W199&amp;""))),"Disbursed",IF(OR(LOWER(V199)="loan proccessed/accepted",ISNUMBER(SEARCH("sanctioned",LOWER(W199&amp;"")))),"Sanctioned",IF(OR(LOWER(V199)="rejected",ISNUMBER(SEARCH("Not eligbile",W199&amp;"")),ISNUMBER(SEARCH("Not eligible",W199&amp;""))),"Rejected",IF(ISNUMBER(SEARCH("Docs Pending",W199&amp;"")),"Documents Pending",IF(AND(LOWER(H199)="yes",LOWER(V199)="ongoing"),"Processing",IF(AND(LOWER(H199)="yes",Q199&gt;0,OR(V199="",LOWER(V199)="not even started")),"Vendor Assigned",IF(AND(LOWER(H199)="yes",LOWER(V199)="not even started"),"Need Loan",IF(LOWER(H199)="yes","Loan Started",IF(LOWER(H199)="not sure","Interested",IF(OR(LOWER(H199)="no",LOWER(V199)="not required"),"Not Required","Unclassified")))))))))))))</f>
        <v/>
      </c>
      <c r="Y199">
        <f>IF(A199="","",IF(OR(X199="Sanctioned",X199="Disbursed",X199="Approved"),"Approved",IF(X199="Rejected","Rejected",IF(OR(X199="Processing",X199="Documents Pending",X199="Vendor Assigned"),"In Progress",IF(X199="Need Loan","Pending Start","—"))))</f>
        <v/>
      </c>
      <c r="Z199">
        <f>IF(A199="","",IF(X199="Disbursed","Disbursed",IF(X199="Sanctioned","Sanctioned - Awaiting Disbursement","Not Disbursed")))</f>
        <v/>
      </c>
      <c r="AA199">
        <f>IF(A199="","",IF(LOWER(TRIM('01_Master_Data'!AI199&amp;""))="yes","Need FLDG",IF(LOWER(TRIM('01_Master_Data'!AK199&amp;""))="yes","Need Vidyalakshmi",IF(LOWER(TRIM('01_Master_Data'!AJ199&amp;""))="yes","Need Review",IF(LOWER(J199)="critical","Critical",IF(LOWER(U199)="risk","Risk Case",IF(X199="Refund","Refund","Normal")))))))</f>
        <v/>
      </c>
      <c r="AB199">
        <f>IF(A199="","",IF(OR(LOWER(J199)="critical",LOWER(TRIM('01_Master_Data'!AI199&amp;""))="yes",LOWER(TRIM('01_Master_Data'!AK199&amp;""))="yes",LOWER(U199)="risk"),"Yes","No"))</f>
        <v/>
      </c>
      <c r="AC199">
        <f>IF(A199="","",IF(LOWER(TRIM('01_Master_Data'!AI199&amp;""))="yes","Yes","No"))</f>
        <v/>
      </c>
      <c r="AD199">
        <f>IF(A199="","",IF(LOWER(TRIM('01_Master_Data'!AK199&amp;""))="yes","Yes","No"))</f>
        <v/>
      </c>
      <c r="AE199">
        <f>IF(A199="","",IF(LOWER(TRIM('01_Master_Data'!AJ199&amp;""))="yes","Yes","No"))</f>
        <v/>
      </c>
      <c r="AF199">
        <f>IF(A199="","",TRIM('01_Master_Data'!AL199&amp;""))</f>
        <v/>
      </c>
      <c r="AG199">
        <f>IF(A199="","",IF(AF199="","—",IF(ISNUMBER(SEARCH("DNP",AF199)),"Unreachable / DNP",IF(ISNUMBER(SEARCH("interest",LOWER(AF199))),"High Interest / Terms",IF(OR(ISNUMBER(SEARCH("eligib",LOWER(AF199))),ISNUMBER(SEARCH("income",LOWER(AF199)))),"Eligibility / Income",IF(OR(ISNUMBER(SEARCH("start",LOWER(AF199))),ISNUMBER(SEARCH("Newer",AF199)),ISNUMBER(SEARCH("Will start",AF199))),"Process Yet to Start",IF(ISNUMBER(SEARCH("sure",LOWER(AF199))),"Undecided",IF(OR(ISNUMBER(SEARCH("reject",LOWER(AF199))),ISNUMBER(SEARCH("SBI",AF199))),"Rejected Elsewhere",IF(ISNUMBER(SEARCH("call",LOWER(AF199))),"Bank Communication",IF(OR(ISNUMBER(SEARCH("father",LOWER(AF199))),ISNUMBER(SEARCH("sister",LOWER(AF199)))),"Family / Dependency","Other"))))))))))</f>
        <v/>
      </c>
      <c r="AH199">
        <f>IF(A199="","",'01_Master_Data'!AC199)</f>
        <v/>
      </c>
      <c r="AI199">
        <f>IF(A199="","",IF(OR(AH199="",NOT(ISNUMBER(AH199))),"",MAX(0,'02_Configuration'!$B$82-AH199)))</f>
        <v/>
      </c>
      <c r="AJ199">
        <f>IF(A199="","",IF(AI199="","Unknown",IF(AI199&lt;=3,"0–3 Days",IF(AI199&lt;=7,"4–7 Days",IF(AI199&lt;=15,"8–15 Days",IF(AI199&lt;=30,"16–30 Days","30+ Days"))))))</f>
        <v/>
      </c>
      <c r="AK199">
        <f>IF(A199="","",IF(LOWER(H199)="yes","Yes","No"))</f>
        <v/>
      </c>
      <c r="AL199">
        <f>IF(A199="","",'01_Master_Data'!T199)</f>
        <v/>
      </c>
      <c r="AM199">
        <f>IF(A199="","",'01_Master_Data'!S199)</f>
        <v/>
      </c>
      <c r="AN199">
        <f>IF(A199="","",'01_Master_Data'!I199)</f>
        <v/>
      </c>
      <c r="AO199">
        <f>IF(A199="","",'01_Master_Data'!M199)</f>
        <v/>
      </c>
      <c r="AP199">
        <f>IF(A199="","",IF(ISNUMBER(SEARCH("Icici",W199&amp;"")),1,0))</f>
        <v/>
      </c>
      <c r="AQ199">
        <f>IF(A199="","",IF(ISNUMBER(SEARCH("Propelld",W199&amp;"")),1,0))</f>
        <v/>
      </c>
      <c r="AR199">
        <f>IF(A199="","",IF(ISNUMBER(SEARCH("GyanDhan",W199&amp;"")),1,0))</f>
        <v/>
      </c>
      <c r="AS199">
        <f>IF(A199="","",IF(ISNUMBER(SEARCH("vidyalakshmi",LOWER(W199&amp;""))),1,0))</f>
        <v/>
      </c>
      <c r="AT199">
        <f>IF(A199="","",IF(ISNUMBER(SEARCH("other bank",LOWER(W199&amp;""))),1,0))</f>
        <v/>
      </c>
      <c r="AU199">
        <f>IF(A199="","",IF(ISNUMBER(SEARCH("sanctioned",LOWER(W199&amp;""))),1,0))</f>
        <v/>
      </c>
      <c r="AV199">
        <f>IF(A199="","",IF(ISNUMBER(SEARCH("Docs Pending",W199&amp;"")),1,0))</f>
        <v/>
      </c>
      <c r="AW199">
        <f>IF(A199="","",IF(OR(X199="Rejected",ISNUMBER(SEARCH("Not eligbile",W199&amp;""))),1,0))</f>
        <v/>
      </c>
    </row>
    <row r="200">
      <c r="A200">
        <f>IF('01_Master_Data'!B200="","",199)</f>
        <v/>
      </c>
      <c r="B200">
        <f>IF('01_Master_Data'!B200="","",IF('01_Master_Data'!C200&lt;&gt;"","MOB|"&amp;TEXT('01_Master_Data'!C200,"0"),IF('01_Master_Data'!D200&lt;&gt;"","PID|"&amp;TRIM('01_Master_Data'!D200&amp;""),"")))</f>
        <v/>
      </c>
      <c r="C200">
        <f>IF('01_Master_Data'!B200="","",'01_Master_Data'!B200)</f>
        <v/>
      </c>
      <c r="D200">
        <f>IF('01_Master_Data'!B200="","",'01_Master_Data'!C200)</f>
        <v/>
      </c>
      <c r="E200">
        <f>IF('01_Master_Data'!B200="","",'01_Master_Data'!D200)</f>
        <v/>
      </c>
      <c r="F200">
        <f>IF('01_Master_Data'!B200="","",'01_Master_Data'!E200)</f>
        <v/>
      </c>
      <c r="G200">
        <f>IF('01_Master_Data'!B200="","",IFERROR(VLOOKUP(TRIM('01_Master_Data'!E200&amp;""),'02_Configuration'!$A$40:$B$44,2,FALSE),UPPER(TRIM('01_Master_Data'!E200&amp;""))))</f>
        <v/>
      </c>
      <c r="H200">
        <f>IF('01_Master_Data'!B200="","",IF('01_Master_Data'!U200="","",TRIM('01_Master_Data'!U200&amp;"")))</f>
        <v/>
      </c>
      <c r="I200">
        <f>IF('01_Master_Data'!B200="","",TRIM('01_Master_Data'!F200&amp;""))</f>
        <v/>
      </c>
      <c r="J200">
        <f>IF('01_Master_Data'!B200="","",TRIM('01_Master_Data'!G200&amp;""))</f>
        <v/>
      </c>
      <c r="K200">
        <f>IF('01_Master_Data'!B200="","",'01_Master_Data'!H200)</f>
        <v/>
      </c>
      <c r="L200">
        <f>IF('01_Master_Data'!B200="","",IF(LOWER(TRIM('01_Master_Data'!V200&amp;""))="yes",1,0))</f>
        <v/>
      </c>
      <c r="M200">
        <f>IF('01_Master_Data'!B200="","",IF(LOWER(TRIM('01_Master_Data'!W200&amp;""))="yes",1,0))</f>
        <v/>
      </c>
      <c r="N200">
        <f>IF('01_Master_Data'!B200="","",IF(LOWER(TRIM('01_Master_Data'!X200&amp;""))="yes",1,0))</f>
        <v/>
      </c>
      <c r="O200">
        <f>IF('01_Master_Data'!B200="","",IF(LOWER(TRIM('01_Master_Data'!Y200&amp;""))="yes",1,0))</f>
        <v/>
      </c>
      <c r="P200">
        <f>IF('01_Master_Data'!B200="","",IF(LOWER(TRIM('01_Master_Data'!Z200&amp;""))="yes",1,0))</f>
        <v/>
      </c>
      <c r="Q200">
        <f>IF(A200="","",L200+M200+N200+O200+P200)</f>
        <v/>
      </c>
      <c r="R200">
        <f>IF(A200="","",IF(Q200&gt;1,"Yes","No"))</f>
        <v/>
      </c>
      <c r="S200">
        <f>IF(A200="","",TEXTJOIN(", ",TRUE,IF(L200=1,"ICICI",""),IF(M200=1,"Propelld",""),IF(N200=1,"Study4Buddy",""),IF(O200=1,"Poonawala Fincorp",""),IF(P200=1,"GyanDhan","")))</f>
        <v/>
      </c>
      <c r="T200">
        <f>IF(A200="","",IF(L200=1,"ICICI",IF(M200=1,"Propelld",IF(P200=1,"GyanDhan",IF(N200=1,"Study4Buddy",IF(O200=1,"Poonawala Fincorp",IF(ISNUMBER(SEARCH("GyanDhan",W200&amp;"")),"GyanDhan",IF(ISNUMBER(SEARCH("Icici",W200&amp;"")),"ICICI",IF(ISNUMBER(SEARCH("Propelld",W200&amp;"")),"Propelld",IF(ISNUMBER(SEARCH("vidyalakshmi",LOWER(W200&amp;"")),"PM Vidyalakshmi","—"))))))))))</f>
        <v/>
      </c>
      <c r="U200">
        <f>IF(A200="","",TRIM('01_Master_Data'!AA200&amp;""))</f>
        <v/>
      </c>
      <c r="V200">
        <f>IF(A200="","",TRIM('01_Master_Data'!AG200&amp;""))</f>
        <v/>
      </c>
      <c r="W200">
        <f>IF(A200="","",TRIM('01_Master_Data'!AH200&amp;""))</f>
        <v/>
      </c>
      <c r="X200">
        <f>IF(A200="","",IF(OR(LOWER(H200)="refund",LOWER(U200)="refund case"),"Refund",IF(OR(LOWER(H200)="dnp",LOWER(U200)="dnp"),"DNP",IF(OR(LOWER(V200)="disbursed",ISNUMBER(SEARCH("Disbursed",W200&amp;""))),"Disbursed",IF(OR(LOWER(V200)="loan proccessed/accepted",ISNUMBER(SEARCH("sanctioned",LOWER(W200&amp;"")))),"Sanctioned",IF(OR(LOWER(V200)="rejected",ISNUMBER(SEARCH("Not eligbile",W200&amp;"")),ISNUMBER(SEARCH("Not eligible",W200&amp;""))),"Rejected",IF(ISNUMBER(SEARCH("Docs Pending",W200&amp;"")),"Documents Pending",IF(AND(LOWER(H200)="yes",LOWER(V200)="ongoing"),"Processing",IF(AND(LOWER(H200)="yes",Q200&gt;0,OR(V200="",LOWER(V200)="not even started")),"Vendor Assigned",IF(AND(LOWER(H200)="yes",LOWER(V200)="not even started"),"Need Loan",IF(LOWER(H200)="yes","Loan Started",IF(LOWER(H200)="not sure","Interested",IF(OR(LOWER(H200)="no",LOWER(V200)="not required"),"Not Required","Unclassified")))))))))))))</f>
        <v/>
      </c>
      <c r="Y200">
        <f>IF(A200="","",IF(OR(X200="Sanctioned",X200="Disbursed",X200="Approved"),"Approved",IF(X200="Rejected","Rejected",IF(OR(X200="Processing",X200="Documents Pending",X200="Vendor Assigned"),"In Progress",IF(X200="Need Loan","Pending Start","—"))))</f>
        <v/>
      </c>
      <c r="Z200">
        <f>IF(A200="","",IF(X200="Disbursed","Disbursed",IF(X200="Sanctioned","Sanctioned - Awaiting Disbursement","Not Disbursed")))</f>
        <v/>
      </c>
      <c r="AA200">
        <f>IF(A200="","",IF(LOWER(TRIM('01_Master_Data'!AI200&amp;""))="yes","Need FLDG",IF(LOWER(TRIM('01_Master_Data'!AK200&amp;""))="yes","Need Vidyalakshmi",IF(LOWER(TRIM('01_Master_Data'!AJ200&amp;""))="yes","Need Review",IF(LOWER(J200)="critical","Critical",IF(LOWER(U200)="risk","Risk Case",IF(X200="Refund","Refund","Normal")))))))</f>
        <v/>
      </c>
      <c r="AB200">
        <f>IF(A200="","",IF(OR(LOWER(J200)="critical",LOWER(TRIM('01_Master_Data'!AI200&amp;""))="yes",LOWER(TRIM('01_Master_Data'!AK200&amp;""))="yes",LOWER(U200)="risk"),"Yes","No"))</f>
        <v/>
      </c>
      <c r="AC200">
        <f>IF(A200="","",IF(LOWER(TRIM('01_Master_Data'!AI200&amp;""))="yes","Yes","No"))</f>
        <v/>
      </c>
      <c r="AD200">
        <f>IF(A200="","",IF(LOWER(TRIM('01_Master_Data'!AK200&amp;""))="yes","Yes","No"))</f>
        <v/>
      </c>
      <c r="AE200">
        <f>IF(A200="","",IF(LOWER(TRIM('01_Master_Data'!AJ200&amp;""))="yes","Yes","No"))</f>
        <v/>
      </c>
      <c r="AF200">
        <f>IF(A200="","",TRIM('01_Master_Data'!AL200&amp;""))</f>
        <v/>
      </c>
      <c r="AG200">
        <f>IF(A200="","",IF(AF200="","—",IF(ISNUMBER(SEARCH("DNP",AF200)),"Unreachable / DNP",IF(ISNUMBER(SEARCH("interest",LOWER(AF200))),"High Interest / Terms",IF(OR(ISNUMBER(SEARCH("eligib",LOWER(AF200))),ISNUMBER(SEARCH("income",LOWER(AF200)))),"Eligibility / Income",IF(OR(ISNUMBER(SEARCH("start",LOWER(AF200))),ISNUMBER(SEARCH("Newer",AF200)),ISNUMBER(SEARCH("Will start",AF200))),"Process Yet to Start",IF(ISNUMBER(SEARCH("sure",LOWER(AF200))),"Undecided",IF(OR(ISNUMBER(SEARCH("reject",LOWER(AF200))),ISNUMBER(SEARCH("SBI",AF200))),"Rejected Elsewhere",IF(ISNUMBER(SEARCH("call",LOWER(AF200))),"Bank Communication",IF(OR(ISNUMBER(SEARCH("father",LOWER(AF200))),ISNUMBER(SEARCH("sister",LOWER(AF200)))),"Family / Dependency","Other"))))))))))</f>
        <v/>
      </c>
      <c r="AH200">
        <f>IF(A200="","",'01_Master_Data'!AC200)</f>
        <v/>
      </c>
      <c r="AI200">
        <f>IF(A200="","",IF(OR(AH200="",NOT(ISNUMBER(AH200))),"",MAX(0,'02_Configuration'!$B$82-AH200)))</f>
        <v/>
      </c>
      <c r="AJ200">
        <f>IF(A200="","",IF(AI200="","Unknown",IF(AI200&lt;=3,"0–3 Days",IF(AI200&lt;=7,"4–7 Days",IF(AI200&lt;=15,"8–15 Days",IF(AI200&lt;=30,"16–30 Days","30+ Days"))))))</f>
        <v/>
      </c>
      <c r="AK200">
        <f>IF(A200="","",IF(LOWER(H200)="yes","Yes","No"))</f>
        <v/>
      </c>
      <c r="AL200">
        <f>IF(A200="","",'01_Master_Data'!T200)</f>
        <v/>
      </c>
      <c r="AM200">
        <f>IF(A200="","",'01_Master_Data'!S200)</f>
        <v/>
      </c>
      <c r="AN200">
        <f>IF(A200="","",'01_Master_Data'!I200)</f>
        <v/>
      </c>
      <c r="AO200">
        <f>IF(A200="","",'01_Master_Data'!M200)</f>
        <v/>
      </c>
      <c r="AP200">
        <f>IF(A200="","",IF(ISNUMBER(SEARCH("Icici",W200&amp;"")),1,0))</f>
        <v/>
      </c>
      <c r="AQ200">
        <f>IF(A200="","",IF(ISNUMBER(SEARCH("Propelld",W200&amp;"")),1,0))</f>
        <v/>
      </c>
      <c r="AR200">
        <f>IF(A200="","",IF(ISNUMBER(SEARCH("GyanDhan",W200&amp;"")),1,0))</f>
        <v/>
      </c>
      <c r="AS200">
        <f>IF(A200="","",IF(ISNUMBER(SEARCH("vidyalakshmi",LOWER(W200&amp;""))),1,0))</f>
        <v/>
      </c>
      <c r="AT200">
        <f>IF(A200="","",IF(ISNUMBER(SEARCH("other bank",LOWER(W200&amp;""))),1,0))</f>
        <v/>
      </c>
      <c r="AU200">
        <f>IF(A200="","",IF(ISNUMBER(SEARCH("sanctioned",LOWER(W200&amp;""))),1,0))</f>
        <v/>
      </c>
      <c r="AV200">
        <f>IF(A200="","",IF(ISNUMBER(SEARCH("Docs Pending",W200&amp;"")),1,0))</f>
        <v/>
      </c>
      <c r="AW200">
        <f>IF(A200="","",IF(OR(X200="Rejected",ISNUMBER(SEARCH("Not eligbile",W200&amp;""))),1,0))</f>
        <v/>
      </c>
    </row>
    <row r="201">
      <c r="A201">
        <f>IF('01_Master_Data'!B201="","",200)</f>
        <v/>
      </c>
      <c r="B201">
        <f>IF('01_Master_Data'!B201="","",IF('01_Master_Data'!C201&lt;&gt;"","MOB|"&amp;TEXT('01_Master_Data'!C201,"0"),IF('01_Master_Data'!D201&lt;&gt;"","PID|"&amp;TRIM('01_Master_Data'!D201&amp;""),"")))</f>
        <v/>
      </c>
      <c r="C201">
        <f>IF('01_Master_Data'!B201="","",'01_Master_Data'!B201)</f>
        <v/>
      </c>
      <c r="D201">
        <f>IF('01_Master_Data'!B201="","",'01_Master_Data'!C201)</f>
        <v/>
      </c>
      <c r="E201">
        <f>IF('01_Master_Data'!B201="","",'01_Master_Data'!D201)</f>
        <v/>
      </c>
      <c r="F201">
        <f>IF('01_Master_Data'!B201="","",'01_Master_Data'!E201)</f>
        <v/>
      </c>
      <c r="G201">
        <f>IF('01_Master_Data'!B201="","",IFERROR(VLOOKUP(TRIM('01_Master_Data'!E201&amp;""),'02_Configuration'!$A$40:$B$44,2,FALSE),UPPER(TRIM('01_Master_Data'!E201&amp;""))))</f>
        <v/>
      </c>
      <c r="H201">
        <f>IF('01_Master_Data'!B201="","",IF('01_Master_Data'!U201="","",TRIM('01_Master_Data'!U201&amp;"")))</f>
        <v/>
      </c>
      <c r="I201">
        <f>IF('01_Master_Data'!B201="","",TRIM('01_Master_Data'!F201&amp;""))</f>
        <v/>
      </c>
      <c r="J201">
        <f>IF('01_Master_Data'!B201="","",TRIM('01_Master_Data'!G201&amp;""))</f>
        <v/>
      </c>
      <c r="K201">
        <f>IF('01_Master_Data'!B201="","",'01_Master_Data'!H201)</f>
        <v/>
      </c>
      <c r="L201">
        <f>IF('01_Master_Data'!B201="","",IF(LOWER(TRIM('01_Master_Data'!V201&amp;""))="yes",1,0))</f>
        <v/>
      </c>
      <c r="M201">
        <f>IF('01_Master_Data'!B201="","",IF(LOWER(TRIM('01_Master_Data'!W201&amp;""))="yes",1,0))</f>
        <v/>
      </c>
      <c r="N201">
        <f>IF('01_Master_Data'!B201="","",IF(LOWER(TRIM('01_Master_Data'!X201&amp;""))="yes",1,0))</f>
        <v/>
      </c>
      <c r="O201">
        <f>IF('01_Master_Data'!B201="","",IF(LOWER(TRIM('01_Master_Data'!Y201&amp;""))="yes",1,0))</f>
        <v/>
      </c>
      <c r="P201">
        <f>IF('01_Master_Data'!B201="","",IF(LOWER(TRIM('01_Master_Data'!Z201&amp;""))="yes",1,0))</f>
        <v/>
      </c>
      <c r="Q201">
        <f>IF(A201="","",L201+M201+N201+O201+P201)</f>
        <v/>
      </c>
      <c r="R201">
        <f>IF(A201="","",IF(Q201&gt;1,"Yes","No"))</f>
        <v/>
      </c>
      <c r="S201">
        <f>IF(A201="","",TEXTJOIN(", ",TRUE,IF(L201=1,"ICICI",""),IF(M201=1,"Propelld",""),IF(N201=1,"Study4Buddy",""),IF(O201=1,"Poonawala Fincorp",""),IF(P201=1,"GyanDhan","")))</f>
        <v/>
      </c>
      <c r="T201">
        <f>IF(A201="","",IF(L201=1,"ICICI",IF(M201=1,"Propelld",IF(P201=1,"GyanDhan",IF(N201=1,"Study4Buddy",IF(O201=1,"Poonawala Fincorp",IF(ISNUMBER(SEARCH("GyanDhan",W201&amp;"")),"GyanDhan",IF(ISNUMBER(SEARCH("Icici",W201&amp;"")),"ICICI",IF(ISNUMBER(SEARCH("Propelld",W201&amp;"")),"Propelld",IF(ISNUMBER(SEARCH("vidyalakshmi",LOWER(W201&amp;"")),"PM Vidyalakshmi","—"))))))))))</f>
        <v/>
      </c>
      <c r="U201">
        <f>IF(A201="","",TRIM('01_Master_Data'!AA201&amp;""))</f>
        <v/>
      </c>
      <c r="V201">
        <f>IF(A201="","",TRIM('01_Master_Data'!AG201&amp;""))</f>
        <v/>
      </c>
      <c r="W201">
        <f>IF(A201="","",TRIM('01_Master_Data'!AH201&amp;""))</f>
        <v/>
      </c>
      <c r="X201">
        <f>IF(A201="","",IF(OR(LOWER(H201)="refund",LOWER(U201)="refund case"),"Refund",IF(OR(LOWER(H201)="dnp",LOWER(U201)="dnp"),"DNP",IF(OR(LOWER(V201)="disbursed",ISNUMBER(SEARCH("Disbursed",W201&amp;""))),"Disbursed",IF(OR(LOWER(V201)="loan proccessed/accepted",ISNUMBER(SEARCH("sanctioned",LOWER(W201&amp;"")))),"Sanctioned",IF(OR(LOWER(V201)="rejected",ISNUMBER(SEARCH("Not eligbile",W201&amp;"")),ISNUMBER(SEARCH("Not eligible",W201&amp;""))),"Rejected",IF(ISNUMBER(SEARCH("Docs Pending",W201&amp;"")),"Documents Pending",IF(AND(LOWER(H201)="yes",LOWER(V201)="ongoing"),"Processing",IF(AND(LOWER(H201)="yes",Q201&gt;0,OR(V201="",LOWER(V201)="not even started")),"Vendor Assigned",IF(AND(LOWER(H201)="yes",LOWER(V201)="not even started"),"Need Loan",IF(LOWER(H201)="yes","Loan Started",IF(LOWER(H201)="not sure","Interested",IF(OR(LOWER(H201)="no",LOWER(V201)="not required"),"Not Required","Unclassified")))))))))))))</f>
        <v/>
      </c>
      <c r="Y201">
        <f>IF(A201="","",IF(OR(X201="Sanctioned",X201="Disbursed",X201="Approved"),"Approved",IF(X201="Rejected","Rejected",IF(OR(X201="Processing",X201="Documents Pending",X201="Vendor Assigned"),"In Progress",IF(X201="Need Loan","Pending Start","—"))))</f>
        <v/>
      </c>
      <c r="Z201">
        <f>IF(A201="","",IF(X201="Disbursed","Disbursed",IF(X201="Sanctioned","Sanctioned - Awaiting Disbursement","Not Disbursed")))</f>
        <v/>
      </c>
      <c r="AA201">
        <f>IF(A201="","",IF(LOWER(TRIM('01_Master_Data'!AI201&amp;""))="yes","Need FLDG",IF(LOWER(TRIM('01_Master_Data'!AK201&amp;""))="yes","Need Vidyalakshmi",IF(LOWER(TRIM('01_Master_Data'!AJ201&amp;""))="yes","Need Review",IF(LOWER(J201)="critical","Critical",IF(LOWER(U201)="risk","Risk Case",IF(X201="Refund","Refund","Normal")))))))</f>
        <v/>
      </c>
      <c r="AB201">
        <f>IF(A201="","",IF(OR(LOWER(J201)="critical",LOWER(TRIM('01_Master_Data'!AI201&amp;""))="yes",LOWER(TRIM('01_Master_Data'!AK201&amp;""))="yes",LOWER(U201)="risk"),"Yes","No"))</f>
        <v/>
      </c>
      <c r="AC201">
        <f>IF(A201="","",IF(LOWER(TRIM('01_Master_Data'!AI201&amp;""))="yes","Yes","No"))</f>
        <v/>
      </c>
      <c r="AD201">
        <f>IF(A201="","",IF(LOWER(TRIM('01_Master_Data'!AK201&amp;""))="yes","Yes","No"))</f>
        <v/>
      </c>
      <c r="AE201">
        <f>IF(A201="","",IF(LOWER(TRIM('01_Master_Data'!AJ201&amp;""))="yes","Yes","No"))</f>
        <v/>
      </c>
      <c r="AF201">
        <f>IF(A201="","",TRIM('01_Master_Data'!AL201&amp;""))</f>
        <v/>
      </c>
      <c r="AG201">
        <f>IF(A201="","",IF(AF201="","—",IF(ISNUMBER(SEARCH("DNP",AF201)),"Unreachable / DNP",IF(ISNUMBER(SEARCH("interest",LOWER(AF201))),"High Interest / Terms",IF(OR(ISNUMBER(SEARCH("eligib",LOWER(AF201))),ISNUMBER(SEARCH("income",LOWER(AF201)))),"Eligibility / Income",IF(OR(ISNUMBER(SEARCH("start",LOWER(AF201))),ISNUMBER(SEARCH("Newer",AF201)),ISNUMBER(SEARCH("Will start",AF201))),"Process Yet to Start",IF(ISNUMBER(SEARCH("sure",LOWER(AF201))),"Undecided",IF(OR(ISNUMBER(SEARCH("reject",LOWER(AF201))),ISNUMBER(SEARCH("SBI",AF201))),"Rejected Elsewhere",IF(ISNUMBER(SEARCH("call",LOWER(AF201))),"Bank Communication",IF(OR(ISNUMBER(SEARCH("father",LOWER(AF201))),ISNUMBER(SEARCH("sister",LOWER(AF201)))),"Family / Dependency","Other"))))))))))</f>
        <v/>
      </c>
      <c r="AH201">
        <f>IF(A201="","",'01_Master_Data'!AC201)</f>
        <v/>
      </c>
      <c r="AI201">
        <f>IF(A201="","",IF(OR(AH201="",NOT(ISNUMBER(AH201))),"",MAX(0,'02_Configuration'!$B$82-AH201)))</f>
        <v/>
      </c>
      <c r="AJ201">
        <f>IF(A201="","",IF(AI201="","Unknown",IF(AI201&lt;=3,"0–3 Days",IF(AI201&lt;=7,"4–7 Days",IF(AI201&lt;=15,"8–15 Days",IF(AI201&lt;=30,"16–30 Days","30+ Days"))))))</f>
        <v/>
      </c>
      <c r="AK201">
        <f>IF(A201="","",IF(LOWER(H201)="yes","Yes","No"))</f>
        <v/>
      </c>
      <c r="AL201">
        <f>IF(A201="","",'01_Master_Data'!T201)</f>
        <v/>
      </c>
      <c r="AM201">
        <f>IF(A201="","",'01_Master_Data'!S201)</f>
        <v/>
      </c>
      <c r="AN201">
        <f>IF(A201="","",'01_Master_Data'!I201)</f>
        <v/>
      </c>
      <c r="AO201">
        <f>IF(A201="","",'01_Master_Data'!M201)</f>
        <v/>
      </c>
      <c r="AP201">
        <f>IF(A201="","",IF(ISNUMBER(SEARCH("Icici",W201&amp;"")),1,0))</f>
        <v/>
      </c>
      <c r="AQ201">
        <f>IF(A201="","",IF(ISNUMBER(SEARCH("Propelld",W201&amp;"")),1,0))</f>
        <v/>
      </c>
      <c r="AR201">
        <f>IF(A201="","",IF(ISNUMBER(SEARCH("GyanDhan",W201&amp;"")),1,0))</f>
        <v/>
      </c>
      <c r="AS201">
        <f>IF(A201="","",IF(ISNUMBER(SEARCH("vidyalakshmi",LOWER(W201&amp;""))),1,0))</f>
        <v/>
      </c>
      <c r="AT201">
        <f>IF(A201="","",IF(ISNUMBER(SEARCH("other bank",LOWER(W201&amp;""))),1,0))</f>
        <v/>
      </c>
      <c r="AU201">
        <f>IF(A201="","",IF(ISNUMBER(SEARCH("sanctioned",LOWER(W201&amp;""))),1,0))</f>
        <v/>
      </c>
      <c r="AV201">
        <f>IF(A201="","",IF(ISNUMBER(SEARCH("Docs Pending",W201&amp;"")),1,0))</f>
        <v/>
      </c>
      <c r="AW201">
        <f>IF(A201="","",IF(OR(X201="Rejected",ISNUMBER(SEARCH("Not eligbile",W201&amp;""))),1,0))</f>
        <v/>
      </c>
    </row>
    <row r="202">
      <c r="A202">
        <f>IF('01_Master_Data'!B202="","",201)</f>
        <v/>
      </c>
      <c r="B202">
        <f>IF('01_Master_Data'!B202="","",IF('01_Master_Data'!C202&lt;&gt;"","MOB|"&amp;TEXT('01_Master_Data'!C202,"0"),IF('01_Master_Data'!D202&lt;&gt;"","PID|"&amp;TRIM('01_Master_Data'!D202&amp;""),"")))</f>
        <v/>
      </c>
      <c r="C202">
        <f>IF('01_Master_Data'!B202="","",'01_Master_Data'!B202)</f>
        <v/>
      </c>
      <c r="D202">
        <f>IF('01_Master_Data'!B202="","",'01_Master_Data'!C202)</f>
        <v/>
      </c>
      <c r="E202">
        <f>IF('01_Master_Data'!B202="","",'01_Master_Data'!D202)</f>
        <v/>
      </c>
      <c r="F202">
        <f>IF('01_Master_Data'!B202="","",'01_Master_Data'!E202)</f>
        <v/>
      </c>
      <c r="G202">
        <f>IF('01_Master_Data'!B202="","",IFERROR(VLOOKUP(TRIM('01_Master_Data'!E202&amp;""),'02_Configuration'!$A$40:$B$44,2,FALSE),UPPER(TRIM('01_Master_Data'!E202&amp;""))))</f>
        <v/>
      </c>
      <c r="H202">
        <f>IF('01_Master_Data'!B202="","",IF('01_Master_Data'!U202="","",TRIM('01_Master_Data'!U202&amp;"")))</f>
        <v/>
      </c>
      <c r="I202">
        <f>IF('01_Master_Data'!B202="","",TRIM('01_Master_Data'!F202&amp;""))</f>
        <v/>
      </c>
      <c r="J202">
        <f>IF('01_Master_Data'!B202="","",TRIM('01_Master_Data'!G202&amp;""))</f>
        <v/>
      </c>
      <c r="K202">
        <f>IF('01_Master_Data'!B202="","",'01_Master_Data'!H202)</f>
        <v/>
      </c>
      <c r="L202">
        <f>IF('01_Master_Data'!B202="","",IF(LOWER(TRIM('01_Master_Data'!V202&amp;""))="yes",1,0))</f>
        <v/>
      </c>
      <c r="M202">
        <f>IF('01_Master_Data'!B202="","",IF(LOWER(TRIM('01_Master_Data'!W202&amp;""))="yes",1,0))</f>
        <v/>
      </c>
      <c r="N202">
        <f>IF('01_Master_Data'!B202="","",IF(LOWER(TRIM('01_Master_Data'!X202&amp;""))="yes",1,0))</f>
        <v/>
      </c>
      <c r="O202">
        <f>IF('01_Master_Data'!B202="","",IF(LOWER(TRIM('01_Master_Data'!Y202&amp;""))="yes",1,0))</f>
        <v/>
      </c>
      <c r="P202">
        <f>IF('01_Master_Data'!B202="","",IF(LOWER(TRIM('01_Master_Data'!Z202&amp;""))="yes",1,0))</f>
        <v/>
      </c>
      <c r="Q202">
        <f>IF(A202="","",L202+M202+N202+O202+P202)</f>
        <v/>
      </c>
      <c r="R202">
        <f>IF(A202="","",IF(Q202&gt;1,"Yes","No"))</f>
        <v/>
      </c>
      <c r="S202">
        <f>IF(A202="","",TEXTJOIN(", ",TRUE,IF(L202=1,"ICICI",""),IF(M202=1,"Propelld",""),IF(N202=1,"Study4Buddy",""),IF(O202=1,"Poonawala Fincorp",""),IF(P202=1,"GyanDhan","")))</f>
        <v/>
      </c>
      <c r="T202">
        <f>IF(A202="","",IF(L202=1,"ICICI",IF(M202=1,"Propelld",IF(P202=1,"GyanDhan",IF(N202=1,"Study4Buddy",IF(O202=1,"Poonawala Fincorp",IF(ISNUMBER(SEARCH("GyanDhan",W202&amp;"")),"GyanDhan",IF(ISNUMBER(SEARCH("Icici",W202&amp;"")),"ICICI",IF(ISNUMBER(SEARCH("Propelld",W202&amp;"")),"Propelld",IF(ISNUMBER(SEARCH("vidyalakshmi",LOWER(W202&amp;"")),"PM Vidyalakshmi","—"))))))))))</f>
        <v/>
      </c>
      <c r="U202">
        <f>IF(A202="","",TRIM('01_Master_Data'!AA202&amp;""))</f>
        <v/>
      </c>
      <c r="V202">
        <f>IF(A202="","",TRIM('01_Master_Data'!AG202&amp;""))</f>
        <v/>
      </c>
      <c r="W202">
        <f>IF(A202="","",TRIM('01_Master_Data'!AH202&amp;""))</f>
        <v/>
      </c>
      <c r="X202">
        <f>IF(A202="","",IF(OR(LOWER(H202)="refund",LOWER(U202)="refund case"),"Refund",IF(OR(LOWER(H202)="dnp",LOWER(U202)="dnp"),"DNP",IF(OR(LOWER(V202)="disbursed",ISNUMBER(SEARCH("Disbursed",W202&amp;""))),"Disbursed",IF(OR(LOWER(V202)="loan proccessed/accepted",ISNUMBER(SEARCH("sanctioned",LOWER(W202&amp;"")))),"Sanctioned",IF(OR(LOWER(V202)="rejected",ISNUMBER(SEARCH("Not eligbile",W202&amp;"")),ISNUMBER(SEARCH("Not eligible",W202&amp;""))),"Rejected",IF(ISNUMBER(SEARCH("Docs Pending",W202&amp;"")),"Documents Pending",IF(AND(LOWER(H202)="yes",LOWER(V202)="ongoing"),"Processing",IF(AND(LOWER(H202)="yes",Q202&gt;0,OR(V202="",LOWER(V202)="not even started")),"Vendor Assigned",IF(AND(LOWER(H202)="yes",LOWER(V202)="not even started"),"Need Loan",IF(LOWER(H202)="yes","Loan Started",IF(LOWER(H202)="not sure","Interested",IF(OR(LOWER(H202)="no",LOWER(V202)="not required"),"Not Required","Unclassified")))))))))))))</f>
        <v/>
      </c>
      <c r="Y202">
        <f>IF(A202="","",IF(OR(X202="Sanctioned",X202="Disbursed",X202="Approved"),"Approved",IF(X202="Rejected","Rejected",IF(OR(X202="Processing",X202="Documents Pending",X202="Vendor Assigned"),"In Progress",IF(X202="Need Loan","Pending Start","—"))))</f>
        <v/>
      </c>
      <c r="Z202">
        <f>IF(A202="","",IF(X202="Disbursed","Disbursed",IF(X202="Sanctioned","Sanctioned - Awaiting Disbursement","Not Disbursed")))</f>
        <v/>
      </c>
      <c r="AA202">
        <f>IF(A202="","",IF(LOWER(TRIM('01_Master_Data'!AI202&amp;""))="yes","Need FLDG",IF(LOWER(TRIM('01_Master_Data'!AK202&amp;""))="yes","Need Vidyalakshmi",IF(LOWER(TRIM('01_Master_Data'!AJ202&amp;""))="yes","Need Review",IF(LOWER(J202)="critical","Critical",IF(LOWER(U202)="risk","Risk Case",IF(X202="Refund","Refund","Normal")))))))</f>
        <v/>
      </c>
      <c r="AB202">
        <f>IF(A202="","",IF(OR(LOWER(J202)="critical",LOWER(TRIM('01_Master_Data'!AI202&amp;""))="yes",LOWER(TRIM('01_Master_Data'!AK202&amp;""))="yes",LOWER(U202)="risk"),"Yes","No"))</f>
        <v/>
      </c>
      <c r="AC202">
        <f>IF(A202="","",IF(LOWER(TRIM('01_Master_Data'!AI202&amp;""))="yes","Yes","No"))</f>
        <v/>
      </c>
      <c r="AD202">
        <f>IF(A202="","",IF(LOWER(TRIM('01_Master_Data'!AK202&amp;""))="yes","Yes","No"))</f>
        <v/>
      </c>
      <c r="AE202">
        <f>IF(A202="","",IF(LOWER(TRIM('01_Master_Data'!AJ202&amp;""))="yes","Yes","No"))</f>
        <v/>
      </c>
      <c r="AF202">
        <f>IF(A202="","",TRIM('01_Master_Data'!AL202&amp;""))</f>
        <v/>
      </c>
      <c r="AG202">
        <f>IF(A202="","",IF(AF202="","—",IF(ISNUMBER(SEARCH("DNP",AF202)),"Unreachable / DNP",IF(ISNUMBER(SEARCH("interest",LOWER(AF202))),"High Interest / Terms",IF(OR(ISNUMBER(SEARCH("eligib",LOWER(AF202))),ISNUMBER(SEARCH("income",LOWER(AF202)))),"Eligibility / Income",IF(OR(ISNUMBER(SEARCH("start",LOWER(AF202))),ISNUMBER(SEARCH("Newer",AF202)),ISNUMBER(SEARCH("Will start",AF202))),"Process Yet to Start",IF(ISNUMBER(SEARCH("sure",LOWER(AF202))),"Undecided",IF(OR(ISNUMBER(SEARCH("reject",LOWER(AF202))),ISNUMBER(SEARCH("SBI",AF202))),"Rejected Elsewhere",IF(ISNUMBER(SEARCH("call",LOWER(AF202))),"Bank Communication",IF(OR(ISNUMBER(SEARCH("father",LOWER(AF202))),ISNUMBER(SEARCH("sister",LOWER(AF202)))),"Family / Dependency","Other"))))))))))</f>
        <v/>
      </c>
      <c r="AH202">
        <f>IF(A202="","",'01_Master_Data'!AC202)</f>
        <v/>
      </c>
      <c r="AI202">
        <f>IF(A202="","",IF(OR(AH202="",NOT(ISNUMBER(AH202))),"",MAX(0,'02_Configuration'!$B$82-AH202)))</f>
        <v/>
      </c>
      <c r="AJ202">
        <f>IF(A202="","",IF(AI202="","Unknown",IF(AI202&lt;=3,"0–3 Days",IF(AI202&lt;=7,"4–7 Days",IF(AI202&lt;=15,"8–15 Days",IF(AI202&lt;=30,"16–30 Days","30+ Days"))))))</f>
        <v/>
      </c>
      <c r="AK202">
        <f>IF(A202="","",IF(LOWER(H202)="yes","Yes","No"))</f>
        <v/>
      </c>
      <c r="AL202">
        <f>IF(A202="","",'01_Master_Data'!T202)</f>
        <v/>
      </c>
      <c r="AM202">
        <f>IF(A202="","",'01_Master_Data'!S202)</f>
        <v/>
      </c>
      <c r="AN202">
        <f>IF(A202="","",'01_Master_Data'!I202)</f>
        <v/>
      </c>
      <c r="AO202">
        <f>IF(A202="","",'01_Master_Data'!M202)</f>
        <v/>
      </c>
      <c r="AP202">
        <f>IF(A202="","",IF(ISNUMBER(SEARCH("Icici",W202&amp;"")),1,0))</f>
        <v/>
      </c>
      <c r="AQ202">
        <f>IF(A202="","",IF(ISNUMBER(SEARCH("Propelld",W202&amp;"")),1,0))</f>
        <v/>
      </c>
      <c r="AR202">
        <f>IF(A202="","",IF(ISNUMBER(SEARCH("GyanDhan",W202&amp;"")),1,0))</f>
        <v/>
      </c>
      <c r="AS202">
        <f>IF(A202="","",IF(ISNUMBER(SEARCH("vidyalakshmi",LOWER(W202&amp;""))),1,0))</f>
        <v/>
      </c>
      <c r="AT202">
        <f>IF(A202="","",IF(ISNUMBER(SEARCH("other bank",LOWER(W202&amp;""))),1,0))</f>
        <v/>
      </c>
      <c r="AU202">
        <f>IF(A202="","",IF(ISNUMBER(SEARCH("sanctioned",LOWER(W202&amp;""))),1,0))</f>
        <v/>
      </c>
      <c r="AV202">
        <f>IF(A202="","",IF(ISNUMBER(SEARCH("Docs Pending",W202&amp;"")),1,0))</f>
        <v/>
      </c>
      <c r="AW202">
        <f>IF(A202="","",IF(OR(X202="Rejected",ISNUMBER(SEARCH("Not eligbile",W202&amp;""))),1,0))</f>
        <v/>
      </c>
    </row>
    <row r="203">
      <c r="A203">
        <f>IF('01_Master_Data'!B203="","",202)</f>
        <v/>
      </c>
      <c r="B203">
        <f>IF('01_Master_Data'!B203="","",IF('01_Master_Data'!C203&lt;&gt;"","MOB|"&amp;TEXT('01_Master_Data'!C203,"0"),IF('01_Master_Data'!D203&lt;&gt;"","PID|"&amp;TRIM('01_Master_Data'!D203&amp;""),"")))</f>
        <v/>
      </c>
      <c r="C203">
        <f>IF('01_Master_Data'!B203="","",'01_Master_Data'!B203)</f>
        <v/>
      </c>
      <c r="D203">
        <f>IF('01_Master_Data'!B203="","",'01_Master_Data'!C203)</f>
        <v/>
      </c>
      <c r="E203">
        <f>IF('01_Master_Data'!B203="","",'01_Master_Data'!D203)</f>
        <v/>
      </c>
      <c r="F203">
        <f>IF('01_Master_Data'!B203="","",'01_Master_Data'!E203)</f>
        <v/>
      </c>
      <c r="G203">
        <f>IF('01_Master_Data'!B203="","",IFERROR(VLOOKUP(TRIM('01_Master_Data'!E203&amp;""),'02_Configuration'!$A$40:$B$44,2,FALSE),UPPER(TRIM('01_Master_Data'!E203&amp;""))))</f>
        <v/>
      </c>
      <c r="H203">
        <f>IF('01_Master_Data'!B203="","",IF('01_Master_Data'!U203="","",TRIM('01_Master_Data'!U203&amp;"")))</f>
        <v/>
      </c>
      <c r="I203">
        <f>IF('01_Master_Data'!B203="","",TRIM('01_Master_Data'!F203&amp;""))</f>
        <v/>
      </c>
      <c r="J203">
        <f>IF('01_Master_Data'!B203="","",TRIM('01_Master_Data'!G203&amp;""))</f>
        <v/>
      </c>
      <c r="K203">
        <f>IF('01_Master_Data'!B203="","",'01_Master_Data'!H203)</f>
        <v/>
      </c>
      <c r="L203">
        <f>IF('01_Master_Data'!B203="","",IF(LOWER(TRIM('01_Master_Data'!V203&amp;""))="yes",1,0))</f>
        <v/>
      </c>
      <c r="M203">
        <f>IF('01_Master_Data'!B203="","",IF(LOWER(TRIM('01_Master_Data'!W203&amp;""))="yes",1,0))</f>
        <v/>
      </c>
      <c r="N203">
        <f>IF('01_Master_Data'!B203="","",IF(LOWER(TRIM('01_Master_Data'!X203&amp;""))="yes",1,0))</f>
        <v/>
      </c>
      <c r="O203">
        <f>IF('01_Master_Data'!B203="","",IF(LOWER(TRIM('01_Master_Data'!Y203&amp;""))="yes",1,0))</f>
        <v/>
      </c>
      <c r="P203">
        <f>IF('01_Master_Data'!B203="","",IF(LOWER(TRIM('01_Master_Data'!Z203&amp;""))="yes",1,0))</f>
        <v/>
      </c>
      <c r="Q203">
        <f>IF(A203="","",L203+M203+N203+O203+P203)</f>
        <v/>
      </c>
      <c r="R203">
        <f>IF(A203="","",IF(Q203&gt;1,"Yes","No"))</f>
        <v/>
      </c>
      <c r="S203">
        <f>IF(A203="","",TEXTJOIN(", ",TRUE,IF(L203=1,"ICICI",""),IF(M203=1,"Propelld",""),IF(N203=1,"Study4Buddy",""),IF(O203=1,"Poonawala Fincorp",""),IF(P203=1,"GyanDhan","")))</f>
        <v/>
      </c>
      <c r="T203">
        <f>IF(A203="","",IF(L203=1,"ICICI",IF(M203=1,"Propelld",IF(P203=1,"GyanDhan",IF(N203=1,"Study4Buddy",IF(O203=1,"Poonawala Fincorp",IF(ISNUMBER(SEARCH("GyanDhan",W203&amp;"")),"GyanDhan",IF(ISNUMBER(SEARCH("Icici",W203&amp;"")),"ICICI",IF(ISNUMBER(SEARCH("Propelld",W203&amp;"")),"Propelld",IF(ISNUMBER(SEARCH("vidyalakshmi",LOWER(W203&amp;"")),"PM Vidyalakshmi","—"))))))))))</f>
        <v/>
      </c>
      <c r="U203">
        <f>IF(A203="","",TRIM('01_Master_Data'!AA203&amp;""))</f>
        <v/>
      </c>
      <c r="V203">
        <f>IF(A203="","",TRIM('01_Master_Data'!AG203&amp;""))</f>
        <v/>
      </c>
      <c r="W203">
        <f>IF(A203="","",TRIM('01_Master_Data'!AH203&amp;""))</f>
        <v/>
      </c>
      <c r="X203">
        <f>IF(A203="","",IF(OR(LOWER(H203)="refund",LOWER(U203)="refund case"),"Refund",IF(OR(LOWER(H203)="dnp",LOWER(U203)="dnp"),"DNP",IF(OR(LOWER(V203)="disbursed",ISNUMBER(SEARCH("Disbursed",W203&amp;""))),"Disbursed",IF(OR(LOWER(V203)="loan proccessed/accepted",ISNUMBER(SEARCH("sanctioned",LOWER(W203&amp;"")))),"Sanctioned",IF(OR(LOWER(V203)="rejected",ISNUMBER(SEARCH("Not eligbile",W203&amp;"")),ISNUMBER(SEARCH("Not eligible",W203&amp;""))),"Rejected",IF(ISNUMBER(SEARCH("Docs Pending",W203&amp;"")),"Documents Pending",IF(AND(LOWER(H203)="yes",LOWER(V203)="ongoing"),"Processing",IF(AND(LOWER(H203)="yes",Q203&gt;0,OR(V203="",LOWER(V203)="not even started")),"Vendor Assigned",IF(AND(LOWER(H203)="yes",LOWER(V203)="not even started"),"Need Loan",IF(LOWER(H203)="yes","Loan Started",IF(LOWER(H203)="not sure","Interested",IF(OR(LOWER(H203)="no",LOWER(V203)="not required"),"Not Required","Unclassified")))))))))))))</f>
        <v/>
      </c>
      <c r="Y203">
        <f>IF(A203="","",IF(OR(X203="Sanctioned",X203="Disbursed",X203="Approved"),"Approved",IF(X203="Rejected","Rejected",IF(OR(X203="Processing",X203="Documents Pending",X203="Vendor Assigned"),"In Progress",IF(X203="Need Loan","Pending Start","—"))))</f>
        <v/>
      </c>
      <c r="Z203">
        <f>IF(A203="","",IF(X203="Disbursed","Disbursed",IF(X203="Sanctioned","Sanctioned - Awaiting Disbursement","Not Disbursed")))</f>
        <v/>
      </c>
      <c r="AA203">
        <f>IF(A203="","",IF(LOWER(TRIM('01_Master_Data'!AI203&amp;""))="yes","Need FLDG",IF(LOWER(TRIM('01_Master_Data'!AK203&amp;""))="yes","Need Vidyalakshmi",IF(LOWER(TRIM('01_Master_Data'!AJ203&amp;""))="yes","Need Review",IF(LOWER(J203)="critical","Critical",IF(LOWER(U203)="risk","Risk Case",IF(X203="Refund","Refund","Normal")))))))</f>
        <v/>
      </c>
      <c r="AB203">
        <f>IF(A203="","",IF(OR(LOWER(J203)="critical",LOWER(TRIM('01_Master_Data'!AI203&amp;""))="yes",LOWER(TRIM('01_Master_Data'!AK203&amp;""))="yes",LOWER(U203)="risk"),"Yes","No"))</f>
        <v/>
      </c>
      <c r="AC203">
        <f>IF(A203="","",IF(LOWER(TRIM('01_Master_Data'!AI203&amp;""))="yes","Yes","No"))</f>
        <v/>
      </c>
      <c r="AD203">
        <f>IF(A203="","",IF(LOWER(TRIM('01_Master_Data'!AK203&amp;""))="yes","Yes","No"))</f>
        <v/>
      </c>
      <c r="AE203">
        <f>IF(A203="","",IF(LOWER(TRIM('01_Master_Data'!AJ203&amp;""))="yes","Yes","No"))</f>
        <v/>
      </c>
      <c r="AF203">
        <f>IF(A203="","",TRIM('01_Master_Data'!AL203&amp;""))</f>
        <v/>
      </c>
      <c r="AG203">
        <f>IF(A203="","",IF(AF203="","—",IF(ISNUMBER(SEARCH("DNP",AF203)),"Unreachable / DNP",IF(ISNUMBER(SEARCH("interest",LOWER(AF203))),"High Interest / Terms",IF(OR(ISNUMBER(SEARCH("eligib",LOWER(AF203))),ISNUMBER(SEARCH("income",LOWER(AF203)))),"Eligibility / Income",IF(OR(ISNUMBER(SEARCH("start",LOWER(AF203))),ISNUMBER(SEARCH("Newer",AF203)),ISNUMBER(SEARCH("Will start",AF203))),"Process Yet to Start",IF(ISNUMBER(SEARCH("sure",LOWER(AF203))),"Undecided",IF(OR(ISNUMBER(SEARCH("reject",LOWER(AF203))),ISNUMBER(SEARCH("SBI",AF203))),"Rejected Elsewhere",IF(ISNUMBER(SEARCH("call",LOWER(AF203))),"Bank Communication",IF(OR(ISNUMBER(SEARCH("father",LOWER(AF203))),ISNUMBER(SEARCH("sister",LOWER(AF203)))),"Family / Dependency","Other"))))))))))</f>
        <v/>
      </c>
      <c r="AH203">
        <f>IF(A203="","",'01_Master_Data'!AC203)</f>
        <v/>
      </c>
      <c r="AI203">
        <f>IF(A203="","",IF(OR(AH203="",NOT(ISNUMBER(AH203))),"",MAX(0,'02_Configuration'!$B$82-AH203)))</f>
        <v/>
      </c>
      <c r="AJ203">
        <f>IF(A203="","",IF(AI203="","Unknown",IF(AI203&lt;=3,"0–3 Days",IF(AI203&lt;=7,"4–7 Days",IF(AI203&lt;=15,"8–15 Days",IF(AI203&lt;=30,"16–30 Days","30+ Days"))))))</f>
        <v/>
      </c>
      <c r="AK203">
        <f>IF(A203="","",IF(LOWER(H203)="yes","Yes","No"))</f>
        <v/>
      </c>
      <c r="AL203">
        <f>IF(A203="","",'01_Master_Data'!T203)</f>
        <v/>
      </c>
      <c r="AM203">
        <f>IF(A203="","",'01_Master_Data'!S203)</f>
        <v/>
      </c>
      <c r="AN203">
        <f>IF(A203="","",'01_Master_Data'!I203)</f>
        <v/>
      </c>
      <c r="AO203">
        <f>IF(A203="","",'01_Master_Data'!M203)</f>
        <v/>
      </c>
      <c r="AP203">
        <f>IF(A203="","",IF(ISNUMBER(SEARCH("Icici",W203&amp;"")),1,0))</f>
        <v/>
      </c>
      <c r="AQ203">
        <f>IF(A203="","",IF(ISNUMBER(SEARCH("Propelld",W203&amp;"")),1,0))</f>
        <v/>
      </c>
      <c r="AR203">
        <f>IF(A203="","",IF(ISNUMBER(SEARCH("GyanDhan",W203&amp;"")),1,0))</f>
        <v/>
      </c>
      <c r="AS203">
        <f>IF(A203="","",IF(ISNUMBER(SEARCH("vidyalakshmi",LOWER(W203&amp;""))),1,0))</f>
        <v/>
      </c>
      <c r="AT203">
        <f>IF(A203="","",IF(ISNUMBER(SEARCH("other bank",LOWER(W203&amp;""))),1,0))</f>
        <v/>
      </c>
      <c r="AU203">
        <f>IF(A203="","",IF(ISNUMBER(SEARCH("sanctioned",LOWER(W203&amp;""))),1,0))</f>
        <v/>
      </c>
      <c r="AV203">
        <f>IF(A203="","",IF(ISNUMBER(SEARCH("Docs Pending",W203&amp;"")),1,0))</f>
        <v/>
      </c>
      <c r="AW203">
        <f>IF(A203="","",IF(OR(X203="Rejected",ISNUMBER(SEARCH("Not eligbile",W203&amp;""))),1,0))</f>
        <v/>
      </c>
    </row>
    <row r="204">
      <c r="A204">
        <f>IF('01_Master_Data'!B204="","",203)</f>
        <v/>
      </c>
      <c r="B204">
        <f>IF('01_Master_Data'!B204="","",IF('01_Master_Data'!C204&lt;&gt;"","MOB|"&amp;TEXT('01_Master_Data'!C204,"0"),IF('01_Master_Data'!D204&lt;&gt;"","PID|"&amp;TRIM('01_Master_Data'!D204&amp;""),"")))</f>
        <v/>
      </c>
      <c r="C204">
        <f>IF('01_Master_Data'!B204="","",'01_Master_Data'!B204)</f>
        <v/>
      </c>
      <c r="D204">
        <f>IF('01_Master_Data'!B204="","",'01_Master_Data'!C204)</f>
        <v/>
      </c>
      <c r="E204">
        <f>IF('01_Master_Data'!B204="","",'01_Master_Data'!D204)</f>
        <v/>
      </c>
      <c r="F204">
        <f>IF('01_Master_Data'!B204="","",'01_Master_Data'!E204)</f>
        <v/>
      </c>
      <c r="G204">
        <f>IF('01_Master_Data'!B204="","",IFERROR(VLOOKUP(TRIM('01_Master_Data'!E204&amp;""),'02_Configuration'!$A$40:$B$44,2,FALSE),UPPER(TRIM('01_Master_Data'!E204&amp;""))))</f>
        <v/>
      </c>
      <c r="H204">
        <f>IF('01_Master_Data'!B204="","",IF('01_Master_Data'!U204="","",TRIM('01_Master_Data'!U204&amp;"")))</f>
        <v/>
      </c>
      <c r="I204">
        <f>IF('01_Master_Data'!B204="","",TRIM('01_Master_Data'!F204&amp;""))</f>
        <v/>
      </c>
      <c r="J204">
        <f>IF('01_Master_Data'!B204="","",TRIM('01_Master_Data'!G204&amp;""))</f>
        <v/>
      </c>
      <c r="K204">
        <f>IF('01_Master_Data'!B204="","",'01_Master_Data'!H204)</f>
        <v/>
      </c>
      <c r="L204">
        <f>IF('01_Master_Data'!B204="","",IF(LOWER(TRIM('01_Master_Data'!V204&amp;""))="yes",1,0))</f>
        <v/>
      </c>
      <c r="M204">
        <f>IF('01_Master_Data'!B204="","",IF(LOWER(TRIM('01_Master_Data'!W204&amp;""))="yes",1,0))</f>
        <v/>
      </c>
      <c r="N204">
        <f>IF('01_Master_Data'!B204="","",IF(LOWER(TRIM('01_Master_Data'!X204&amp;""))="yes",1,0))</f>
        <v/>
      </c>
      <c r="O204">
        <f>IF('01_Master_Data'!B204="","",IF(LOWER(TRIM('01_Master_Data'!Y204&amp;""))="yes",1,0))</f>
        <v/>
      </c>
      <c r="P204">
        <f>IF('01_Master_Data'!B204="","",IF(LOWER(TRIM('01_Master_Data'!Z204&amp;""))="yes",1,0))</f>
        <v/>
      </c>
      <c r="Q204">
        <f>IF(A204="","",L204+M204+N204+O204+P204)</f>
        <v/>
      </c>
      <c r="R204">
        <f>IF(A204="","",IF(Q204&gt;1,"Yes","No"))</f>
        <v/>
      </c>
      <c r="S204">
        <f>IF(A204="","",TEXTJOIN(", ",TRUE,IF(L204=1,"ICICI",""),IF(M204=1,"Propelld",""),IF(N204=1,"Study4Buddy",""),IF(O204=1,"Poonawala Fincorp",""),IF(P204=1,"GyanDhan","")))</f>
        <v/>
      </c>
      <c r="T204">
        <f>IF(A204="","",IF(L204=1,"ICICI",IF(M204=1,"Propelld",IF(P204=1,"GyanDhan",IF(N204=1,"Study4Buddy",IF(O204=1,"Poonawala Fincorp",IF(ISNUMBER(SEARCH("GyanDhan",W204&amp;"")),"GyanDhan",IF(ISNUMBER(SEARCH("Icici",W204&amp;"")),"ICICI",IF(ISNUMBER(SEARCH("Propelld",W204&amp;"")),"Propelld",IF(ISNUMBER(SEARCH("vidyalakshmi",LOWER(W204&amp;"")),"PM Vidyalakshmi","—"))))))))))</f>
        <v/>
      </c>
      <c r="U204">
        <f>IF(A204="","",TRIM('01_Master_Data'!AA204&amp;""))</f>
        <v/>
      </c>
      <c r="V204">
        <f>IF(A204="","",TRIM('01_Master_Data'!AG204&amp;""))</f>
        <v/>
      </c>
      <c r="W204">
        <f>IF(A204="","",TRIM('01_Master_Data'!AH204&amp;""))</f>
        <v/>
      </c>
      <c r="X204">
        <f>IF(A204="","",IF(OR(LOWER(H204)="refund",LOWER(U204)="refund case"),"Refund",IF(OR(LOWER(H204)="dnp",LOWER(U204)="dnp"),"DNP",IF(OR(LOWER(V204)="disbursed",ISNUMBER(SEARCH("Disbursed",W204&amp;""))),"Disbursed",IF(OR(LOWER(V204)="loan proccessed/accepted",ISNUMBER(SEARCH("sanctioned",LOWER(W204&amp;"")))),"Sanctioned",IF(OR(LOWER(V204)="rejected",ISNUMBER(SEARCH("Not eligbile",W204&amp;"")),ISNUMBER(SEARCH("Not eligible",W204&amp;""))),"Rejected",IF(ISNUMBER(SEARCH("Docs Pending",W204&amp;"")),"Documents Pending",IF(AND(LOWER(H204)="yes",LOWER(V204)="ongoing"),"Processing",IF(AND(LOWER(H204)="yes",Q204&gt;0,OR(V204="",LOWER(V204)="not even started")),"Vendor Assigned",IF(AND(LOWER(H204)="yes",LOWER(V204)="not even started"),"Need Loan",IF(LOWER(H204)="yes","Loan Started",IF(LOWER(H204)="not sure","Interested",IF(OR(LOWER(H204)="no",LOWER(V204)="not required"),"Not Required","Unclassified")))))))))))))</f>
        <v/>
      </c>
      <c r="Y204">
        <f>IF(A204="","",IF(OR(X204="Sanctioned",X204="Disbursed",X204="Approved"),"Approved",IF(X204="Rejected","Rejected",IF(OR(X204="Processing",X204="Documents Pending",X204="Vendor Assigned"),"In Progress",IF(X204="Need Loan","Pending Start","—"))))</f>
        <v/>
      </c>
      <c r="Z204">
        <f>IF(A204="","",IF(X204="Disbursed","Disbursed",IF(X204="Sanctioned","Sanctioned - Awaiting Disbursement","Not Disbursed")))</f>
        <v/>
      </c>
      <c r="AA204">
        <f>IF(A204="","",IF(LOWER(TRIM('01_Master_Data'!AI204&amp;""))="yes","Need FLDG",IF(LOWER(TRIM('01_Master_Data'!AK204&amp;""))="yes","Need Vidyalakshmi",IF(LOWER(TRIM('01_Master_Data'!AJ204&amp;""))="yes","Need Review",IF(LOWER(J204)="critical","Critical",IF(LOWER(U204)="risk","Risk Case",IF(X204="Refund","Refund","Normal")))))))</f>
        <v/>
      </c>
      <c r="AB204">
        <f>IF(A204="","",IF(OR(LOWER(J204)="critical",LOWER(TRIM('01_Master_Data'!AI204&amp;""))="yes",LOWER(TRIM('01_Master_Data'!AK204&amp;""))="yes",LOWER(U204)="risk"),"Yes","No"))</f>
        <v/>
      </c>
      <c r="AC204">
        <f>IF(A204="","",IF(LOWER(TRIM('01_Master_Data'!AI204&amp;""))="yes","Yes","No"))</f>
        <v/>
      </c>
      <c r="AD204">
        <f>IF(A204="","",IF(LOWER(TRIM('01_Master_Data'!AK204&amp;""))="yes","Yes","No"))</f>
        <v/>
      </c>
      <c r="AE204">
        <f>IF(A204="","",IF(LOWER(TRIM('01_Master_Data'!AJ204&amp;""))="yes","Yes","No"))</f>
        <v/>
      </c>
      <c r="AF204">
        <f>IF(A204="","",TRIM('01_Master_Data'!AL204&amp;""))</f>
        <v/>
      </c>
      <c r="AG204">
        <f>IF(A204="","",IF(AF204="","—",IF(ISNUMBER(SEARCH("DNP",AF204)),"Unreachable / DNP",IF(ISNUMBER(SEARCH("interest",LOWER(AF204))),"High Interest / Terms",IF(OR(ISNUMBER(SEARCH("eligib",LOWER(AF204))),ISNUMBER(SEARCH("income",LOWER(AF204)))),"Eligibility / Income",IF(OR(ISNUMBER(SEARCH("start",LOWER(AF204))),ISNUMBER(SEARCH("Newer",AF204)),ISNUMBER(SEARCH("Will start",AF204))),"Process Yet to Start",IF(ISNUMBER(SEARCH("sure",LOWER(AF204))),"Undecided",IF(OR(ISNUMBER(SEARCH("reject",LOWER(AF204))),ISNUMBER(SEARCH("SBI",AF204))),"Rejected Elsewhere",IF(ISNUMBER(SEARCH("call",LOWER(AF204))),"Bank Communication",IF(OR(ISNUMBER(SEARCH("father",LOWER(AF204))),ISNUMBER(SEARCH("sister",LOWER(AF204)))),"Family / Dependency","Other"))))))))))</f>
        <v/>
      </c>
      <c r="AH204">
        <f>IF(A204="","",'01_Master_Data'!AC204)</f>
        <v/>
      </c>
      <c r="AI204">
        <f>IF(A204="","",IF(OR(AH204="",NOT(ISNUMBER(AH204))),"",MAX(0,'02_Configuration'!$B$82-AH204)))</f>
        <v/>
      </c>
      <c r="AJ204">
        <f>IF(A204="","",IF(AI204="","Unknown",IF(AI204&lt;=3,"0–3 Days",IF(AI204&lt;=7,"4–7 Days",IF(AI204&lt;=15,"8–15 Days",IF(AI204&lt;=30,"16–30 Days","30+ Days"))))))</f>
        <v/>
      </c>
      <c r="AK204">
        <f>IF(A204="","",IF(LOWER(H204)="yes","Yes","No"))</f>
        <v/>
      </c>
      <c r="AL204">
        <f>IF(A204="","",'01_Master_Data'!T204)</f>
        <v/>
      </c>
      <c r="AM204">
        <f>IF(A204="","",'01_Master_Data'!S204)</f>
        <v/>
      </c>
      <c r="AN204">
        <f>IF(A204="","",'01_Master_Data'!I204)</f>
        <v/>
      </c>
      <c r="AO204">
        <f>IF(A204="","",'01_Master_Data'!M204)</f>
        <v/>
      </c>
      <c r="AP204">
        <f>IF(A204="","",IF(ISNUMBER(SEARCH("Icici",W204&amp;"")),1,0))</f>
        <v/>
      </c>
      <c r="AQ204">
        <f>IF(A204="","",IF(ISNUMBER(SEARCH("Propelld",W204&amp;"")),1,0))</f>
        <v/>
      </c>
      <c r="AR204">
        <f>IF(A204="","",IF(ISNUMBER(SEARCH("GyanDhan",W204&amp;"")),1,0))</f>
        <v/>
      </c>
      <c r="AS204">
        <f>IF(A204="","",IF(ISNUMBER(SEARCH("vidyalakshmi",LOWER(W204&amp;""))),1,0))</f>
        <v/>
      </c>
      <c r="AT204">
        <f>IF(A204="","",IF(ISNUMBER(SEARCH("other bank",LOWER(W204&amp;""))),1,0))</f>
        <v/>
      </c>
      <c r="AU204">
        <f>IF(A204="","",IF(ISNUMBER(SEARCH("sanctioned",LOWER(W204&amp;""))),1,0))</f>
        <v/>
      </c>
      <c r="AV204">
        <f>IF(A204="","",IF(ISNUMBER(SEARCH("Docs Pending",W204&amp;"")),1,0))</f>
        <v/>
      </c>
      <c r="AW204">
        <f>IF(A204="","",IF(OR(X204="Rejected",ISNUMBER(SEARCH("Not eligbile",W204&amp;""))),1,0))</f>
        <v/>
      </c>
    </row>
    <row r="205">
      <c r="A205">
        <f>IF('01_Master_Data'!B205="","",204)</f>
        <v/>
      </c>
      <c r="B205">
        <f>IF('01_Master_Data'!B205="","",IF('01_Master_Data'!C205&lt;&gt;"","MOB|"&amp;TEXT('01_Master_Data'!C205,"0"),IF('01_Master_Data'!D205&lt;&gt;"","PID|"&amp;TRIM('01_Master_Data'!D205&amp;""),"")))</f>
        <v/>
      </c>
      <c r="C205">
        <f>IF('01_Master_Data'!B205="","",'01_Master_Data'!B205)</f>
        <v/>
      </c>
      <c r="D205">
        <f>IF('01_Master_Data'!B205="","",'01_Master_Data'!C205)</f>
        <v/>
      </c>
      <c r="E205">
        <f>IF('01_Master_Data'!B205="","",'01_Master_Data'!D205)</f>
        <v/>
      </c>
      <c r="F205">
        <f>IF('01_Master_Data'!B205="","",'01_Master_Data'!E205)</f>
        <v/>
      </c>
      <c r="G205">
        <f>IF('01_Master_Data'!B205="","",IFERROR(VLOOKUP(TRIM('01_Master_Data'!E205&amp;""),'02_Configuration'!$A$40:$B$44,2,FALSE),UPPER(TRIM('01_Master_Data'!E205&amp;""))))</f>
        <v/>
      </c>
      <c r="H205">
        <f>IF('01_Master_Data'!B205="","",IF('01_Master_Data'!U205="","",TRIM('01_Master_Data'!U205&amp;"")))</f>
        <v/>
      </c>
      <c r="I205">
        <f>IF('01_Master_Data'!B205="","",TRIM('01_Master_Data'!F205&amp;""))</f>
        <v/>
      </c>
      <c r="J205">
        <f>IF('01_Master_Data'!B205="","",TRIM('01_Master_Data'!G205&amp;""))</f>
        <v/>
      </c>
      <c r="K205">
        <f>IF('01_Master_Data'!B205="","",'01_Master_Data'!H205)</f>
        <v/>
      </c>
      <c r="L205">
        <f>IF('01_Master_Data'!B205="","",IF(LOWER(TRIM('01_Master_Data'!V205&amp;""))="yes",1,0))</f>
        <v/>
      </c>
      <c r="M205">
        <f>IF('01_Master_Data'!B205="","",IF(LOWER(TRIM('01_Master_Data'!W205&amp;""))="yes",1,0))</f>
        <v/>
      </c>
      <c r="N205">
        <f>IF('01_Master_Data'!B205="","",IF(LOWER(TRIM('01_Master_Data'!X205&amp;""))="yes",1,0))</f>
        <v/>
      </c>
      <c r="O205">
        <f>IF('01_Master_Data'!B205="","",IF(LOWER(TRIM('01_Master_Data'!Y205&amp;""))="yes",1,0))</f>
        <v/>
      </c>
      <c r="P205">
        <f>IF('01_Master_Data'!B205="","",IF(LOWER(TRIM('01_Master_Data'!Z205&amp;""))="yes",1,0))</f>
        <v/>
      </c>
      <c r="Q205">
        <f>IF(A205="","",L205+M205+N205+O205+P205)</f>
        <v/>
      </c>
      <c r="R205">
        <f>IF(A205="","",IF(Q205&gt;1,"Yes","No"))</f>
        <v/>
      </c>
      <c r="S205">
        <f>IF(A205="","",TEXTJOIN(", ",TRUE,IF(L205=1,"ICICI",""),IF(M205=1,"Propelld",""),IF(N205=1,"Study4Buddy",""),IF(O205=1,"Poonawala Fincorp",""),IF(P205=1,"GyanDhan","")))</f>
        <v/>
      </c>
      <c r="T205">
        <f>IF(A205="","",IF(L205=1,"ICICI",IF(M205=1,"Propelld",IF(P205=1,"GyanDhan",IF(N205=1,"Study4Buddy",IF(O205=1,"Poonawala Fincorp",IF(ISNUMBER(SEARCH("GyanDhan",W205&amp;"")),"GyanDhan",IF(ISNUMBER(SEARCH("Icici",W205&amp;"")),"ICICI",IF(ISNUMBER(SEARCH("Propelld",W205&amp;"")),"Propelld",IF(ISNUMBER(SEARCH("vidyalakshmi",LOWER(W205&amp;"")),"PM Vidyalakshmi","—"))))))))))</f>
        <v/>
      </c>
      <c r="U205">
        <f>IF(A205="","",TRIM('01_Master_Data'!AA205&amp;""))</f>
        <v/>
      </c>
      <c r="V205">
        <f>IF(A205="","",TRIM('01_Master_Data'!AG205&amp;""))</f>
        <v/>
      </c>
      <c r="W205">
        <f>IF(A205="","",TRIM('01_Master_Data'!AH205&amp;""))</f>
        <v/>
      </c>
      <c r="X205">
        <f>IF(A205="","",IF(OR(LOWER(H205)="refund",LOWER(U205)="refund case"),"Refund",IF(OR(LOWER(H205)="dnp",LOWER(U205)="dnp"),"DNP",IF(OR(LOWER(V205)="disbursed",ISNUMBER(SEARCH("Disbursed",W205&amp;""))),"Disbursed",IF(OR(LOWER(V205)="loan proccessed/accepted",ISNUMBER(SEARCH("sanctioned",LOWER(W205&amp;"")))),"Sanctioned",IF(OR(LOWER(V205)="rejected",ISNUMBER(SEARCH("Not eligbile",W205&amp;"")),ISNUMBER(SEARCH("Not eligible",W205&amp;""))),"Rejected",IF(ISNUMBER(SEARCH("Docs Pending",W205&amp;"")),"Documents Pending",IF(AND(LOWER(H205)="yes",LOWER(V205)="ongoing"),"Processing",IF(AND(LOWER(H205)="yes",Q205&gt;0,OR(V205="",LOWER(V205)="not even started")),"Vendor Assigned",IF(AND(LOWER(H205)="yes",LOWER(V205)="not even started"),"Need Loan",IF(LOWER(H205)="yes","Loan Started",IF(LOWER(H205)="not sure","Interested",IF(OR(LOWER(H205)="no",LOWER(V205)="not required"),"Not Required","Unclassified")))))))))))))</f>
        <v/>
      </c>
      <c r="Y205">
        <f>IF(A205="","",IF(OR(X205="Sanctioned",X205="Disbursed",X205="Approved"),"Approved",IF(X205="Rejected","Rejected",IF(OR(X205="Processing",X205="Documents Pending",X205="Vendor Assigned"),"In Progress",IF(X205="Need Loan","Pending Start","—"))))</f>
        <v/>
      </c>
      <c r="Z205">
        <f>IF(A205="","",IF(X205="Disbursed","Disbursed",IF(X205="Sanctioned","Sanctioned - Awaiting Disbursement","Not Disbursed")))</f>
        <v/>
      </c>
      <c r="AA205">
        <f>IF(A205="","",IF(LOWER(TRIM('01_Master_Data'!AI205&amp;""))="yes","Need FLDG",IF(LOWER(TRIM('01_Master_Data'!AK205&amp;""))="yes","Need Vidyalakshmi",IF(LOWER(TRIM('01_Master_Data'!AJ205&amp;""))="yes","Need Review",IF(LOWER(J205)="critical","Critical",IF(LOWER(U205)="risk","Risk Case",IF(X205="Refund","Refund","Normal")))))))</f>
        <v/>
      </c>
      <c r="AB205">
        <f>IF(A205="","",IF(OR(LOWER(J205)="critical",LOWER(TRIM('01_Master_Data'!AI205&amp;""))="yes",LOWER(TRIM('01_Master_Data'!AK205&amp;""))="yes",LOWER(U205)="risk"),"Yes","No"))</f>
        <v/>
      </c>
      <c r="AC205">
        <f>IF(A205="","",IF(LOWER(TRIM('01_Master_Data'!AI205&amp;""))="yes","Yes","No"))</f>
        <v/>
      </c>
      <c r="AD205">
        <f>IF(A205="","",IF(LOWER(TRIM('01_Master_Data'!AK205&amp;""))="yes","Yes","No"))</f>
        <v/>
      </c>
      <c r="AE205">
        <f>IF(A205="","",IF(LOWER(TRIM('01_Master_Data'!AJ205&amp;""))="yes","Yes","No"))</f>
        <v/>
      </c>
      <c r="AF205">
        <f>IF(A205="","",TRIM('01_Master_Data'!AL205&amp;""))</f>
        <v/>
      </c>
      <c r="AG205">
        <f>IF(A205="","",IF(AF205="","—",IF(ISNUMBER(SEARCH("DNP",AF205)),"Unreachable / DNP",IF(ISNUMBER(SEARCH("interest",LOWER(AF205))),"High Interest / Terms",IF(OR(ISNUMBER(SEARCH("eligib",LOWER(AF205))),ISNUMBER(SEARCH("income",LOWER(AF205)))),"Eligibility / Income",IF(OR(ISNUMBER(SEARCH("start",LOWER(AF205))),ISNUMBER(SEARCH("Newer",AF205)),ISNUMBER(SEARCH("Will start",AF205))),"Process Yet to Start",IF(ISNUMBER(SEARCH("sure",LOWER(AF205))),"Undecided",IF(OR(ISNUMBER(SEARCH("reject",LOWER(AF205))),ISNUMBER(SEARCH("SBI",AF205))),"Rejected Elsewhere",IF(ISNUMBER(SEARCH("call",LOWER(AF205))),"Bank Communication",IF(OR(ISNUMBER(SEARCH("father",LOWER(AF205))),ISNUMBER(SEARCH("sister",LOWER(AF205)))),"Family / Dependency","Other"))))))))))</f>
        <v/>
      </c>
      <c r="AH205">
        <f>IF(A205="","",'01_Master_Data'!AC205)</f>
        <v/>
      </c>
      <c r="AI205">
        <f>IF(A205="","",IF(OR(AH205="",NOT(ISNUMBER(AH205))),"",MAX(0,'02_Configuration'!$B$82-AH205)))</f>
        <v/>
      </c>
      <c r="AJ205">
        <f>IF(A205="","",IF(AI205="","Unknown",IF(AI205&lt;=3,"0–3 Days",IF(AI205&lt;=7,"4–7 Days",IF(AI205&lt;=15,"8–15 Days",IF(AI205&lt;=30,"16–30 Days","30+ Days"))))))</f>
        <v/>
      </c>
      <c r="AK205">
        <f>IF(A205="","",IF(LOWER(H205)="yes","Yes","No"))</f>
        <v/>
      </c>
      <c r="AL205">
        <f>IF(A205="","",'01_Master_Data'!T205)</f>
        <v/>
      </c>
      <c r="AM205">
        <f>IF(A205="","",'01_Master_Data'!S205)</f>
        <v/>
      </c>
      <c r="AN205">
        <f>IF(A205="","",'01_Master_Data'!I205)</f>
        <v/>
      </c>
      <c r="AO205">
        <f>IF(A205="","",'01_Master_Data'!M205)</f>
        <v/>
      </c>
      <c r="AP205">
        <f>IF(A205="","",IF(ISNUMBER(SEARCH("Icici",W205&amp;"")),1,0))</f>
        <v/>
      </c>
      <c r="AQ205">
        <f>IF(A205="","",IF(ISNUMBER(SEARCH("Propelld",W205&amp;"")),1,0))</f>
        <v/>
      </c>
      <c r="AR205">
        <f>IF(A205="","",IF(ISNUMBER(SEARCH("GyanDhan",W205&amp;"")),1,0))</f>
        <v/>
      </c>
      <c r="AS205">
        <f>IF(A205="","",IF(ISNUMBER(SEARCH("vidyalakshmi",LOWER(W205&amp;""))),1,0))</f>
        <v/>
      </c>
      <c r="AT205">
        <f>IF(A205="","",IF(ISNUMBER(SEARCH("other bank",LOWER(W205&amp;""))),1,0))</f>
        <v/>
      </c>
      <c r="AU205">
        <f>IF(A205="","",IF(ISNUMBER(SEARCH("sanctioned",LOWER(W205&amp;""))),1,0))</f>
        <v/>
      </c>
      <c r="AV205">
        <f>IF(A205="","",IF(ISNUMBER(SEARCH("Docs Pending",W205&amp;"")),1,0))</f>
        <v/>
      </c>
      <c r="AW205">
        <f>IF(A205="","",IF(OR(X205="Rejected",ISNUMBER(SEARCH("Not eligbile",W205&amp;""))),1,0))</f>
        <v/>
      </c>
    </row>
    <row r="206">
      <c r="A206">
        <f>IF('01_Master_Data'!B206="","",205)</f>
        <v/>
      </c>
      <c r="B206">
        <f>IF('01_Master_Data'!B206="","",IF('01_Master_Data'!C206&lt;&gt;"","MOB|"&amp;TEXT('01_Master_Data'!C206,"0"),IF('01_Master_Data'!D206&lt;&gt;"","PID|"&amp;TRIM('01_Master_Data'!D206&amp;""),"")))</f>
        <v/>
      </c>
      <c r="C206">
        <f>IF('01_Master_Data'!B206="","",'01_Master_Data'!B206)</f>
        <v/>
      </c>
      <c r="D206">
        <f>IF('01_Master_Data'!B206="","",'01_Master_Data'!C206)</f>
        <v/>
      </c>
      <c r="E206">
        <f>IF('01_Master_Data'!B206="","",'01_Master_Data'!D206)</f>
        <v/>
      </c>
      <c r="F206">
        <f>IF('01_Master_Data'!B206="","",'01_Master_Data'!E206)</f>
        <v/>
      </c>
      <c r="G206">
        <f>IF('01_Master_Data'!B206="","",IFERROR(VLOOKUP(TRIM('01_Master_Data'!E206&amp;""),'02_Configuration'!$A$40:$B$44,2,FALSE),UPPER(TRIM('01_Master_Data'!E206&amp;""))))</f>
        <v/>
      </c>
      <c r="H206">
        <f>IF('01_Master_Data'!B206="","",IF('01_Master_Data'!U206="","",TRIM('01_Master_Data'!U206&amp;"")))</f>
        <v/>
      </c>
      <c r="I206">
        <f>IF('01_Master_Data'!B206="","",TRIM('01_Master_Data'!F206&amp;""))</f>
        <v/>
      </c>
      <c r="J206">
        <f>IF('01_Master_Data'!B206="","",TRIM('01_Master_Data'!G206&amp;""))</f>
        <v/>
      </c>
      <c r="K206">
        <f>IF('01_Master_Data'!B206="","",'01_Master_Data'!H206)</f>
        <v/>
      </c>
      <c r="L206">
        <f>IF('01_Master_Data'!B206="","",IF(LOWER(TRIM('01_Master_Data'!V206&amp;""))="yes",1,0))</f>
        <v/>
      </c>
      <c r="M206">
        <f>IF('01_Master_Data'!B206="","",IF(LOWER(TRIM('01_Master_Data'!W206&amp;""))="yes",1,0))</f>
        <v/>
      </c>
      <c r="N206">
        <f>IF('01_Master_Data'!B206="","",IF(LOWER(TRIM('01_Master_Data'!X206&amp;""))="yes",1,0))</f>
        <v/>
      </c>
      <c r="O206">
        <f>IF('01_Master_Data'!B206="","",IF(LOWER(TRIM('01_Master_Data'!Y206&amp;""))="yes",1,0))</f>
        <v/>
      </c>
      <c r="P206">
        <f>IF('01_Master_Data'!B206="","",IF(LOWER(TRIM('01_Master_Data'!Z206&amp;""))="yes",1,0))</f>
        <v/>
      </c>
      <c r="Q206">
        <f>IF(A206="","",L206+M206+N206+O206+P206)</f>
        <v/>
      </c>
      <c r="R206">
        <f>IF(A206="","",IF(Q206&gt;1,"Yes","No"))</f>
        <v/>
      </c>
      <c r="S206">
        <f>IF(A206="","",TEXTJOIN(", ",TRUE,IF(L206=1,"ICICI",""),IF(M206=1,"Propelld",""),IF(N206=1,"Study4Buddy",""),IF(O206=1,"Poonawala Fincorp",""),IF(P206=1,"GyanDhan","")))</f>
        <v/>
      </c>
      <c r="T206">
        <f>IF(A206="","",IF(L206=1,"ICICI",IF(M206=1,"Propelld",IF(P206=1,"GyanDhan",IF(N206=1,"Study4Buddy",IF(O206=1,"Poonawala Fincorp",IF(ISNUMBER(SEARCH("GyanDhan",W206&amp;"")),"GyanDhan",IF(ISNUMBER(SEARCH("Icici",W206&amp;"")),"ICICI",IF(ISNUMBER(SEARCH("Propelld",W206&amp;"")),"Propelld",IF(ISNUMBER(SEARCH("vidyalakshmi",LOWER(W206&amp;"")),"PM Vidyalakshmi","—"))))))))))</f>
        <v/>
      </c>
      <c r="U206">
        <f>IF(A206="","",TRIM('01_Master_Data'!AA206&amp;""))</f>
        <v/>
      </c>
      <c r="V206">
        <f>IF(A206="","",TRIM('01_Master_Data'!AG206&amp;""))</f>
        <v/>
      </c>
      <c r="W206">
        <f>IF(A206="","",TRIM('01_Master_Data'!AH206&amp;""))</f>
        <v/>
      </c>
      <c r="X206">
        <f>IF(A206="","",IF(OR(LOWER(H206)="refund",LOWER(U206)="refund case"),"Refund",IF(OR(LOWER(H206)="dnp",LOWER(U206)="dnp"),"DNP",IF(OR(LOWER(V206)="disbursed",ISNUMBER(SEARCH("Disbursed",W206&amp;""))),"Disbursed",IF(OR(LOWER(V206)="loan proccessed/accepted",ISNUMBER(SEARCH("sanctioned",LOWER(W206&amp;"")))),"Sanctioned",IF(OR(LOWER(V206)="rejected",ISNUMBER(SEARCH("Not eligbile",W206&amp;"")),ISNUMBER(SEARCH("Not eligible",W206&amp;""))),"Rejected",IF(ISNUMBER(SEARCH("Docs Pending",W206&amp;"")),"Documents Pending",IF(AND(LOWER(H206)="yes",LOWER(V206)="ongoing"),"Processing",IF(AND(LOWER(H206)="yes",Q206&gt;0,OR(V206="",LOWER(V206)="not even started")),"Vendor Assigned",IF(AND(LOWER(H206)="yes",LOWER(V206)="not even started"),"Need Loan",IF(LOWER(H206)="yes","Loan Started",IF(LOWER(H206)="not sure","Interested",IF(OR(LOWER(H206)="no",LOWER(V206)="not required"),"Not Required","Unclassified")))))))))))))</f>
        <v/>
      </c>
      <c r="Y206">
        <f>IF(A206="","",IF(OR(X206="Sanctioned",X206="Disbursed",X206="Approved"),"Approved",IF(X206="Rejected","Rejected",IF(OR(X206="Processing",X206="Documents Pending",X206="Vendor Assigned"),"In Progress",IF(X206="Need Loan","Pending Start","—"))))</f>
        <v/>
      </c>
      <c r="Z206">
        <f>IF(A206="","",IF(X206="Disbursed","Disbursed",IF(X206="Sanctioned","Sanctioned - Awaiting Disbursement","Not Disbursed")))</f>
        <v/>
      </c>
      <c r="AA206">
        <f>IF(A206="","",IF(LOWER(TRIM('01_Master_Data'!AI206&amp;""))="yes","Need FLDG",IF(LOWER(TRIM('01_Master_Data'!AK206&amp;""))="yes","Need Vidyalakshmi",IF(LOWER(TRIM('01_Master_Data'!AJ206&amp;""))="yes","Need Review",IF(LOWER(J206)="critical","Critical",IF(LOWER(U206)="risk","Risk Case",IF(X206="Refund","Refund","Normal")))))))</f>
        <v/>
      </c>
      <c r="AB206">
        <f>IF(A206="","",IF(OR(LOWER(J206)="critical",LOWER(TRIM('01_Master_Data'!AI206&amp;""))="yes",LOWER(TRIM('01_Master_Data'!AK206&amp;""))="yes",LOWER(U206)="risk"),"Yes","No"))</f>
        <v/>
      </c>
      <c r="AC206">
        <f>IF(A206="","",IF(LOWER(TRIM('01_Master_Data'!AI206&amp;""))="yes","Yes","No"))</f>
        <v/>
      </c>
      <c r="AD206">
        <f>IF(A206="","",IF(LOWER(TRIM('01_Master_Data'!AK206&amp;""))="yes","Yes","No"))</f>
        <v/>
      </c>
      <c r="AE206">
        <f>IF(A206="","",IF(LOWER(TRIM('01_Master_Data'!AJ206&amp;""))="yes","Yes","No"))</f>
        <v/>
      </c>
      <c r="AF206">
        <f>IF(A206="","",TRIM('01_Master_Data'!AL206&amp;""))</f>
        <v/>
      </c>
      <c r="AG206">
        <f>IF(A206="","",IF(AF206="","—",IF(ISNUMBER(SEARCH("DNP",AF206)),"Unreachable / DNP",IF(ISNUMBER(SEARCH("interest",LOWER(AF206))),"High Interest / Terms",IF(OR(ISNUMBER(SEARCH("eligib",LOWER(AF206))),ISNUMBER(SEARCH("income",LOWER(AF206)))),"Eligibility / Income",IF(OR(ISNUMBER(SEARCH("start",LOWER(AF206))),ISNUMBER(SEARCH("Newer",AF206)),ISNUMBER(SEARCH("Will start",AF206))),"Process Yet to Start",IF(ISNUMBER(SEARCH("sure",LOWER(AF206))),"Undecided",IF(OR(ISNUMBER(SEARCH("reject",LOWER(AF206))),ISNUMBER(SEARCH("SBI",AF206))),"Rejected Elsewhere",IF(ISNUMBER(SEARCH("call",LOWER(AF206))),"Bank Communication",IF(OR(ISNUMBER(SEARCH("father",LOWER(AF206))),ISNUMBER(SEARCH("sister",LOWER(AF206)))),"Family / Dependency","Other"))))))))))</f>
        <v/>
      </c>
      <c r="AH206">
        <f>IF(A206="","",'01_Master_Data'!AC206)</f>
        <v/>
      </c>
      <c r="AI206">
        <f>IF(A206="","",IF(OR(AH206="",NOT(ISNUMBER(AH206))),"",MAX(0,'02_Configuration'!$B$82-AH206)))</f>
        <v/>
      </c>
      <c r="AJ206">
        <f>IF(A206="","",IF(AI206="","Unknown",IF(AI206&lt;=3,"0–3 Days",IF(AI206&lt;=7,"4–7 Days",IF(AI206&lt;=15,"8–15 Days",IF(AI206&lt;=30,"16–30 Days","30+ Days"))))))</f>
        <v/>
      </c>
      <c r="AK206">
        <f>IF(A206="","",IF(LOWER(H206)="yes","Yes","No"))</f>
        <v/>
      </c>
      <c r="AL206">
        <f>IF(A206="","",'01_Master_Data'!T206)</f>
        <v/>
      </c>
      <c r="AM206">
        <f>IF(A206="","",'01_Master_Data'!S206)</f>
        <v/>
      </c>
      <c r="AN206">
        <f>IF(A206="","",'01_Master_Data'!I206)</f>
        <v/>
      </c>
      <c r="AO206">
        <f>IF(A206="","",'01_Master_Data'!M206)</f>
        <v/>
      </c>
      <c r="AP206">
        <f>IF(A206="","",IF(ISNUMBER(SEARCH("Icici",W206&amp;"")),1,0))</f>
        <v/>
      </c>
      <c r="AQ206">
        <f>IF(A206="","",IF(ISNUMBER(SEARCH("Propelld",W206&amp;"")),1,0))</f>
        <v/>
      </c>
      <c r="AR206">
        <f>IF(A206="","",IF(ISNUMBER(SEARCH("GyanDhan",W206&amp;"")),1,0))</f>
        <v/>
      </c>
      <c r="AS206">
        <f>IF(A206="","",IF(ISNUMBER(SEARCH("vidyalakshmi",LOWER(W206&amp;""))),1,0))</f>
        <v/>
      </c>
      <c r="AT206">
        <f>IF(A206="","",IF(ISNUMBER(SEARCH("other bank",LOWER(W206&amp;""))),1,0))</f>
        <v/>
      </c>
      <c r="AU206">
        <f>IF(A206="","",IF(ISNUMBER(SEARCH("sanctioned",LOWER(W206&amp;""))),1,0))</f>
        <v/>
      </c>
      <c r="AV206">
        <f>IF(A206="","",IF(ISNUMBER(SEARCH("Docs Pending",W206&amp;"")),1,0))</f>
        <v/>
      </c>
      <c r="AW206">
        <f>IF(A206="","",IF(OR(X206="Rejected",ISNUMBER(SEARCH("Not eligbile",W206&amp;""))),1,0))</f>
        <v/>
      </c>
    </row>
    <row r="207">
      <c r="A207">
        <f>IF('01_Master_Data'!B207="","",206)</f>
        <v/>
      </c>
      <c r="B207">
        <f>IF('01_Master_Data'!B207="","",IF('01_Master_Data'!C207&lt;&gt;"","MOB|"&amp;TEXT('01_Master_Data'!C207,"0"),IF('01_Master_Data'!D207&lt;&gt;"","PID|"&amp;TRIM('01_Master_Data'!D207&amp;""),"")))</f>
        <v/>
      </c>
      <c r="C207">
        <f>IF('01_Master_Data'!B207="","",'01_Master_Data'!B207)</f>
        <v/>
      </c>
      <c r="D207">
        <f>IF('01_Master_Data'!B207="","",'01_Master_Data'!C207)</f>
        <v/>
      </c>
      <c r="E207">
        <f>IF('01_Master_Data'!B207="","",'01_Master_Data'!D207)</f>
        <v/>
      </c>
      <c r="F207">
        <f>IF('01_Master_Data'!B207="","",'01_Master_Data'!E207)</f>
        <v/>
      </c>
      <c r="G207">
        <f>IF('01_Master_Data'!B207="","",IFERROR(VLOOKUP(TRIM('01_Master_Data'!E207&amp;""),'02_Configuration'!$A$40:$B$44,2,FALSE),UPPER(TRIM('01_Master_Data'!E207&amp;""))))</f>
        <v/>
      </c>
      <c r="H207">
        <f>IF('01_Master_Data'!B207="","",IF('01_Master_Data'!U207="","",TRIM('01_Master_Data'!U207&amp;"")))</f>
        <v/>
      </c>
      <c r="I207">
        <f>IF('01_Master_Data'!B207="","",TRIM('01_Master_Data'!F207&amp;""))</f>
        <v/>
      </c>
      <c r="J207">
        <f>IF('01_Master_Data'!B207="","",TRIM('01_Master_Data'!G207&amp;""))</f>
        <v/>
      </c>
      <c r="K207">
        <f>IF('01_Master_Data'!B207="","",'01_Master_Data'!H207)</f>
        <v/>
      </c>
      <c r="L207">
        <f>IF('01_Master_Data'!B207="","",IF(LOWER(TRIM('01_Master_Data'!V207&amp;""))="yes",1,0))</f>
        <v/>
      </c>
      <c r="M207">
        <f>IF('01_Master_Data'!B207="","",IF(LOWER(TRIM('01_Master_Data'!W207&amp;""))="yes",1,0))</f>
        <v/>
      </c>
      <c r="N207">
        <f>IF('01_Master_Data'!B207="","",IF(LOWER(TRIM('01_Master_Data'!X207&amp;""))="yes",1,0))</f>
        <v/>
      </c>
      <c r="O207">
        <f>IF('01_Master_Data'!B207="","",IF(LOWER(TRIM('01_Master_Data'!Y207&amp;""))="yes",1,0))</f>
        <v/>
      </c>
      <c r="P207">
        <f>IF('01_Master_Data'!B207="","",IF(LOWER(TRIM('01_Master_Data'!Z207&amp;""))="yes",1,0))</f>
        <v/>
      </c>
      <c r="Q207">
        <f>IF(A207="","",L207+M207+N207+O207+P207)</f>
        <v/>
      </c>
      <c r="R207">
        <f>IF(A207="","",IF(Q207&gt;1,"Yes","No"))</f>
        <v/>
      </c>
      <c r="S207">
        <f>IF(A207="","",TEXTJOIN(", ",TRUE,IF(L207=1,"ICICI",""),IF(M207=1,"Propelld",""),IF(N207=1,"Study4Buddy",""),IF(O207=1,"Poonawala Fincorp",""),IF(P207=1,"GyanDhan","")))</f>
        <v/>
      </c>
      <c r="T207">
        <f>IF(A207="","",IF(L207=1,"ICICI",IF(M207=1,"Propelld",IF(P207=1,"GyanDhan",IF(N207=1,"Study4Buddy",IF(O207=1,"Poonawala Fincorp",IF(ISNUMBER(SEARCH("GyanDhan",W207&amp;"")),"GyanDhan",IF(ISNUMBER(SEARCH("Icici",W207&amp;"")),"ICICI",IF(ISNUMBER(SEARCH("Propelld",W207&amp;"")),"Propelld",IF(ISNUMBER(SEARCH("vidyalakshmi",LOWER(W207&amp;"")),"PM Vidyalakshmi","—"))))))))))</f>
        <v/>
      </c>
      <c r="U207">
        <f>IF(A207="","",TRIM('01_Master_Data'!AA207&amp;""))</f>
        <v/>
      </c>
      <c r="V207">
        <f>IF(A207="","",TRIM('01_Master_Data'!AG207&amp;""))</f>
        <v/>
      </c>
      <c r="W207">
        <f>IF(A207="","",TRIM('01_Master_Data'!AH207&amp;""))</f>
        <v/>
      </c>
      <c r="X207">
        <f>IF(A207="","",IF(OR(LOWER(H207)="refund",LOWER(U207)="refund case"),"Refund",IF(OR(LOWER(H207)="dnp",LOWER(U207)="dnp"),"DNP",IF(OR(LOWER(V207)="disbursed",ISNUMBER(SEARCH("Disbursed",W207&amp;""))),"Disbursed",IF(OR(LOWER(V207)="loan proccessed/accepted",ISNUMBER(SEARCH("sanctioned",LOWER(W207&amp;"")))),"Sanctioned",IF(OR(LOWER(V207)="rejected",ISNUMBER(SEARCH("Not eligbile",W207&amp;"")),ISNUMBER(SEARCH("Not eligible",W207&amp;""))),"Rejected",IF(ISNUMBER(SEARCH("Docs Pending",W207&amp;"")),"Documents Pending",IF(AND(LOWER(H207)="yes",LOWER(V207)="ongoing"),"Processing",IF(AND(LOWER(H207)="yes",Q207&gt;0,OR(V207="",LOWER(V207)="not even started")),"Vendor Assigned",IF(AND(LOWER(H207)="yes",LOWER(V207)="not even started"),"Need Loan",IF(LOWER(H207)="yes","Loan Started",IF(LOWER(H207)="not sure","Interested",IF(OR(LOWER(H207)="no",LOWER(V207)="not required"),"Not Required","Unclassified")))))))))))))</f>
        <v/>
      </c>
      <c r="Y207">
        <f>IF(A207="","",IF(OR(X207="Sanctioned",X207="Disbursed",X207="Approved"),"Approved",IF(X207="Rejected","Rejected",IF(OR(X207="Processing",X207="Documents Pending",X207="Vendor Assigned"),"In Progress",IF(X207="Need Loan","Pending Start","—"))))</f>
        <v/>
      </c>
      <c r="Z207">
        <f>IF(A207="","",IF(X207="Disbursed","Disbursed",IF(X207="Sanctioned","Sanctioned - Awaiting Disbursement","Not Disbursed")))</f>
        <v/>
      </c>
      <c r="AA207">
        <f>IF(A207="","",IF(LOWER(TRIM('01_Master_Data'!AI207&amp;""))="yes","Need FLDG",IF(LOWER(TRIM('01_Master_Data'!AK207&amp;""))="yes","Need Vidyalakshmi",IF(LOWER(TRIM('01_Master_Data'!AJ207&amp;""))="yes","Need Review",IF(LOWER(J207)="critical","Critical",IF(LOWER(U207)="risk","Risk Case",IF(X207="Refund","Refund","Normal")))))))</f>
        <v/>
      </c>
      <c r="AB207">
        <f>IF(A207="","",IF(OR(LOWER(J207)="critical",LOWER(TRIM('01_Master_Data'!AI207&amp;""))="yes",LOWER(TRIM('01_Master_Data'!AK207&amp;""))="yes",LOWER(U207)="risk"),"Yes","No"))</f>
        <v/>
      </c>
      <c r="AC207">
        <f>IF(A207="","",IF(LOWER(TRIM('01_Master_Data'!AI207&amp;""))="yes","Yes","No"))</f>
        <v/>
      </c>
      <c r="AD207">
        <f>IF(A207="","",IF(LOWER(TRIM('01_Master_Data'!AK207&amp;""))="yes","Yes","No"))</f>
        <v/>
      </c>
      <c r="AE207">
        <f>IF(A207="","",IF(LOWER(TRIM('01_Master_Data'!AJ207&amp;""))="yes","Yes","No"))</f>
        <v/>
      </c>
      <c r="AF207">
        <f>IF(A207="","",TRIM('01_Master_Data'!AL207&amp;""))</f>
        <v/>
      </c>
      <c r="AG207">
        <f>IF(A207="","",IF(AF207="","—",IF(ISNUMBER(SEARCH("DNP",AF207)),"Unreachable / DNP",IF(ISNUMBER(SEARCH("interest",LOWER(AF207))),"High Interest / Terms",IF(OR(ISNUMBER(SEARCH("eligib",LOWER(AF207))),ISNUMBER(SEARCH("income",LOWER(AF207)))),"Eligibility / Income",IF(OR(ISNUMBER(SEARCH("start",LOWER(AF207))),ISNUMBER(SEARCH("Newer",AF207)),ISNUMBER(SEARCH("Will start",AF207))),"Process Yet to Start",IF(ISNUMBER(SEARCH("sure",LOWER(AF207))),"Undecided",IF(OR(ISNUMBER(SEARCH("reject",LOWER(AF207))),ISNUMBER(SEARCH("SBI",AF207))),"Rejected Elsewhere",IF(ISNUMBER(SEARCH("call",LOWER(AF207))),"Bank Communication",IF(OR(ISNUMBER(SEARCH("father",LOWER(AF207))),ISNUMBER(SEARCH("sister",LOWER(AF207)))),"Family / Dependency","Other"))))))))))</f>
        <v/>
      </c>
      <c r="AH207">
        <f>IF(A207="","",'01_Master_Data'!AC207)</f>
        <v/>
      </c>
      <c r="AI207">
        <f>IF(A207="","",IF(OR(AH207="",NOT(ISNUMBER(AH207))),"",MAX(0,'02_Configuration'!$B$82-AH207)))</f>
        <v/>
      </c>
      <c r="AJ207">
        <f>IF(A207="","",IF(AI207="","Unknown",IF(AI207&lt;=3,"0–3 Days",IF(AI207&lt;=7,"4–7 Days",IF(AI207&lt;=15,"8–15 Days",IF(AI207&lt;=30,"16–30 Days","30+ Days"))))))</f>
        <v/>
      </c>
      <c r="AK207">
        <f>IF(A207="","",IF(LOWER(H207)="yes","Yes","No"))</f>
        <v/>
      </c>
      <c r="AL207">
        <f>IF(A207="","",'01_Master_Data'!T207)</f>
        <v/>
      </c>
      <c r="AM207">
        <f>IF(A207="","",'01_Master_Data'!S207)</f>
        <v/>
      </c>
      <c r="AN207">
        <f>IF(A207="","",'01_Master_Data'!I207)</f>
        <v/>
      </c>
      <c r="AO207">
        <f>IF(A207="","",'01_Master_Data'!M207)</f>
        <v/>
      </c>
      <c r="AP207">
        <f>IF(A207="","",IF(ISNUMBER(SEARCH("Icici",W207&amp;"")),1,0))</f>
        <v/>
      </c>
      <c r="AQ207">
        <f>IF(A207="","",IF(ISNUMBER(SEARCH("Propelld",W207&amp;"")),1,0))</f>
        <v/>
      </c>
      <c r="AR207">
        <f>IF(A207="","",IF(ISNUMBER(SEARCH("GyanDhan",W207&amp;"")),1,0))</f>
        <v/>
      </c>
      <c r="AS207">
        <f>IF(A207="","",IF(ISNUMBER(SEARCH("vidyalakshmi",LOWER(W207&amp;""))),1,0))</f>
        <v/>
      </c>
      <c r="AT207">
        <f>IF(A207="","",IF(ISNUMBER(SEARCH("other bank",LOWER(W207&amp;""))),1,0))</f>
        <v/>
      </c>
      <c r="AU207">
        <f>IF(A207="","",IF(ISNUMBER(SEARCH("sanctioned",LOWER(W207&amp;""))),1,0))</f>
        <v/>
      </c>
      <c r="AV207">
        <f>IF(A207="","",IF(ISNUMBER(SEARCH("Docs Pending",W207&amp;"")),1,0))</f>
        <v/>
      </c>
      <c r="AW207">
        <f>IF(A207="","",IF(OR(X207="Rejected",ISNUMBER(SEARCH("Not eligbile",W207&amp;""))),1,0))</f>
        <v/>
      </c>
    </row>
    <row r="208">
      <c r="A208">
        <f>IF('01_Master_Data'!B208="","",207)</f>
        <v/>
      </c>
      <c r="B208">
        <f>IF('01_Master_Data'!B208="","",IF('01_Master_Data'!C208&lt;&gt;"","MOB|"&amp;TEXT('01_Master_Data'!C208,"0"),IF('01_Master_Data'!D208&lt;&gt;"","PID|"&amp;TRIM('01_Master_Data'!D208&amp;""),"")))</f>
        <v/>
      </c>
      <c r="C208">
        <f>IF('01_Master_Data'!B208="","",'01_Master_Data'!B208)</f>
        <v/>
      </c>
      <c r="D208">
        <f>IF('01_Master_Data'!B208="","",'01_Master_Data'!C208)</f>
        <v/>
      </c>
      <c r="E208">
        <f>IF('01_Master_Data'!B208="","",'01_Master_Data'!D208)</f>
        <v/>
      </c>
      <c r="F208">
        <f>IF('01_Master_Data'!B208="","",'01_Master_Data'!E208)</f>
        <v/>
      </c>
      <c r="G208">
        <f>IF('01_Master_Data'!B208="","",IFERROR(VLOOKUP(TRIM('01_Master_Data'!E208&amp;""),'02_Configuration'!$A$40:$B$44,2,FALSE),UPPER(TRIM('01_Master_Data'!E208&amp;""))))</f>
        <v/>
      </c>
      <c r="H208">
        <f>IF('01_Master_Data'!B208="","",IF('01_Master_Data'!U208="","",TRIM('01_Master_Data'!U208&amp;"")))</f>
        <v/>
      </c>
      <c r="I208">
        <f>IF('01_Master_Data'!B208="","",TRIM('01_Master_Data'!F208&amp;""))</f>
        <v/>
      </c>
      <c r="J208">
        <f>IF('01_Master_Data'!B208="","",TRIM('01_Master_Data'!G208&amp;""))</f>
        <v/>
      </c>
      <c r="K208">
        <f>IF('01_Master_Data'!B208="","",'01_Master_Data'!H208)</f>
        <v/>
      </c>
      <c r="L208">
        <f>IF('01_Master_Data'!B208="","",IF(LOWER(TRIM('01_Master_Data'!V208&amp;""))="yes",1,0))</f>
        <v/>
      </c>
      <c r="M208">
        <f>IF('01_Master_Data'!B208="","",IF(LOWER(TRIM('01_Master_Data'!W208&amp;""))="yes",1,0))</f>
        <v/>
      </c>
      <c r="N208">
        <f>IF('01_Master_Data'!B208="","",IF(LOWER(TRIM('01_Master_Data'!X208&amp;""))="yes",1,0))</f>
        <v/>
      </c>
      <c r="O208">
        <f>IF('01_Master_Data'!B208="","",IF(LOWER(TRIM('01_Master_Data'!Y208&amp;""))="yes",1,0))</f>
        <v/>
      </c>
      <c r="P208">
        <f>IF('01_Master_Data'!B208="","",IF(LOWER(TRIM('01_Master_Data'!Z208&amp;""))="yes",1,0))</f>
        <v/>
      </c>
      <c r="Q208">
        <f>IF(A208="","",L208+M208+N208+O208+P208)</f>
        <v/>
      </c>
      <c r="R208">
        <f>IF(A208="","",IF(Q208&gt;1,"Yes","No"))</f>
        <v/>
      </c>
      <c r="S208">
        <f>IF(A208="","",TEXTJOIN(", ",TRUE,IF(L208=1,"ICICI",""),IF(M208=1,"Propelld",""),IF(N208=1,"Study4Buddy",""),IF(O208=1,"Poonawala Fincorp",""),IF(P208=1,"GyanDhan","")))</f>
        <v/>
      </c>
      <c r="T208">
        <f>IF(A208="","",IF(L208=1,"ICICI",IF(M208=1,"Propelld",IF(P208=1,"GyanDhan",IF(N208=1,"Study4Buddy",IF(O208=1,"Poonawala Fincorp",IF(ISNUMBER(SEARCH("GyanDhan",W208&amp;"")),"GyanDhan",IF(ISNUMBER(SEARCH("Icici",W208&amp;"")),"ICICI",IF(ISNUMBER(SEARCH("Propelld",W208&amp;"")),"Propelld",IF(ISNUMBER(SEARCH("vidyalakshmi",LOWER(W208&amp;"")),"PM Vidyalakshmi","—"))))))))))</f>
        <v/>
      </c>
      <c r="U208">
        <f>IF(A208="","",TRIM('01_Master_Data'!AA208&amp;""))</f>
        <v/>
      </c>
      <c r="V208">
        <f>IF(A208="","",TRIM('01_Master_Data'!AG208&amp;""))</f>
        <v/>
      </c>
      <c r="W208">
        <f>IF(A208="","",TRIM('01_Master_Data'!AH208&amp;""))</f>
        <v/>
      </c>
      <c r="X208">
        <f>IF(A208="","",IF(OR(LOWER(H208)="refund",LOWER(U208)="refund case"),"Refund",IF(OR(LOWER(H208)="dnp",LOWER(U208)="dnp"),"DNP",IF(OR(LOWER(V208)="disbursed",ISNUMBER(SEARCH("Disbursed",W208&amp;""))),"Disbursed",IF(OR(LOWER(V208)="loan proccessed/accepted",ISNUMBER(SEARCH("sanctioned",LOWER(W208&amp;"")))),"Sanctioned",IF(OR(LOWER(V208)="rejected",ISNUMBER(SEARCH("Not eligbile",W208&amp;"")),ISNUMBER(SEARCH("Not eligible",W208&amp;""))),"Rejected",IF(ISNUMBER(SEARCH("Docs Pending",W208&amp;"")),"Documents Pending",IF(AND(LOWER(H208)="yes",LOWER(V208)="ongoing"),"Processing",IF(AND(LOWER(H208)="yes",Q208&gt;0,OR(V208="",LOWER(V208)="not even started")),"Vendor Assigned",IF(AND(LOWER(H208)="yes",LOWER(V208)="not even started"),"Need Loan",IF(LOWER(H208)="yes","Loan Started",IF(LOWER(H208)="not sure","Interested",IF(OR(LOWER(H208)="no",LOWER(V208)="not required"),"Not Required","Unclassified")))))))))))))</f>
        <v/>
      </c>
      <c r="Y208">
        <f>IF(A208="","",IF(OR(X208="Sanctioned",X208="Disbursed",X208="Approved"),"Approved",IF(X208="Rejected","Rejected",IF(OR(X208="Processing",X208="Documents Pending",X208="Vendor Assigned"),"In Progress",IF(X208="Need Loan","Pending Start","—"))))</f>
        <v/>
      </c>
      <c r="Z208">
        <f>IF(A208="","",IF(X208="Disbursed","Disbursed",IF(X208="Sanctioned","Sanctioned - Awaiting Disbursement","Not Disbursed")))</f>
        <v/>
      </c>
      <c r="AA208">
        <f>IF(A208="","",IF(LOWER(TRIM('01_Master_Data'!AI208&amp;""))="yes","Need FLDG",IF(LOWER(TRIM('01_Master_Data'!AK208&amp;""))="yes","Need Vidyalakshmi",IF(LOWER(TRIM('01_Master_Data'!AJ208&amp;""))="yes","Need Review",IF(LOWER(J208)="critical","Critical",IF(LOWER(U208)="risk","Risk Case",IF(X208="Refund","Refund","Normal")))))))</f>
        <v/>
      </c>
      <c r="AB208">
        <f>IF(A208="","",IF(OR(LOWER(J208)="critical",LOWER(TRIM('01_Master_Data'!AI208&amp;""))="yes",LOWER(TRIM('01_Master_Data'!AK208&amp;""))="yes",LOWER(U208)="risk"),"Yes","No"))</f>
        <v/>
      </c>
      <c r="AC208">
        <f>IF(A208="","",IF(LOWER(TRIM('01_Master_Data'!AI208&amp;""))="yes","Yes","No"))</f>
        <v/>
      </c>
      <c r="AD208">
        <f>IF(A208="","",IF(LOWER(TRIM('01_Master_Data'!AK208&amp;""))="yes","Yes","No"))</f>
        <v/>
      </c>
      <c r="AE208">
        <f>IF(A208="","",IF(LOWER(TRIM('01_Master_Data'!AJ208&amp;""))="yes","Yes","No"))</f>
        <v/>
      </c>
      <c r="AF208">
        <f>IF(A208="","",TRIM('01_Master_Data'!AL208&amp;""))</f>
        <v/>
      </c>
      <c r="AG208">
        <f>IF(A208="","",IF(AF208="","—",IF(ISNUMBER(SEARCH("DNP",AF208)),"Unreachable / DNP",IF(ISNUMBER(SEARCH("interest",LOWER(AF208))),"High Interest / Terms",IF(OR(ISNUMBER(SEARCH("eligib",LOWER(AF208))),ISNUMBER(SEARCH("income",LOWER(AF208)))),"Eligibility / Income",IF(OR(ISNUMBER(SEARCH("start",LOWER(AF208))),ISNUMBER(SEARCH("Newer",AF208)),ISNUMBER(SEARCH("Will start",AF208))),"Process Yet to Start",IF(ISNUMBER(SEARCH("sure",LOWER(AF208))),"Undecided",IF(OR(ISNUMBER(SEARCH("reject",LOWER(AF208))),ISNUMBER(SEARCH("SBI",AF208))),"Rejected Elsewhere",IF(ISNUMBER(SEARCH("call",LOWER(AF208))),"Bank Communication",IF(OR(ISNUMBER(SEARCH("father",LOWER(AF208))),ISNUMBER(SEARCH("sister",LOWER(AF208)))),"Family / Dependency","Other"))))))))))</f>
        <v/>
      </c>
      <c r="AH208">
        <f>IF(A208="","",'01_Master_Data'!AC208)</f>
        <v/>
      </c>
      <c r="AI208">
        <f>IF(A208="","",IF(OR(AH208="",NOT(ISNUMBER(AH208))),"",MAX(0,'02_Configuration'!$B$82-AH208)))</f>
        <v/>
      </c>
      <c r="AJ208">
        <f>IF(A208="","",IF(AI208="","Unknown",IF(AI208&lt;=3,"0–3 Days",IF(AI208&lt;=7,"4–7 Days",IF(AI208&lt;=15,"8–15 Days",IF(AI208&lt;=30,"16–30 Days","30+ Days"))))))</f>
        <v/>
      </c>
      <c r="AK208">
        <f>IF(A208="","",IF(LOWER(H208)="yes","Yes","No"))</f>
        <v/>
      </c>
      <c r="AL208">
        <f>IF(A208="","",'01_Master_Data'!T208)</f>
        <v/>
      </c>
      <c r="AM208">
        <f>IF(A208="","",'01_Master_Data'!S208)</f>
        <v/>
      </c>
      <c r="AN208">
        <f>IF(A208="","",'01_Master_Data'!I208)</f>
        <v/>
      </c>
      <c r="AO208">
        <f>IF(A208="","",'01_Master_Data'!M208)</f>
        <v/>
      </c>
      <c r="AP208">
        <f>IF(A208="","",IF(ISNUMBER(SEARCH("Icici",W208&amp;"")),1,0))</f>
        <v/>
      </c>
      <c r="AQ208">
        <f>IF(A208="","",IF(ISNUMBER(SEARCH("Propelld",W208&amp;"")),1,0))</f>
        <v/>
      </c>
      <c r="AR208">
        <f>IF(A208="","",IF(ISNUMBER(SEARCH("GyanDhan",W208&amp;"")),1,0))</f>
        <v/>
      </c>
      <c r="AS208">
        <f>IF(A208="","",IF(ISNUMBER(SEARCH("vidyalakshmi",LOWER(W208&amp;""))),1,0))</f>
        <v/>
      </c>
      <c r="AT208">
        <f>IF(A208="","",IF(ISNUMBER(SEARCH("other bank",LOWER(W208&amp;""))),1,0))</f>
        <v/>
      </c>
      <c r="AU208">
        <f>IF(A208="","",IF(ISNUMBER(SEARCH("sanctioned",LOWER(W208&amp;""))),1,0))</f>
        <v/>
      </c>
      <c r="AV208">
        <f>IF(A208="","",IF(ISNUMBER(SEARCH("Docs Pending",W208&amp;"")),1,0))</f>
        <v/>
      </c>
      <c r="AW208">
        <f>IF(A208="","",IF(OR(X208="Rejected",ISNUMBER(SEARCH("Not eligbile",W208&amp;""))),1,0))</f>
        <v/>
      </c>
    </row>
    <row r="209">
      <c r="A209">
        <f>IF('01_Master_Data'!B209="","",208)</f>
        <v/>
      </c>
      <c r="B209">
        <f>IF('01_Master_Data'!B209="","",IF('01_Master_Data'!C209&lt;&gt;"","MOB|"&amp;TEXT('01_Master_Data'!C209,"0"),IF('01_Master_Data'!D209&lt;&gt;"","PID|"&amp;TRIM('01_Master_Data'!D209&amp;""),"")))</f>
        <v/>
      </c>
      <c r="C209">
        <f>IF('01_Master_Data'!B209="","",'01_Master_Data'!B209)</f>
        <v/>
      </c>
      <c r="D209">
        <f>IF('01_Master_Data'!B209="","",'01_Master_Data'!C209)</f>
        <v/>
      </c>
      <c r="E209">
        <f>IF('01_Master_Data'!B209="","",'01_Master_Data'!D209)</f>
        <v/>
      </c>
      <c r="F209">
        <f>IF('01_Master_Data'!B209="","",'01_Master_Data'!E209)</f>
        <v/>
      </c>
      <c r="G209">
        <f>IF('01_Master_Data'!B209="","",IFERROR(VLOOKUP(TRIM('01_Master_Data'!E209&amp;""),'02_Configuration'!$A$40:$B$44,2,FALSE),UPPER(TRIM('01_Master_Data'!E209&amp;""))))</f>
        <v/>
      </c>
      <c r="H209">
        <f>IF('01_Master_Data'!B209="","",IF('01_Master_Data'!U209="","",TRIM('01_Master_Data'!U209&amp;"")))</f>
        <v/>
      </c>
      <c r="I209">
        <f>IF('01_Master_Data'!B209="","",TRIM('01_Master_Data'!F209&amp;""))</f>
        <v/>
      </c>
      <c r="J209">
        <f>IF('01_Master_Data'!B209="","",TRIM('01_Master_Data'!G209&amp;""))</f>
        <v/>
      </c>
      <c r="K209">
        <f>IF('01_Master_Data'!B209="","",'01_Master_Data'!H209)</f>
        <v/>
      </c>
      <c r="L209">
        <f>IF('01_Master_Data'!B209="","",IF(LOWER(TRIM('01_Master_Data'!V209&amp;""))="yes",1,0))</f>
        <v/>
      </c>
      <c r="M209">
        <f>IF('01_Master_Data'!B209="","",IF(LOWER(TRIM('01_Master_Data'!W209&amp;""))="yes",1,0))</f>
        <v/>
      </c>
      <c r="N209">
        <f>IF('01_Master_Data'!B209="","",IF(LOWER(TRIM('01_Master_Data'!X209&amp;""))="yes",1,0))</f>
        <v/>
      </c>
      <c r="O209">
        <f>IF('01_Master_Data'!B209="","",IF(LOWER(TRIM('01_Master_Data'!Y209&amp;""))="yes",1,0))</f>
        <v/>
      </c>
      <c r="P209">
        <f>IF('01_Master_Data'!B209="","",IF(LOWER(TRIM('01_Master_Data'!Z209&amp;""))="yes",1,0))</f>
        <v/>
      </c>
      <c r="Q209">
        <f>IF(A209="","",L209+M209+N209+O209+P209)</f>
        <v/>
      </c>
      <c r="R209">
        <f>IF(A209="","",IF(Q209&gt;1,"Yes","No"))</f>
        <v/>
      </c>
      <c r="S209">
        <f>IF(A209="","",TEXTJOIN(", ",TRUE,IF(L209=1,"ICICI",""),IF(M209=1,"Propelld",""),IF(N209=1,"Study4Buddy",""),IF(O209=1,"Poonawala Fincorp",""),IF(P209=1,"GyanDhan","")))</f>
        <v/>
      </c>
      <c r="T209">
        <f>IF(A209="","",IF(L209=1,"ICICI",IF(M209=1,"Propelld",IF(P209=1,"GyanDhan",IF(N209=1,"Study4Buddy",IF(O209=1,"Poonawala Fincorp",IF(ISNUMBER(SEARCH("GyanDhan",W209&amp;"")),"GyanDhan",IF(ISNUMBER(SEARCH("Icici",W209&amp;"")),"ICICI",IF(ISNUMBER(SEARCH("Propelld",W209&amp;"")),"Propelld",IF(ISNUMBER(SEARCH("vidyalakshmi",LOWER(W209&amp;"")),"PM Vidyalakshmi","—"))))))))))</f>
        <v/>
      </c>
      <c r="U209">
        <f>IF(A209="","",TRIM('01_Master_Data'!AA209&amp;""))</f>
        <v/>
      </c>
      <c r="V209">
        <f>IF(A209="","",TRIM('01_Master_Data'!AG209&amp;""))</f>
        <v/>
      </c>
      <c r="W209">
        <f>IF(A209="","",TRIM('01_Master_Data'!AH209&amp;""))</f>
        <v/>
      </c>
      <c r="X209">
        <f>IF(A209="","",IF(OR(LOWER(H209)="refund",LOWER(U209)="refund case"),"Refund",IF(OR(LOWER(H209)="dnp",LOWER(U209)="dnp"),"DNP",IF(OR(LOWER(V209)="disbursed",ISNUMBER(SEARCH("Disbursed",W209&amp;""))),"Disbursed",IF(OR(LOWER(V209)="loan proccessed/accepted",ISNUMBER(SEARCH("sanctioned",LOWER(W209&amp;"")))),"Sanctioned",IF(OR(LOWER(V209)="rejected",ISNUMBER(SEARCH("Not eligbile",W209&amp;"")),ISNUMBER(SEARCH("Not eligible",W209&amp;""))),"Rejected",IF(ISNUMBER(SEARCH("Docs Pending",W209&amp;"")),"Documents Pending",IF(AND(LOWER(H209)="yes",LOWER(V209)="ongoing"),"Processing",IF(AND(LOWER(H209)="yes",Q209&gt;0,OR(V209="",LOWER(V209)="not even started")),"Vendor Assigned",IF(AND(LOWER(H209)="yes",LOWER(V209)="not even started"),"Need Loan",IF(LOWER(H209)="yes","Loan Started",IF(LOWER(H209)="not sure","Interested",IF(OR(LOWER(H209)="no",LOWER(V209)="not required"),"Not Required","Unclassified")))))))))))))</f>
        <v/>
      </c>
      <c r="Y209">
        <f>IF(A209="","",IF(OR(X209="Sanctioned",X209="Disbursed",X209="Approved"),"Approved",IF(X209="Rejected","Rejected",IF(OR(X209="Processing",X209="Documents Pending",X209="Vendor Assigned"),"In Progress",IF(X209="Need Loan","Pending Start","—"))))</f>
        <v/>
      </c>
      <c r="Z209">
        <f>IF(A209="","",IF(X209="Disbursed","Disbursed",IF(X209="Sanctioned","Sanctioned - Awaiting Disbursement","Not Disbursed")))</f>
        <v/>
      </c>
      <c r="AA209">
        <f>IF(A209="","",IF(LOWER(TRIM('01_Master_Data'!AI209&amp;""))="yes","Need FLDG",IF(LOWER(TRIM('01_Master_Data'!AK209&amp;""))="yes","Need Vidyalakshmi",IF(LOWER(TRIM('01_Master_Data'!AJ209&amp;""))="yes","Need Review",IF(LOWER(J209)="critical","Critical",IF(LOWER(U209)="risk","Risk Case",IF(X209="Refund","Refund","Normal")))))))</f>
        <v/>
      </c>
      <c r="AB209">
        <f>IF(A209="","",IF(OR(LOWER(J209)="critical",LOWER(TRIM('01_Master_Data'!AI209&amp;""))="yes",LOWER(TRIM('01_Master_Data'!AK209&amp;""))="yes",LOWER(U209)="risk"),"Yes","No"))</f>
        <v/>
      </c>
      <c r="AC209">
        <f>IF(A209="","",IF(LOWER(TRIM('01_Master_Data'!AI209&amp;""))="yes","Yes","No"))</f>
        <v/>
      </c>
      <c r="AD209">
        <f>IF(A209="","",IF(LOWER(TRIM('01_Master_Data'!AK209&amp;""))="yes","Yes","No"))</f>
        <v/>
      </c>
      <c r="AE209">
        <f>IF(A209="","",IF(LOWER(TRIM('01_Master_Data'!AJ209&amp;""))="yes","Yes","No"))</f>
        <v/>
      </c>
      <c r="AF209">
        <f>IF(A209="","",TRIM('01_Master_Data'!AL209&amp;""))</f>
        <v/>
      </c>
      <c r="AG209">
        <f>IF(A209="","",IF(AF209="","—",IF(ISNUMBER(SEARCH("DNP",AF209)),"Unreachable / DNP",IF(ISNUMBER(SEARCH("interest",LOWER(AF209))),"High Interest / Terms",IF(OR(ISNUMBER(SEARCH("eligib",LOWER(AF209))),ISNUMBER(SEARCH("income",LOWER(AF209)))),"Eligibility / Income",IF(OR(ISNUMBER(SEARCH("start",LOWER(AF209))),ISNUMBER(SEARCH("Newer",AF209)),ISNUMBER(SEARCH("Will start",AF209))),"Process Yet to Start",IF(ISNUMBER(SEARCH("sure",LOWER(AF209))),"Undecided",IF(OR(ISNUMBER(SEARCH("reject",LOWER(AF209))),ISNUMBER(SEARCH("SBI",AF209))),"Rejected Elsewhere",IF(ISNUMBER(SEARCH("call",LOWER(AF209))),"Bank Communication",IF(OR(ISNUMBER(SEARCH("father",LOWER(AF209))),ISNUMBER(SEARCH("sister",LOWER(AF209)))),"Family / Dependency","Other"))))))))))</f>
        <v/>
      </c>
      <c r="AH209">
        <f>IF(A209="","",'01_Master_Data'!AC209)</f>
        <v/>
      </c>
      <c r="AI209">
        <f>IF(A209="","",IF(OR(AH209="",NOT(ISNUMBER(AH209))),"",MAX(0,'02_Configuration'!$B$82-AH209)))</f>
        <v/>
      </c>
      <c r="AJ209">
        <f>IF(A209="","",IF(AI209="","Unknown",IF(AI209&lt;=3,"0–3 Days",IF(AI209&lt;=7,"4–7 Days",IF(AI209&lt;=15,"8–15 Days",IF(AI209&lt;=30,"16–30 Days","30+ Days"))))))</f>
        <v/>
      </c>
      <c r="AK209">
        <f>IF(A209="","",IF(LOWER(H209)="yes","Yes","No"))</f>
        <v/>
      </c>
      <c r="AL209">
        <f>IF(A209="","",'01_Master_Data'!T209)</f>
        <v/>
      </c>
      <c r="AM209">
        <f>IF(A209="","",'01_Master_Data'!S209)</f>
        <v/>
      </c>
      <c r="AN209">
        <f>IF(A209="","",'01_Master_Data'!I209)</f>
        <v/>
      </c>
      <c r="AO209">
        <f>IF(A209="","",'01_Master_Data'!M209)</f>
        <v/>
      </c>
      <c r="AP209">
        <f>IF(A209="","",IF(ISNUMBER(SEARCH("Icici",W209&amp;"")),1,0))</f>
        <v/>
      </c>
      <c r="AQ209">
        <f>IF(A209="","",IF(ISNUMBER(SEARCH("Propelld",W209&amp;"")),1,0))</f>
        <v/>
      </c>
      <c r="AR209">
        <f>IF(A209="","",IF(ISNUMBER(SEARCH("GyanDhan",W209&amp;"")),1,0))</f>
        <v/>
      </c>
      <c r="AS209">
        <f>IF(A209="","",IF(ISNUMBER(SEARCH("vidyalakshmi",LOWER(W209&amp;""))),1,0))</f>
        <v/>
      </c>
      <c r="AT209">
        <f>IF(A209="","",IF(ISNUMBER(SEARCH("other bank",LOWER(W209&amp;""))),1,0))</f>
        <v/>
      </c>
      <c r="AU209">
        <f>IF(A209="","",IF(ISNUMBER(SEARCH("sanctioned",LOWER(W209&amp;""))),1,0))</f>
        <v/>
      </c>
      <c r="AV209">
        <f>IF(A209="","",IF(ISNUMBER(SEARCH("Docs Pending",W209&amp;"")),1,0))</f>
        <v/>
      </c>
      <c r="AW209">
        <f>IF(A209="","",IF(OR(X209="Rejected",ISNUMBER(SEARCH("Not eligbile",W209&amp;""))),1,0))</f>
        <v/>
      </c>
    </row>
    <row r="210">
      <c r="A210">
        <f>IF('01_Master_Data'!B210="","",209)</f>
        <v/>
      </c>
      <c r="B210">
        <f>IF('01_Master_Data'!B210="","",IF('01_Master_Data'!C210&lt;&gt;"","MOB|"&amp;TEXT('01_Master_Data'!C210,"0"),IF('01_Master_Data'!D210&lt;&gt;"","PID|"&amp;TRIM('01_Master_Data'!D210&amp;""),"")))</f>
        <v/>
      </c>
      <c r="C210">
        <f>IF('01_Master_Data'!B210="","",'01_Master_Data'!B210)</f>
        <v/>
      </c>
      <c r="D210">
        <f>IF('01_Master_Data'!B210="","",'01_Master_Data'!C210)</f>
        <v/>
      </c>
      <c r="E210">
        <f>IF('01_Master_Data'!B210="","",'01_Master_Data'!D210)</f>
        <v/>
      </c>
      <c r="F210">
        <f>IF('01_Master_Data'!B210="","",'01_Master_Data'!E210)</f>
        <v/>
      </c>
      <c r="G210">
        <f>IF('01_Master_Data'!B210="","",IFERROR(VLOOKUP(TRIM('01_Master_Data'!E210&amp;""),'02_Configuration'!$A$40:$B$44,2,FALSE),UPPER(TRIM('01_Master_Data'!E210&amp;""))))</f>
        <v/>
      </c>
      <c r="H210">
        <f>IF('01_Master_Data'!B210="","",IF('01_Master_Data'!U210="","",TRIM('01_Master_Data'!U210&amp;"")))</f>
        <v/>
      </c>
      <c r="I210">
        <f>IF('01_Master_Data'!B210="","",TRIM('01_Master_Data'!F210&amp;""))</f>
        <v/>
      </c>
      <c r="J210">
        <f>IF('01_Master_Data'!B210="","",TRIM('01_Master_Data'!G210&amp;""))</f>
        <v/>
      </c>
      <c r="K210">
        <f>IF('01_Master_Data'!B210="","",'01_Master_Data'!H210)</f>
        <v/>
      </c>
      <c r="L210">
        <f>IF('01_Master_Data'!B210="","",IF(LOWER(TRIM('01_Master_Data'!V210&amp;""))="yes",1,0))</f>
        <v/>
      </c>
      <c r="M210">
        <f>IF('01_Master_Data'!B210="","",IF(LOWER(TRIM('01_Master_Data'!W210&amp;""))="yes",1,0))</f>
        <v/>
      </c>
      <c r="N210">
        <f>IF('01_Master_Data'!B210="","",IF(LOWER(TRIM('01_Master_Data'!X210&amp;""))="yes",1,0))</f>
        <v/>
      </c>
      <c r="O210">
        <f>IF('01_Master_Data'!B210="","",IF(LOWER(TRIM('01_Master_Data'!Y210&amp;""))="yes",1,0))</f>
        <v/>
      </c>
      <c r="P210">
        <f>IF('01_Master_Data'!B210="","",IF(LOWER(TRIM('01_Master_Data'!Z210&amp;""))="yes",1,0))</f>
        <v/>
      </c>
      <c r="Q210">
        <f>IF(A210="","",L210+M210+N210+O210+P210)</f>
        <v/>
      </c>
      <c r="R210">
        <f>IF(A210="","",IF(Q210&gt;1,"Yes","No"))</f>
        <v/>
      </c>
      <c r="S210">
        <f>IF(A210="","",TEXTJOIN(", ",TRUE,IF(L210=1,"ICICI",""),IF(M210=1,"Propelld",""),IF(N210=1,"Study4Buddy",""),IF(O210=1,"Poonawala Fincorp",""),IF(P210=1,"GyanDhan","")))</f>
        <v/>
      </c>
      <c r="T210">
        <f>IF(A210="","",IF(L210=1,"ICICI",IF(M210=1,"Propelld",IF(P210=1,"GyanDhan",IF(N210=1,"Study4Buddy",IF(O210=1,"Poonawala Fincorp",IF(ISNUMBER(SEARCH("GyanDhan",W210&amp;"")),"GyanDhan",IF(ISNUMBER(SEARCH("Icici",W210&amp;"")),"ICICI",IF(ISNUMBER(SEARCH("Propelld",W210&amp;"")),"Propelld",IF(ISNUMBER(SEARCH("vidyalakshmi",LOWER(W210&amp;"")),"PM Vidyalakshmi","—"))))))))))</f>
        <v/>
      </c>
      <c r="U210">
        <f>IF(A210="","",TRIM('01_Master_Data'!AA210&amp;""))</f>
        <v/>
      </c>
      <c r="V210">
        <f>IF(A210="","",TRIM('01_Master_Data'!AG210&amp;""))</f>
        <v/>
      </c>
      <c r="W210">
        <f>IF(A210="","",TRIM('01_Master_Data'!AH210&amp;""))</f>
        <v/>
      </c>
      <c r="X210">
        <f>IF(A210="","",IF(OR(LOWER(H210)="refund",LOWER(U210)="refund case"),"Refund",IF(OR(LOWER(H210)="dnp",LOWER(U210)="dnp"),"DNP",IF(OR(LOWER(V210)="disbursed",ISNUMBER(SEARCH("Disbursed",W210&amp;""))),"Disbursed",IF(OR(LOWER(V210)="loan proccessed/accepted",ISNUMBER(SEARCH("sanctioned",LOWER(W210&amp;"")))),"Sanctioned",IF(OR(LOWER(V210)="rejected",ISNUMBER(SEARCH("Not eligbile",W210&amp;"")),ISNUMBER(SEARCH("Not eligible",W210&amp;""))),"Rejected",IF(ISNUMBER(SEARCH("Docs Pending",W210&amp;"")),"Documents Pending",IF(AND(LOWER(H210)="yes",LOWER(V210)="ongoing"),"Processing",IF(AND(LOWER(H210)="yes",Q210&gt;0,OR(V210="",LOWER(V210)="not even started")),"Vendor Assigned",IF(AND(LOWER(H210)="yes",LOWER(V210)="not even started"),"Need Loan",IF(LOWER(H210)="yes","Loan Started",IF(LOWER(H210)="not sure","Interested",IF(OR(LOWER(H210)="no",LOWER(V210)="not required"),"Not Required","Unclassified")))))))))))))</f>
        <v/>
      </c>
      <c r="Y210">
        <f>IF(A210="","",IF(OR(X210="Sanctioned",X210="Disbursed",X210="Approved"),"Approved",IF(X210="Rejected","Rejected",IF(OR(X210="Processing",X210="Documents Pending",X210="Vendor Assigned"),"In Progress",IF(X210="Need Loan","Pending Start","—"))))</f>
        <v/>
      </c>
      <c r="Z210">
        <f>IF(A210="","",IF(X210="Disbursed","Disbursed",IF(X210="Sanctioned","Sanctioned - Awaiting Disbursement","Not Disbursed")))</f>
        <v/>
      </c>
      <c r="AA210">
        <f>IF(A210="","",IF(LOWER(TRIM('01_Master_Data'!AI210&amp;""))="yes","Need FLDG",IF(LOWER(TRIM('01_Master_Data'!AK210&amp;""))="yes","Need Vidyalakshmi",IF(LOWER(TRIM('01_Master_Data'!AJ210&amp;""))="yes","Need Review",IF(LOWER(J210)="critical","Critical",IF(LOWER(U210)="risk","Risk Case",IF(X210="Refund","Refund","Normal")))))))</f>
        <v/>
      </c>
      <c r="AB210">
        <f>IF(A210="","",IF(OR(LOWER(J210)="critical",LOWER(TRIM('01_Master_Data'!AI210&amp;""))="yes",LOWER(TRIM('01_Master_Data'!AK210&amp;""))="yes",LOWER(U210)="risk"),"Yes","No"))</f>
        <v/>
      </c>
      <c r="AC210">
        <f>IF(A210="","",IF(LOWER(TRIM('01_Master_Data'!AI210&amp;""))="yes","Yes","No"))</f>
        <v/>
      </c>
      <c r="AD210">
        <f>IF(A210="","",IF(LOWER(TRIM('01_Master_Data'!AK210&amp;""))="yes","Yes","No"))</f>
        <v/>
      </c>
      <c r="AE210">
        <f>IF(A210="","",IF(LOWER(TRIM('01_Master_Data'!AJ210&amp;""))="yes","Yes","No"))</f>
        <v/>
      </c>
      <c r="AF210">
        <f>IF(A210="","",TRIM('01_Master_Data'!AL210&amp;""))</f>
        <v/>
      </c>
      <c r="AG210">
        <f>IF(A210="","",IF(AF210="","—",IF(ISNUMBER(SEARCH("DNP",AF210)),"Unreachable / DNP",IF(ISNUMBER(SEARCH("interest",LOWER(AF210))),"High Interest / Terms",IF(OR(ISNUMBER(SEARCH("eligib",LOWER(AF210))),ISNUMBER(SEARCH("income",LOWER(AF210)))),"Eligibility / Income",IF(OR(ISNUMBER(SEARCH("start",LOWER(AF210))),ISNUMBER(SEARCH("Newer",AF210)),ISNUMBER(SEARCH("Will start",AF210))),"Process Yet to Start",IF(ISNUMBER(SEARCH("sure",LOWER(AF210))),"Undecided",IF(OR(ISNUMBER(SEARCH("reject",LOWER(AF210))),ISNUMBER(SEARCH("SBI",AF210))),"Rejected Elsewhere",IF(ISNUMBER(SEARCH("call",LOWER(AF210))),"Bank Communication",IF(OR(ISNUMBER(SEARCH("father",LOWER(AF210))),ISNUMBER(SEARCH("sister",LOWER(AF210)))),"Family / Dependency","Other"))))))))))</f>
        <v/>
      </c>
      <c r="AH210">
        <f>IF(A210="","",'01_Master_Data'!AC210)</f>
        <v/>
      </c>
      <c r="AI210">
        <f>IF(A210="","",IF(OR(AH210="",NOT(ISNUMBER(AH210))),"",MAX(0,'02_Configuration'!$B$82-AH210)))</f>
        <v/>
      </c>
      <c r="AJ210">
        <f>IF(A210="","",IF(AI210="","Unknown",IF(AI210&lt;=3,"0–3 Days",IF(AI210&lt;=7,"4–7 Days",IF(AI210&lt;=15,"8–15 Days",IF(AI210&lt;=30,"16–30 Days","30+ Days"))))))</f>
        <v/>
      </c>
      <c r="AK210">
        <f>IF(A210="","",IF(LOWER(H210)="yes","Yes","No"))</f>
        <v/>
      </c>
      <c r="AL210">
        <f>IF(A210="","",'01_Master_Data'!T210)</f>
        <v/>
      </c>
      <c r="AM210">
        <f>IF(A210="","",'01_Master_Data'!S210)</f>
        <v/>
      </c>
      <c r="AN210">
        <f>IF(A210="","",'01_Master_Data'!I210)</f>
        <v/>
      </c>
      <c r="AO210">
        <f>IF(A210="","",'01_Master_Data'!M210)</f>
        <v/>
      </c>
      <c r="AP210">
        <f>IF(A210="","",IF(ISNUMBER(SEARCH("Icici",W210&amp;"")),1,0))</f>
        <v/>
      </c>
      <c r="AQ210">
        <f>IF(A210="","",IF(ISNUMBER(SEARCH("Propelld",W210&amp;"")),1,0))</f>
        <v/>
      </c>
      <c r="AR210">
        <f>IF(A210="","",IF(ISNUMBER(SEARCH("GyanDhan",W210&amp;"")),1,0))</f>
        <v/>
      </c>
      <c r="AS210">
        <f>IF(A210="","",IF(ISNUMBER(SEARCH("vidyalakshmi",LOWER(W210&amp;""))),1,0))</f>
        <v/>
      </c>
      <c r="AT210">
        <f>IF(A210="","",IF(ISNUMBER(SEARCH("other bank",LOWER(W210&amp;""))),1,0))</f>
        <v/>
      </c>
      <c r="AU210">
        <f>IF(A210="","",IF(ISNUMBER(SEARCH("sanctioned",LOWER(W210&amp;""))),1,0))</f>
        <v/>
      </c>
      <c r="AV210">
        <f>IF(A210="","",IF(ISNUMBER(SEARCH("Docs Pending",W210&amp;"")),1,0))</f>
        <v/>
      </c>
      <c r="AW210">
        <f>IF(A210="","",IF(OR(X210="Rejected",ISNUMBER(SEARCH("Not eligbile",W210&amp;""))),1,0))</f>
        <v/>
      </c>
    </row>
    <row r="211">
      <c r="A211">
        <f>IF('01_Master_Data'!B211="","",210)</f>
        <v/>
      </c>
      <c r="B211">
        <f>IF('01_Master_Data'!B211="","",IF('01_Master_Data'!C211&lt;&gt;"","MOB|"&amp;TEXT('01_Master_Data'!C211,"0"),IF('01_Master_Data'!D211&lt;&gt;"","PID|"&amp;TRIM('01_Master_Data'!D211&amp;""),"")))</f>
        <v/>
      </c>
      <c r="C211">
        <f>IF('01_Master_Data'!B211="","",'01_Master_Data'!B211)</f>
        <v/>
      </c>
      <c r="D211">
        <f>IF('01_Master_Data'!B211="","",'01_Master_Data'!C211)</f>
        <v/>
      </c>
      <c r="E211">
        <f>IF('01_Master_Data'!B211="","",'01_Master_Data'!D211)</f>
        <v/>
      </c>
      <c r="F211">
        <f>IF('01_Master_Data'!B211="","",'01_Master_Data'!E211)</f>
        <v/>
      </c>
      <c r="G211">
        <f>IF('01_Master_Data'!B211="","",IFERROR(VLOOKUP(TRIM('01_Master_Data'!E211&amp;""),'02_Configuration'!$A$40:$B$44,2,FALSE),UPPER(TRIM('01_Master_Data'!E211&amp;""))))</f>
        <v/>
      </c>
      <c r="H211">
        <f>IF('01_Master_Data'!B211="","",IF('01_Master_Data'!U211="","",TRIM('01_Master_Data'!U211&amp;"")))</f>
        <v/>
      </c>
      <c r="I211">
        <f>IF('01_Master_Data'!B211="","",TRIM('01_Master_Data'!F211&amp;""))</f>
        <v/>
      </c>
      <c r="J211">
        <f>IF('01_Master_Data'!B211="","",TRIM('01_Master_Data'!G211&amp;""))</f>
        <v/>
      </c>
      <c r="K211">
        <f>IF('01_Master_Data'!B211="","",'01_Master_Data'!H211)</f>
        <v/>
      </c>
      <c r="L211">
        <f>IF('01_Master_Data'!B211="","",IF(LOWER(TRIM('01_Master_Data'!V211&amp;""))="yes",1,0))</f>
        <v/>
      </c>
      <c r="M211">
        <f>IF('01_Master_Data'!B211="","",IF(LOWER(TRIM('01_Master_Data'!W211&amp;""))="yes",1,0))</f>
        <v/>
      </c>
      <c r="N211">
        <f>IF('01_Master_Data'!B211="","",IF(LOWER(TRIM('01_Master_Data'!X211&amp;""))="yes",1,0))</f>
        <v/>
      </c>
      <c r="O211">
        <f>IF('01_Master_Data'!B211="","",IF(LOWER(TRIM('01_Master_Data'!Y211&amp;""))="yes",1,0))</f>
        <v/>
      </c>
      <c r="P211">
        <f>IF('01_Master_Data'!B211="","",IF(LOWER(TRIM('01_Master_Data'!Z211&amp;""))="yes",1,0))</f>
        <v/>
      </c>
      <c r="Q211">
        <f>IF(A211="","",L211+M211+N211+O211+P211)</f>
        <v/>
      </c>
      <c r="R211">
        <f>IF(A211="","",IF(Q211&gt;1,"Yes","No"))</f>
        <v/>
      </c>
      <c r="S211">
        <f>IF(A211="","",TEXTJOIN(", ",TRUE,IF(L211=1,"ICICI",""),IF(M211=1,"Propelld",""),IF(N211=1,"Study4Buddy",""),IF(O211=1,"Poonawala Fincorp",""),IF(P211=1,"GyanDhan","")))</f>
        <v/>
      </c>
      <c r="T211">
        <f>IF(A211="","",IF(L211=1,"ICICI",IF(M211=1,"Propelld",IF(P211=1,"GyanDhan",IF(N211=1,"Study4Buddy",IF(O211=1,"Poonawala Fincorp",IF(ISNUMBER(SEARCH("GyanDhan",W211&amp;"")),"GyanDhan",IF(ISNUMBER(SEARCH("Icici",W211&amp;"")),"ICICI",IF(ISNUMBER(SEARCH("Propelld",W211&amp;"")),"Propelld",IF(ISNUMBER(SEARCH("vidyalakshmi",LOWER(W211&amp;"")),"PM Vidyalakshmi","—"))))))))))</f>
        <v/>
      </c>
      <c r="U211">
        <f>IF(A211="","",TRIM('01_Master_Data'!AA211&amp;""))</f>
        <v/>
      </c>
      <c r="V211">
        <f>IF(A211="","",TRIM('01_Master_Data'!AG211&amp;""))</f>
        <v/>
      </c>
      <c r="W211">
        <f>IF(A211="","",TRIM('01_Master_Data'!AH211&amp;""))</f>
        <v/>
      </c>
      <c r="X211">
        <f>IF(A211="","",IF(OR(LOWER(H211)="refund",LOWER(U211)="refund case"),"Refund",IF(OR(LOWER(H211)="dnp",LOWER(U211)="dnp"),"DNP",IF(OR(LOWER(V211)="disbursed",ISNUMBER(SEARCH("Disbursed",W211&amp;""))),"Disbursed",IF(OR(LOWER(V211)="loan proccessed/accepted",ISNUMBER(SEARCH("sanctioned",LOWER(W211&amp;"")))),"Sanctioned",IF(OR(LOWER(V211)="rejected",ISNUMBER(SEARCH("Not eligbile",W211&amp;"")),ISNUMBER(SEARCH("Not eligible",W211&amp;""))),"Rejected",IF(ISNUMBER(SEARCH("Docs Pending",W211&amp;"")),"Documents Pending",IF(AND(LOWER(H211)="yes",LOWER(V211)="ongoing"),"Processing",IF(AND(LOWER(H211)="yes",Q211&gt;0,OR(V211="",LOWER(V211)="not even started")),"Vendor Assigned",IF(AND(LOWER(H211)="yes",LOWER(V211)="not even started"),"Need Loan",IF(LOWER(H211)="yes","Loan Started",IF(LOWER(H211)="not sure","Interested",IF(OR(LOWER(H211)="no",LOWER(V211)="not required"),"Not Required","Unclassified")))))))))))))</f>
        <v/>
      </c>
      <c r="Y211">
        <f>IF(A211="","",IF(OR(X211="Sanctioned",X211="Disbursed",X211="Approved"),"Approved",IF(X211="Rejected","Rejected",IF(OR(X211="Processing",X211="Documents Pending",X211="Vendor Assigned"),"In Progress",IF(X211="Need Loan","Pending Start","—"))))</f>
        <v/>
      </c>
      <c r="Z211">
        <f>IF(A211="","",IF(X211="Disbursed","Disbursed",IF(X211="Sanctioned","Sanctioned - Awaiting Disbursement","Not Disbursed")))</f>
        <v/>
      </c>
      <c r="AA211">
        <f>IF(A211="","",IF(LOWER(TRIM('01_Master_Data'!AI211&amp;""))="yes","Need FLDG",IF(LOWER(TRIM('01_Master_Data'!AK211&amp;""))="yes","Need Vidyalakshmi",IF(LOWER(TRIM('01_Master_Data'!AJ211&amp;""))="yes","Need Review",IF(LOWER(J211)="critical","Critical",IF(LOWER(U211)="risk","Risk Case",IF(X211="Refund","Refund","Normal")))))))</f>
        <v/>
      </c>
      <c r="AB211">
        <f>IF(A211="","",IF(OR(LOWER(J211)="critical",LOWER(TRIM('01_Master_Data'!AI211&amp;""))="yes",LOWER(TRIM('01_Master_Data'!AK211&amp;""))="yes",LOWER(U211)="risk"),"Yes","No"))</f>
        <v/>
      </c>
      <c r="AC211">
        <f>IF(A211="","",IF(LOWER(TRIM('01_Master_Data'!AI211&amp;""))="yes","Yes","No"))</f>
        <v/>
      </c>
      <c r="AD211">
        <f>IF(A211="","",IF(LOWER(TRIM('01_Master_Data'!AK211&amp;""))="yes","Yes","No"))</f>
        <v/>
      </c>
      <c r="AE211">
        <f>IF(A211="","",IF(LOWER(TRIM('01_Master_Data'!AJ211&amp;""))="yes","Yes","No"))</f>
        <v/>
      </c>
      <c r="AF211">
        <f>IF(A211="","",TRIM('01_Master_Data'!AL211&amp;""))</f>
        <v/>
      </c>
      <c r="AG211">
        <f>IF(A211="","",IF(AF211="","—",IF(ISNUMBER(SEARCH("DNP",AF211)),"Unreachable / DNP",IF(ISNUMBER(SEARCH("interest",LOWER(AF211))),"High Interest / Terms",IF(OR(ISNUMBER(SEARCH("eligib",LOWER(AF211))),ISNUMBER(SEARCH("income",LOWER(AF211)))),"Eligibility / Income",IF(OR(ISNUMBER(SEARCH("start",LOWER(AF211))),ISNUMBER(SEARCH("Newer",AF211)),ISNUMBER(SEARCH("Will start",AF211))),"Process Yet to Start",IF(ISNUMBER(SEARCH("sure",LOWER(AF211))),"Undecided",IF(OR(ISNUMBER(SEARCH("reject",LOWER(AF211))),ISNUMBER(SEARCH("SBI",AF211))),"Rejected Elsewhere",IF(ISNUMBER(SEARCH("call",LOWER(AF211))),"Bank Communication",IF(OR(ISNUMBER(SEARCH("father",LOWER(AF211))),ISNUMBER(SEARCH("sister",LOWER(AF211)))),"Family / Dependency","Other"))))))))))</f>
        <v/>
      </c>
      <c r="AH211">
        <f>IF(A211="","",'01_Master_Data'!AC211)</f>
        <v/>
      </c>
      <c r="AI211">
        <f>IF(A211="","",IF(OR(AH211="",NOT(ISNUMBER(AH211))),"",MAX(0,'02_Configuration'!$B$82-AH211)))</f>
        <v/>
      </c>
      <c r="AJ211">
        <f>IF(A211="","",IF(AI211="","Unknown",IF(AI211&lt;=3,"0–3 Days",IF(AI211&lt;=7,"4–7 Days",IF(AI211&lt;=15,"8–15 Days",IF(AI211&lt;=30,"16–30 Days","30+ Days"))))))</f>
        <v/>
      </c>
      <c r="AK211">
        <f>IF(A211="","",IF(LOWER(H211)="yes","Yes","No"))</f>
        <v/>
      </c>
      <c r="AL211">
        <f>IF(A211="","",'01_Master_Data'!T211)</f>
        <v/>
      </c>
      <c r="AM211">
        <f>IF(A211="","",'01_Master_Data'!S211)</f>
        <v/>
      </c>
      <c r="AN211">
        <f>IF(A211="","",'01_Master_Data'!I211)</f>
        <v/>
      </c>
      <c r="AO211">
        <f>IF(A211="","",'01_Master_Data'!M211)</f>
        <v/>
      </c>
      <c r="AP211">
        <f>IF(A211="","",IF(ISNUMBER(SEARCH("Icici",W211&amp;"")),1,0))</f>
        <v/>
      </c>
      <c r="AQ211">
        <f>IF(A211="","",IF(ISNUMBER(SEARCH("Propelld",W211&amp;"")),1,0))</f>
        <v/>
      </c>
      <c r="AR211">
        <f>IF(A211="","",IF(ISNUMBER(SEARCH("GyanDhan",W211&amp;"")),1,0))</f>
        <v/>
      </c>
      <c r="AS211">
        <f>IF(A211="","",IF(ISNUMBER(SEARCH("vidyalakshmi",LOWER(W211&amp;""))),1,0))</f>
        <v/>
      </c>
      <c r="AT211">
        <f>IF(A211="","",IF(ISNUMBER(SEARCH("other bank",LOWER(W211&amp;""))),1,0))</f>
        <v/>
      </c>
      <c r="AU211">
        <f>IF(A211="","",IF(ISNUMBER(SEARCH("sanctioned",LOWER(W211&amp;""))),1,0))</f>
        <v/>
      </c>
      <c r="AV211">
        <f>IF(A211="","",IF(ISNUMBER(SEARCH("Docs Pending",W211&amp;"")),1,0))</f>
        <v/>
      </c>
      <c r="AW211">
        <f>IF(A211="","",IF(OR(X211="Rejected",ISNUMBER(SEARCH("Not eligbile",W211&amp;""))),1,0))</f>
        <v/>
      </c>
    </row>
    <row r="212">
      <c r="A212">
        <f>IF('01_Master_Data'!B212="","",211)</f>
        <v/>
      </c>
      <c r="B212">
        <f>IF('01_Master_Data'!B212="","",IF('01_Master_Data'!C212&lt;&gt;"","MOB|"&amp;TEXT('01_Master_Data'!C212,"0"),IF('01_Master_Data'!D212&lt;&gt;"","PID|"&amp;TRIM('01_Master_Data'!D212&amp;""),"")))</f>
        <v/>
      </c>
      <c r="C212">
        <f>IF('01_Master_Data'!B212="","",'01_Master_Data'!B212)</f>
        <v/>
      </c>
      <c r="D212">
        <f>IF('01_Master_Data'!B212="","",'01_Master_Data'!C212)</f>
        <v/>
      </c>
      <c r="E212">
        <f>IF('01_Master_Data'!B212="","",'01_Master_Data'!D212)</f>
        <v/>
      </c>
      <c r="F212">
        <f>IF('01_Master_Data'!B212="","",'01_Master_Data'!E212)</f>
        <v/>
      </c>
      <c r="G212">
        <f>IF('01_Master_Data'!B212="","",IFERROR(VLOOKUP(TRIM('01_Master_Data'!E212&amp;""),'02_Configuration'!$A$40:$B$44,2,FALSE),UPPER(TRIM('01_Master_Data'!E212&amp;""))))</f>
        <v/>
      </c>
      <c r="H212">
        <f>IF('01_Master_Data'!B212="","",IF('01_Master_Data'!U212="","",TRIM('01_Master_Data'!U212&amp;"")))</f>
        <v/>
      </c>
      <c r="I212">
        <f>IF('01_Master_Data'!B212="","",TRIM('01_Master_Data'!F212&amp;""))</f>
        <v/>
      </c>
      <c r="J212">
        <f>IF('01_Master_Data'!B212="","",TRIM('01_Master_Data'!G212&amp;""))</f>
        <v/>
      </c>
      <c r="K212">
        <f>IF('01_Master_Data'!B212="","",'01_Master_Data'!H212)</f>
        <v/>
      </c>
      <c r="L212">
        <f>IF('01_Master_Data'!B212="","",IF(LOWER(TRIM('01_Master_Data'!V212&amp;""))="yes",1,0))</f>
        <v/>
      </c>
      <c r="M212">
        <f>IF('01_Master_Data'!B212="","",IF(LOWER(TRIM('01_Master_Data'!W212&amp;""))="yes",1,0))</f>
        <v/>
      </c>
      <c r="N212">
        <f>IF('01_Master_Data'!B212="","",IF(LOWER(TRIM('01_Master_Data'!X212&amp;""))="yes",1,0))</f>
        <v/>
      </c>
      <c r="O212">
        <f>IF('01_Master_Data'!B212="","",IF(LOWER(TRIM('01_Master_Data'!Y212&amp;""))="yes",1,0))</f>
        <v/>
      </c>
      <c r="P212">
        <f>IF('01_Master_Data'!B212="","",IF(LOWER(TRIM('01_Master_Data'!Z212&amp;""))="yes",1,0))</f>
        <v/>
      </c>
      <c r="Q212">
        <f>IF(A212="","",L212+M212+N212+O212+P212)</f>
        <v/>
      </c>
      <c r="R212">
        <f>IF(A212="","",IF(Q212&gt;1,"Yes","No"))</f>
        <v/>
      </c>
      <c r="S212">
        <f>IF(A212="","",TEXTJOIN(", ",TRUE,IF(L212=1,"ICICI",""),IF(M212=1,"Propelld",""),IF(N212=1,"Study4Buddy",""),IF(O212=1,"Poonawala Fincorp",""),IF(P212=1,"GyanDhan","")))</f>
        <v/>
      </c>
      <c r="T212">
        <f>IF(A212="","",IF(L212=1,"ICICI",IF(M212=1,"Propelld",IF(P212=1,"GyanDhan",IF(N212=1,"Study4Buddy",IF(O212=1,"Poonawala Fincorp",IF(ISNUMBER(SEARCH("GyanDhan",W212&amp;"")),"GyanDhan",IF(ISNUMBER(SEARCH("Icici",W212&amp;"")),"ICICI",IF(ISNUMBER(SEARCH("Propelld",W212&amp;"")),"Propelld",IF(ISNUMBER(SEARCH("vidyalakshmi",LOWER(W212&amp;"")),"PM Vidyalakshmi","—"))))))))))</f>
        <v/>
      </c>
      <c r="U212">
        <f>IF(A212="","",TRIM('01_Master_Data'!AA212&amp;""))</f>
        <v/>
      </c>
      <c r="V212">
        <f>IF(A212="","",TRIM('01_Master_Data'!AG212&amp;""))</f>
        <v/>
      </c>
      <c r="W212">
        <f>IF(A212="","",TRIM('01_Master_Data'!AH212&amp;""))</f>
        <v/>
      </c>
      <c r="X212">
        <f>IF(A212="","",IF(OR(LOWER(H212)="refund",LOWER(U212)="refund case"),"Refund",IF(OR(LOWER(H212)="dnp",LOWER(U212)="dnp"),"DNP",IF(OR(LOWER(V212)="disbursed",ISNUMBER(SEARCH("Disbursed",W212&amp;""))),"Disbursed",IF(OR(LOWER(V212)="loan proccessed/accepted",ISNUMBER(SEARCH("sanctioned",LOWER(W212&amp;"")))),"Sanctioned",IF(OR(LOWER(V212)="rejected",ISNUMBER(SEARCH("Not eligbile",W212&amp;"")),ISNUMBER(SEARCH("Not eligible",W212&amp;""))),"Rejected",IF(ISNUMBER(SEARCH("Docs Pending",W212&amp;"")),"Documents Pending",IF(AND(LOWER(H212)="yes",LOWER(V212)="ongoing"),"Processing",IF(AND(LOWER(H212)="yes",Q212&gt;0,OR(V212="",LOWER(V212)="not even started")),"Vendor Assigned",IF(AND(LOWER(H212)="yes",LOWER(V212)="not even started"),"Need Loan",IF(LOWER(H212)="yes","Loan Started",IF(LOWER(H212)="not sure","Interested",IF(OR(LOWER(H212)="no",LOWER(V212)="not required"),"Not Required","Unclassified")))))))))))))</f>
        <v/>
      </c>
      <c r="Y212">
        <f>IF(A212="","",IF(OR(X212="Sanctioned",X212="Disbursed",X212="Approved"),"Approved",IF(X212="Rejected","Rejected",IF(OR(X212="Processing",X212="Documents Pending",X212="Vendor Assigned"),"In Progress",IF(X212="Need Loan","Pending Start","—"))))</f>
        <v/>
      </c>
      <c r="Z212">
        <f>IF(A212="","",IF(X212="Disbursed","Disbursed",IF(X212="Sanctioned","Sanctioned - Awaiting Disbursement","Not Disbursed")))</f>
        <v/>
      </c>
      <c r="AA212">
        <f>IF(A212="","",IF(LOWER(TRIM('01_Master_Data'!AI212&amp;""))="yes","Need FLDG",IF(LOWER(TRIM('01_Master_Data'!AK212&amp;""))="yes","Need Vidyalakshmi",IF(LOWER(TRIM('01_Master_Data'!AJ212&amp;""))="yes","Need Review",IF(LOWER(J212)="critical","Critical",IF(LOWER(U212)="risk","Risk Case",IF(X212="Refund","Refund","Normal")))))))</f>
        <v/>
      </c>
      <c r="AB212">
        <f>IF(A212="","",IF(OR(LOWER(J212)="critical",LOWER(TRIM('01_Master_Data'!AI212&amp;""))="yes",LOWER(TRIM('01_Master_Data'!AK212&amp;""))="yes",LOWER(U212)="risk"),"Yes","No"))</f>
        <v/>
      </c>
      <c r="AC212">
        <f>IF(A212="","",IF(LOWER(TRIM('01_Master_Data'!AI212&amp;""))="yes","Yes","No"))</f>
        <v/>
      </c>
      <c r="AD212">
        <f>IF(A212="","",IF(LOWER(TRIM('01_Master_Data'!AK212&amp;""))="yes","Yes","No"))</f>
        <v/>
      </c>
      <c r="AE212">
        <f>IF(A212="","",IF(LOWER(TRIM('01_Master_Data'!AJ212&amp;""))="yes","Yes","No"))</f>
        <v/>
      </c>
      <c r="AF212">
        <f>IF(A212="","",TRIM('01_Master_Data'!AL212&amp;""))</f>
        <v/>
      </c>
      <c r="AG212">
        <f>IF(A212="","",IF(AF212="","—",IF(ISNUMBER(SEARCH("DNP",AF212)),"Unreachable / DNP",IF(ISNUMBER(SEARCH("interest",LOWER(AF212))),"High Interest / Terms",IF(OR(ISNUMBER(SEARCH("eligib",LOWER(AF212))),ISNUMBER(SEARCH("income",LOWER(AF212)))),"Eligibility / Income",IF(OR(ISNUMBER(SEARCH("start",LOWER(AF212))),ISNUMBER(SEARCH("Newer",AF212)),ISNUMBER(SEARCH("Will start",AF212))),"Process Yet to Start",IF(ISNUMBER(SEARCH("sure",LOWER(AF212))),"Undecided",IF(OR(ISNUMBER(SEARCH("reject",LOWER(AF212))),ISNUMBER(SEARCH("SBI",AF212))),"Rejected Elsewhere",IF(ISNUMBER(SEARCH("call",LOWER(AF212))),"Bank Communication",IF(OR(ISNUMBER(SEARCH("father",LOWER(AF212))),ISNUMBER(SEARCH("sister",LOWER(AF212)))),"Family / Dependency","Other"))))))))))</f>
        <v/>
      </c>
      <c r="AH212">
        <f>IF(A212="","",'01_Master_Data'!AC212)</f>
        <v/>
      </c>
      <c r="AI212">
        <f>IF(A212="","",IF(OR(AH212="",NOT(ISNUMBER(AH212))),"",MAX(0,'02_Configuration'!$B$82-AH212)))</f>
        <v/>
      </c>
      <c r="AJ212">
        <f>IF(A212="","",IF(AI212="","Unknown",IF(AI212&lt;=3,"0–3 Days",IF(AI212&lt;=7,"4–7 Days",IF(AI212&lt;=15,"8–15 Days",IF(AI212&lt;=30,"16–30 Days","30+ Days"))))))</f>
        <v/>
      </c>
      <c r="AK212">
        <f>IF(A212="","",IF(LOWER(H212)="yes","Yes","No"))</f>
        <v/>
      </c>
      <c r="AL212">
        <f>IF(A212="","",'01_Master_Data'!T212)</f>
        <v/>
      </c>
      <c r="AM212">
        <f>IF(A212="","",'01_Master_Data'!S212)</f>
        <v/>
      </c>
      <c r="AN212">
        <f>IF(A212="","",'01_Master_Data'!I212)</f>
        <v/>
      </c>
      <c r="AO212">
        <f>IF(A212="","",'01_Master_Data'!M212)</f>
        <v/>
      </c>
      <c r="AP212">
        <f>IF(A212="","",IF(ISNUMBER(SEARCH("Icici",W212&amp;"")),1,0))</f>
        <v/>
      </c>
      <c r="AQ212">
        <f>IF(A212="","",IF(ISNUMBER(SEARCH("Propelld",W212&amp;"")),1,0))</f>
        <v/>
      </c>
      <c r="AR212">
        <f>IF(A212="","",IF(ISNUMBER(SEARCH("GyanDhan",W212&amp;"")),1,0))</f>
        <v/>
      </c>
      <c r="AS212">
        <f>IF(A212="","",IF(ISNUMBER(SEARCH("vidyalakshmi",LOWER(W212&amp;""))),1,0))</f>
        <v/>
      </c>
      <c r="AT212">
        <f>IF(A212="","",IF(ISNUMBER(SEARCH("other bank",LOWER(W212&amp;""))),1,0))</f>
        <v/>
      </c>
      <c r="AU212">
        <f>IF(A212="","",IF(ISNUMBER(SEARCH("sanctioned",LOWER(W212&amp;""))),1,0))</f>
        <v/>
      </c>
      <c r="AV212">
        <f>IF(A212="","",IF(ISNUMBER(SEARCH("Docs Pending",W212&amp;"")),1,0))</f>
        <v/>
      </c>
      <c r="AW212">
        <f>IF(A212="","",IF(OR(X212="Rejected",ISNUMBER(SEARCH("Not eligbile",W212&amp;""))),1,0))</f>
        <v/>
      </c>
    </row>
    <row r="213">
      <c r="A213">
        <f>IF('01_Master_Data'!B213="","",212)</f>
        <v/>
      </c>
      <c r="B213">
        <f>IF('01_Master_Data'!B213="","",IF('01_Master_Data'!C213&lt;&gt;"","MOB|"&amp;TEXT('01_Master_Data'!C213,"0"),IF('01_Master_Data'!D213&lt;&gt;"","PID|"&amp;TRIM('01_Master_Data'!D213&amp;""),"")))</f>
        <v/>
      </c>
      <c r="C213">
        <f>IF('01_Master_Data'!B213="","",'01_Master_Data'!B213)</f>
        <v/>
      </c>
      <c r="D213">
        <f>IF('01_Master_Data'!B213="","",'01_Master_Data'!C213)</f>
        <v/>
      </c>
      <c r="E213">
        <f>IF('01_Master_Data'!B213="","",'01_Master_Data'!D213)</f>
        <v/>
      </c>
      <c r="F213">
        <f>IF('01_Master_Data'!B213="","",'01_Master_Data'!E213)</f>
        <v/>
      </c>
      <c r="G213">
        <f>IF('01_Master_Data'!B213="","",IFERROR(VLOOKUP(TRIM('01_Master_Data'!E213&amp;""),'02_Configuration'!$A$40:$B$44,2,FALSE),UPPER(TRIM('01_Master_Data'!E213&amp;""))))</f>
        <v/>
      </c>
      <c r="H213">
        <f>IF('01_Master_Data'!B213="","",IF('01_Master_Data'!U213="","",TRIM('01_Master_Data'!U213&amp;"")))</f>
        <v/>
      </c>
      <c r="I213">
        <f>IF('01_Master_Data'!B213="","",TRIM('01_Master_Data'!F213&amp;""))</f>
        <v/>
      </c>
      <c r="J213">
        <f>IF('01_Master_Data'!B213="","",TRIM('01_Master_Data'!G213&amp;""))</f>
        <v/>
      </c>
      <c r="K213">
        <f>IF('01_Master_Data'!B213="","",'01_Master_Data'!H213)</f>
        <v/>
      </c>
      <c r="L213">
        <f>IF('01_Master_Data'!B213="","",IF(LOWER(TRIM('01_Master_Data'!V213&amp;""))="yes",1,0))</f>
        <v/>
      </c>
      <c r="M213">
        <f>IF('01_Master_Data'!B213="","",IF(LOWER(TRIM('01_Master_Data'!W213&amp;""))="yes",1,0))</f>
        <v/>
      </c>
      <c r="N213">
        <f>IF('01_Master_Data'!B213="","",IF(LOWER(TRIM('01_Master_Data'!X213&amp;""))="yes",1,0))</f>
        <v/>
      </c>
      <c r="O213">
        <f>IF('01_Master_Data'!B213="","",IF(LOWER(TRIM('01_Master_Data'!Y213&amp;""))="yes",1,0))</f>
        <v/>
      </c>
      <c r="P213">
        <f>IF('01_Master_Data'!B213="","",IF(LOWER(TRIM('01_Master_Data'!Z213&amp;""))="yes",1,0))</f>
        <v/>
      </c>
      <c r="Q213">
        <f>IF(A213="","",L213+M213+N213+O213+P213)</f>
        <v/>
      </c>
      <c r="R213">
        <f>IF(A213="","",IF(Q213&gt;1,"Yes","No"))</f>
        <v/>
      </c>
      <c r="S213">
        <f>IF(A213="","",TEXTJOIN(", ",TRUE,IF(L213=1,"ICICI",""),IF(M213=1,"Propelld",""),IF(N213=1,"Study4Buddy",""),IF(O213=1,"Poonawala Fincorp",""),IF(P213=1,"GyanDhan","")))</f>
        <v/>
      </c>
      <c r="T213">
        <f>IF(A213="","",IF(L213=1,"ICICI",IF(M213=1,"Propelld",IF(P213=1,"GyanDhan",IF(N213=1,"Study4Buddy",IF(O213=1,"Poonawala Fincorp",IF(ISNUMBER(SEARCH("GyanDhan",W213&amp;"")),"GyanDhan",IF(ISNUMBER(SEARCH("Icici",W213&amp;"")),"ICICI",IF(ISNUMBER(SEARCH("Propelld",W213&amp;"")),"Propelld",IF(ISNUMBER(SEARCH("vidyalakshmi",LOWER(W213&amp;"")),"PM Vidyalakshmi","—"))))))))))</f>
        <v/>
      </c>
      <c r="U213">
        <f>IF(A213="","",TRIM('01_Master_Data'!AA213&amp;""))</f>
        <v/>
      </c>
      <c r="V213">
        <f>IF(A213="","",TRIM('01_Master_Data'!AG213&amp;""))</f>
        <v/>
      </c>
      <c r="W213">
        <f>IF(A213="","",TRIM('01_Master_Data'!AH213&amp;""))</f>
        <v/>
      </c>
      <c r="X213">
        <f>IF(A213="","",IF(OR(LOWER(H213)="refund",LOWER(U213)="refund case"),"Refund",IF(OR(LOWER(H213)="dnp",LOWER(U213)="dnp"),"DNP",IF(OR(LOWER(V213)="disbursed",ISNUMBER(SEARCH("Disbursed",W213&amp;""))),"Disbursed",IF(OR(LOWER(V213)="loan proccessed/accepted",ISNUMBER(SEARCH("sanctioned",LOWER(W213&amp;"")))),"Sanctioned",IF(OR(LOWER(V213)="rejected",ISNUMBER(SEARCH("Not eligbile",W213&amp;"")),ISNUMBER(SEARCH("Not eligible",W213&amp;""))),"Rejected",IF(ISNUMBER(SEARCH("Docs Pending",W213&amp;"")),"Documents Pending",IF(AND(LOWER(H213)="yes",LOWER(V213)="ongoing"),"Processing",IF(AND(LOWER(H213)="yes",Q213&gt;0,OR(V213="",LOWER(V213)="not even started")),"Vendor Assigned",IF(AND(LOWER(H213)="yes",LOWER(V213)="not even started"),"Need Loan",IF(LOWER(H213)="yes","Loan Started",IF(LOWER(H213)="not sure","Interested",IF(OR(LOWER(H213)="no",LOWER(V213)="not required"),"Not Required","Unclassified")))))))))))))</f>
        <v/>
      </c>
      <c r="Y213">
        <f>IF(A213="","",IF(OR(X213="Sanctioned",X213="Disbursed",X213="Approved"),"Approved",IF(X213="Rejected","Rejected",IF(OR(X213="Processing",X213="Documents Pending",X213="Vendor Assigned"),"In Progress",IF(X213="Need Loan","Pending Start","—"))))</f>
        <v/>
      </c>
      <c r="Z213">
        <f>IF(A213="","",IF(X213="Disbursed","Disbursed",IF(X213="Sanctioned","Sanctioned - Awaiting Disbursement","Not Disbursed")))</f>
        <v/>
      </c>
      <c r="AA213">
        <f>IF(A213="","",IF(LOWER(TRIM('01_Master_Data'!AI213&amp;""))="yes","Need FLDG",IF(LOWER(TRIM('01_Master_Data'!AK213&amp;""))="yes","Need Vidyalakshmi",IF(LOWER(TRIM('01_Master_Data'!AJ213&amp;""))="yes","Need Review",IF(LOWER(J213)="critical","Critical",IF(LOWER(U213)="risk","Risk Case",IF(X213="Refund","Refund","Normal")))))))</f>
        <v/>
      </c>
      <c r="AB213">
        <f>IF(A213="","",IF(OR(LOWER(J213)="critical",LOWER(TRIM('01_Master_Data'!AI213&amp;""))="yes",LOWER(TRIM('01_Master_Data'!AK213&amp;""))="yes",LOWER(U213)="risk"),"Yes","No"))</f>
        <v/>
      </c>
      <c r="AC213">
        <f>IF(A213="","",IF(LOWER(TRIM('01_Master_Data'!AI213&amp;""))="yes","Yes","No"))</f>
        <v/>
      </c>
      <c r="AD213">
        <f>IF(A213="","",IF(LOWER(TRIM('01_Master_Data'!AK213&amp;""))="yes","Yes","No"))</f>
        <v/>
      </c>
      <c r="AE213">
        <f>IF(A213="","",IF(LOWER(TRIM('01_Master_Data'!AJ213&amp;""))="yes","Yes","No"))</f>
        <v/>
      </c>
      <c r="AF213">
        <f>IF(A213="","",TRIM('01_Master_Data'!AL213&amp;""))</f>
        <v/>
      </c>
      <c r="AG213">
        <f>IF(A213="","",IF(AF213="","—",IF(ISNUMBER(SEARCH("DNP",AF213)),"Unreachable / DNP",IF(ISNUMBER(SEARCH("interest",LOWER(AF213))),"High Interest / Terms",IF(OR(ISNUMBER(SEARCH("eligib",LOWER(AF213))),ISNUMBER(SEARCH("income",LOWER(AF213)))),"Eligibility / Income",IF(OR(ISNUMBER(SEARCH("start",LOWER(AF213))),ISNUMBER(SEARCH("Newer",AF213)),ISNUMBER(SEARCH("Will start",AF213))),"Process Yet to Start",IF(ISNUMBER(SEARCH("sure",LOWER(AF213))),"Undecided",IF(OR(ISNUMBER(SEARCH("reject",LOWER(AF213))),ISNUMBER(SEARCH("SBI",AF213))),"Rejected Elsewhere",IF(ISNUMBER(SEARCH("call",LOWER(AF213))),"Bank Communication",IF(OR(ISNUMBER(SEARCH("father",LOWER(AF213))),ISNUMBER(SEARCH("sister",LOWER(AF213)))),"Family / Dependency","Other"))))))))))</f>
        <v/>
      </c>
      <c r="AH213">
        <f>IF(A213="","",'01_Master_Data'!AC213)</f>
        <v/>
      </c>
      <c r="AI213">
        <f>IF(A213="","",IF(OR(AH213="",NOT(ISNUMBER(AH213))),"",MAX(0,'02_Configuration'!$B$82-AH213)))</f>
        <v/>
      </c>
      <c r="AJ213">
        <f>IF(A213="","",IF(AI213="","Unknown",IF(AI213&lt;=3,"0–3 Days",IF(AI213&lt;=7,"4–7 Days",IF(AI213&lt;=15,"8–15 Days",IF(AI213&lt;=30,"16–30 Days","30+ Days"))))))</f>
        <v/>
      </c>
      <c r="AK213">
        <f>IF(A213="","",IF(LOWER(H213)="yes","Yes","No"))</f>
        <v/>
      </c>
      <c r="AL213">
        <f>IF(A213="","",'01_Master_Data'!T213)</f>
        <v/>
      </c>
      <c r="AM213">
        <f>IF(A213="","",'01_Master_Data'!S213)</f>
        <v/>
      </c>
      <c r="AN213">
        <f>IF(A213="","",'01_Master_Data'!I213)</f>
        <v/>
      </c>
      <c r="AO213">
        <f>IF(A213="","",'01_Master_Data'!M213)</f>
        <v/>
      </c>
      <c r="AP213">
        <f>IF(A213="","",IF(ISNUMBER(SEARCH("Icici",W213&amp;"")),1,0))</f>
        <v/>
      </c>
      <c r="AQ213">
        <f>IF(A213="","",IF(ISNUMBER(SEARCH("Propelld",W213&amp;"")),1,0))</f>
        <v/>
      </c>
      <c r="AR213">
        <f>IF(A213="","",IF(ISNUMBER(SEARCH("GyanDhan",W213&amp;"")),1,0))</f>
        <v/>
      </c>
      <c r="AS213">
        <f>IF(A213="","",IF(ISNUMBER(SEARCH("vidyalakshmi",LOWER(W213&amp;""))),1,0))</f>
        <v/>
      </c>
      <c r="AT213">
        <f>IF(A213="","",IF(ISNUMBER(SEARCH("other bank",LOWER(W213&amp;""))),1,0))</f>
        <v/>
      </c>
      <c r="AU213">
        <f>IF(A213="","",IF(ISNUMBER(SEARCH("sanctioned",LOWER(W213&amp;""))),1,0))</f>
        <v/>
      </c>
      <c r="AV213">
        <f>IF(A213="","",IF(ISNUMBER(SEARCH("Docs Pending",W213&amp;"")),1,0))</f>
        <v/>
      </c>
      <c r="AW213">
        <f>IF(A213="","",IF(OR(X213="Rejected",ISNUMBER(SEARCH("Not eligbile",W213&amp;""))),1,0))</f>
        <v/>
      </c>
    </row>
    <row r="214">
      <c r="A214">
        <f>IF('01_Master_Data'!B214="","",213)</f>
        <v/>
      </c>
      <c r="B214">
        <f>IF('01_Master_Data'!B214="","",IF('01_Master_Data'!C214&lt;&gt;"","MOB|"&amp;TEXT('01_Master_Data'!C214,"0"),IF('01_Master_Data'!D214&lt;&gt;"","PID|"&amp;TRIM('01_Master_Data'!D214&amp;""),"")))</f>
        <v/>
      </c>
      <c r="C214">
        <f>IF('01_Master_Data'!B214="","",'01_Master_Data'!B214)</f>
        <v/>
      </c>
      <c r="D214">
        <f>IF('01_Master_Data'!B214="","",'01_Master_Data'!C214)</f>
        <v/>
      </c>
      <c r="E214">
        <f>IF('01_Master_Data'!B214="","",'01_Master_Data'!D214)</f>
        <v/>
      </c>
      <c r="F214">
        <f>IF('01_Master_Data'!B214="","",'01_Master_Data'!E214)</f>
        <v/>
      </c>
      <c r="G214">
        <f>IF('01_Master_Data'!B214="","",IFERROR(VLOOKUP(TRIM('01_Master_Data'!E214&amp;""),'02_Configuration'!$A$40:$B$44,2,FALSE),UPPER(TRIM('01_Master_Data'!E214&amp;""))))</f>
        <v/>
      </c>
      <c r="H214">
        <f>IF('01_Master_Data'!B214="","",IF('01_Master_Data'!U214="","",TRIM('01_Master_Data'!U214&amp;"")))</f>
        <v/>
      </c>
      <c r="I214">
        <f>IF('01_Master_Data'!B214="","",TRIM('01_Master_Data'!F214&amp;""))</f>
        <v/>
      </c>
      <c r="J214">
        <f>IF('01_Master_Data'!B214="","",TRIM('01_Master_Data'!G214&amp;""))</f>
        <v/>
      </c>
      <c r="K214">
        <f>IF('01_Master_Data'!B214="","",'01_Master_Data'!H214)</f>
        <v/>
      </c>
      <c r="L214">
        <f>IF('01_Master_Data'!B214="","",IF(LOWER(TRIM('01_Master_Data'!V214&amp;""))="yes",1,0))</f>
        <v/>
      </c>
      <c r="M214">
        <f>IF('01_Master_Data'!B214="","",IF(LOWER(TRIM('01_Master_Data'!W214&amp;""))="yes",1,0))</f>
        <v/>
      </c>
      <c r="N214">
        <f>IF('01_Master_Data'!B214="","",IF(LOWER(TRIM('01_Master_Data'!X214&amp;""))="yes",1,0))</f>
        <v/>
      </c>
      <c r="O214">
        <f>IF('01_Master_Data'!B214="","",IF(LOWER(TRIM('01_Master_Data'!Y214&amp;""))="yes",1,0))</f>
        <v/>
      </c>
      <c r="P214">
        <f>IF('01_Master_Data'!B214="","",IF(LOWER(TRIM('01_Master_Data'!Z214&amp;""))="yes",1,0))</f>
        <v/>
      </c>
      <c r="Q214">
        <f>IF(A214="","",L214+M214+N214+O214+P214)</f>
        <v/>
      </c>
      <c r="R214">
        <f>IF(A214="","",IF(Q214&gt;1,"Yes","No"))</f>
        <v/>
      </c>
      <c r="S214">
        <f>IF(A214="","",TEXTJOIN(", ",TRUE,IF(L214=1,"ICICI",""),IF(M214=1,"Propelld",""),IF(N214=1,"Study4Buddy",""),IF(O214=1,"Poonawala Fincorp",""),IF(P214=1,"GyanDhan","")))</f>
        <v/>
      </c>
      <c r="T214">
        <f>IF(A214="","",IF(L214=1,"ICICI",IF(M214=1,"Propelld",IF(P214=1,"GyanDhan",IF(N214=1,"Study4Buddy",IF(O214=1,"Poonawala Fincorp",IF(ISNUMBER(SEARCH("GyanDhan",W214&amp;"")),"GyanDhan",IF(ISNUMBER(SEARCH("Icici",W214&amp;"")),"ICICI",IF(ISNUMBER(SEARCH("Propelld",W214&amp;"")),"Propelld",IF(ISNUMBER(SEARCH("vidyalakshmi",LOWER(W214&amp;"")),"PM Vidyalakshmi","—"))))))))))</f>
        <v/>
      </c>
      <c r="U214">
        <f>IF(A214="","",TRIM('01_Master_Data'!AA214&amp;""))</f>
        <v/>
      </c>
      <c r="V214">
        <f>IF(A214="","",TRIM('01_Master_Data'!AG214&amp;""))</f>
        <v/>
      </c>
      <c r="W214">
        <f>IF(A214="","",TRIM('01_Master_Data'!AH214&amp;""))</f>
        <v/>
      </c>
      <c r="X214">
        <f>IF(A214="","",IF(OR(LOWER(H214)="refund",LOWER(U214)="refund case"),"Refund",IF(OR(LOWER(H214)="dnp",LOWER(U214)="dnp"),"DNP",IF(OR(LOWER(V214)="disbursed",ISNUMBER(SEARCH("Disbursed",W214&amp;""))),"Disbursed",IF(OR(LOWER(V214)="loan proccessed/accepted",ISNUMBER(SEARCH("sanctioned",LOWER(W214&amp;"")))),"Sanctioned",IF(OR(LOWER(V214)="rejected",ISNUMBER(SEARCH("Not eligbile",W214&amp;"")),ISNUMBER(SEARCH("Not eligible",W214&amp;""))),"Rejected",IF(ISNUMBER(SEARCH("Docs Pending",W214&amp;"")),"Documents Pending",IF(AND(LOWER(H214)="yes",LOWER(V214)="ongoing"),"Processing",IF(AND(LOWER(H214)="yes",Q214&gt;0,OR(V214="",LOWER(V214)="not even started")),"Vendor Assigned",IF(AND(LOWER(H214)="yes",LOWER(V214)="not even started"),"Need Loan",IF(LOWER(H214)="yes","Loan Started",IF(LOWER(H214)="not sure","Interested",IF(OR(LOWER(H214)="no",LOWER(V214)="not required"),"Not Required","Unclassified")))))))))))))</f>
        <v/>
      </c>
      <c r="Y214">
        <f>IF(A214="","",IF(OR(X214="Sanctioned",X214="Disbursed",X214="Approved"),"Approved",IF(X214="Rejected","Rejected",IF(OR(X214="Processing",X214="Documents Pending",X214="Vendor Assigned"),"In Progress",IF(X214="Need Loan","Pending Start","—"))))</f>
        <v/>
      </c>
      <c r="Z214">
        <f>IF(A214="","",IF(X214="Disbursed","Disbursed",IF(X214="Sanctioned","Sanctioned - Awaiting Disbursement","Not Disbursed")))</f>
        <v/>
      </c>
      <c r="AA214">
        <f>IF(A214="","",IF(LOWER(TRIM('01_Master_Data'!AI214&amp;""))="yes","Need FLDG",IF(LOWER(TRIM('01_Master_Data'!AK214&amp;""))="yes","Need Vidyalakshmi",IF(LOWER(TRIM('01_Master_Data'!AJ214&amp;""))="yes","Need Review",IF(LOWER(J214)="critical","Critical",IF(LOWER(U214)="risk","Risk Case",IF(X214="Refund","Refund","Normal")))))))</f>
        <v/>
      </c>
      <c r="AB214">
        <f>IF(A214="","",IF(OR(LOWER(J214)="critical",LOWER(TRIM('01_Master_Data'!AI214&amp;""))="yes",LOWER(TRIM('01_Master_Data'!AK214&amp;""))="yes",LOWER(U214)="risk"),"Yes","No"))</f>
        <v/>
      </c>
      <c r="AC214">
        <f>IF(A214="","",IF(LOWER(TRIM('01_Master_Data'!AI214&amp;""))="yes","Yes","No"))</f>
        <v/>
      </c>
      <c r="AD214">
        <f>IF(A214="","",IF(LOWER(TRIM('01_Master_Data'!AK214&amp;""))="yes","Yes","No"))</f>
        <v/>
      </c>
      <c r="AE214">
        <f>IF(A214="","",IF(LOWER(TRIM('01_Master_Data'!AJ214&amp;""))="yes","Yes","No"))</f>
        <v/>
      </c>
      <c r="AF214">
        <f>IF(A214="","",TRIM('01_Master_Data'!AL214&amp;""))</f>
        <v/>
      </c>
      <c r="AG214">
        <f>IF(A214="","",IF(AF214="","—",IF(ISNUMBER(SEARCH("DNP",AF214)),"Unreachable / DNP",IF(ISNUMBER(SEARCH("interest",LOWER(AF214))),"High Interest / Terms",IF(OR(ISNUMBER(SEARCH("eligib",LOWER(AF214))),ISNUMBER(SEARCH("income",LOWER(AF214)))),"Eligibility / Income",IF(OR(ISNUMBER(SEARCH("start",LOWER(AF214))),ISNUMBER(SEARCH("Newer",AF214)),ISNUMBER(SEARCH("Will start",AF214))),"Process Yet to Start",IF(ISNUMBER(SEARCH("sure",LOWER(AF214))),"Undecided",IF(OR(ISNUMBER(SEARCH("reject",LOWER(AF214))),ISNUMBER(SEARCH("SBI",AF214))),"Rejected Elsewhere",IF(ISNUMBER(SEARCH("call",LOWER(AF214))),"Bank Communication",IF(OR(ISNUMBER(SEARCH("father",LOWER(AF214))),ISNUMBER(SEARCH("sister",LOWER(AF214)))),"Family / Dependency","Other"))))))))))</f>
        <v/>
      </c>
      <c r="AH214">
        <f>IF(A214="","",'01_Master_Data'!AC214)</f>
        <v/>
      </c>
      <c r="AI214">
        <f>IF(A214="","",IF(OR(AH214="",NOT(ISNUMBER(AH214))),"",MAX(0,'02_Configuration'!$B$82-AH214)))</f>
        <v/>
      </c>
      <c r="AJ214">
        <f>IF(A214="","",IF(AI214="","Unknown",IF(AI214&lt;=3,"0–3 Days",IF(AI214&lt;=7,"4–7 Days",IF(AI214&lt;=15,"8–15 Days",IF(AI214&lt;=30,"16–30 Days","30+ Days"))))))</f>
        <v/>
      </c>
      <c r="AK214">
        <f>IF(A214="","",IF(LOWER(H214)="yes","Yes","No"))</f>
        <v/>
      </c>
      <c r="AL214">
        <f>IF(A214="","",'01_Master_Data'!T214)</f>
        <v/>
      </c>
      <c r="AM214">
        <f>IF(A214="","",'01_Master_Data'!S214)</f>
        <v/>
      </c>
      <c r="AN214">
        <f>IF(A214="","",'01_Master_Data'!I214)</f>
        <v/>
      </c>
      <c r="AO214">
        <f>IF(A214="","",'01_Master_Data'!M214)</f>
        <v/>
      </c>
      <c r="AP214">
        <f>IF(A214="","",IF(ISNUMBER(SEARCH("Icici",W214&amp;"")),1,0))</f>
        <v/>
      </c>
      <c r="AQ214">
        <f>IF(A214="","",IF(ISNUMBER(SEARCH("Propelld",W214&amp;"")),1,0))</f>
        <v/>
      </c>
      <c r="AR214">
        <f>IF(A214="","",IF(ISNUMBER(SEARCH("GyanDhan",W214&amp;"")),1,0))</f>
        <v/>
      </c>
      <c r="AS214">
        <f>IF(A214="","",IF(ISNUMBER(SEARCH("vidyalakshmi",LOWER(W214&amp;""))),1,0))</f>
        <v/>
      </c>
      <c r="AT214">
        <f>IF(A214="","",IF(ISNUMBER(SEARCH("other bank",LOWER(W214&amp;""))),1,0))</f>
        <v/>
      </c>
      <c r="AU214">
        <f>IF(A214="","",IF(ISNUMBER(SEARCH("sanctioned",LOWER(W214&amp;""))),1,0))</f>
        <v/>
      </c>
      <c r="AV214">
        <f>IF(A214="","",IF(ISNUMBER(SEARCH("Docs Pending",W214&amp;"")),1,0))</f>
        <v/>
      </c>
      <c r="AW214">
        <f>IF(A214="","",IF(OR(X214="Rejected",ISNUMBER(SEARCH("Not eligbile",W214&amp;""))),1,0))</f>
        <v/>
      </c>
    </row>
    <row r="215">
      <c r="A215">
        <f>IF('01_Master_Data'!B215="","",214)</f>
        <v/>
      </c>
      <c r="B215">
        <f>IF('01_Master_Data'!B215="","",IF('01_Master_Data'!C215&lt;&gt;"","MOB|"&amp;TEXT('01_Master_Data'!C215,"0"),IF('01_Master_Data'!D215&lt;&gt;"","PID|"&amp;TRIM('01_Master_Data'!D215&amp;""),"")))</f>
        <v/>
      </c>
      <c r="C215">
        <f>IF('01_Master_Data'!B215="","",'01_Master_Data'!B215)</f>
        <v/>
      </c>
      <c r="D215">
        <f>IF('01_Master_Data'!B215="","",'01_Master_Data'!C215)</f>
        <v/>
      </c>
      <c r="E215">
        <f>IF('01_Master_Data'!B215="","",'01_Master_Data'!D215)</f>
        <v/>
      </c>
      <c r="F215">
        <f>IF('01_Master_Data'!B215="","",'01_Master_Data'!E215)</f>
        <v/>
      </c>
      <c r="G215">
        <f>IF('01_Master_Data'!B215="","",IFERROR(VLOOKUP(TRIM('01_Master_Data'!E215&amp;""),'02_Configuration'!$A$40:$B$44,2,FALSE),UPPER(TRIM('01_Master_Data'!E215&amp;""))))</f>
        <v/>
      </c>
      <c r="H215">
        <f>IF('01_Master_Data'!B215="","",IF('01_Master_Data'!U215="","",TRIM('01_Master_Data'!U215&amp;"")))</f>
        <v/>
      </c>
      <c r="I215">
        <f>IF('01_Master_Data'!B215="","",TRIM('01_Master_Data'!F215&amp;""))</f>
        <v/>
      </c>
      <c r="J215">
        <f>IF('01_Master_Data'!B215="","",TRIM('01_Master_Data'!G215&amp;""))</f>
        <v/>
      </c>
      <c r="K215">
        <f>IF('01_Master_Data'!B215="","",'01_Master_Data'!H215)</f>
        <v/>
      </c>
      <c r="L215">
        <f>IF('01_Master_Data'!B215="","",IF(LOWER(TRIM('01_Master_Data'!V215&amp;""))="yes",1,0))</f>
        <v/>
      </c>
      <c r="M215">
        <f>IF('01_Master_Data'!B215="","",IF(LOWER(TRIM('01_Master_Data'!W215&amp;""))="yes",1,0))</f>
        <v/>
      </c>
      <c r="N215">
        <f>IF('01_Master_Data'!B215="","",IF(LOWER(TRIM('01_Master_Data'!X215&amp;""))="yes",1,0))</f>
        <v/>
      </c>
      <c r="O215">
        <f>IF('01_Master_Data'!B215="","",IF(LOWER(TRIM('01_Master_Data'!Y215&amp;""))="yes",1,0))</f>
        <v/>
      </c>
      <c r="P215">
        <f>IF('01_Master_Data'!B215="","",IF(LOWER(TRIM('01_Master_Data'!Z215&amp;""))="yes",1,0))</f>
        <v/>
      </c>
      <c r="Q215">
        <f>IF(A215="","",L215+M215+N215+O215+P215)</f>
        <v/>
      </c>
      <c r="R215">
        <f>IF(A215="","",IF(Q215&gt;1,"Yes","No"))</f>
        <v/>
      </c>
      <c r="S215">
        <f>IF(A215="","",TEXTJOIN(", ",TRUE,IF(L215=1,"ICICI",""),IF(M215=1,"Propelld",""),IF(N215=1,"Study4Buddy",""),IF(O215=1,"Poonawala Fincorp",""),IF(P215=1,"GyanDhan","")))</f>
        <v/>
      </c>
      <c r="T215">
        <f>IF(A215="","",IF(L215=1,"ICICI",IF(M215=1,"Propelld",IF(P215=1,"GyanDhan",IF(N215=1,"Study4Buddy",IF(O215=1,"Poonawala Fincorp",IF(ISNUMBER(SEARCH("GyanDhan",W215&amp;"")),"GyanDhan",IF(ISNUMBER(SEARCH("Icici",W215&amp;"")),"ICICI",IF(ISNUMBER(SEARCH("Propelld",W215&amp;"")),"Propelld",IF(ISNUMBER(SEARCH("vidyalakshmi",LOWER(W215&amp;"")),"PM Vidyalakshmi","—"))))))))))</f>
        <v/>
      </c>
      <c r="U215">
        <f>IF(A215="","",TRIM('01_Master_Data'!AA215&amp;""))</f>
        <v/>
      </c>
      <c r="V215">
        <f>IF(A215="","",TRIM('01_Master_Data'!AG215&amp;""))</f>
        <v/>
      </c>
      <c r="W215">
        <f>IF(A215="","",TRIM('01_Master_Data'!AH215&amp;""))</f>
        <v/>
      </c>
      <c r="X215">
        <f>IF(A215="","",IF(OR(LOWER(H215)="refund",LOWER(U215)="refund case"),"Refund",IF(OR(LOWER(H215)="dnp",LOWER(U215)="dnp"),"DNP",IF(OR(LOWER(V215)="disbursed",ISNUMBER(SEARCH("Disbursed",W215&amp;""))),"Disbursed",IF(OR(LOWER(V215)="loan proccessed/accepted",ISNUMBER(SEARCH("sanctioned",LOWER(W215&amp;"")))),"Sanctioned",IF(OR(LOWER(V215)="rejected",ISNUMBER(SEARCH("Not eligbile",W215&amp;"")),ISNUMBER(SEARCH("Not eligible",W215&amp;""))),"Rejected",IF(ISNUMBER(SEARCH("Docs Pending",W215&amp;"")),"Documents Pending",IF(AND(LOWER(H215)="yes",LOWER(V215)="ongoing"),"Processing",IF(AND(LOWER(H215)="yes",Q215&gt;0,OR(V215="",LOWER(V215)="not even started")),"Vendor Assigned",IF(AND(LOWER(H215)="yes",LOWER(V215)="not even started"),"Need Loan",IF(LOWER(H215)="yes","Loan Started",IF(LOWER(H215)="not sure","Interested",IF(OR(LOWER(H215)="no",LOWER(V215)="not required"),"Not Required","Unclassified")))))))))))))</f>
        <v/>
      </c>
      <c r="Y215">
        <f>IF(A215="","",IF(OR(X215="Sanctioned",X215="Disbursed",X215="Approved"),"Approved",IF(X215="Rejected","Rejected",IF(OR(X215="Processing",X215="Documents Pending",X215="Vendor Assigned"),"In Progress",IF(X215="Need Loan","Pending Start","—"))))</f>
        <v/>
      </c>
      <c r="Z215">
        <f>IF(A215="","",IF(X215="Disbursed","Disbursed",IF(X215="Sanctioned","Sanctioned - Awaiting Disbursement","Not Disbursed")))</f>
        <v/>
      </c>
      <c r="AA215">
        <f>IF(A215="","",IF(LOWER(TRIM('01_Master_Data'!AI215&amp;""))="yes","Need FLDG",IF(LOWER(TRIM('01_Master_Data'!AK215&amp;""))="yes","Need Vidyalakshmi",IF(LOWER(TRIM('01_Master_Data'!AJ215&amp;""))="yes","Need Review",IF(LOWER(J215)="critical","Critical",IF(LOWER(U215)="risk","Risk Case",IF(X215="Refund","Refund","Normal")))))))</f>
        <v/>
      </c>
      <c r="AB215">
        <f>IF(A215="","",IF(OR(LOWER(J215)="critical",LOWER(TRIM('01_Master_Data'!AI215&amp;""))="yes",LOWER(TRIM('01_Master_Data'!AK215&amp;""))="yes",LOWER(U215)="risk"),"Yes","No"))</f>
        <v/>
      </c>
      <c r="AC215">
        <f>IF(A215="","",IF(LOWER(TRIM('01_Master_Data'!AI215&amp;""))="yes","Yes","No"))</f>
        <v/>
      </c>
      <c r="AD215">
        <f>IF(A215="","",IF(LOWER(TRIM('01_Master_Data'!AK215&amp;""))="yes","Yes","No"))</f>
        <v/>
      </c>
      <c r="AE215">
        <f>IF(A215="","",IF(LOWER(TRIM('01_Master_Data'!AJ215&amp;""))="yes","Yes","No"))</f>
        <v/>
      </c>
      <c r="AF215">
        <f>IF(A215="","",TRIM('01_Master_Data'!AL215&amp;""))</f>
        <v/>
      </c>
      <c r="AG215">
        <f>IF(A215="","",IF(AF215="","—",IF(ISNUMBER(SEARCH("DNP",AF215)),"Unreachable / DNP",IF(ISNUMBER(SEARCH("interest",LOWER(AF215))),"High Interest / Terms",IF(OR(ISNUMBER(SEARCH("eligib",LOWER(AF215))),ISNUMBER(SEARCH("income",LOWER(AF215)))),"Eligibility / Income",IF(OR(ISNUMBER(SEARCH("start",LOWER(AF215))),ISNUMBER(SEARCH("Newer",AF215)),ISNUMBER(SEARCH("Will start",AF215))),"Process Yet to Start",IF(ISNUMBER(SEARCH("sure",LOWER(AF215))),"Undecided",IF(OR(ISNUMBER(SEARCH("reject",LOWER(AF215))),ISNUMBER(SEARCH("SBI",AF215))),"Rejected Elsewhere",IF(ISNUMBER(SEARCH("call",LOWER(AF215))),"Bank Communication",IF(OR(ISNUMBER(SEARCH("father",LOWER(AF215))),ISNUMBER(SEARCH("sister",LOWER(AF215)))),"Family / Dependency","Other"))))))))))</f>
        <v/>
      </c>
      <c r="AH215">
        <f>IF(A215="","",'01_Master_Data'!AC215)</f>
        <v/>
      </c>
      <c r="AI215">
        <f>IF(A215="","",IF(OR(AH215="",NOT(ISNUMBER(AH215))),"",MAX(0,'02_Configuration'!$B$82-AH215)))</f>
        <v/>
      </c>
      <c r="AJ215">
        <f>IF(A215="","",IF(AI215="","Unknown",IF(AI215&lt;=3,"0–3 Days",IF(AI215&lt;=7,"4–7 Days",IF(AI215&lt;=15,"8–15 Days",IF(AI215&lt;=30,"16–30 Days","30+ Days"))))))</f>
        <v/>
      </c>
      <c r="AK215">
        <f>IF(A215="","",IF(LOWER(H215)="yes","Yes","No"))</f>
        <v/>
      </c>
      <c r="AL215">
        <f>IF(A215="","",'01_Master_Data'!T215)</f>
        <v/>
      </c>
      <c r="AM215">
        <f>IF(A215="","",'01_Master_Data'!S215)</f>
        <v/>
      </c>
      <c r="AN215">
        <f>IF(A215="","",'01_Master_Data'!I215)</f>
        <v/>
      </c>
      <c r="AO215">
        <f>IF(A215="","",'01_Master_Data'!M215)</f>
        <v/>
      </c>
      <c r="AP215">
        <f>IF(A215="","",IF(ISNUMBER(SEARCH("Icici",W215&amp;"")),1,0))</f>
        <v/>
      </c>
      <c r="AQ215">
        <f>IF(A215="","",IF(ISNUMBER(SEARCH("Propelld",W215&amp;"")),1,0))</f>
        <v/>
      </c>
      <c r="AR215">
        <f>IF(A215="","",IF(ISNUMBER(SEARCH("GyanDhan",W215&amp;"")),1,0))</f>
        <v/>
      </c>
      <c r="AS215">
        <f>IF(A215="","",IF(ISNUMBER(SEARCH("vidyalakshmi",LOWER(W215&amp;""))),1,0))</f>
        <v/>
      </c>
      <c r="AT215">
        <f>IF(A215="","",IF(ISNUMBER(SEARCH("other bank",LOWER(W215&amp;""))),1,0))</f>
        <v/>
      </c>
      <c r="AU215">
        <f>IF(A215="","",IF(ISNUMBER(SEARCH("sanctioned",LOWER(W215&amp;""))),1,0))</f>
        <v/>
      </c>
      <c r="AV215">
        <f>IF(A215="","",IF(ISNUMBER(SEARCH("Docs Pending",W215&amp;"")),1,0))</f>
        <v/>
      </c>
      <c r="AW215">
        <f>IF(A215="","",IF(OR(X215="Rejected",ISNUMBER(SEARCH("Not eligbile",W215&amp;""))),1,0))</f>
        <v/>
      </c>
    </row>
    <row r="216">
      <c r="A216">
        <f>IF('01_Master_Data'!B216="","",215)</f>
        <v/>
      </c>
      <c r="B216">
        <f>IF('01_Master_Data'!B216="","",IF('01_Master_Data'!C216&lt;&gt;"","MOB|"&amp;TEXT('01_Master_Data'!C216,"0"),IF('01_Master_Data'!D216&lt;&gt;"","PID|"&amp;TRIM('01_Master_Data'!D216&amp;""),"")))</f>
        <v/>
      </c>
      <c r="C216">
        <f>IF('01_Master_Data'!B216="","",'01_Master_Data'!B216)</f>
        <v/>
      </c>
      <c r="D216">
        <f>IF('01_Master_Data'!B216="","",'01_Master_Data'!C216)</f>
        <v/>
      </c>
      <c r="E216">
        <f>IF('01_Master_Data'!B216="","",'01_Master_Data'!D216)</f>
        <v/>
      </c>
      <c r="F216">
        <f>IF('01_Master_Data'!B216="","",'01_Master_Data'!E216)</f>
        <v/>
      </c>
      <c r="G216">
        <f>IF('01_Master_Data'!B216="","",IFERROR(VLOOKUP(TRIM('01_Master_Data'!E216&amp;""),'02_Configuration'!$A$40:$B$44,2,FALSE),UPPER(TRIM('01_Master_Data'!E216&amp;""))))</f>
        <v/>
      </c>
      <c r="H216">
        <f>IF('01_Master_Data'!B216="","",IF('01_Master_Data'!U216="","",TRIM('01_Master_Data'!U216&amp;"")))</f>
        <v/>
      </c>
      <c r="I216">
        <f>IF('01_Master_Data'!B216="","",TRIM('01_Master_Data'!F216&amp;""))</f>
        <v/>
      </c>
      <c r="J216">
        <f>IF('01_Master_Data'!B216="","",TRIM('01_Master_Data'!G216&amp;""))</f>
        <v/>
      </c>
      <c r="K216">
        <f>IF('01_Master_Data'!B216="","",'01_Master_Data'!H216)</f>
        <v/>
      </c>
      <c r="L216">
        <f>IF('01_Master_Data'!B216="","",IF(LOWER(TRIM('01_Master_Data'!V216&amp;""))="yes",1,0))</f>
        <v/>
      </c>
      <c r="M216">
        <f>IF('01_Master_Data'!B216="","",IF(LOWER(TRIM('01_Master_Data'!W216&amp;""))="yes",1,0))</f>
        <v/>
      </c>
      <c r="N216">
        <f>IF('01_Master_Data'!B216="","",IF(LOWER(TRIM('01_Master_Data'!X216&amp;""))="yes",1,0))</f>
        <v/>
      </c>
      <c r="O216">
        <f>IF('01_Master_Data'!B216="","",IF(LOWER(TRIM('01_Master_Data'!Y216&amp;""))="yes",1,0))</f>
        <v/>
      </c>
      <c r="P216">
        <f>IF('01_Master_Data'!B216="","",IF(LOWER(TRIM('01_Master_Data'!Z216&amp;""))="yes",1,0))</f>
        <v/>
      </c>
      <c r="Q216">
        <f>IF(A216="","",L216+M216+N216+O216+P216)</f>
        <v/>
      </c>
      <c r="R216">
        <f>IF(A216="","",IF(Q216&gt;1,"Yes","No"))</f>
        <v/>
      </c>
      <c r="S216">
        <f>IF(A216="","",TEXTJOIN(", ",TRUE,IF(L216=1,"ICICI",""),IF(M216=1,"Propelld",""),IF(N216=1,"Study4Buddy",""),IF(O216=1,"Poonawala Fincorp",""),IF(P216=1,"GyanDhan","")))</f>
        <v/>
      </c>
      <c r="T216">
        <f>IF(A216="","",IF(L216=1,"ICICI",IF(M216=1,"Propelld",IF(P216=1,"GyanDhan",IF(N216=1,"Study4Buddy",IF(O216=1,"Poonawala Fincorp",IF(ISNUMBER(SEARCH("GyanDhan",W216&amp;"")),"GyanDhan",IF(ISNUMBER(SEARCH("Icici",W216&amp;"")),"ICICI",IF(ISNUMBER(SEARCH("Propelld",W216&amp;"")),"Propelld",IF(ISNUMBER(SEARCH("vidyalakshmi",LOWER(W216&amp;"")),"PM Vidyalakshmi","—"))))))))))</f>
        <v/>
      </c>
      <c r="U216">
        <f>IF(A216="","",TRIM('01_Master_Data'!AA216&amp;""))</f>
        <v/>
      </c>
      <c r="V216">
        <f>IF(A216="","",TRIM('01_Master_Data'!AG216&amp;""))</f>
        <v/>
      </c>
      <c r="W216">
        <f>IF(A216="","",TRIM('01_Master_Data'!AH216&amp;""))</f>
        <v/>
      </c>
      <c r="X216">
        <f>IF(A216="","",IF(OR(LOWER(H216)="refund",LOWER(U216)="refund case"),"Refund",IF(OR(LOWER(H216)="dnp",LOWER(U216)="dnp"),"DNP",IF(OR(LOWER(V216)="disbursed",ISNUMBER(SEARCH("Disbursed",W216&amp;""))),"Disbursed",IF(OR(LOWER(V216)="loan proccessed/accepted",ISNUMBER(SEARCH("sanctioned",LOWER(W216&amp;"")))),"Sanctioned",IF(OR(LOWER(V216)="rejected",ISNUMBER(SEARCH("Not eligbile",W216&amp;"")),ISNUMBER(SEARCH("Not eligible",W216&amp;""))),"Rejected",IF(ISNUMBER(SEARCH("Docs Pending",W216&amp;"")),"Documents Pending",IF(AND(LOWER(H216)="yes",LOWER(V216)="ongoing"),"Processing",IF(AND(LOWER(H216)="yes",Q216&gt;0,OR(V216="",LOWER(V216)="not even started")),"Vendor Assigned",IF(AND(LOWER(H216)="yes",LOWER(V216)="not even started"),"Need Loan",IF(LOWER(H216)="yes","Loan Started",IF(LOWER(H216)="not sure","Interested",IF(OR(LOWER(H216)="no",LOWER(V216)="not required"),"Not Required","Unclassified")))))))))))))</f>
        <v/>
      </c>
      <c r="Y216">
        <f>IF(A216="","",IF(OR(X216="Sanctioned",X216="Disbursed",X216="Approved"),"Approved",IF(X216="Rejected","Rejected",IF(OR(X216="Processing",X216="Documents Pending",X216="Vendor Assigned"),"In Progress",IF(X216="Need Loan","Pending Start","—"))))</f>
        <v/>
      </c>
      <c r="Z216">
        <f>IF(A216="","",IF(X216="Disbursed","Disbursed",IF(X216="Sanctioned","Sanctioned - Awaiting Disbursement","Not Disbursed")))</f>
        <v/>
      </c>
      <c r="AA216">
        <f>IF(A216="","",IF(LOWER(TRIM('01_Master_Data'!AI216&amp;""))="yes","Need FLDG",IF(LOWER(TRIM('01_Master_Data'!AK216&amp;""))="yes","Need Vidyalakshmi",IF(LOWER(TRIM('01_Master_Data'!AJ216&amp;""))="yes","Need Review",IF(LOWER(J216)="critical","Critical",IF(LOWER(U216)="risk","Risk Case",IF(X216="Refund","Refund","Normal")))))))</f>
        <v/>
      </c>
      <c r="AB216">
        <f>IF(A216="","",IF(OR(LOWER(J216)="critical",LOWER(TRIM('01_Master_Data'!AI216&amp;""))="yes",LOWER(TRIM('01_Master_Data'!AK216&amp;""))="yes",LOWER(U216)="risk"),"Yes","No"))</f>
        <v/>
      </c>
      <c r="AC216">
        <f>IF(A216="","",IF(LOWER(TRIM('01_Master_Data'!AI216&amp;""))="yes","Yes","No"))</f>
        <v/>
      </c>
      <c r="AD216">
        <f>IF(A216="","",IF(LOWER(TRIM('01_Master_Data'!AK216&amp;""))="yes","Yes","No"))</f>
        <v/>
      </c>
      <c r="AE216">
        <f>IF(A216="","",IF(LOWER(TRIM('01_Master_Data'!AJ216&amp;""))="yes","Yes","No"))</f>
        <v/>
      </c>
      <c r="AF216">
        <f>IF(A216="","",TRIM('01_Master_Data'!AL216&amp;""))</f>
        <v/>
      </c>
      <c r="AG216">
        <f>IF(A216="","",IF(AF216="","—",IF(ISNUMBER(SEARCH("DNP",AF216)),"Unreachable / DNP",IF(ISNUMBER(SEARCH("interest",LOWER(AF216))),"High Interest / Terms",IF(OR(ISNUMBER(SEARCH("eligib",LOWER(AF216))),ISNUMBER(SEARCH("income",LOWER(AF216)))),"Eligibility / Income",IF(OR(ISNUMBER(SEARCH("start",LOWER(AF216))),ISNUMBER(SEARCH("Newer",AF216)),ISNUMBER(SEARCH("Will start",AF216))),"Process Yet to Start",IF(ISNUMBER(SEARCH("sure",LOWER(AF216))),"Undecided",IF(OR(ISNUMBER(SEARCH("reject",LOWER(AF216))),ISNUMBER(SEARCH("SBI",AF216))),"Rejected Elsewhere",IF(ISNUMBER(SEARCH("call",LOWER(AF216))),"Bank Communication",IF(OR(ISNUMBER(SEARCH("father",LOWER(AF216))),ISNUMBER(SEARCH("sister",LOWER(AF216)))),"Family / Dependency","Other"))))))))))</f>
        <v/>
      </c>
      <c r="AH216">
        <f>IF(A216="","",'01_Master_Data'!AC216)</f>
        <v/>
      </c>
      <c r="AI216">
        <f>IF(A216="","",IF(OR(AH216="",NOT(ISNUMBER(AH216))),"",MAX(0,'02_Configuration'!$B$82-AH216)))</f>
        <v/>
      </c>
      <c r="AJ216">
        <f>IF(A216="","",IF(AI216="","Unknown",IF(AI216&lt;=3,"0–3 Days",IF(AI216&lt;=7,"4–7 Days",IF(AI216&lt;=15,"8–15 Days",IF(AI216&lt;=30,"16–30 Days","30+ Days"))))))</f>
        <v/>
      </c>
      <c r="AK216">
        <f>IF(A216="","",IF(LOWER(H216)="yes","Yes","No"))</f>
        <v/>
      </c>
      <c r="AL216">
        <f>IF(A216="","",'01_Master_Data'!T216)</f>
        <v/>
      </c>
      <c r="AM216">
        <f>IF(A216="","",'01_Master_Data'!S216)</f>
        <v/>
      </c>
      <c r="AN216">
        <f>IF(A216="","",'01_Master_Data'!I216)</f>
        <v/>
      </c>
      <c r="AO216">
        <f>IF(A216="","",'01_Master_Data'!M216)</f>
        <v/>
      </c>
      <c r="AP216">
        <f>IF(A216="","",IF(ISNUMBER(SEARCH("Icici",W216&amp;"")),1,0))</f>
        <v/>
      </c>
      <c r="AQ216">
        <f>IF(A216="","",IF(ISNUMBER(SEARCH("Propelld",W216&amp;"")),1,0))</f>
        <v/>
      </c>
      <c r="AR216">
        <f>IF(A216="","",IF(ISNUMBER(SEARCH("GyanDhan",W216&amp;"")),1,0))</f>
        <v/>
      </c>
      <c r="AS216">
        <f>IF(A216="","",IF(ISNUMBER(SEARCH("vidyalakshmi",LOWER(W216&amp;""))),1,0))</f>
        <v/>
      </c>
      <c r="AT216">
        <f>IF(A216="","",IF(ISNUMBER(SEARCH("other bank",LOWER(W216&amp;""))),1,0))</f>
        <v/>
      </c>
      <c r="AU216">
        <f>IF(A216="","",IF(ISNUMBER(SEARCH("sanctioned",LOWER(W216&amp;""))),1,0))</f>
        <v/>
      </c>
      <c r="AV216">
        <f>IF(A216="","",IF(ISNUMBER(SEARCH("Docs Pending",W216&amp;"")),1,0))</f>
        <v/>
      </c>
      <c r="AW216">
        <f>IF(A216="","",IF(OR(X216="Rejected",ISNUMBER(SEARCH("Not eligbile",W216&amp;""))),1,0))</f>
        <v/>
      </c>
    </row>
    <row r="217">
      <c r="A217">
        <f>IF('01_Master_Data'!B217="","",216)</f>
        <v/>
      </c>
      <c r="B217">
        <f>IF('01_Master_Data'!B217="","",IF('01_Master_Data'!C217&lt;&gt;"","MOB|"&amp;TEXT('01_Master_Data'!C217,"0"),IF('01_Master_Data'!D217&lt;&gt;"","PID|"&amp;TRIM('01_Master_Data'!D217&amp;""),"")))</f>
        <v/>
      </c>
      <c r="C217">
        <f>IF('01_Master_Data'!B217="","",'01_Master_Data'!B217)</f>
        <v/>
      </c>
      <c r="D217">
        <f>IF('01_Master_Data'!B217="","",'01_Master_Data'!C217)</f>
        <v/>
      </c>
      <c r="E217">
        <f>IF('01_Master_Data'!B217="","",'01_Master_Data'!D217)</f>
        <v/>
      </c>
      <c r="F217">
        <f>IF('01_Master_Data'!B217="","",'01_Master_Data'!E217)</f>
        <v/>
      </c>
      <c r="G217">
        <f>IF('01_Master_Data'!B217="","",IFERROR(VLOOKUP(TRIM('01_Master_Data'!E217&amp;""),'02_Configuration'!$A$40:$B$44,2,FALSE),UPPER(TRIM('01_Master_Data'!E217&amp;""))))</f>
        <v/>
      </c>
      <c r="H217">
        <f>IF('01_Master_Data'!B217="","",IF('01_Master_Data'!U217="","",TRIM('01_Master_Data'!U217&amp;"")))</f>
        <v/>
      </c>
      <c r="I217">
        <f>IF('01_Master_Data'!B217="","",TRIM('01_Master_Data'!F217&amp;""))</f>
        <v/>
      </c>
      <c r="J217">
        <f>IF('01_Master_Data'!B217="","",TRIM('01_Master_Data'!G217&amp;""))</f>
        <v/>
      </c>
      <c r="K217">
        <f>IF('01_Master_Data'!B217="","",'01_Master_Data'!H217)</f>
        <v/>
      </c>
      <c r="L217">
        <f>IF('01_Master_Data'!B217="","",IF(LOWER(TRIM('01_Master_Data'!V217&amp;""))="yes",1,0))</f>
        <v/>
      </c>
      <c r="M217">
        <f>IF('01_Master_Data'!B217="","",IF(LOWER(TRIM('01_Master_Data'!W217&amp;""))="yes",1,0))</f>
        <v/>
      </c>
      <c r="N217">
        <f>IF('01_Master_Data'!B217="","",IF(LOWER(TRIM('01_Master_Data'!X217&amp;""))="yes",1,0))</f>
        <v/>
      </c>
      <c r="O217">
        <f>IF('01_Master_Data'!B217="","",IF(LOWER(TRIM('01_Master_Data'!Y217&amp;""))="yes",1,0))</f>
        <v/>
      </c>
      <c r="P217">
        <f>IF('01_Master_Data'!B217="","",IF(LOWER(TRIM('01_Master_Data'!Z217&amp;""))="yes",1,0))</f>
        <v/>
      </c>
      <c r="Q217">
        <f>IF(A217="","",L217+M217+N217+O217+P217)</f>
        <v/>
      </c>
      <c r="R217">
        <f>IF(A217="","",IF(Q217&gt;1,"Yes","No"))</f>
        <v/>
      </c>
      <c r="S217">
        <f>IF(A217="","",TEXTJOIN(", ",TRUE,IF(L217=1,"ICICI",""),IF(M217=1,"Propelld",""),IF(N217=1,"Study4Buddy",""),IF(O217=1,"Poonawala Fincorp",""),IF(P217=1,"GyanDhan","")))</f>
        <v/>
      </c>
      <c r="T217">
        <f>IF(A217="","",IF(L217=1,"ICICI",IF(M217=1,"Propelld",IF(P217=1,"GyanDhan",IF(N217=1,"Study4Buddy",IF(O217=1,"Poonawala Fincorp",IF(ISNUMBER(SEARCH("GyanDhan",W217&amp;"")),"GyanDhan",IF(ISNUMBER(SEARCH("Icici",W217&amp;"")),"ICICI",IF(ISNUMBER(SEARCH("Propelld",W217&amp;"")),"Propelld",IF(ISNUMBER(SEARCH("vidyalakshmi",LOWER(W217&amp;"")),"PM Vidyalakshmi","—"))))))))))</f>
        <v/>
      </c>
      <c r="U217">
        <f>IF(A217="","",TRIM('01_Master_Data'!AA217&amp;""))</f>
        <v/>
      </c>
      <c r="V217">
        <f>IF(A217="","",TRIM('01_Master_Data'!AG217&amp;""))</f>
        <v/>
      </c>
      <c r="W217">
        <f>IF(A217="","",TRIM('01_Master_Data'!AH217&amp;""))</f>
        <v/>
      </c>
      <c r="X217">
        <f>IF(A217="","",IF(OR(LOWER(H217)="refund",LOWER(U217)="refund case"),"Refund",IF(OR(LOWER(H217)="dnp",LOWER(U217)="dnp"),"DNP",IF(OR(LOWER(V217)="disbursed",ISNUMBER(SEARCH("Disbursed",W217&amp;""))),"Disbursed",IF(OR(LOWER(V217)="loan proccessed/accepted",ISNUMBER(SEARCH("sanctioned",LOWER(W217&amp;"")))),"Sanctioned",IF(OR(LOWER(V217)="rejected",ISNUMBER(SEARCH("Not eligbile",W217&amp;"")),ISNUMBER(SEARCH("Not eligible",W217&amp;""))),"Rejected",IF(ISNUMBER(SEARCH("Docs Pending",W217&amp;"")),"Documents Pending",IF(AND(LOWER(H217)="yes",LOWER(V217)="ongoing"),"Processing",IF(AND(LOWER(H217)="yes",Q217&gt;0,OR(V217="",LOWER(V217)="not even started")),"Vendor Assigned",IF(AND(LOWER(H217)="yes",LOWER(V217)="not even started"),"Need Loan",IF(LOWER(H217)="yes","Loan Started",IF(LOWER(H217)="not sure","Interested",IF(OR(LOWER(H217)="no",LOWER(V217)="not required"),"Not Required","Unclassified")))))))))))))</f>
        <v/>
      </c>
      <c r="Y217">
        <f>IF(A217="","",IF(OR(X217="Sanctioned",X217="Disbursed",X217="Approved"),"Approved",IF(X217="Rejected","Rejected",IF(OR(X217="Processing",X217="Documents Pending",X217="Vendor Assigned"),"In Progress",IF(X217="Need Loan","Pending Start","—"))))</f>
        <v/>
      </c>
      <c r="Z217">
        <f>IF(A217="","",IF(X217="Disbursed","Disbursed",IF(X217="Sanctioned","Sanctioned - Awaiting Disbursement","Not Disbursed")))</f>
        <v/>
      </c>
      <c r="AA217">
        <f>IF(A217="","",IF(LOWER(TRIM('01_Master_Data'!AI217&amp;""))="yes","Need FLDG",IF(LOWER(TRIM('01_Master_Data'!AK217&amp;""))="yes","Need Vidyalakshmi",IF(LOWER(TRIM('01_Master_Data'!AJ217&amp;""))="yes","Need Review",IF(LOWER(J217)="critical","Critical",IF(LOWER(U217)="risk","Risk Case",IF(X217="Refund","Refund","Normal")))))))</f>
        <v/>
      </c>
      <c r="AB217">
        <f>IF(A217="","",IF(OR(LOWER(J217)="critical",LOWER(TRIM('01_Master_Data'!AI217&amp;""))="yes",LOWER(TRIM('01_Master_Data'!AK217&amp;""))="yes",LOWER(U217)="risk"),"Yes","No"))</f>
        <v/>
      </c>
      <c r="AC217">
        <f>IF(A217="","",IF(LOWER(TRIM('01_Master_Data'!AI217&amp;""))="yes","Yes","No"))</f>
        <v/>
      </c>
      <c r="AD217">
        <f>IF(A217="","",IF(LOWER(TRIM('01_Master_Data'!AK217&amp;""))="yes","Yes","No"))</f>
        <v/>
      </c>
      <c r="AE217">
        <f>IF(A217="","",IF(LOWER(TRIM('01_Master_Data'!AJ217&amp;""))="yes","Yes","No"))</f>
        <v/>
      </c>
      <c r="AF217">
        <f>IF(A217="","",TRIM('01_Master_Data'!AL217&amp;""))</f>
        <v/>
      </c>
      <c r="AG217">
        <f>IF(A217="","",IF(AF217="","—",IF(ISNUMBER(SEARCH("DNP",AF217)),"Unreachable / DNP",IF(ISNUMBER(SEARCH("interest",LOWER(AF217))),"High Interest / Terms",IF(OR(ISNUMBER(SEARCH("eligib",LOWER(AF217))),ISNUMBER(SEARCH("income",LOWER(AF217)))),"Eligibility / Income",IF(OR(ISNUMBER(SEARCH("start",LOWER(AF217))),ISNUMBER(SEARCH("Newer",AF217)),ISNUMBER(SEARCH("Will start",AF217))),"Process Yet to Start",IF(ISNUMBER(SEARCH("sure",LOWER(AF217))),"Undecided",IF(OR(ISNUMBER(SEARCH("reject",LOWER(AF217))),ISNUMBER(SEARCH("SBI",AF217))),"Rejected Elsewhere",IF(ISNUMBER(SEARCH("call",LOWER(AF217))),"Bank Communication",IF(OR(ISNUMBER(SEARCH("father",LOWER(AF217))),ISNUMBER(SEARCH("sister",LOWER(AF217)))),"Family / Dependency","Other"))))))))))</f>
        <v/>
      </c>
      <c r="AH217">
        <f>IF(A217="","",'01_Master_Data'!AC217)</f>
        <v/>
      </c>
      <c r="AI217">
        <f>IF(A217="","",IF(OR(AH217="",NOT(ISNUMBER(AH217))),"",MAX(0,'02_Configuration'!$B$82-AH217)))</f>
        <v/>
      </c>
      <c r="AJ217">
        <f>IF(A217="","",IF(AI217="","Unknown",IF(AI217&lt;=3,"0–3 Days",IF(AI217&lt;=7,"4–7 Days",IF(AI217&lt;=15,"8–15 Days",IF(AI217&lt;=30,"16–30 Days","30+ Days"))))))</f>
        <v/>
      </c>
      <c r="AK217">
        <f>IF(A217="","",IF(LOWER(H217)="yes","Yes","No"))</f>
        <v/>
      </c>
      <c r="AL217">
        <f>IF(A217="","",'01_Master_Data'!T217)</f>
        <v/>
      </c>
      <c r="AM217">
        <f>IF(A217="","",'01_Master_Data'!S217)</f>
        <v/>
      </c>
      <c r="AN217">
        <f>IF(A217="","",'01_Master_Data'!I217)</f>
        <v/>
      </c>
      <c r="AO217">
        <f>IF(A217="","",'01_Master_Data'!M217)</f>
        <v/>
      </c>
      <c r="AP217">
        <f>IF(A217="","",IF(ISNUMBER(SEARCH("Icici",W217&amp;"")),1,0))</f>
        <v/>
      </c>
      <c r="AQ217">
        <f>IF(A217="","",IF(ISNUMBER(SEARCH("Propelld",W217&amp;"")),1,0))</f>
        <v/>
      </c>
      <c r="AR217">
        <f>IF(A217="","",IF(ISNUMBER(SEARCH("GyanDhan",W217&amp;"")),1,0))</f>
        <v/>
      </c>
      <c r="AS217">
        <f>IF(A217="","",IF(ISNUMBER(SEARCH("vidyalakshmi",LOWER(W217&amp;""))),1,0))</f>
        <v/>
      </c>
      <c r="AT217">
        <f>IF(A217="","",IF(ISNUMBER(SEARCH("other bank",LOWER(W217&amp;""))),1,0))</f>
        <v/>
      </c>
      <c r="AU217">
        <f>IF(A217="","",IF(ISNUMBER(SEARCH("sanctioned",LOWER(W217&amp;""))),1,0))</f>
        <v/>
      </c>
      <c r="AV217">
        <f>IF(A217="","",IF(ISNUMBER(SEARCH("Docs Pending",W217&amp;"")),1,0))</f>
        <v/>
      </c>
      <c r="AW217">
        <f>IF(A217="","",IF(OR(X217="Rejected",ISNUMBER(SEARCH("Not eligbile",W217&amp;""))),1,0))</f>
        <v/>
      </c>
    </row>
    <row r="218">
      <c r="A218">
        <f>IF('01_Master_Data'!B218="","",217)</f>
        <v/>
      </c>
      <c r="B218">
        <f>IF('01_Master_Data'!B218="","",IF('01_Master_Data'!C218&lt;&gt;"","MOB|"&amp;TEXT('01_Master_Data'!C218,"0"),IF('01_Master_Data'!D218&lt;&gt;"","PID|"&amp;TRIM('01_Master_Data'!D218&amp;""),"")))</f>
        <v/>
      </c>
      <c r="C218">
        <f>IF('01_Master_Data'!B218="","",'01_Master_Data'!B218)</f>
        <v/>
      </c>
      <c r="D218">
        <f>IF('01_Master_Data'!B218="","",'01_Master_Data'!C218)</f>
        <v/>
      </c>
      <c r="E218">
        <f>IF('01_Master_Data'!B218="","",'01_Master_Data'!D218)</f>
        <v/>
      </c>
      <c r="F218">
        <f>IF('01_Master_Data'!B218="","",'01_Master_Data'!E218)</f>
        <v/>
      </c>
      <c r="G218">
        <f>IF('01_Master_Data'!B218="","",IFERROR(VLOOKUP(TRIM('01_Master_Data'!E218&amp;""),'02_Configuration'!$A$40:$B$44,2,FALSE),UPPER(TRIM('01_Master_Data'!E218&amp;""))))</f>
        <v/>
      </c>
      <c r="H218">
        <f>IF('01_Master_Data'!B218="","",IF('01_Master_Data'!U218="","",TRIM('01_Master_Data'!U218&amp;"")))</f>
        <v/>
      </c>
      <c r="I218">
        <f>IF('01_Master_Data'!B218="","",TRIM('01_Master_Data'!F218&amp;""))</f>
        <v/>
      </c>
      <c r="J218">
        <f>IF('01_Master_Data'!B218="","",TRIM('01_Master_Data'!G218&amp;""))</f>
        <v/>
      </c>
      <c r="K218">
        <f>IF('01_Master_Data'!B218="","",'01_Master_Data'!H218)</f>
        <v/>
      </c>
      <c r="L218">
        <f>IF('01_Master_Data'!B218="","",IF(LOWER(TRIM('01_Master_Data'!V218&amp;""))="yes",1,0))</f>
        <v/>
      </c>
      <c r="M218">
        <f>IF('01_Master_Data'!B218="","",IF(LOWER(TRIM('01_Master_Data'!W218&amp;""))="yes",1,0))</f>
        <v/>
      </c>
      <c r="N218">
        <f>IF('01_Master_Data'!B218="","",IF(LOWER(TRIM('01_Master_Data'!X218&amp;""))="yes",1,0))</f>
        <v/>
      </c>
      <c r="O218">
        <f>IF('01_Master_Data'!B218="","",IF(LOWER(TRIM('01_Master_Data'!Y218&amp;""))="yes",1,0))</f>
        <v/>
      </c>
      <c r="P218">
        <f>IF('01_Master_Data'!B218="","",IF(LOWER(TRIM('01_Master_Data'!Z218&amp;""))="yes",1,0))</f>
        <v/>
      </c>
      <c r="Q218">
        <f>IF(A218="","",L218+M218+N218+O218+P218)</f>
        <v/>
      </c>
      <c r="R218">
        <f>IF(A218="","",IF(Q218&gt;1,"Yes","No"))</f>
        <v/>
      </c>
      <c r="S218">
        <f>IF(A218="","",TEXTJOIN(", ",TRUE,IF(L218=1,"ICICI",""),IF(M218=1,"Propelld",""),IF(N218=1,"Study4Buddy",""),IF(O218=1,"Poonawala Fincorp",""),IF(P218=1,"GyanDhan","")))</f>
        <v/>
      </c>
      <c r="T218">
        <f>IF(A218="","",IF(L218=1,"ICICI",IF(M218=1,"Propelld",IF(P218=1,"GyanDhan",IF(N218=1,"Study4Buddy",IF(O218=1,"Poonawala Fincorp",IF(ISNUMBER(SEARCH("GyanDhan",W218&amp;"")),"GyanDhan",IF(ISNUMBER(SEARCH("Icici",W218&amp;"")),"ICICI",IF(ISNUMBER(SEARCH("Propelld",W218&amp;"")),"Propelld",IF(ISNUMBER(SEARCH("vidyalakshmi",LOWER(W218&amp;"")),"PM Vidyalakshmi","—"))))))))))</f>
        <v/>
      </c>
      <c r="U218">
        <f>IF(A218="","",TRIM('01_Master_Data'!AA218&amp;""))</f>
        <v/>
      </c>
      <c r="V218">
        <f>IF(A218="","",TRIM('01_Master_Data'!AG218&amp;""))</f>
        <v/>
      </c>
      <c r="W218">
        <f>IF(A218="","",TRIM('01_Master_Data'!AH218&amp;""))</f>
        <v/>
      </c>
      <c r="X218">
        <f>IF(A218="","",IF(OR(LOWER(H218)="refund",LOWER(U218)="refund case"),"Refund",IF(OR(LOWER(H218)="dnp",LOWER(U218)="dnp"),"DNP",IF(OR(LOWER(V218)="disbursed",ISNUMBER(SEARCH("Disbursed",W218&amp;""))),"Disbursed",IF(OR(LOWER(V218)="loan proccessed/accepted",ISNUMBER(SEARCH("sanctioned",LOWER(W218&amp;"")))),"Sanctioned",IF(OR(LOWER(V218)="rejected",ISNUMBER(SEARCH("Not eligbile",W218&amp;"")),ISNUMBER(SEARCH("Not eligible",W218&amp;""))),"Rejected",IF(ISNUMBER(SEARCH("Docs Pending",W218&amp;"")),"Documents Pending",IF(AND(LOWER(H218)="yes",LOWER(V218)="ongoing"),"Processing",IF(AND(LOWER(H218)="yes",Q218&gt;0,OR(V218="",LOWER(V218)="not even started")),"Vendor Assigned",IF(AND(LOWER(H218)="yes",LOWER(V218)="not even started"),"Need Loan",IF(LOWER(H218)="yes","Loan Started",IF(LOWER(H218)="not sure","Interested",IF(OR(LOWER(H218)="no",LOWER(V218)="not required"),"Not Required","Unclassified")))))))))))))</f>
        <v/>
      </c>
      <c r="Y218">
        <f>IF(A218="","",IF(OR(X218="Sanctioned",X218="Disbursed",X218="Approved"),"Approved",IF(X218="Rejected","Rejected",IF(OR(X218="Processing",X218="Documents Pending",X218="Vendor Assigned"),"In Progress",IF(X218="Need Loan","Pending Start","—"))))</f>
        <v/>
      </c>
      <c r="Z218">
        <f>IF(A218="","",IF(X218="Disbursed","Disbursed",IF(X218="Sanctioned","Sanctioned - Awaiting Disbursement","Not Disbursed")))</f>
        <v/>
      </c>
      <c r="AA218">
        <f>IF(A218="","",IF(LOWER(TRIM('01_Master_Data'!AI218&amp;""))="yes","Need FLDG",IF(LOWER(TRIM('01_Master_Data'!AK218&amp;""))="yes","Need Vidyalakshmi",IF(LOWER(TRIM('01_Master_Data'!AJ218&amp;""))="yes","Need Review",IF(LOWER(J218)="critical","Critical",IF(LOWER(U218)="risk","Risk Case",IF(X218="Refund","Refund","Normal")))))))</f>
        <v/>
      </c>
      <c r="AB218">
        <f>IF(A218="","",IF(OR(LOWER(J218)="critical",LOWER(TRIM('01_Master_Data'!AI218&amp;""))="yes",LOWER(TRIM('01_Master_Data'!AK218&amp;""))="yes",LOWER(U218)="risk"),"Yes","No"))</f>
        <v/>
      </c>
      <c r="AC218">
        <f>IF(A218="","",IF(LOWER(TRIM('01_Master_Data'!AI218&amp;""))="yes","Yes","No"))</f>
        <v/>
      </c>
      <c r="AD218">
        <f>IF(A218="","",IF(LOWER(TRIM('01_Master_Data'!AK218&amp;""))="yes","Yes","No"))</f>
        <v/>
      </c>
      <c r="AE218">
        <f>IF(A218="","",IF(LOWER(TRIM('01_Master_Data'!AJ218&amp;""))="yes","Yes","No"))</f>
        <v/>
      </c>
      <c r="AF218">
        <f>IF(A218="","",TRIM('01_Master_Data'!AL218&amp;""))</f>
        <v/>
      </c>
      <c r="AG218">
        <f>IF(A218="","",IF(AF218="","—",IF(ISNUMBER(SEARCH("DNP",AF218)),"Unreachable / DNP",IF(ISNUMBER(SEARCH("interest",LOWER(AF218))),"High Interest / Terms",IF(OR(ISNUMBER(SEARCH("eligib",LOWER(AF218))),ISNUMBER(SEARCH("income",LOWER(AF218)))),"Eligibility / Income",IF(OR(ISNUMBER(SEARCH("start",LOWER(AF218))),ISNUMBER(SEARCH("Newer",AF218)),ISNUMBER(SEARCH("Will start",AF218))),"Process Yet to Start",IF(ISNUMBER(SEARCH("sure",LOWER(AF218))),"Undecided",IF(OR(ISNUMBER(SEARCH("reject",LOWER(AF218))),ISNUMBER(SEARCH("SBI",AF218))),"Rejected Elsewhere",IF(ISNUMBER(SEARCH("call",LOWER(AF218))),"Bank Communication",IF(OR(ISNUMBER(SEARCH("father",LOWER(AF218))),ISNUMBER(SEARCH("sister",LOWER(AF218)))),"Family / Dependency","Other"))))))))))</f>
        <v/>
      </c>
      <c r="AH218">
        <f>IF(A218="","",'01_Master_Data'!AC218)</f>
        <v/>
      </c>
      <c r="AI218">
        <f>IF(A218="","",IF(OR(AH218="",NOT(ISNUMBER(AH218))),"",MAX(0,'02_Configuration'!$B$82-AH218)))</f>
        <v/>
      </c>
      <c r="AJ218">
        <f>IF(A218="","",IF(AI218="","Unknown",IF(AI218&lt;=3,"0–3 Days",IF(AI218&lt;=7,"4–7 Days",IF(AI218&lt;=15,"8–15 Days",IF(AI218&lt;=30,"16–30 Days","30+ Days"))))))</f>
        <v/>
      </c>
      <c r="AK218">
        <f>IF(A218="","",IF(LOWER(H218)="yes","Yes","No"))</f>
        <v/>
      </c>
      <c r="AL218">
        <f>IF(A218="","",'01_Master_Data'!T218)</f>
        <v/>
      </c>
      <c r="AM218">
        <f>IF(A218="","",'01_Master_Data'!S218)</f>
        <v/>
      </c>
      <c r="AN218">
        <f>IF(A218="","",'01_Master_Data'!I218)</f>
        <v/>
      </c>
      <c r="AO218">
        <f>IF(A218="","",'01_Master_Data'!M218)</f>
        <v/>
      </c>
      <c r="AP218">
        <f>IF(A218="","",IF(ISNUMBER(SEARCH("Icici",W218&amp;"")),1,0))</f>
        <v/>
      </c>
      <c r="AQ218">
        <f>IF(A218="","",IF(ISNUMBER(SEARCH("Propelld",W218&amp;"")),1,0))</f>
        <v/>
      </c>
      <c r="AR218">
        <f>IF(A218="","",IF(ISNUMBER(SEARCH("GyanDhan",W218&amp;"")),1,0))</f>
        <v/>
      </c>
      <c r="AS218">
        <f>IF(A218="","",IF(ISNUMBER(SEARCH("vidyalakshmi",LOWER(W218&amp;""))),1,0))</f>
        <v/>
      </c>
      <c r="AT218">
        <f>IF(A218="","",IF(ISNUMBER(SEARCH("other bank",LOWER(W218&amp;""))),1,0))</f>
        <v/>
      </c>
      <c r="AU218">
        <f>IF(A218="","",IF(ISNUMBER(SEARCH("sanctioned",LOWER(W218&amp;""))),1,0))</f>
        <v/>
      </c>
      <c r="AV218">
        <f>IF(A218="","",IF(ISNUMBER(SEARCH("Docs Pending",W218&amp;"")),1,0))</f>
        <v/>
      </c>
      <c r="AW218">
        <f>IF(A218="","",IF(OR(X218="Rejected",ISNUMBER(SEARCH("Not eligbile",W218&amp;""))),1,0))</f>
        <v/>
      </c>
    </row>
    <row r="219">
      <c r="A219">
        <f>IF('01_Master_Data'!B219="","",218)</f>
        <v/>
      </c>
      <c r="B219">
        <f>IF('01_Master_Data'!B219="","",IF('01_Master_Data'!C219&lt;&gt;"","MOB|"&amp;TEXT('01_Master_Data'!C219,"0"),IF('01_Master_Data'!D219&lt;&gt;"","PID|"&amp;TRIM('01_Master_Data'!D219&amp;""),"")))</f>
        <v/>
      </c>
      <c r="C219">
        <f>IF('01_Master_Data'!B219="","",'01_Master_Data'!B219)</f>
        <v/>
      </c>
      <c r="D219">
        <f>IF('01_Master_Data'!B219="","",'01_Master_Data'!C219)</f>
        <v/>
      </c>
      <c r="E219">
        <f>IF('01_Master_Data'!B219="","",'01_Master_Data'!D219)</f>
        <v/>
      </c>
      <c r="F219">
        <f>IF('01_Master_Data'!B219="","",'01_Master_Data'!E219)</f>
        <v/>
      </c>
      <c r="G219">
        <f>IF('01_Master_Data'!B219="","",IFERROR(VLOOKUP(TRIM('01_Master_Data'!E219&amp;""),'02_Configuration'!$A$40:$B$44,2,FALSE),UPPER(TRIM('01_Master_Data'!E219&amp;""))))</f>
        <v/>
      </c>
      <c r="H219">
        <f>IF('01_Master_Data'!B219="","",IF('01_Master_Data'!U219="","",TRIM('01_Master_Data'!U219&amp;"")))</f>
        <v/>
      </c>
      <c r="I219">
        <f>IF('01_Master_Data'!B219="","",TRIM('01_Master_Data'!F219&amp;""))</f>
        <v/>
      </c>
      <c r="J219">
        <f>IF('01_Master_Data'!B219="","",TRIM('01_Master_Data'!G219&amp;""))</f>
        <v/>
      </c>
      <c r="K219">
        <f>IF('01_Master_Data'!B219="","",'01_Master_Data'!H219)</f>
        <v/>
      </c>
      <c r="L219">
        <f>IF('01_Master_Data'!B219="","",IF(LOWER(TRIM('01_Master_Data'!V219&amp;""))="yes",1,0))</f>
        <v/>
      </c>
      <c r="M219">
        <f>IF('01_Master_Data'!B219="","",IF(LOWER(TRIM('01_Master_Data'!W219&amp;""))="yes",1,0))</f>
        <v/>
      </c>
      <c r="N219">
        <f>IF('01_Master_Data'!B219="","",IF(LOWER(TRIM('01_Master_Data'!X219&amp;""))="yes",1,0))</f>
        <v/>
      </c>
      <c r="O219">
        <f>IF('01_Master_Data'!B219="","",IF(LOWER(TRIM('01_Master_Data'!Y219&amp;""))="yes",1,0))</f>
        <v/>
      </c>
      <c r="P219">
        <f>IF('01_Master_Data'!B219="","",IF(LOWER(TRIM('01_Master_Data'!Z219&amp;""))="yes",1,0))</f>
        <v/>
      </c>
      <c r="Q219">
        <f>IF(A219="","",L219+M219+N219+O219+P219)</f>
        <v/>
      </c>
      <c r="R219">
        <f>IF(A219="","",IF(Q219&gt;1,"Yes","No"))</f>
        <v/>
      </c>
      <c r="S219">
        <f>IF(A219="","",TEXTJOIN(", ",TRUE,IF(L219=1,"ICICI",""),IF(M219=1,"Propelld",""),IF(N219=1,"Study4Buddy",""),IF(O219=1,"Poonawala Fincorp",""),IF(P219=1,"GyanDhan","")))</f>
        <v/>
      </c>
      <c r="T219">
        <f>IF(A219="","",IF(L219=1,"ICICI",IF(M219=1,"Propelld",IF(P219=1,"GyanDhan",IF(N219=1,"Study4Buddy",IF(O219=1,"Poonawala Fincorp",IF(ISNUMBER(SEARCH("GyanDhan",W219&amp;"")),"GyanDhan",IF(ISNUMBER(SEARCH("Icici",W219&amp;"")),"ICICI",IF(ISNUMBER(SEARCH("Propelld",W219&amp;"")),"Propelld",IF(ISNUMBER(SEARCH("vidyalakshmi",LOWER(W219&amp;"")),"PM Vidyalakshmi","—"))))))))))</f>
        <v/>
      </c>
      <c r="U219">
        <f>IF(A219="","",TRIM('01_Master_Data'!AA219&amp;""))</f>
        <v/>
      </c>
      <c r="V219">
        <f>IF(A219="","",TRIM('01_Master_Data'!AG219&amp;""))</f>
        <v/>
      </c>
      <c r="W219">
        <f>IF(A219="","",TRIM('01_Master_Data'!AH219&amp;""))</f>
        <v/>
      </c>
      <c r="X219">
        <f>IF(A219="","",IF(OR(LOWER(H219)="refund",LOWER(U219)="refund case"),"Refund",IF(OR(LOWER(H219)="dnp",LOWER(U219)="dnp"),"DNP",IF(OR(LOWER(V219)="disbursed",ISNUMBER(SEARCH("Disbursed",W219&amp;""))),"Disbursed",IF(OR(LOWER(V219)="loan proccessed/accepted",ISNUMBER(SEARCH("sanctioned",LOWER(W219&amp;"")))),"Sanctioned",IF(OR(LOWER(V219)="rejected",ISNUMBER(SEARCH("Not eligbile",W219&amp;"")),ISNUMBER(SEARCH("Not eligible",W219&amp;""))),"Rejected",IF(ISNUMBER(SEARCH("Docs Pending",W219&amp;"")),"Documents Pending",IF(AND(LOWER(H219)="yes",LOWER(V219)="ongoing"),"Processing",IF(AND(LOWER(H219)="yes",Q219&gt;0,OR(V219="",LOWER(V219)="not even started")),"Vendor Assigned",IF(AND(LOWER(H219)="yes",LOWER(V219)="not even started"),"Need Loan",IF(LOWER(H219)="yes","Loan Started",IF(LOWER(H219)="not sure","Interested",IF(OR(LOWER(H219)="no",LOWER(V219)="not required"),"Not Required","Unclassified")))))))))))))</f>
        <v/>
      </c>
      <c r="Y219">
        <f>IF(A219="","",IF(OR(X219="Sanctioned",X219="Disbursed",X219="Approved"),"Approved",IF(X219="Rejected","Rejected",IF(OR(X219="Processing",X219="Documents Pending",X219="Vendor Assigned"),"In Progress",IF(X219="Need Loan","Pending Start","—"))))</f>
        <v/>
      </c>
      <c r="Z219">
        <f>IF(A219="","",IF(X219="Disbursed","Disbursed",IF(X219="Sanctioned","Sanctioned - Awaiting Disbursement","Not Disbursed")))</f>
        <v/>
      </c>
      <c r="AA219">
        <f>IF(A219="","",IF(LOWER(TRIM('01_Master_Data'!AI219&amp;""))="yes","Need FLDG",IF(LOWER(TRIM('01_Master_Data'!AK219&amp;""))="yes","Need Vidyalakshmi",IF(LOWER(TRIM('01_Master_Data'!AJ219&amp;""))="yes","Need Review",IF(LOWER(J219)="critical","Critical",IF(LOWER(U219)="risk","Risk Case",IF(X219="Refund","Refund","Normal")))))))</f>
        <v/>
      </c>
      <c r="AB219">
        <f>IF(A219="","",IF(OR(LOWER(J219)="critical",LOWER(TRIM('01_Master_Data'!AI219&amp;""))="yes",LOWER(TRIM('01_Master_Data'!AK219&amp;""))="yes",LOWER(U219)="risk"),"Yes","No"))</f>
        <v/>
      </c>
      <c r="AC219">
        <f>IF(A219="","",IF(LOWER(TRIM('01_Master_Data'!AI219&amp;""))="yes","Yes","No"))</f>
        <v/>
      </c>
      <c r="AD219">
        <f>IF(A219="","",IF(LOWER(TRIM('01_Master_Data'!AK219&amp;""))="yes","Yes","No"))</f>
        <v/>
      </c>
      <c r="AE219">
        <f>IF(A219="","",IF(LOWER(TRIM('01_Master_Data'!AJ219&amp;""))="yes","Yes","No"))</f>
        <v/>
      </c>
      <c r="AF219">
        <f>IF(A219="","",TRIM('01_Master_Data'!AL219&amp;""))</f>
        <v/>
      </c>
      <c r="AG219">
        <f>IF(A219="","",IF(AF219="","—",IF(ISNUMBER(SEARCH("DNP",AF219)),"Unreachable / DNP",IF(ISNUMBER(SEARCH("interest",LOWER(AF219))),"High Interest / Terms",IF(OR(ISNUMBER(SEARCH("eligib",LOWER(AF219))),ISNUMBER(SEARCH("income",LOWER(AF219)))),"Eligibility / Income",IF(OR(ISNUMBER(SEARCH("start",LOWER(AF219))),ISNUMBER(SEARCH("Newer",AF219)),ISNUMBER(SEARCH("Will start",AF219))),"Process Yet to Start",IF(ISNUMBER(SEARCH("sure",LOWER(AF219))),"Undecided",IF(OR(ISNUMBER(SEARCH("reject",LOWER(AF219))),ISNUMBER(SEARCH("SBI",AF219))),"Rejected Elsewhere",IF(ISNUMBER(SEARCH("call",LOWER(AF219))),"Bank Communication",IF(OR(ISNUMBER(SEARCH("father",LOWER(AF219))),ISNUMBER(SEARCH("sister",LOWER(AF219)))),"Family / Dependency","Other"))))))))))</f>
        <v/>
      </c>
      <c r="AH219">
        <f>IF(A219="","",'01_Master_Data'!AC219)</f>
        <v/>
      </c>
      <c r="AI219">
        <f>IF(A219="","",IF(OR(AH219="",NOT(ISNUMBER(AH219))),"",MAX(0,'02_Configuration'!$B$82-AH219)))</f>
        <v/>
      </c>
      <c r="AJ219">
        <f>IF(A219="","",IF(AI219="","Unknown",IF(AI219&lt;=3,"0–3 Days",IF(AI219&lt;=7,"4–7 Days",IF(AI219&lt;=15,"8–15 Days",IF(AI219&lt;=30,"16–30 Days","30+ Days"))))))</f>
        <v/>
      </c>
      <c r="AK219">
        <f>IF(A219="","",IF(LOWER(H219)="yes","Yes","No"))</f>
        <v/>
      </c>
      <c r="AL219">
        <f>IF(A219="","",'01_Master_Data'!T219)</f>
        <v/>
      </c>
      <c r="AM219">
        <f>IF(A219="","",'01_Master_Data'!S219)</f>
        <v/>
      </c>
      <c r="AN219">
        <f>IF(A219="","",'01_Master_Data'!I219)</f>
        <v/>
      </c>
      <c r="AO219">
        <f>IF(A219="","",'01_Master_Data'!M219)</f>
        <v/>
      </c>
      <c r="AP219">
        <f>IF(A219="","",IF(ISNUMBER(SEARCH("Icici",W219&amp;"")),1,0))</f>
        <v/>
      </c>
      <c r="AQ219">
        <f>IF(A219="","",IF(ISNUMBER(SEARCH("Propelld",W219&amp;"")),1,0))</f>
        <v/>
      </c>
      <c r="AR219">
        <f>IF(A219="","",IF(ISNUMBER(SEARCH("GyanDhan",W219&amp;"")),1,0))</f>
        <v/>
      </c>
      <c r="AS219">
        <f>IF(A219="","",IF(ISNUMBER(SEARCH("vidyalakshmi",LOWER(W219&amp;""))),1,0))</f>
        <v/>
      </c>
      <c r="AT219">
        <f>IF(A219="","",IF(ISNUMBER(SEARCH("other bank",LOWER(W219&amp;""))),1,0))</f>
        <v/>
      </c>
      <c r="AU219">
        <f>IF(A219="","",IF(ISNUMBER(SEARCH("sanctioned",LOWER(W219&amp;""))),1,0))</f>
        <v/>
      </c>
      <c r="AV219">
        <f>IF(A219="","",IF(ISNUMBER(SEARCH("Docs Pending",W219&amp;"")),1,0))</f>
        <v/>
      </c>
      <c r="AW219">
        <f>IF(A219="","",IF(OR(X219="Rejected",ISNUMBER(SEARCH("Not eligbile",W219&amp;""))),1,0))</f>
        <v/>
      </c>
    </row>
    <row r="220">
      <c r="A220">
        <f>IF('01_Master_Data'!B220="","",219)</f>
        <v/>
      </c>
      <c r="B220">
        <f>IF('01_Master_Data'!B220="","",IF('01_Master_Data'!C220&lt;&gt;"","MOB|"&amp;TEXT('01_Master_Data'!C220,"0"),IF('01_Master_Data'!D220&lt;&gt;"","PID|"&amp;TRIM('01_Master_Data'!D220&amp;""),"")))</f>
        <v/>
      </c>
      <c r="C220">
        <f>IF('01_Master_Data'!B220="","",'01_Master_Data'!B220)</f>
        <v/>
      </c>
      <c r="D220">
        <f>IF('01_Master_Data'!B220="","",'01_Master_Data'!C220)</f>
        <v/>
      </c>
      <c r="E220">
        <f>IF('01_Master_Data'!B220="","",'01_Master_Data'!D220)</f>
        <v/>
      </c>
      <c r="F220">
        <f>IF('01_Master_Data'!B220="","",'01_Master_Data'!E220)</f>
        <v/>
      </c>
      <c r="G220">
        <f>IF('01_Master_Data'!B220="","",IFERROR(VLOOKUP(TRIM('01_Master_Data'!E220&amp;""),'02_Configuration'!$A$40:$B$44,2,FALSE),UPPER(TRIM('01_Master_Data'!E220&amp;""))))</f>
        <v/>
      </c>
      <c r="H220">
        <f>IF('01_Master_Data'!B220="","",IF('01_Master_Data'!U220="","",TRIM('01_Master_Data'!U220&amp;"")))</f>
        <v/>
      </c>
      <c r="I220">
        <f>IF('01_Master_Data'!B220="","",TRIM('01_Master_Data'!F220&amp;""))</f>
        <v/>
      </c>
      <c r="J220">
        <f>IF('01_Master_Data'!B220="","",TRIM('01_Master_Data'!G220&amp;""))</f>
        <v/>
      </c>
      <c r="K220">
        <f>IF('01_Master_Data'!B220="","",'01_Master_Data'!H220)</f>
        <v/>
      </c>
      <c r="L220">
        <f>IF('01_Master_Data'!B220="","",IF(LOWER(TRIM('01_Master_Data'!V220&amp;""))="yes",1,0))</f>
        <v/>
      </c>
      <c r="M220">
        <f>IF('01_Master_Data'!B220="","",IF(LOWER(TRIM('01_Master_Data'!W220&amp;""))="yes",1,0))</f>
        <v/>
      </c>
      <c r="N220">
        <f>IF('01_Master_Data'!B220="","",IF(LOWER(TRIM('01_Master_Data'!X220&amp;""))="yes",1,0))</f>
        <v/>
      </c>
      <c r="O220">
        <f>IF('01_Master_Data'!B220="","",IF(LOWER(TRIM('01_Master_Data'!Y220&amp;""))="yes",1,0))</f>
        <v/>
      </c>
      <c r="P220">
        <f>IF('01_Master_Data'!B220="","",IF(LOWER(TRIM('01_Master_Data'!Z220&amp;""))="yes",1,0))</f>
        <v/>
      </c>
      <c r="Q220">
        <f>IF(A220="","",L220+M220+N220+O220+P220)</f>
        <v/>
      </c>
      <c r="R220">
        <f>IF(A220="","",IF(Q220&gt;1,"Yes","No"))</f>
        <v/>
      </c>
      <c r="S220">
        <f>IF(A220="","",TEXTJOIN(", ",TRUE,IF(L220=1,"ICICI",""),IF(M220=1,"Propelld",""),IF(N220=1,"Study4Buddy",""),IF(O220=1,"Poonawala Fincorp",""),IF(P220=1,"GyanDhan","")))</f>
        <v/>
      </c>
      <c r="T220">
        <f>IF(A220="","",IF(L220=1,"ICICI",IF(M220=1,"Propelld",IF(P220=1,"GyanDhan",IF(N220=1,"Study4Buddy",IF(O220=1,"Poonawala Fincorp",IF(ISNUMBER(SEARCH("GyanDhan",W220&amp;"")),"GyanDhan",IF(ISNUMBER(SEARCH("Icici",W220&amp;"")),"ICICI",IF(ISNUMBER(SEARCH("Propelld",W220&amp;"")),"Propelld",IF(ISNUMBER(SEARCH("vidyalakshmi",LOWER(W220&amp;"")),"PM Vidyalakshmi","—"))))))))))</f>
        <v/>
      </c>
      <c r="U220">
        <f>IF(A220="","",TRIM('01_Master_Data'!AA220&amp;""))</f>
        <v/>
      </c>
      <c r="V220">
        <f>IF(A220="","",TRIM('01_Master_Data'!AG220&amp;""))</f>
        <v/>
      </c>
      <c r="W220">
        <f>IF(A220="","",TRIM('01_Master_Data'!AH220&amp;""))</f>
        <v/>
      </c>
      <c r="X220">
        <f>IF(A220="","",IF(OR(LOWER(H220)="refund",LOWER(U220)="refund case"),"Refund",IF(OR(LOWER(H220)="dnp",LOWER(U220)="dnp"),"DNP",IF(OR(LOWER(V220)="disbursed",ISNUMBER(SEARCH("Disbursed",W220&amp;""))),"Disbursed",IF(OR(LOWER(V220)="loan proccessed/accepted",ISNUMBER(SEARCH("sanctioned",LOWER(W220&amp;"")))),"Sanctioned",IF(OR(LOWER(V220)="rejected",ISNUMBER(SEARCH("Not eligbile",W220&amp;"")),ISNUMBER(SEARCH("Not eligible",W220&amp;""))),"Rejected",IF(ISNUMBER(SEARCH("Docs Pending",W220&amp;"")),"Documents Pending",IF(AND(LOWER(H220)="yes",LOWER(V220)="ongoing"),"Processing",IF(AND(LOWER(H220)="yes",Q220&gt;0,OR(V220="",LOWER(V220)="not even started")),"Vendor Assigned",IF(AND(LOWER(H220)="yes",LOWER(V220)="not even started"),"Need Loan",IF(LOWER(H220)="yes","Loan Started",IF(LOWER(H220)="not sure","Interested",IF(OR(LOWER(H220)="no",LOWER(V220)="not required"),"Not Required","Unclassified")))))))))))))</f>
        <v/>
      </c>
      <c r="Y220">
        <f>IF(A220="","",IF(OR(X220="Sanctioned",X220="Disbursed",X220="Approved"),"Approved",IF(X220="Rejected","Rejected",IF(OR(X220="Processing",X220="Documents Pending",X220="Vendor Assigned"),"In Progress",IF(X220="Need Loan","Pending Start","—"))))</f>
        <v/>
      </c>
      <c r="Z220">
        <f>IF(A220="","",IF(X220="Disbursed","Disbursed",IF(X220="Sanctioned","Sanctioned - Awaiting Disbursement","Not Disbursed")))</f>
        <v/>
      </c>
      <c r="AA220">
        <f>IF(A220="","",IF(LOWER(TRIM('01_Master_Data'!AI220&amp;""))="yes","Need FLDG",IF(LOWER(TRIM('01_Master_Data'!AK220&amp;""))="yes","Need Vidyalakshmi",IF(LOWER(TRIM('01_Master_Data'!AJ220&amp;""))="yes","Need Review",IF(LOWER(J220)="critical","Critical",IF(LOWER(U220)="risk","Risk Case",IF(X220="Refund","Refund","Normal")))))))</f>
        <v/>
      </c>
      <c r="AB220">
        <f>IF(A220="","",IF(OR(LOWER(J220)="critical",LOWER(TRIM('01_Master_Data'!AI220&amp;""))="yes",LOWER(TRIM('01_Master_Data'!AK220&amp;""))="yes",LOWER(U220)="risk"),"Yes","No"))</f>
        <v/>
      </c>
      <c r="AC220">
        <f>IF(A220="","",IF(LOWER(TRIM('01_Master_Data'!AI220&amp;""))="yes","Yes","No"))</f>
        <v/>
      </c>
      <c r="AD220">
        <f>IF(A220="","",IF(LOWER(TRIM('01_Master_Data'!AK220&amp;""))="yes","Yes","No"))</f>
        <v/>
      </c>
      <c r="AE220">
        <f>IF(A220="","",IF(LOWER(TRIM('01_Master_Data'!AJ220&amp;""))="yes","Yes","No"))</f>
        <v/>
      </c>
      <c r="AF220">
        <f>IF(A220="","",TRIM('01_Master_Data'!AL220&amp;""))</f>
        <v/>
      </c>
      <c r="AG220">
        <f>IF(A220="","",IF(AF220="","—",IF(ISNUMBER(SEARCH("DNP",AF220)),"Unreachable / DNP",IF(ISNUMBER(SEARCH("interest",LOWER(AF220))),"High Interest / Terms",IF(OR(ISNUMBER(SEARCH("eligib",LOWER(AF220))),ISNUMBER(SEARCH("income",LOWER(AF220)))),"Eligibility / Income",IF(OR(ISNUMBER(SEARCH("start",LOWER(AF220))),ISNUMBER(SEARCH("Newer",AF220)),ISNUMBER(SEARCH("Will start",AF220))),"Process Yet to Start",IF(ISNUMBER(SEARCH("sure",LOWER(AF220))),"Undecided",IF(OR(ISNUMBER(SEARCH("reject",LOWER(AF220))),ISNUMBER(SEARCH("SBI",AF220))),"Rejected Elsewhere",IF(ISNUMBER(SEARCH("call",LOWER(AF220))),"Bank Communication",IF(OR(ISNUMBER(SEARCH("father",LOWER(AF220))),ISNUMBER(SEARCH("sister",LOWER(AF220)))),"Family / Dependency","Other"))))))))))</f>
        <v/>
      </c>
      <c r="AH220">
        <f>IF(A220="","",'01_Master_Data'!AC220)</f>
        <v/>
      </c>
      <c r="AI220">
        <f>IF(A220="","",IF(OR(AH220="",NOT(ISNUMBER(AH220))),"",MAX(0,'02_Configuration'!$B$82-AH220)))</f>
        <v/>
      </c>
      <c r="AJ220">
        <f>IF(A220="","",IF(AI220="","Unknown",IF(AI220&lt;=3,"0–3 Days",IF(AI220&lt;=7,"4–7 Days",IF(AI220&lt;=15,"8–15 Days",IF(AI220&lt;=30,"16–30 Days","30+ Days"))))))</f>
        <v/>
      </c>
      <c r="AK220">
        <f>IF(A220="","",IF(LOWER(H220)="yes","Yes","No"))</f>
        <v/>
      </c>
      <c r="AL220">
        <f>IF(A220="","",'01_Master_Data'!T220)</f>
        <v/>
      </c>
      <c r="AM220">
        <f>IF(A220="","",'01_Master_Data'!S220)</f>
        <v/>
      </c>
      <c r="AN220">
        <f>IF(A220="","",'01_Master_Data'!I220)</f>
        <v/>
      </c>
      <c r="AO220">
        <f>IF(A220="","",'01_Master_Data'!M220)</f>
        <v/>
      </c>
      <c r="AP220">
        <f>IF(A220="","",IF(ISNUMBER(SEARCH("Icici",W220&amp;"")),1,0))</f>
        <v/>
      </c>
      <c r="AQ220">
        <f>IF(A220="","",IF(ISNUMBER(SEARCH("Propelld",W220&amp;"")),1,0))</f>
        <v/>
      </c>
      <c r="AR220">
        <f>IF(A220="","",IF(ISNUMBER(SEARCH("GyanDhan",W220&amp;"")),1,0))</f>
        <v/>
      </c>
      <c r="AS220">
        <f>IF(A220="","",IF(ISNUMBER(SEARCH("vidyalakshmi",LOWER(W220&amp;""))),1,0))</f>
        <v/>
      </c>
      <c r="AT220">
        <f>IF(A220="","",IF(ISNUMBER(SEARCH("other bank",LOWER(W220&amp;""))),1,0))</f>
        <v/>
      </c>
      <c r="AU220">
        <f>IF(A220="","",IF(ISNUMBER(SEARCH("sanctioned",LOWER(W220&amp;""))),1,0))</f>
        <v/>
      </c>
      <c r="AV220">
        <f>IF(A220="","",IF(ISNUMBER(SEARCH("Docs Pending",W220&amp;"")),1,0))</f>
        <v/>
      </c>
      <c r="AW220">
        <f>IF(A220="","",IF(OR(X220="Rejected",ISNUMBER(SEARCH("Not eligbile",W220&amp;""))),1,0))</f>
        <v/>
      </c>
    </row>
    <row r="221">
      <c r="A221">
        <f>IF('01_Master_Data'!B221="","",220)</f>
        <v/>
      </c>
      <c r="B221">
        <f>IF('01_Master_Data'!B221="","",IF('01_Master_Data'!C221&lt;&gt;"","MOB|"&amp;TEXT('01_Master_Data'!C221,"0"),IF('01_Master_Data'!D221&lt;&gt;"","PID|"&amp;TRIM('01_Master_Data'!D221&amp;""),"")))</f>
        <v/>
      </c>
      <c r="C221">
        <f>IF('01_Master_Data'!B221="","",'01_Master_Data'!B221)</f>
        <v/>
      </c>
      <c r="D221">
        <f>IF('01_Master_Data'!B221="","",'01_Master_Data'!C221)</f>
        <v/>
      </c>
      <c r="E221">
        <f>IF('01_Master_Data'!B221="","",'01_Master_Data'!D221)</f>
        <v/>
      </c>
      <c r="F221">
        <f>IF('01_Master_Data'!B221="","",'01_Master_Data'!E221)</f>
        <v/>
      </c>
      <c r="G221">
        <f>IF('01_Master_Data'!B221="","",IFERROR(VLOOKUP(TRIM('01_Master_Data'!E221&amp;""),'02_Configuration'!$A$40:$B$44,2,FALSE),UPPER(TRIM('01_Master_Data'!E221&amp;""))))</f>
        <v/>
      </c>
      <c r="H221">
        <f>IF('01_Master_Data'!B221="","",IF('01_Master_Data'!U221="","",TRIM('01_Master_Data'!U221&amp;"")))</f>
        <v/>
      </c>
      <c r="I221">
        <f>IF('01_Master_Data'!B221="","",TRIM('01_Master_Data'!F221&amp;""))</f>
        <v/>
      </c>
      <c r="J221">
        <f>IF('01_Master_Data'!B221="","",TRIM('01_Master_Data'!G221&amp;""))</f>
        <v/>
      </c>
      <c r="K221">
        <f>IF('01_Master_Data'!B221="","",'01_Master_Data'!H221)</f>
        <v/>
      </c>
      <c r="L221">
        <f>IF('01_Master_Data'!B221="","",IF(LOWER(TRIM('01_Master_Data'!V221&amp;""))="yes",1,0))</f>
        <v/>
      </c>
      <c r="M221">
        <f>IF('01_Master_Data'!B221="","",IF(LOWER(TRIM('01_Master_Data'!W221&amp;""))="yes",1,0))</f>
        <v/>
      </c>
      <c r="N221">
        <f>IF('01_Master_Data'!B221="","",IF(LOWER(TRIM('01_Master_Data'!X221&amp;""))="yes",1,0))</f>
        <v/>
      </c>
      <c r="O221">
        <f>IF('01_Master_Data'!B221="","",IF(LOWER(TRIM('01_Master_Data'!Y221&amp;""))="yes",1,0))</f>
        <v/>
      </c>
      <c r="P221">
        <f>IF('01_Master_Data'!B221="","",IF(LOWER(TRIM('01_Master_Data'!Z221&amp;""))="yes",1,0))</f>
        <v/>
      </c>
      <c r="Q221">
        <f>IF(A221="","",L221+M221+N221+O221+P221)</f>
        <v/>
      </c>
      <c r="R221">
        <f>IF(A221="","",IF(Q221&gt;1,"Yes","No"))</f>
        <v/>
      </c>
      <c r="S221">
        <f>IF(A221="","",TEXTJOIN(", ",TRUE,IF(L221=1,"ICICI",""),IF(M221=1,"Propelld",""),IF(N221=1,"Study4Buddy",""),IF(O221=1,"Poonawala Fincorp",""),IF(P221=1,"GyanDhan","")))</f>
        <v/>
      </c>
      <c r="T221">
        <f>IF(A221="","",IF(L221=1,"ICICI",IF(M221=1,"Propelld",IF(P221=1,"GyanDhan",IF(N221=1,"Study4Buddy",IF(O221=1,"Poonawala Fincorp",IF(ISNUMBER(SEARCH("GyanDhan",W221&amp;"")),"GyanDhan",IF(ISNUMBER(SEARCH("Icici",W221&amp;"")),"ICICI",IF(ISNUMBER(SEARCH("Propelld",W221&amp;"")),"Propelld",IF(ISNUMBER(SEARCH("vidyalakshmi",LOWER(W221&amp;"")),"PM Vidyalakshmi","—"))))))))))</f>
        <v/>
      </c>
      <c r="U221">
        <f>IF(A221="","",TRIM('01_Master_Data'!AA221&amp;""))</f>
        <v/>
      </c>
      <c r="V221">
        <f>IF(A221="","",TRIM('01_Master_Data'!AG221&amp;""))</f>
        <v/>
      </c>
      <c r="W221">
        <f>IF(A221="","",TRIM('01_Master_Data'!AH221&amp;""))</f>
        <v/>
      </c>
      <c r="X221">
        <f>IF(A221="","",IF(OR(LOWER(H221)="refund",LOWER(U221)="refund case"),"Refund",IF(OR(LOWER(H221)="dnp",LOWER(U221)="dnp"),"DNP",IF(OR(LOWER(V221)="disbursed",ISNUMBER(SEARCH("Disbursed",W221&amp;""))),"Disbursed",IF(OR(LOWER(V221)="loan proccessed/accepted",ISNUMBER(SEARCH("sanctioned",LOWER(W221&amp;"")))),"Sanctioned",IF(OR(LOWER(V221)="rejected",ISNUMBER(SEARCH("Not eligbile",W221&amp;"")),ISNUMBER(SEARCH("Not eligible",W221&amp;""))),"Rejected",IF(ISNUMBER(SEARCH("Docs Pending",W221&amp;"")),"Documents Pending",IF(AND(LOWER(H221)="yes",LOWER(V221)="ongoing"),"Processing",IF(AND(LOWER(H221)="yes",Q221&gt;0,OR(V221="",LOWER(V221)="not even started")),"Vendor Assigned",IF(AND(LOWER(H221)="yes",LOWER(V221)="not even started"),"Need Loan",IF(LOWER(H221)="yes","Loan Started",IF(LOWER(H221)="not sure","Interested",IF(OR(LOWER(H221)="no",LOWER(V221)="not required"),"Not Required","Unclassified")))))))))))))</f>
        <v/>
      </c>
      <c r="Y221">
        <f>IF(A221="","",IF(OR(X221="Sanctioned",X221="Disbursed",X221="Approved"),"Approved",IF(X221="Rejected","Rejected",IF(OR(X221="Processing",X221="Documents Pending",X221="Vendor Assigned"),"In Progress",IF(X221="Need Loan","Pending Start","—"))))</f>
        <v/>
      </c>
      <c r="Z221">
        <f>IF(A221="","",IF(X221="Disbursed","Disbursed",IF(X221="Sanctioned","Sanctioned - Awaiting Disbursement","Not Disbursed")))</f>
        <v/>
      </c>
      <c r="AA221">
        <f>IF(A221="","",IF(LOWER(TRIM('01_Master_Data'!AI221&amp;""))="yes","Need FLDG",IF(LOWER(TRIM('01_Master_Data'!AK221&amp;""))="yes","Need Vidyalakshmi",IF(LOWER(TRIM('01_Master_Data'!AJ221&amp;""))="yes","Need Review",IF(LOWER(J221)="critical","Critical",IF(LOWER(U221)="risk","Risk Case",IF(X221="Refund","Refund","Normal")))))))</f>
        <v/>
      </c>
      <c r="AB221">
        <f>IF(A221="","",IF(OR(LOWER(J221)="critical",LOWER(TRIM('01_Master_Data'!AI221&amp;""))="yes",LOWER(TRIM('01_Master_Data'!AK221&amp;""))="yes",LOWER(U221)="risk"),"Yes","No"))</f>
        <v/>
      </c>
      <c r="AC221">
        <f>IF(A221="","",IF(LOWER(TRIM('01_Master_Data'!AI221&amp;""))="yes","Yes","No"))</f>
        <v/>
      </c>
      <c r="AD221">
        <f>IF(A221="","",IF(LOWER(TRIM('01_Master_Data'!AK221&amp;""))="yes","Yes","No"))</f>
        <v/>
      </c>
      <c r="AE221">
        <f>IF(A221="","",IF(LOWER(TRIM('01_Master_Data'!AJ221&amp;""))="yes","Yes","No"))</f>
        <v/>
      </c>
      <c r="AF221">
        <f>IF(A221="","",TRIM('01_Master_Data'!AL221&amp;""))</f>
        <v/>
      </c>
      <c r="AG221">
        <f>IF(A221="","",IF(AF221="","—",IF(ISNUMBER(SEARCH("DNP",AF221)),"Unreachable / DNP",IF(ISNUMBER(SEARCH("interest",LOWER(AF221))),"High Interest / Terms",IF(OR(ISNUMBER(SEARCH("eligib",LOWER(AF221))),ISNUMBER(SEARCH("income",LOWER(AF221)))),"Eligibility / Income",IF(OR(ISNUMBER(SEARCH("start",LOWER(AF221))),ISNUMBER(SEARCH("Newer",AF221)),ISNUMBER(SEARCH("Will start",AF221))),"Process Yet to Start",IF(ISNUMBER(SEARCH("sure",LOWER(AF221))),"Undecided",IF(OR(ISNUMBER(SEARCH("reject",LOWER(AF221))),ISNUMBER(SEARCH("SBI",AF221))),"Rejected Elsewhere",IF(ISNUMBER(SEARCH("call",LOWER(AF221))),"Bank Communication",IF(OR(ISNUMBER(SEARCH("father",LOWER(AF221))),ISNUMBER(SEARCH("sister",LOWER(AF221)))),"Family / Dependency","Other"))))))))))</f>
        <v/>
      </c>
      <c r="AH221">
        <f>IF(A221="","",'01_Master_Data'!AC221)</f>
        <v/>
      </c>
      <c r="AI221">
        <f>IF(A221="","",IF(OR(AH221="",NOT(ISNUMBER(AH221))),"",MAX(0,'02_Configuration'!$B$82-AH221)))</f>
        <v/>
      </c>
      <c r="AJ221">
        <f>IF(A221="","",IF(AI221="","Unknown",IF(AI221&lt;=3,"0–3 Days",IF(AI221&lt;=7,"4–7 Days",IF(AI221&lt;=15,"8–15 Days",IF(AI221&lt;=30,"16–30 Days","30+ Days"))))))</f>
        <v/>
      </c>
      <c r="AK221">
        <f>IF(A221="","",IF(LOWER(H221)="yes","Yes","No"))</f>
        <v/>
      </c>
      <c r="AL221">
        <f>IF(A221="","",'01_Master_Data'!T221)</f>
        <v/>
      </c>
      <c r="AM221">
        <f>IF(A221="","",'01_Master_Data'!S221)</f>
        <v/>
      </c>
      <c r="AN221">
        <f>IF(A221="","",'01_Master_Data'!I221)</f>
        <v/>
      </c>
      <c r="AO221">
        <f>IF(A221="","",'01_Master_Data'!M221)</f>
        <v/>
      </c>
      <c r="AP221">
        <f>IF(A221="","",IF(ISNUMBER(SEARCH("Icici",W221&amp;"")),1,0))</f>
        <v/>
      </c>
      <c r="AQ221">
        <f>IF(A221="","",IF(ISNUMBER(SEARCH("Propelld",W221&amp;"")),1,0))</f>
        <v/>
      </c>
      <c r="AR221">
        <f>IF(A221="","",IF(ISNUMBER(SEARCH("GyanDhan",W221&amp;"")),1,0))</f>
        <v/>
      </c>
      <c r="AS221">
        <f>IF(A221="","",IF(ISNUMBER(SEARCH("vidyalakshmi",LOWER(W221&amp;""))),1,0))</f>
        <v/>
      </c>
      <c r="AT221">
        <f>IF(A221="","",IF(ISNUMBER(SEARCH("other bank",LOWER(W221&amp;""))),1,0))</f>
        <v/>
      </c>
      <c r="AU221">
        <f>IF(A221="","",IF(ISNUMBER(SEARCH("sanctioned",LOWER(W221&amp;""))),1,0))</f>
        <v/>
      </c>
      <c r="AV221">
        <f>IF(A221="","",IF(ISNUMBER(SEARCH("Docs Pending",W221&amp;"")),1,0))</f>
        <v/>
      </c>
      <c r="AW221">
        <f>IF(A221="","",IF(OR(X221="Rejected",ISNUMBER(SEARCH("Not eligbile",W221&amp;""))),1,0))</f>
        <v/>
      </c>
    </row>
    <row r="222">
      <c r="A222">
        <f>IF('01_Master_Data'!B222="","",221)</f>
        <v/>
      </c>
      <c r="B222">
        <f>IF('01_Master_Data'!B222="","",IF('01_Master_Data'!C222&lt;&gt;"","MOB|"&amp;TEXT('01_Master_Data'!C222,"0"),IF('01_Master_Data'!D222&lt;&gt;"","PID|"&amp;TRIM('01_Master_Data'!D222&amp;""),"")))</f>
        <v/>
      </c>
      <c r="C222">
        <f>IF('01_Master_Data'!B222="","",'01_Master_Data'!B222)</f>
        <v/>
      </c>
      <c r="D222">
        <f>IF('01_Master_Data'!B222="","",'01_Master_Data'!C222)</f>
        <v/>
      </c>
      <c r="E222">
        <f>IF('01_Master_Data'!B222="","",'01_Master_Data'!D222)</f>
        <v/>
      </c>
      <c r="F222">
        <f>IF('01_Master_Data'!B222="","",'01_Master_Data'!E222)</f>
        <v/>
      </c>
      <c r="G222">
        <f>IF('01_Master_Data'!B222="","",IFERROR(VLOOKUP(TRIM('01_Master_Data'!E222&amp;""),'02_Configuration'!$A$40:$B$44,2,FALSE),UPPER(TRIM('01_Master_Data'!E222&amp;""))))</f>
        <v/>
      </c>
      <c r="H222">
        <f>IF('01_Master_Data'!B222="","",IF('01_Master_Data'!U222="","",TRIM('01_Master_Data'!U222&amp;"")))</f>
        <v/>
      </c>
      <c r="I222">
        <f>IF('01_Master_Data'!B222="","",TRIM('01_Master_Data'!F222&amp;""))</f>
        <v/>
      </c>
      <c r="J222">
        <f>IF('01_Master_Data'!B222="","",TRIM('01_Master_Data'!G222&amp;""))</f>
        <v/>
      </c>
      <c r="K222">
        <f>IF('01_Master_Data'!B222="","",'01_Master_Data'!H222)</f>
        <v/>
      </c>
      <c r="L222">
        <f>IF('01_Master_Data'!B222="","",IF(LOWER(TRIM('01_Master_Data'!V222&amp;""))="yes",1,0))</f>
        <v/>
      </c>
      <c r="M222">
        <f>IF('01_Master_Data'!B222="","",IF(LOWER(TRIM('01_Master_Data'!W222&amp;""))="yes",1,0))</f>
        <v/>
      </c>
      <c r="N222">
        <f>IF('01_Master_Data'!B222="","",IF(LOWER(TRIM('01_Master_Data'!X222&amp;""))="yes",1,0))</f>
        <v/>
      </c>
      <c r="O222">
        <f>IF('01_Master_Data'!B222="","",IF(LOWER(TRIM('01_Master_Data'!Y222&amp;""))="yes",1,0))</f>
        <v/>
      </c>
      <c r="P222">
        <f>IF('01_Master_Data'!B222="","",IF(LOWER(TRIM('01_Master_Data'!Z222&amp;""))="yes",1,0))</f>
        <v/>
      </c>
      <c r="Q222">
        <f>IF(A222="","",L222+M222+N222+O222+P222)</f>
        <v/>
      </c>
      <c r="R222">
        <f>IF(A222="","",IF(Q222&gt;1,"Yes","No"))</f>
        <v/>
      </c>
      <c r="S222">
        <f>IF(A222="","",TEXTJOIN(", ",TRUE,IF(L222=1,"ICICI",""),IF(M222=1,"Propelld",""),IF(N222=1,"Study4Buddy",""),IF(O222=1,"Poonawala Fincorp",""),IF(P222=1,"GyanDhan","")))</f>
        <v/>
      </c>
      <c r="T222">
        <f>IF(A222="","",IF(L222=1,"ICICI",IF(M222=1,"Propelld",IF(P222=1,"GyanDhan",IF(N222=1,"Study4Buddy",IF(O222=1,"Poonawala Fincorp",IF(ISNUMBER(SEARCH("GyanDhan",W222&amp;"")),"GyanDhan",IF(ISNUMBER(SEARCH("Icici",W222&amp;"")),"ICICI",IF(ISNUMBER(SEARCH("Propelld",W222&amp;"")),"Propelld",IF(ISNUMBER(SEARCH("vidyalakshmi",LOWER(W222&amp;"")),"PM Vidyalakshmi","—"))))))))))</f>
        <v/>
      </c>
      <c r="U222">
        <f>IF(A222="","",TRIM('01_Master_Data'!AA222&amp;""))</f>
        <v/>
      </c>
      <c r="V222">
        <f>IF(A222="","",TRIM('01_Master_Data'!AG222&amp;""))</f>
        <v/>
      </c>
      <c r="W222">
        <f>IF(A222="","",TRIM('01_Master_Data'!AH222&amp;""))</f>
        <v/>
      </c>
      <c r="X222">
        <f>IF(A222="","",IF(OR(LOWER(H222)="refund",LOWER(U222)="refund case"),"Refund",IF(OR(LOWER(H222)="dnp",LOWER(U222)="dnp"),"DNP",IF(OR(LOWER(V222)="disbursed",ISNUMBER(SEARCH("Disbursed",W222&amp;""))),"Disbursed",IF(OR(LOWER(V222)="loan proccessed/accepted",ISNUMBER(SEARCH("sanctioned",LOWER(W222&amp;"")))),"Sanctioned",IF(OR(LOWER(V222)="rejected",ISNUMBER(SEARCH("Not eligbile",W222&amp;"")),ISNUMBER(SEARCH("Not eligible",W222&amp;""))),"Rejected",IF(ISNUMBER(SEARCH("Docs Pending",W222&amp;"")),"Documents Pending",IF(AND(LOWER(H222)="yes",LOWER(V222)="ongoing"),"Processing",IF(AND(LOWER(H222)="yes",Q222&gt;0,OR(V222="",LOWER(V222)="not even started")),"Vendor Assigned",IF(AND(LOWER(H222)="yes",LOWER(V222)="not even started"),"Need Loan",IF(LOWER(H222)="yes","Loan Started",IF(LOWER(H222)="not sure","Interested",IF(OR(LOWER(H222)="no",LOWER(V222)="not required"),"Not Required","Unclassified")))))))))))))</f>
        <v/>
      </c>
      <c r="Y222">
        <f>IF(A222="","",IF(OR(X222="Sanctioned",X222="Disbursed",X222="Approved"),"Approved",IF(X222="Rejected","Rejected",IF(OR(X222="Processing",X222="Documents Pending",X222="Vendor Assigned"),"In Progress",IF(X222="Need Loan","Pending Start","—"))))</f>
        <v/>
      </c>
      <c r="Z222">
        <f>IF(A222="","",IF(X222="Disbursed","Disbursed",IF(X222="Sanctioned","Sanctioned - Awaiting Disbursement","Not Disbursed")))</f>
        <v/>
      </c>
      <c r="AA222">
        <f>IF(A222="","",IF(LOWER(TRIM('01_Master_Data'!AI222&amp;""))="yes","Need FLDG",IF(LOWER(TRIM('01_Master_Data'!AK222&amp;""))="yes","Need Vidyalakshmi",IF(LOWER(TRIM('01_Master_Data'!AJ222&amp;""))="yes","Need Review",IF(LOWER(J222)="critical","Critical",IF(LOWER(U222)="risk","Risk Case",IF(X222="Refund","Refund","Normal")))))))</f>
        <v/>
      </c>
      <c r="AB222">
        <f>IF(A222="","",IF(OR(LOWER(J222)="critical",LOWER(TRIM('01_Master_Data'!AI222&amp;""))="yes",LOWER(TRIM('01_Master_Data'!AK222&amp;""))="yes",LOWER(U222)="risk"),"Yes","No"))</f>
        <v/>
      </c>
      <c r="AC222">
        <f>IF(A222="","",IF(LOWER(TRIM('01_Master_Data'!AI222&amp;""))="yes","Yes","No"))</f>
        <v/>
      </c>
      <c r="AD222">
        <f>IF(A222="","",IF(LOWER(TRIM('01_Master_Data'!AK222&amp;""))="yes","Yes","No"))</f>
        <v/>
      </c>
      <c r="AE222">
        <f>IF(A222="","",IF(LOWER(TRIM('01_Master_Data'!AJ222&amp;""))="yes","Yes","No"))</f>
        <v/>
      </c>
      <c r="AF222">
        <f>IF(A222="","",TRIM('01_Master_Data'!AL222&amp;""))</f>
        <v/>
      </c>
      <c r="AG222">
        <f>IF(A222="","",IF(AF222="","—",IF(ISNUMBER(SEARCH("DNP",AF222)),"Unreachable / DNP",IF(ISNUMBER(SEARCH("interest",LOWER(AF222))),"High Interest / Terms",IF(OR(ISNUMBER(SEARCH("eligib",LOWER(AF222))),ISNUMBER(SEARCH("income",LOWER(AF222)))),"Eligibility / Income",IF(OR(ISNUMBER(SEARCH("start",LOWER(AF222))),ISNUMBER(SEARCH("Newer",AF222)),ISNUMBER(SEARCH("Will start",AF222))),"Process Yet to Start",IF(ISNUMBER(SEARCH("sure",LOWER(AF222))),"Undecided",IF(OR(ISNUMBER(SEARCH("reject",LOWER(AF222))),ISNUMBER(SEARCH("SBI",AF222))),"Rejected Elsewhere",IF(ISNUMBER(SEARCH("call",LOWER(AF222))),"Bank Communication",IF(OR(ISNUMBER(SEARCH("father",LOWER(AF222))),ISNUMBER(SEARCH("sister",LOWER(AF222)))),"Family / Dependency","Other"))))))))))</f>
        <v/>
      </c>
      <c r="AH222">
        <f>IF(A222="","",'01_Master_Data'!AC222)</f>
        <v/>
      </c>
      <c r="AI222">
        <f>IF(A222="","",IF(OR(AH222="",NOT(ISNUMBER(AH222))),"",MAX(0,'02_Configuration'!$B$82-AH222)))</f>
        <v/>
      </c>
      <c r="AJ222">
        <f>IF(A222="","",IF(AI222="","Unknown",IF(AI222&lt;=3,"0–3 Days",IF(AI222&lt;=7,"4–7 Days",IF(AI222&lt;=15,"8–15 Days",IF(AI222&lt;=30,"16–30 Days","30+ Days"))))))</f>
        <v/>
      </c>
      <c r="AK222">
        <f>IF(A222="","",IF(LOWER(H222)="yes","Yes","No"))</f>
        <v/>
      </c>
      <c r="AL222">
        <f>IF(A222="","",'01_Master_Data'!T222)</f>
        <v/>
      </c>
      <c r="AM222">
        <f>IF(A222="","",'01_Master_Data'!S222)</f>
        <v/>
      </c>
      <c r="AN222">
        <f>IF(A222="","",'01_Master_Data'!I222)</f>
        <v/>
      </c>
      <c r="AO222">
        <f>IF(A222="","",'01_Master_Data'!M222)</f>
        <v/>
      </c>
      <c r="AP222">
        <f>IF(A222="","",IF(ISNUMBER(SEARCH("Icici",W222&amp;"")),1,0))</f>
        <v/>
      </c>
      <c r="AQ222">
        <f>IF(A222="","",IF(ISNUMBER(SEARCH("Propelld",W222&amp;"")),1,0))</f>
        <v/>
      </c>
      <c r="AR222">
        <f>IF(A222="","",IF(ISNUMBER(SEARCH("GyanDhan",W222&amp;"")),1,0))</f>
        <v/>
      </c>
      <c r="AS222">
        <f>IF(A222="","",IF(ISNUMBER(SEARCH("vidyalakshmi",LOWER(W222&amp;""))),1,0))</f>
        <v/>
      </c>
      <c r="AT222">
        <f>IF(A222="","",IF(ISNUMBER(SEARCH("other bank",LOWER(W222&amp;""))),1,0))</f>
        <v/>
      </c>
      <c r="AU222">
        <f>IF(A222="","",IF(ISNUMBER(SEARCH("sanctioned",LOWER(W222&amp;""))),1,0))</f>
        <v/>
      </c>
      <c r="AV222">
        <f>IF(A222="","",IF(ISNUMBER(SEARCH("Docs Pending",W222&amp;"")),1,0))</f>
        <v/>
      </c>
      <c r="AW222">
        <f>IF(A222="","",IF(OR(X222="Rejected",ISNUMBER(SEARCH("Not eligbile",W222&amp;""))),1,0))</f>
        <v/>
      </c>
    </row>
    <row r="223">
      <c r="A223">
        <f>IF('01_Master_Data'!B223="","",222)</f>
        <v/>
      </c>
      <c r="B223">
        <f>IF('01_Master_Data'!B223="","",IF('01_Master_Data'!C223&lt;&gt;"","MOB|"&amp;TEXT('01_Master_Data'!C223,"0"),IF('01_Master_Data'!D223&lt;&gt;"","PID|"&amp;TRIM('01_Master_Data'!D223&amp;""),"")))</f>
        <v/>
      </c>
      <c r="C223">
        <f>IF('01_Master_Data'!B223="","",'01_Master_Data'!B223)</f>
        <v/>
      </c>
      <c r="D223">
        <f>IF('01_Master_Data'!B223="","",'01_Master_Data'!C223)</f>
        <v/>
      </c>
      <c r="E223">
        <f>IF('01_Master_Data'!B223="","",'01_Master_Data'!D223)</f>
        <v/>
      </c>
      <c r="F223">
        <f>IF('01_Master_Data'!B223="","",'01_Master_Data'!E223)</f>
        <v/>
      </c>
      <c r="G223">
        <f>IF('01_Master_Data'!B223="","",IFERROR(VLOOKUP(TRIM('01_Master_Data'!E223&amp;""),'02_Configuration'!$A$40:$B$44,2,FALSE),UPPER(TRIM('01_Master_Data'!E223&amp;""))))</f>
        <v/>
      </c>
      <c r="H223">
        <f>IF('01_Master_Data'!B223="","",IF('01_Master_Data'!U223="","",TRIM('01_Master_Data'!U223&amp;"")))</f>
        <v/>
      </c>
      <c r="I223">
        <f>IF('01_Master_Data'!B223="","",TRIM('01_Master_Data'!F223&amp;""))</f>
        <v/>
      </c>
      <c r="J223">
        <f>IF('01_Master_Data'!B223="","",TRIM('01_Master_Data'!G223&amp;""))</f>
        <v/>
      </c>
      <c r="K223">
        <f>IF('01_Master_Data'!B223="","",'01_Master_Data'!H223)</f>
        <v/>
      </c>
      <c r="L223">
        <f>IF('01_Master_Data'!B223="","",IF(LOWER(TRIM('01_Master_Data'!V223&amp;""))="yes",1,0))</f>
        <v/>
      </c>
      <c r="M223">
        <f>IF('01_Master_Data'!B223="","",IF(LOWER(TRIM('01_Master_Data'!W223&amp;""))="yes",1,0))</f>
        <v/>
      </c>
      <c r="N223">
        <f>IF('01_Master_Data'!B223="","",IF(LOWER(TRIM('01_Master_Data'!X223&amp;""))="yes",1,0))</f>
        <v/>
      </c>
      <c r="O223">
        <f>IF('01_Master_Data'!B223="","",IF(LOWER(TRIM('01_Master_Data'!Y223&amp;""))="yes",1,0))</f>
        <v/>
      </c>
      <c r="P223">
        <f>IF('01_Master_Data'!B223="","",IF(LOWER(TRIM('01_Master_Data'!Z223&amp;""))="yes",1,0))</f>
        <v/>
      </c>
      <c r="Q223">
        <f>IF(A223="","",L223+M223+N223+O223+P223)</f>
        <v/>
      </c>
      <c r="R223">
        <f>IF(A223="","",IF(Q223&gt;1,"Yes","No"))</f>
        <v/>
      </c>
      <c r="S223">
        <f>IF(A223="","",TEXTJOIN(", ",TRUE,IF(L223=1,"ICICI",""),IF(M223=1,"Propelld",""),IF(N223=1,"Study4Buddy",""),IF(O223=1,"Poonawala Fincorp",""),IF(P223=1,"GyanDhan","")))</f>
        <v/>
      </c>
      <c r="T223">
        <f>IF(A223="","",IF(L223=1,"ICICI",IF(M223=1,"Propelld",IF(P223=1,"GyanDhan",IF(N223=1,"Study4Buddy",IF(O223=1,"Poonawala Fincorp",IF(ISNUMBER(SEARCH("GyanDhan",W223&amp;"")),"GyanDhan",IF(ISNUMBER(SEARCH("Icici",W223&amp;"")),"ICICI",IF(ISNUMBER(SEARCH("Propelld",W223&amp;"")),"Propelld",IF(ISNUMBER(SEARCH("vidyalakshmi",LOWER(W223&amp;"")),"PM Vidyalakshmi","—"))))))))))</f>
        <v/>
      </c>
      <c r="U223">
        <f>IF(A223="","",TRIM('01_Master_Data'!AA223&amp;""))</f>
        <v/>
      </c>
      <c r="V223">
        <f>IF(A223="","",TRIM('01_Master_Data'!AG223&amp;""))</f>
        <v/>
      </c>
      <c r="W223">
        <f>IF(A223="","",TRIM('01_Master_Data'!AH223&amp;""))</f>
        <v/>
      </c>
      <c r="X223">
        <f>IF(A223="","",IF(OR(LOWER(H223)="refund",LOWER(U223)="refund case"),"Refund",IF(OR(LOWER(H223)="dnp",LOWER(U223)="dnp"),"DNP",IF(OR(LOWER(V223)="disbursed",ISNUMBER(SEARCH("Disbursed",W223&amp;""))),"Disbursed",IF(OR(LOWER(V223)="loan proccessed/accepted",ISNUMBER(SEARCH("sanctioned",LOWER(W223&amp;"")))),"Sanctioned",IF(OR(LOWER(V223)="rejected",ISNUMBER(SEARCH("Not eligbile",W223&amp;"")),ISNUMBER(SEARCH("Not eligible",W223&amp;""))),"Rejected",IF(ISNUMBER(SEARCH("Docs Pending",W223&amp;"")),"Documents Pending",IF(AND(LOWER(H223)="yes",LOWER(V223)="ongoing"),"Processing",IF(AND(LOWER(H223)="yes",Q223&gt;0,OR(V223="",LOWER(V223)="not even started")),"Vendor Assigned",IF(AND(LOWER(H223)="yes",LOWER(V223)="not even started"),"Need Loan",IF(LOWER(H223)="yes","Loan Started",IF(LOWER(H223)="not sure","Interested",IF(OR(LOWER(H223)="no",LOWER(V223)="not required"),"Not Required","Unclassified")))))))))))))</f>
        <v/>
      </c>
      <c r="Y223">
        <f>IF(A223="","",IF(OR(X223="Sanctioned",X223="Disbursed",X223="Approved"),"Approved",IF(X223="Rejected","Rejected",IF(OR(X223="Processing",X223="Documents Pending",X223="Vendor Assigned"),"In Progress",IF(X223="Need Loan","Pending Start","—"))))</f>
        <v/>
      </c>
      <c r="Z223">
        <f>IF(A223="","",IF(X223="Disbursed","Disbursed",IF(X223="Sanctioned","Sanctioned - Awaiting Disbursement","Not Disbursed")))</f>
        <v/>
      </c>
      <c r="AA223">
        <f>IF(A223="","",IF(LOWER(TRIM('01_Master_Data'!AI223&amp;""))="yes","Need FLDG",IF(LOWER(TRIM('01_Master_Data'!AK223&amp;""))="yes","Need Vidyalakshmi",IF(LOWER(TRIM('01_Master_Data'!AJ223&amp;""))="yes","Need Review",IF(LOWER(J223)="critical","Critical",IF(LOWER(U223)="risk","Risk Case",IF(X223="Refund","Refund","Normal")))))))</f>
        <v/>
      </c>
      <c r="AB223">
        <f>IF(A223="","",IF(OR(LOWER(J223)="critical",LOWER(TRIM('01_Master_Data'!AI223&amp;""))="yes",LOWER(TRIM('01_Master_Data'!AK223&amp;""))="yes",LOWER(U223)="risk"),"Yes","No"))</f>
        <v/>
      </c>
      <c r="AC223">
        <f>IF(A223="","",IF(LOWER(TRIM('01_Master_Data'!AI223&amp;""))="yes","Yes","No"))</f>
        <v/>
      </c>
      <c r="AD223">
        <f>IF(A223="","",IF(LOWER(TRIM('01_Master_Data'!AK223&amp;""))="yes","Yes","No"))</f>
        <v/>
      </c>
      <c r="AE223">
        <f>IF(A223="","",IF(LOWER(TRIM('01_Master_Data'!AJ223&amp;""))="yes","Yes","No"))</f>
        <v/>
      </c>
      <c r="AF223">
        <f>IF(A223="","",TRIM('01_Master_Data'!AL223&amp;""))</f>
        <v/>
      </c>
      <c r="AG223">
        <f>IF(A223="","",IF(AF223="","—",IF(ISNUMBER(SEARCH("DNP",AF223)),"Unreachable / DNP",IF(ISNUMBER(SEARCH("interest",LOWER(AF223))),"High Interest / Terms",IF(OR(ISNUMBER(SEARCH("eligib",LOWER(AF223))),ISNUMBER(SEARCH("income",LOWER(AF223)))),"Eligibility / Income",IF(OR(ISNUMBER(SEARCH("start",LOWER(AF223))),ISNUMBER(SEARCH("Newer",AF223)),ISNUMBER(SEARCH("Will start",AF223))),"Process Yet to Start",IF(ISNUMBER(SEARCH("sure",LOWER(AF223))),"Undecided",IF(OR(ISNUMBER(SEARCH("reject",LOWER(AF223))),ISNUMBER(SEARCH("SBI",AF223))),"Rejected Elsewhere",IF(ISNUMBER(SEARCH("call",LOWER(AF223))),"Bank Communication",IF(OR(ISNUMBER(SEARCH("father",LOWER(AF223))),ISNUMBER(SEARCH("sister",LOWER(AF223)))),"Family / Dependency","Other"))))))))))</f>
        <v/>
      </c>
      <c r="AH223">
        <f>IF(A223="","",'01_Master_Data'!AC223)</f>
        <v/>
      </c>
      <c r="AI223">
        <f>IF(A223="","",IF(OR(AH223="",NOT(ISNUMBER(AH223))),"",MAX(0,'02_Configuration'!$B$82-AH223)))</f>
        <v/>
      </c>
      <c r="AJ223">
        <f>IF(A223="","",IF(AI223="","Unknown",IF(AI223&lt;=3,"0–3 Days",IF(AI223&lt;=7,"4–7 Days",IF(AI223&lt;=15,"8–15 Days",IF(AI223&lt;=30,"16–30 Days","30+ Days"))))))</f>
        <v/>
      </c>
      <c r="AK223">
        <f>IF(A223="","",IF(LOWER(H223)="yes","Yes","No"))</f>
        <v/>
      </c>
      <c r="AL223">
        <f>IF(A223="","",'01_Master_Data'!T223)</f>
        <v/>
      </c>
      <c r="AM223">
        <f>IF(A223="","",'01_Master_Data'!S223)</f>
        <v/>
      </c>
      <c r="AN223">
        <f>IF(A223="","",'01_Master_Data'!I223)</f>
        <v/>
      </c>
      <c r="AO223">
        <f>IF(A223="","",'01_Master_Data'!M223)</f>
        <v/>
      </c>
      <c r="AP223">
        <f>IF(A223="","",IF(ISNUMBER(SEARCH("Icici",W223&amp;"")),1,0))</f>
        <v/>
      </c>
      <c r="AQ223">
        <f>IF(A223="","",IF(ISNUMBER(SEARCH("Propelld",W223&amp;"")),1,0))</f>
        <v/>
      </c>
      <c r="AR223">
        <f>IF(A223="","",IF(ISNUMBER(SEARCH("GyanDhan",W223&amp;"")),1,0))</f>
        <v/>
      </c>
      <c r="AS223">
        <f>IF(A223="","",IF(ISNUMBER(SEARCH("vidyalakshmi",LOWER(W223&amp;""))),1,0))</f>
        <v/>
      </c>
      <c r="AT223">
        <f>IF(A223="","",IF(ISNUMBER(SEARCH("other bank",LOWER(W223&amp;""))),1,0))</f>
        <v/>
      </c>
      <c r="AU223">
        <f>IF(A223="","",IF(ISNUMBER(SEARCH("sanctioned",LOWER(W223&amp;""))),1,0))</f>
        <v/>
      </c>
      <c r="AV223">
        <f>IF(A223="","",IF(ISNUMBER(SEARCH("Docs Pending",W223&amp;"")),1,0))</f>
        <v/>
      </c>
      <c r="AW223">
        <f>IF(A223="","",IF(OR(X223="Rejected",ISNUMBER(SEARCH("Not eligbile",W223&amp;""))),1,0))</f>
        <v/>
      </c>
    </row>
    <row r="224">
      <c r="A224">
        <f>IF('01_Master_Data'!B224="","",223)</f>
        <v/>
      </c>
      <c r="B224">
        <f>IF('01_Master_Data'!B224="","",IF('01_Master_Data'!C224&lt;&gt;"","MOB|"&amp;TEXT('01_Master_Data'!C224,"0"),IF('01_Master_Data'!D224&lt;&gt;"","PID|"&amp;TRIM('01_Master_Data'!D224&amp;""),"")))</f>
        <v/>
      </c>
      <c r="C224">
        <f>IF('01_Master_Data'!B224="","",'01_Master_Data'!B224)</f>
        <v/>
      </c>
      <c r="D224">
        <f>IF('01_Master_Data'!B224="","",'01_Master_Data'!C224)</f>
        <v/>
      </c>
      <c r="E224">
        <f>IF('01_Master_Data'!B224="","",'01_Master_Data'!D224)</f>
        <v/>
      </c>
      <c r="F224">
        <f>IF('01_Master_Data'!B224="","",'01_Master_Data'!E224)</f>
        <v/>
      </c>
      <c r="G224">
        <f>IF('01_Master_Data'!B224="","",IFERROR(VLOOKUP(TRIM('01_Master_Data'!E224&amp;""),'02_Configuration'!$A$40:$B$44,2,FALSE),UPPER(TRIM('01_Master_Data'!E224&amp;""))))</f>
        <v/>
      </c>
      <c r="H224">
        <f>IF('01_Master_Data'!B224="","",IF('01_Master_Data'!U224="","",TRIM('01_Master_Data'!U224&amp;"")))</f>
        <v/>
      </c>
      <c r="I224">
        <f>IF('01_Master_Data'!B224="","",TRIM('01_Master_Data'!F224&amp;""))</f>
        <v/>
      </c>
      <c r="J224">
        <f>IF('01_Master_Data'!B224="","",TRIM('01_Master_Data'!G224&amp;""))</f>
        <v/>
      </c>
      <c r="K224">
        <f>IF('01_Master_Data'!B224="","",'01_Master_Data'!H224)</f>
        <v/>
      </c>
      <c r="L224">
        <f>IF('01_Master_Data'!B224="","",IF(LOWER(TRIM('01_Master_Data'!V224&amp;""))="yes",1,0))</f>
        <v/>
      </c>
      <c r="M224">
        <f>IF('01_Master_Data'!B224="","",IF(LOWER(TRIM('01_Master_Data'!W224&amp;""))="yes",1,0))</f>
        <v/>
      </c>
      <c r="N224">
        <f>IF('01_Master_Data'!B224="","",IF(LOWER(TRIM('01_Master_Data'!X224&amp;""))="yes",1,0))</f>
        <v/>
      </c>
      <c r="O224">
        <f>IF('01_Master_Data'!B224="","",IF(LOWER(TRIM('01_Master_Data'!Y224&amp;""))="yes",1,0))</f>
        <v/>
      </c>
      <c r="P224">
        <f>IF('01_Master_Data'!B224="","",IF(LOWER(TRIM('01_Master_Data'!Z224&amp;""))="yes",1,0))</f>
        <v/>
      </c>
      <c r="Q224">
        <f>IF(A224="","",L224+M224+N224+O224+P224)</f>
        <v/>
      </c>
      <c r="R224">
        <f>IF(A224="","",IF(Q224&gt;1,"Yes","No"))</f>
        <v/>
      </c>
      <c r="S224">
        <f>IF(A224="","",TEXTJOIN(", ",TRUE,IF(L224=1,"ICICI",""),IF(M224=1,"Propelld",""),IF(N224=1,"Study4Buddy",""),IF(O224=1,"Poonawala Fincorp",""),IF(P224=1,"GyanDhan","")))</f>
        <v/>
      </c>
      <c r="T224">
        <f>IF(A224="","",IF(L224=1,"ICICI",IF(M224=1,"Propelld",IF(P224=1,"GyanDhan",IF(N224=1,"Study4Buddy",IF(O224=1,"Poonawala Fincorp",IF(ISNUMBER(SEARCH("GyanDhan",W224&amp;"")),"GyanDhan",IF(ISNUMBER(SEARCH("Icici",W224&amp;"")),"ICICI",IF(ISNUMBER(SEARCH("Propelld",W224&amp;"")),"Propelld",IF(ISNUMBER(SEARCH("vidyalakshmi",LOWER(W224&amp;"")),"PM Vidyalakshmi","—"))))))))))</f>
        <v/>
      </c>
      <c r="U224">
        <f>IF(A224="","",TRIM('01_Master_Data'!AA224&amp;""))</f>
        <v/>
      </c>
      <c r="V224">
        <f>IF(A224="","",TRIM('01_Master_Data'!AG224&amp;""))</f>
        <v/>
      </c>
      <c r="W224">
        <f>IF(A224="","",TRIM('01_Master_Data'!AH224&amp;""))</f>
        <v/>
      </c>
      <c r="X224">
        <f>IF(A224="","",IF(OR(LOWER(H224)="refund",LOWER(U224)="refund case"),"Refund",IF(OR(LOWER(H224)="dnp",LOWER(U224)="dnp"),"DNP",IF(OR(LOWER(V224)="disbursed",ISNUMBER(SEARCH("Disbursed",W224&amp;""))),"Disbursed",IF(OR(LOWER(V224)="loan proccessed/accepted",ISNUMBER(SEARCH("sanctioned",LOWER(W224&amp;"")))),"Sanctioned",IF(OR(LOWER(V224)="rejected",ISNUMBER(SEARCH("Not eligbile",W224&amp;"")),ISNUMBER(SEARCH("Not eligible",W224&amp;""))),"Rejected",IF(ISNUMBER(SEARCH("Docs Pending",W224&amp;"")),"Documents Pending",IF(AND(LOWER(H224)="yes",LOWER(V224)="ongoing"),"Processing",IF(AND(LOWER(H224)="yes",Q224&gt;0,OR(V224="",LOWER(V224)="not even started")),"Vendor Assigned",IF(AND(LOWER(H224)="yes",LOWER(V224)="not even started"),"Need Loan",IF(LOWER(H224)="yes","Loan Started",IF(LOWER(H224)="not sure","Interested",IF(OR(LOWER(H224)="no",LOWER(V224)="not required"),"Not Required","Unclassified")))))))))))))</f>
        <v/>
      </c>
      <c r="Y224">
        <f>IF(A224="","",IF(OR(X224="Sanctioned",X224="Disbursed",X224="Approved"),"Approved",IF(X224="Rejected","Rejected",IF(OR(X224="Processing",X224="Documents Pending",X224="Vendor Assigned"),"In Progress",IF(X224="Need Loan","Pending Start","—"))))</f>
        <v/>
      </c>
      <c r="Z224">
        <f>IF(A224="","",IF(X224="Disbursed","Disbursed",IF(X224="Sanctioned","Sanctioned - Awaiting Disbursement","Not Disbursed")))</f>
        <v/>
      </c>
      <c r="AA224">
        <f>IF(A224="","",IF(LOWER(TRIM('01_Master_Data'!AI224&amp;""))="yes","Need FLDG",IF(LOWER(TRIM('01_Master_Data'!AK224&amp;""))="yes","Need Vidyalakshmi",IF(LOWER(TRIM('01_Master_Data'!AJ224&amp;""))="yes","Need Review",IF(LOWER(J224)="critical","Critical",IF(LOWER(U224)="risk","Risk Case",IF(X224="Refund","Refund","Normal")))))))</f>
        <v/>
      </c>
      <c r="AB224">
        <f>IF(A224="","",IF(OR(LOWER(J224)="critical",LOWER(TRIM('01_Master_Data'!AI224&amp;""))="yes",LOWER(TRIM('01_Master_Data'!AK224&amp;""))="yes",LOWER(U224)="risk"),"Yes","No"))</f>
        <v/>
      </c>
      <c r="AC224">
        <f>IF(A224="","",IF(LOWER(TRIM('01_Master_Data'!AI224&amp;""))="yes","Yes","No"))</f>
        <v/>
      </c>
      <c r="AD224">
        <f>IF(A224="","",IF(LOWER(TRIM('01_Master_Data'!AK224&amp;""))="yes","Yes","No"))</f>
        <v/>
      </c>
      <c r="AE224">
        <f>IF(A224="","",IF(LOWER(TRIM('01_Master_Data'!AJ224&amp;""))="yes","Yes","No"))</f>
        <v/>
      </c>
      <c r="AF224">
        <f>IF(A224="","",TRIM('01_Master_Data'!AL224&amp;""))</f>
        <v/>
      </c>
      <c r="AG224">
        <f>IF(A224="","",IF(AF224="","—",IF(ISNUMBER(SEARCH("DNP",AF224)),"Unreachable / DNP",IF(ISNUMBER(SEARCH("interest",LOWER(AF224))),"High Interest / Terms",IF(OR(ISNUMBER(SEARCH("eligib",LOWER(AF224))),ISNUMBER(SEARCH("income",LOWER(AF224)))),"Eligibility / Income",IF(OR(ISNUMBER(SEARCH("start",LOWER(AF224))),ISNUMBER(SEARCH("Newer",AF224)),ISNUMBER(SEARCH("Will start",AF224))),"Process Yet to Start",IF(ISNUMBER(SEARCH("sure",LOWER(AF224))),"Undecided",IF(OR(ISNUMBER(SEARCH("reject",LOWER(AF224))),ISNUMBER(SEARCH("SBI",AF224))),"Rejected Elsewhere",IF(ISNUMBER(SEARCH("call",LOWER(AF224))),"Bank Communication",IF(OR(ISNUMBER(SEARCH("father",LOWER(AF224))),ISNUMBER(SEARCH("sister",LOWER(AF224)))),"Family / Dependency","Other"))))))))))</f>
        <v/>
      </c>
      <c r="AH224">
        <f>IF(A224="","",'01_Master_Data'!AC224)</f>
        <v/>
      </c>
      <c r="AI224">
        <f>IF(A224="","",IF(OR(AH224="",NOT(ISNUMBER(AH224))),"",MAX(0,'02_Configuration'!$B$82-AH224)))</f>
        <v/>
      </c>
      <c r="AJ224">
        <f>IF(A224="","",IF(AI224="","Unknown",IF(AI224&lt;=3,"0–3 Days",IF(AI224&lt;=7,"4–7 Days",IF(AI224&lt;=15,"8–15 Days",IF(AI224&lt;=30,"16–30 Days","30+ Days"))))))</f>
        <v/>
      </c>
      <c r="AK224">
        <f>IF(A224="","",IF(LOWER(H224)="yes","Yes","No"))</f>
        <v/>
      </c>
      <c r="AL224">
        <f>IF(A224="","",'01_Master_Data'!T224)</f>
        <v/>
      </c>
      <c r="AM224">
        <f>IF(A224="","",'01_Master_Data'!S224)</f>
        <v/>
      </c>
      <c r="AN224">
        <f>IF(A224="","",'01_Master_Data'!I224)</f>
        <v/>
      </c>
      <c r="AO224">
        <f>IF(A224="","",'01_Master_Data'!M224)</f>
        <v/>
      </c>
      <c r="AP224">
        <f>IF(A224="","",IF(ISNUMBER(SEARCH("Icici",W224&amp;"")),1,0))</f>
        <v/>
      </c>
      <c r="AQ224">
        <f>IF(A224="","",IF(ISNUMBER(SEARCH("Propelld",W224&amp;"")),1,0))</f>
        <v/>
      </c>
      <c r="AR224">
        <f>IF(A224="","",IF(ISNUMBER(SEARCH("GyanDhan",W224&amp;"")),1,0))</f>
        <v/>
      </c>
      <c r="AS224">
        <f>IF(A224="","",IF(ISNUMBER(SEARCH("vidyalakshmi",LOWER(W224&amp;""))),1,0))</f>
        <v/>
      </c>
      <c r="AT224">
        <f>IF(A224="","",IF(ISNUMBER(SEARCH("other bank",LOWER(W224&amp;""))),1,0))</f>
        <v/>
      </c>
      <c r="AU224">
        <f>IF(A224="","",IF(ISNUMBER(SEARCH("sanctioned",LOWER(W224&amp;""))),1,0))</f>
        <v/>
      </c>
      <c r="AV224">
        <f>IF(A224="","",IF(ISNUMBER(SEARCH("Docs Pending",W224&amp;"")),1,0))</f>
        <v/>
      </c>
      <c r="AW224">
        <f>IF(A224="","",IF(OR(X224="Rejected",ISNUMBER(SEARCH("Not eligbile",W224&amp;""))),1,0))</f>
        <v/>
      </c>
    </row>
    <row r="225">
      <c r="A225">
        <f>IF('01_Master_Data'!B225="","",224)</f>
        <v/>
      </c>
      <c r="B225">
        <f>IF('01_Master_Data'!B225="","",IF('01_Master_Data'!C225&lt;&gt;"","MOB|"&amp;TEXT('01_Master_Data'!C225,"0"),IF('01_Master_Data'!D225&lt;&gt;"","PID|"&amp;TRIM('01_Master_Data'!D225&amp;""),"")))</f>
        <v/>
      </c>
      <c r="C225">
        <f>IF('01_Master_Data'!B225="","",'01_Master_Data'!B225)</f>
        <v/>
      </c>
      <c r="D225">
        <f>IF('01_Master_Data'!B225="","",'01_Master_Data'!C225)</f>
        <v/>
      </c>
      <c r="E225">
        <f>IF('01_Master_Data'!B225="","",'01_Master_Data'!D225)</f>
        <v/>
      </c>
      <c r="F225">
        <f>IF('01_Master_Data'!B225="","",'01_Master_Data'!E225)</f>
        <v/>
      </c>
      <c r="G225">
        <f>IF('01_Master_Data'!B225="","",IFERROR(VLOOKUP(TRIM('01_Master_Data'!E225&amp;""),'02_Configuration'!$A$40:$B$44,2,FALSE),UPPER(TRIM('01_Master_Data'!E225&amp;""))))</f>
        <v/>
      </c>
      <c r="H225">
        <f>IF('01_Master_Data'!B225="","",IF('01_Master_Data'!U225="","",TRIM('01_Master_Data'!U225&amp;"")))</f>
        <v/>
      </c>
      <c r="I225">
        <f>IF('01_Master_Data'!B225="","",TRIM('01_Master_Data'!F225&amp;""))</f>
        <v/>
      </c>
      <c r="J225">
        <f>IF('01_Master_Data'!B225="","",TRIM('01_Master_Data'!G225&amp;""))</f>
        <v/>
      </c>
      <c r="K225">
        <f>IF('01_Master_Data'!B225="","",'01_Master_Data'!H225)</f>
        <v/>
      </c>
      <c r="L225">
        <f>IF('01_Master_Data'!B225="","",IF(LOWER(TRIM('01_Master_Data'!V225&amp;""))="yes",1,0))</f>
        <v/>
      </c>
      <c r="M225">
        <f>IF('01_Master_Data'!B225="","",IF(LOWER(TRIM('01_Master_Data'!W225&amp;""))="yes",1,0))</f>
        <v/>
      </c>
      <c r="N225">
        <f>IF('01_Master_Data'!B225="","",IF(LOWER(TRIM('01_Master_Data'!X225&amp;""))="yes",1,0))</f>
        <v/>
      </c>
      <c r="O225">
        <f>IF('01_Master_Data'!B225="","",IF(LOWER(TRIM('01_Master_Data'!Y225&amp;""))="yes",1,0))</f>
        <v/>
      </c>
      <c r="P225">
        <f>IF('01_Master_Data'!B225="","",IF(LOWER(TRIM('01_Master_Data'!Z225&amp;""))="yes",1,0))</f>
        <v/>
      </c>
      <c r="Q225">
        <f>IF(A225="","",L225+M225+N225+O225+P225)</f>
        <v/>
      </c>
      <c r="R225">
        <f>IF(A225="","",IF(Q225&gt;1,"Yes","No"))</f>
        <v/>
      </c>
      <c r="S225">
        <f>IF(A225="","",TEXTJOIN(", ",TRUE,IF(L225=1,"ICICI",""),IF(M225=1,"Propelld",""),IF(N225=1,"Study4Buddy",""),IF(O225=1,"Poonawala Fincorp",""),IF(P225=1,"GyanDhan","")))</f>
        <v/>
      </c>
      <c r="T225">
        <f>IF(A225="","",IF(L225=1,"ICICI",IF(M225=1,"Propelld",IF(P225=1,"GyanDhan",IF(N225=1,"Study4Buddy",IF(O225=1,"Poonawala Fincorp",IF(ISNUMBER(SEARCH("GyanDhan",W225&amp;"")),"GyanDhan",IF(ISNUMBER(SEARCH("Icici",W225&amp;"")),"ICICI",IF(ISNUMBER(SEARCH("Propelld",W225&amp;"")),"Propelld",IF(ISNUMBER(SEARCH("vidyalakshmi",LOWER(W225&amp;"")),"PM Vidyalakshmi","—"))))))))))</f>
        <v/>
      </c>
      <c r="U225">
        <f>IF(A225="","",TRIM('01_Master_Data'!AA225&amp;""))</f>
        <v/>
      </c>
      <c r="V225">
        <f>IF(A225="","",TRIM('01_Master_Data'!AG225&amp;""))</f>
        <v/>
      </c>
      <c r="W225">
        <f>IF(A225="","",TRIM('01_Master_Data'!AH225&amp;""))</f>
        <v/>
      </c>
      <c r="X225">
        <f>IF(A225="","",IF(OR(LOWER(H225)="refund",LOWER(U225)="refund case"),"Refund",IF(OR(LOWER(H225)="dnp",LOWER(U225)="dnp"),"DNP",IF(OR(LOWER(V225)="disbursed",ISNUMBER(SEARCH("Disbursed",W225&amp;""))),"Disbursed",IF(OR(LOWER(V225)="loan proccessed/accepted",ISNUMBER(SEARCH("sanctioned",LOWER(W225&amp;"")))),"Sanctioned",IF(OR(LOWER(V225)="rejected",ISNUMBER(SEARCH("Not eligbile",W225&amp;"")),ISNUMBER(SEARCH("Not eligible",W225&amp;""))),"Rejected",IF(ISNUMBER(SEARCH("Docs Pending",W225&amp;"")),"Documents Pending",IF(AND(LOWER(H225)="yes",LOWER(V225)="ongoing"),"Processing",IF(AND(LOWER(H225)="yes",Q225&gt;0,OR(V225="",LOWER(V225)="not even started")),"Vendor Assigned",IF(AND(LOWER(H225)="yes",LOWER(V225)="not even started"),"Need Loan",IF(LOWER(H225)="yes","Loan Started",IF(LOWER(H225)="not sure","Interested",IF(OR(LOWER(H225)="no",LOWER(V225)="not required"),"Not Required","Unclassified")))))))))))))</f>
        <v/>
      </c>
      <c r="Y225">
        <f>IF(A225="","",IF(OR(X225="Sanctioned",X225="Disbursed",X225="Approved"),"Approved",IF(X225="Rejected","Rejected",IF(OR(X225="Processing",X225="Documents Pending",X225="Vendor Assigned"),"In Progress",IF(X225="Need Loan","Pending Start","—"))))</f>
        <v/>
      </c>
      <c r="Z225">
        <f>IF(A225="","",IF(X225="Disbursed","Disbursed",IF(X225="Sanctioned","Sanctioned - Awaiting Disbursement","Not Disbursed")))</f>
        <v/>
      </c>
      <c r="AA225">
        <f>IF(A225="","",IF(LOWER(TRIM('01_Master_Data'!AI225&amp;""))="yes","Need FLDG",IF(LOWER(TRIM('01_Master_Data'!AK225&amp;""))="yes","Need Vidyalakshmi",IF(LOWER(TRIM('01_Master_Data'!AJ225&amp;""))="yes","Need Review",IF(LOWER(J225)="critical","Critical",IF(LOWER(U225)="risk","Risk Case",IF(X225="Refund","Refund","Normal")))))))</f>
        <v/>
      </c>
      <c r="AB225">
        <f>IF(A225="","",IF(OR(LOWER(J225)="critical",LOWER(TRIM('01_Master_Data'!AI225&amp;""))="yes",LOWER(TRIM('01_Master_Data'!AK225&amp;""))="yes",LOWER(U225)="risk"),"Yes","No"))</f>
        <v/>
      </c>
      <c r="AC225">
        <f>IF(A225="","",IF(LOWER(TRIM('01_Master_Data'!AI225&amp;""))="yes","Yes","No"))</f>
        <v/>
      </c>
      <c r="AD225">
        <f>IF(A225="","",IF(LOWER(TRIM('01_Master_Data'!AK225&amp;""))="yes","Yes","No"))</f>
        <v/>
      </c>
      <c r="AE225">
        <f>IF(A225="","",IF(LOWER(TRIM('01_Master_Data'!AJ225&amp;""))="yes","Yes","No"))</f>
        <v/>
      </c>
      <c r="AF225">
        <f>IF(A225="","",TRIM('01_Master_Data'!AL225&amp;""))</f>
        <v/>
      </c>
      <c r="AG225">
        <f>IF(A225="","",IF(AF225="","—",IF(ISNUMBER(SEARCH("DNP",AF225)),"Unreachable / DNP",IF(ISNUMBER(SEARCH("interest",LOWER(AF225))),"High Interest / Terms",IF(OR(ISNUMBER(SEARCH("eligib",LOWER(AF225))),ISNUMBER(SEARCH("income",LOWER(AF225)))),"Eligibility / Income",IF(OR(ISNUMBER(SEARCH("start",LOWER(AF225))),ISNUMBER(SEARCH("Newer",AF225)),ISNUMBER(SEARCH("Will start",AF225))),"Process Yet to Start",IF(ISNUMBER(SEARCH("sure",LOWER(AF225))),"Undecided",IF(OR(ISNUMBER(SEARCH("reject",LOWER(AF225))),ISNUMBER(SEARCH("SBI",AF225))),"Rejected Elsewhere",IF(ISNUMBER(SEARCH("call",LOWER(AF225))),"Bank Communication",IF(OR(ISNUMBER(SEARCH("father",LOWER(AF225))),ISNUMBER(SEARCH("sister",LOWER(AF225)))),"Family / Dependency","Other"))))))))))</f>
        <v/>
      </c>
      <c r="AH225">
        <f>IF(A225="","",'01_Master_Data'!AC225)</f>
        <v/>
      </c>
      <c r="AI225">
        <f>IF(A225="","",IF(OR(AH225="",NOT(ISNUMBER(AH225))),"",MAX(0,'02_Configuration'!$B$82-AH225)))</f>
        <v/>
      </c>
      <c r="AJ225">
        <f>IF(A225="","",IF(AI225="","Unknown",IF(AI225&lt;=3,"0–3 Days",IF(AI225&lt;=7,"4–7 Days",IF(AI225&lt;=15,"8–15 Days",IF(AI225&lt;=30,"16–30 Days","30+ Days"))))))</f>
        <v/>
      </c>
      <c r="AK225">
        <f>IF(A225="","",IF(LOWER(H225)="yes","Yes","No"))</f>
        <v/>
      </c>
      <c r="AL225">
        <f>IF(A225="","",'01_Master_Data'!T225)</f>
        <v/>
      </c>
      <c r="AM225">
        <f>IF(A225="","",'01_Master_Data'!S225)</f>
        <v/>
      </c>
      <c r="AN225">
        <f>IF(A225="","",'01_Master_Data'!I225)</f>
        <v/>
      </c>
      <c r="AO225">
        <f>IF(A225="","",'01_Master_Data'!M225)</f>
        <v/>
      </c>
      <c r="AP225">
        <f>IF(A225="","",IF(ISNUMBER(SEARCH("Icici",W225&amp;"")),1,0))</f>
        <v/>
      </c>
      <c r="AQ225">
        <f>IF(A225="","",IF(ISNUMBER(SEARCH("Propelld",W225&amp;"")),1,0))</f>
        <v/>
      </c>
      <c r="AR225">
        <f>IF(A225="","",IF(ISNUMBER(SEARCH("GyanDhan",W225&amp;"")),1,0))</f>
        <v/>
      </c>
      <c r="AS225">
        <f>IF(A225="","",IF(ISNUMBER(SEARCH("vidyalakshmi",LOWER(W225&amp;""))),1,0))</f>
        <v/>
      </c>
      <c r="AT225">
        <f>IF(A225="","",IF(ISNUMBER(SEARCH("other bank",LOWER(W225&amp;""))),1,0))</f>
        <v/>
      </c>
      <c r="AU225">
        <f>IF(A225="","",IF(ISNUMBER(SEARCH("sanctioned",LOWER(W225&amp;""))),1,0))</f>
        <v/>
      </c>
      <c r="AV225">
        <f>IF(A225="","",IF(ISNUMBER(SEARCH("Docs Pending",W225&amp;"")),1,0))</f>
        <v/>
      </c>
      <c r="AW225">
        <f>IF(A225="","",IF(OR(X225="Rejected",ISNUMBER(SEARCH("Not eligbile",W225&amp;""))),1,0))</f>
        <v/>
      </c>
    </row>
    <row r="226">
      <c r="A226">
        <f>IF('01_Master_Data'!B226="","",225)</f>
        <v/>
      </c>
      <c r="B226">
        <f>IF('01_Master_Data'!B226="","",IF('01_Master_Data'!C226&lt;&gt;"","MOB|"&amp;TEXT('01_Master_Data'!C226,"0"),IF('01_Master_Data'!D226&lt;&gt;"","PID|"&amp;TRIM('01_Master_Data'!D226&amp;""),"")))</f>
        <v/>
      </c>
      <c r="C226">
        <f>IF('01_Master_Data'!B226="","",'01_Master_Data'!B226)</f>
        <v/>
      </c>
      <c r="D226">
        <f>IF('01_Master_Data'!B226="","",'01_Master_Data'!C226)</f>
        <v/>
      </c>
      <c r="E226">
        <f>IF('01_Master_Data'!B226="","",'01_Master_Data'!D226)</f>
        <v/>
      </c>
      <c r="F226">
        <f>IF('01_Master_Data'!B226="","",'01_Master_Data'!E226)</f>
        <v/>
      </c>
      <c r="G226">
        <f>IF('01_Master_Data'!B226="","",IFERROR(VLOOKUP(TRIM('01_Master_Data'!E226&amp;""),'02_Configuration'!$A$40:$B$44,2,FALSE),UPPER(TRIM('01_Master_Data'!E226&amp;""))))</f>
        <v/>
      </c>
      <c r="H226">
        <f>IF('01_Master_Data'!B226="","",IF('01_Master_Data'!U226="","",TRIM('01_Master_Data'!U226&amp;"")))</f>
        <v/>
      </c>
      <c r="I226">
        <f>IF('01_Master_Data'!B226="","",TRIM('01_Master_Data'!F226&amp;""))</f>
        <v/>
      </c>
      <c r="J226">
        <f>IF('01_Master_Data'!B226="","",TRIM('01_Master_Data'!G226&amp;""))</f>
        <v/>
      </c>
      <c r="K226">
        <f>IF('01_Master_Data'!B226="","",'01_Master_Data'!H226)</f>
        <v/>
      </c>
      <c r="L226">
        <f>IF('01_Master_Data'!B226="","",IF(LOWER(TRIM('01_Master_Data'!V226&amp;""))="yes",1,0))</f>
        <v/>
      </c>
      <c r="M226">
        <f>IF('01_Master_Data'!B226="","",IF(LOWER(TRIM('01_Master_Data'!W226&amp;""))="yes",1,0))</f>
        <v/>
      </c>
      <c r="N226">
        <f>IF('01_Master_Data'!B226="","",IF(LOWER(TRIM('01_Master_Data'!X226&amp;""))="yes",1,0))</f>
        <v/>
      </c>
      <c r="O226">
        <f>IF('01_Master_Data'!B226="","",IF(LOWER(TRIM('01_Master_Data'!Y226&amp;""))="yes",1,0))</f>
        <v/>
      </c>
      <c r="P226">
        <f>IF('01_Master_Data'!B226="","",IF(LOWER(TRIM('01_Master_Data'!Z226&amp;""))="yes",1,0))</f>
        <v/>
      </c>
      <c r="Q226">
        <f>IF(A226="","",L226+M226+N226+O226+P226)</f>
        <v/>
      </c>
      <c r="R226">
        <f>IF(A226="","",IF(Q226&gt;1,"Yes","No"))</f>
        <v/>
      </c>
      <c r="S226">
        <f>IF(A226="","",TEXTJOIN(", ",TRUE,IF(L226=1,"ICICI",""),IF(M226=1,"Propelld",""),IF(N226=1,"Study4Buddy",""),IF(O226=1,"Poonawala Fincorp",""),IF(P226=1,"GyanDhan","")))</f>
        <v/>
      </c>
      <c r="T226">
        <f>IF(A226="","",IF(L226=1,"ICICI",IF(M226=1,"Propelld",IF(P226=1,"GyanDhan",IF(N226=1,"Study4Buddy",IF(O226=1,"Poonawala Fincorp",IF(ISNUMBER(SEARCH("GyanDhan",W226&amp;"")),"GyanDhan",IF(ISNUMBER(SEARCH("Icici",W226&amp;"")),"ICICI",IF(ISNUMBER(SEARCH("Propelld",W226&amp;"")),"Propelld",IF(ISNUMBER(SEARCH("vidyalakshmi",LOWER(W226&amp;"")),"PM Vidyalakshmi","—"))))))))))</f>
        <v/>
      </c>
      <c r="U226">
        <f>IF(A226="","",TRIM('01_Master_Data'!AA226&amp;""))</f>
        <v/>
      </c>
      <c r="V226">
        <f>IF(A226="","",TRIM('01_Master_Data'!AG226&amp;""))</f>
        <v/>
      </c>
      <c r="W226">
        <f>IF(A226="","",TRIM('01_Master_Data'!AH226&amp;""))</f>
        <v/>
      </c>
      <c r="X226">
        <f>IF(A226="","",IF(OR(LOWER(H226)="refund",LOWER(U226)="refund case"),"Refund",IF(OR(LOWER(H226)="dnp",LOWER(U226)="dnp"),"DNP",IF(OR(LOWER(V226)="disbursed",ISNUMBER(SEARCH("Disbursed",W226&amp;""))),"Disbursed",IF(OR(LOWER(V226)="loan proccessed/accepted",ISNUMBER(SEARCH("sanctioned",LOWER(W226&amp;"")))),"Sanctioned",IF(OR(LOWER(V226)="rejected",ISNUMBER(SEARCH("Not eligbile",W226&amp;"")),ISNUMBER(SEARCH("Not eligible",W226&amp;""))),"Rejected",IF(ISNUMBER(SEARCH("Docs Pending",W226&amp;"")),"Documents Pending",IF(AND(LOWER(H226)="yes",LOWER(V226)="ongoing"),"Processing",IF(AND(LOWER(H226)="yes",Q226&gt;0,OR(V226="",LOWER(V226)="not even started")),"Vendor Assigned",IF(AND(LOWER(H226)="yes",LOWER(V226)="not even started"),"Need Loan",IF(LOWER(H226)="yes","Loan Started",IF(LOWER(H226)="not sure","Interested",IF(OR(LOWER(H226)="no",LOWER(V226)="not required"),"Not Required","Unclassified")))))))))))))</f>
        <v/>
      </c>
      <c r="Y226">
        <f>IF(A226="","",IF(OR(X226="Sanctioned",X226="Disbursed",X226="Approved"),"Approved",IF(X226="Rejected","Rejected",IF(OR(X226="Processing",X226="Documents Pending",X226="Vendor Assigned"),"In Progress",IF(X226="Need Loan","Pending Start","—"))))</f>
        <v/>
      </c>
      <c r="Z226">
        <f>IF(A226="","",IF(X226="Disbursed","Disbursed",IF(X226="Sanctioned","Sanctioned - Awaiting Disbursement","Not Disbursed")))</f>
        <v/>
      </c>
      <c r="AA226">
        <f>IF(A226="","",IF(LOWER(TRIM('01_Master_Data'!AI226&amp;""))="yes","Need FLDG",IF(LOWER(TRIM('01_Master_Data'!AK226&amp;""))="yes","Need Vidyalakshmi",IF(LOWER(TRIM('01_Master_Data'!AJ226&amp;""))="yes","Need Review",IF(LOWER(J226)="critical","Critical",IF(LOWER(U226)="risk","Risk Case",IF(X226="Refund","Refund","Normal")))))))</f>
        <v/>
      </c>
      <c r="AB226">
        <f>IF(A226="","",IF(OR(LOWER(J226)="critical",LOWER(TRIM('01_Master_Data'!AI226&amp;""))="yes",LOWER(TRIM('01_Master_Data'!AK226&amp;""))="yes",LOWER(U226)="risk"),"Yes","No"))</f>
        <v/>
      </c>
      <c r="AC226">
        <f>IF(A226="","",IF(LOWER(TRIM('01_Master_Data'!AI226&amp;""))="yes","Yes","No"))</f>
        <v/>
      </c>
      <c r="AD226">
        <f>IF(A226="","",IF(LOWER(TRIM('01_Master_Data'!AK226&amp;""))="yes","Yes","No"))</f>
        <v/>
      </c>
      <c r="AE226">
        <f>IF(A226="","",IF(LOWER(TRIM('01_Master_Data'!AJ226&amp;""))="yes","Yes","No"))</f>
        <v/>
      </c>
      <c r="AF226">
        <f>IF(A226="","",TRIM('01_Master_Data'!AL226&amp;""))</f>
        <v/>
      </c>
      <c r="AG226">
        <f>IF(A226="","",IF(AF226="","—",IF(ISNUMBER(SEARCH("DNP",AF226)),"Unreachable / DNP",IF(ISNUMBER(SEARCH("interest",LOWER(AF226))),"High Interest / Terms",IF(OR(ISNUMBER(SEARCH("eligib",LOWER(AF226))),ISNUMBER(SEARCH("income",LOWER(AF226)))),"Eligibility / Income",IF(OR(ISNUMBER(SEARCH("start",LOWER(AF226))),ISNUMBER(SEARCH("Newer",AF226)),ISNUMBER(SEARCH("Will start",AF226))),"Process Yet to Start",IF(ISNUMBER(SEARCH("sure",LOWER(AF226))),"Undecided",IF(OR(ISNUMBER(SEARCH("reject",LOWER(AF226))),ISNUMBER(SEARCH("SBI",AF226))),"Rejected Elsewhere",IF(ISNUMBER(SEARCH("call",LOWER(AF226))),"Bank Communication",IF(OR(ISNUMBER(SEARCH("father",LOWER(AF226))),ISNUMBER(SEARCH("sister",LOWER(AF226)))),"Family / Dependency","Other"))))))))))</f>
        <v/>
      </c>
      <c r="AH226">
        <f>IF(A226="","",'01_Master_Data'!AC226)</f>
        <v/>
      </c>
      <c r="AI226">
        <f>IF(A226="","",IF(OR(AH226="",NOT(ISNUMBER(AH226))),"",MAX(0,'02_Configuration'!$B$82-AH226)))</f>
        <v/>
      </c>
      <c r="AJ226">
        <f>IF(A226="","",IF(AI226="","Unknown",IF(AI226&lt;=3,"0–3 Days",IF(AI226&lt;=7,"4–7 Days",IF(AI226&lt;=15,"8–15 Days",IF(AI226&lt;=30,"16–30 Days","30+ Days"))))))</f>
        <v/>
      </c>
      <c r="AK226">
        <f>IF(A226="","",IF(LOWER(H226)="yes","Yes","No"))</f>
        <v/>
      </c>
      <c r="AL226">
        <f>IF(A226="","",'01_Master_Data'!T226)</f>
        <v/>
      </c>
      <c r="AM226">
        <f>IF(A226="","",'01_Master_Data'!S226)</f>
        <v/>
      </c>
      <c r="AN226">
        <f>IF(A226="","",'01_Master_Data'!I226)</f>
        <v/>
      </c>
      <c r="AO226">
        <f>IF(A226="","",'01_Master_Data'!M226)</f>
        <v/>
      </c>
      <c r="AP226">
        <f>IF(A226="","",IF(ISNUMBER(SEARCH("Icici",W226&amp;"")),1,0))</f>
        <v/>
      </c>
      <c r="AQ226">
        <f>IF(A226="","",IF(ISNUMBER(SEARCH("Propelld",W226&amp;"")),1,0))</f>
        <v/>
      </c>
      <c r="AR226">
        <f>IF(A226="","",IF(ISNUMBER(SEARCH("GyanDhan",W226&amp;"")),1,0))</f>
        <v/>
      </c>
      <c r="AS226">
        <f>IF(A226="","",IF(ISNUMBER(SEARCH("vidyalakshmi",LOWER(W226&amp;""))),1,0))</f>
        <v/>
      </c>
      <c r="AT226">
        <f>IF(A226="","",IF(ISNUMBER(SEARCH("other bank",LOWER(W226&amp;""))),1,0))</f>
        <v/>
      </c>
      <c r="AU226">
        <f>IF(A226="","",IF(ISNUMBER(SEARCH("sanctioned",LOWER(W226&amp;""))),1,0))</f>
        <v/>
      </c>
      <c r="AV226">
        <f>IF(A226="","",IF(ISNUMBER(SEARCH("Docs Pending",W226&amp;"")),1,0))</f>
        <v/>
      </c>
      <c r="AW226">
        <f>IF(A226="","",IF(OR(X226="Rejected",ISNUMBER(SEARCH("Not eligbile",W226&amp;""))),1,0))</f>
        <v/>
      </c>
    </row>
    <row r="227">
      <c r="A227">
        <f>IF('01_Master_Data'!B227="","",226)</f>
        <v/>
      </c>
      <c r="B227">
        <f>IF('01_Master_Data'!B227="","",IF('01_Master_Data'!C227&lt;&gt;"","MOB|"&amp;TEXT('01_Master_Data'!C227,"0"),IF('01_Master_Data'!D227&lt;&gt;"","PID|"&amp;TRIM('01_Master_Data'!D227&amp;""),"")))</f>
        <v/>
      </c>
      <c r="C227">
        <f>IF('01_Master_Data'!B227="","",'01_Master_Data'!B227)</f>
        <v/>
      </c>
      <c r="D227">
        <f>IF('01_Master_Data'!B227="","",'01_Master_Data'!C227)</f>
        <v/>
      </c>
      <c r="E227">
        <f>IF('01_Master_Data'!B227="","",'01_Master_Data'!D227)</f>
        <v/>
      </c>
      <c r="F227">
        <f>IF('01_Master_Data'!B227="","",'01_Master_Data'!E227)</f>
        <v/>
      </c>
      <c r="G227">
        <f>IF('01_Master_Data'!B227="","",IFERROR(VLOOKUP(TRIM('01_Master_Data'!E227&amp;""),'02_Configuration'!$A$40:$B$44,2,FALSE),UPPER(TRIM('01_Master_Data'!E227&amp;""))))</f>
        <v/>
      </c>
      <c r="H227">
        <f>IF('01_Master_Data'!B227="","",IF('01_Master_Data'!U227="","",TRIM('01_Master_Data'!U227&amp;"")))</f>
        <v/>
      </c>
      <c r="I227">
        <f>IF('01_Master_Data'!B227="","",TRIM('01_Master_Data'!F227&amp;""))</f>
        <v/>
      </c>
      <c r="J227">
        <f>IF('01_Master_Data'!B227="","",TRIM('01_Master_Data'!G227&amp;""))</f>
        <v/>
      </c>
      <c r="K227">
        <f>IF('01_Master_Data'!B227="","",'01_Master_Data'!H227)</f>
        <v/>
      </c>
      <c r="L227">
        <f>IF('01_Master_Data'!B227="","",IF(LOWER(TRIM('01_Master_Data'!V227&amp;""))="yes",1,0))</f>
        <v/>
      </c>
      <c r="M227">
        <f>IF('01_Master_Data'!B227="","",IF(LOWER(TRIM('01_Master_Data'!W227&amp;""))="yes",1,0))</f>
        <v/>
      </c>
      <c r="N227">
        <f>IF('01_Master_Data'!B227="","",IF(LOWER(TRIM('01_Master_Data'!X227&amp;""))="yes",1,0))</f>
        <v/>
      </c>
      <c r="O227">
        <f>IF('01_Master_Data'!B227="","",IF(LOWER(TRIM('01_Master_Data'!Y227&amp;""))="yes",1,0))</f>
        <v/>
      </c>
      <c r="P227">
        <f>IF('01_Master_Data'!B227="","",IF(LOWER(TRIM('01_Master_Data'!Z227&amp;""))="yes",1,0))</f>
        <v/>
      </c>
      <c r="Q227">
        <f>IF(A227="","",L227+M227+N227+O227+P227)</f>
        <v/>
      </c>
      <c r="R227">
        <f>IF(A227="","",IF(Q227&gt;1,"Yes","No"))</f>
        <v/>
      </c>
      <c r="S227">
        <f>IF(A227="","",TEXTJOIN(", ",TRUE,IF(L227=1,"ICICI",""),IF(M227=1,"Propelld",""),IF(N227=1,"Study4Buddy",""),IF(O227=1,"Poonawala Fincorp",""),IF(P227=1,"GyanDhan","")))</f>
        <v/>
      </c>
      <c r="T227">
        <f>IF(A227="","",IF(L227=1,"ICICI",IF(M227=1,"Propelld",IF(P227=1,"GyanDhan",IF(N227=1,"Study4Buddy",IF(O227=1,"Poonawala Fincorp",IF(ISNUMBER(SEARCH("GyanDhan",W227&amp;"")),"GyanDhan",IF(ISNUMBER(SEARCH("Icici",W227&amp;"")),"ICICI",IF(ISNUMBER(SEARCH("Propelld",W227&amp;"")),"Propelld",IF(ISNUMBER(SEARCH("vidyalakshmi",LOWER(W227&amp;"")),"PM Vidyalakshmi","—"))))))))))</f>
        <v/>
      </c>
      <c r="U227">
        <f>IF(A227="","",TRIM('01_Master_Data'!AA227&amp;""))</f>
        <v/>
      </c>
      <c r="V227">
        <f>IF(A227="","",TRIM('01_Master_Data'!AG227&amp;""))</f>
        <v/>
      </c>
      <c r="W227">
        <f>IF(A227="","",TRIM('01_Master_Data'!AH227&amp;""))</f>
        <v/>
      </c>
      <c r="X227">
        <f>IF(A227="","",IF(OR(LOWER(H227)="refund",LOWER(U227)="refund case"),"Refund",IF(OR(LOWER(H227)="dnp",LOWER(U227)="dnp"),"DNP",IF(OR(LOWER(V227)="disbursed",ISNUMBER(SEARCH("Disbursed",W227&amp;""))),"Disbursed",IF(OR(LOWER(V227)="loan proccessed/accepted",ISNUMBER(SEARCH("sanctioned",LOWER(W227&amp;"")))),"Sanctioned",IF(OR(LOWER(V227)="rejected",ISNUMBER(SEARCH("Not eligbile",W227&amp;"")),ISNUMBER(SEARCH("Not eligible",W227&amp;""))),"Rejected",IF(ISNUMBER(SEARCH("Docs Pending",W227&amp;"")),"Documents Pending",IF(AND(LOWER(H227)="yes",LOWER(V227)="ongoing"),"Processing",IF(AND(LOWER(H227)="yes",Q227&gt;0,OR(V227="",LOWER(V227)="not even started")),"Vendor Assigned",IF(AND(LOWER(H227)="yes",LOWER(V227)="not even started"),"Need Loan",IF(LOWER(H227)="yes","Loan Started",IF(LOWER(H227)="not sure","Interested",IF(OR(LOWER(H227)="no",LOWER(V227)="not required"),"Not Required","Unclassified")))))))))))))</f>
        <v/>
      </c>
      <c r="Y227">
        <f>IF(A227="","",IF(OR(X227="Sanctioned",X227="Disbursed",X227="Approved"),"Approved",IF(X227="Rejected","Rejected",IF(OR(X227="Processing",X227="Documents Pending",X227="Vendor Assigned"),"In Progress",IF(X227="Need Loan","Pending Start","—"))))</f>
        <v/>
      </c>
      <c r="Z227">
        <f>IF(A227="","",IF(X227="Disbursed","Disbursed",IF(X227="Sanctioned","Sanctioned - Awaiting Disbursement","Not Disbursed")))</f>
        <v/>
      </c>
      <c r="AA227">
        <f>IF(A227="","",IF(LOWER(TRIM('01_Master_Data'!AI227&amp;""))="yes","Need FLDG",IF(LOWER(TRIM('01_Master_Data'!AK227&amp;""))="yes","Need Vidyalakshmi",IF(LOWER(TRIM('01_Master_Data'!AJ227&amp;""))="yes","Need Review",IF(LOWER(J227)="critical","Critical",IF(LOWER(U227)="risk","Risk Case",IF(X227="Refund","Refund","Normal")))))))</f>
        <v/>
      </c>
      <c r="AB227">
        <f>IF(A227="","",IF(OR(LOWER(J227)="critical",LOWER(TRIM('01_Master_Data'!AI227&amp;""))="yes",LOWER(TRIM('01_Master_Data'!AK227&amp;""))="yes",LOWER(U227)="risk"),"Yes","No"))</f>
        <v/>
      </c>
      <c r="AC227">
        <f>IF(A227="","",IF(LOWER(TRIM('01_Master_Data'!AI227&amp;""))="yes","Yes","No"))</f>
        <v/>
      </c>
      <c r="AD227">
        <f>IF(A227="","",IF(LOWER(TRIM('01_Master_Data'!AK227&amp;""))="yes","Yes","No"))</f>
        <v/>
      </c>
      <c r="AE227">
        <f>IF(A227="","",IF(LOWER(TRIM('01_Master_Data'!AJ227&amp;""))="yes","Yes","No"))</f>
        <v/>
      </c>
      <c r="AF227">
        <f>IF(A227="","",TRIM('01_Master_Data'!AL227&amp;""))</f>
        <v/>
      </c>
      <c r="AG227">
        <f>IF(A227="","",IF(AF227="","—",IF(ISNUMBER(SEARCH("DNP",AF227)),"Unreachable / DNP",IF(ISNUMBER(SEARCH("interest",LOWER(AF227))),"High Interest / Terms",IF(OR(ISNUMBER(SEARCH("eligib",LOWER(AF227))),ISNUMBER(SEARCH("income",LOWER(AF227)))),"Eligibility / Income",IF(OR(ISNUMBER(SEARCH("start",LOWER(AF227))),ISNUMBER(SEARCH("Newer",AF227)),ISNUMBER(SEARCH("Will start",AF227))),"Process Yet to Start",IF(ISNUMBER(SEARCH("sure",LOWER(AF227))),"Undecided",IF(OR(ISNUMBER(SEARCH("reject",LOWER(AF227))),ISNUMBER(SEARCH("SBI",AF227))),"Rejected Elsewhere",IF(ISNUMBER(SEARCH("call",LOWER(AF227))),"Bank Communication",IF(OR(ISNUMBER(SEARCH("father",LOWER(AF227))),ISNUMBER(SEARCH("sister",LOWER(AF227)))),"Family / Dependency","Other"))))))))))</f>
        <v/>
      </c>
      <c r="AH227">
        <f>IF(A227="","",'01_Master_Data'!AC227)</f>
        <v/>
      </c>
      <c r="AI227">
        <f>IF(A227="","",IF(OR(AH227="",NOT(ISNUMBER(AH227))),"",MAX(0,'02_Configuration'!$B$82-AH227)))</f>
        <v/>
      </c>
      <c r="AJ227">
        <f>IF(A227="","",IF(AI227="","Unknown",IF(AI227&lt;=3,"0–3 Days",IF(AI227&lt;=7,"4–7 Days",IF(AI227&lt;=15,"8–15 Days",IF(AI227&lt;=30,"16–30 Days","30+ Days"))))))</f>
        <v/>
      </c>
      <c r="AK227">
        <f>IF(A227="","",IF(LOWER(H227)="yes","Yes","No"))</f>
        <v/>
      </c>
      <c r="AL227">
        <f>IF(A227="","",'01_Master_Data'!T227)</f>
        <v/>
      </c>
      <c r="AM227">
        <f>IF(A227="","",'01_Master_Data'!S227)</f>
        <v/>
      </c>
      <c r="AN227">
        <f>IF(A227="","",'01_Master_Data'!I227)</f>
        <v/>
      </c>
      <c r="AO227">
        <f>IF(A227="","",'01_Master_Data'!M227)</f>
        <v/>
      </c>
      <c r="AP227">
        <f>IF(A227="","",IF(ISNUMBER(SEARCH("Icici",W227&amp;"")),1,0))</f>
        <v/>
      </c>
      <c r="AQ227">
        <f>IF(A227="","",IF(ISNUMBER(SEARCH("Propelld",W227&amp;"")),1,0))</f>
        <v/>
      </c>
      <c r="AR227">
        <f>IF(A227="","",IF(ISNUMBER(SEARCH("GyanDhan",W227&amp;"")),1,0))</f>
        <v/>
      </c>
      <c r="AS227">
        <f>IF(A227="","",IF(ISNUMBER(SEARCH("vidyalakshmi",LOWER(W227&amp;""))),1,0))</f>
        <v/>
      </c>
      <c r="AT227">
        <f>IF(A227="","",IF(ISNUMBER(SEARCH("other bank",LOWER(W227&amp;""))),1,0))</f>
        <v/>
      </c>
      <c r="AU227">
        <f>IF(A227="","",IF(ISNUMBER(SEARCH("sanctioned",LOWER(W227&amp;""))),1,0))</f>
        <v/>
      </c>
      <c r="AV227">
        <f>IF(A227="","",IF(ISNUMBER(SEARCH("Docs Pending",W227&amp;"")),1,0))</f>
        <v/>
      </c>
      <c r="AW227">
        <f>IF(A227="","",IF(OR(X227="Rejected",ISNUMBER(SEARCH("Not eligbile",W227&amp;""))),1,0))</f>
        <v/>
      </c>
    </row>
    <row r="228">
      <c r="A228">
        <f>IF('01_Master_Data'!B228="","",227)</f>
        <v/>
      </c>
      <c r="B228">
        <f>IF('01_Master_Data'!B228="","",IF('01_Master_Data'!C228&lt;&gt;"","MOB|"&amp;TEXT('01_Master_Data'!C228,"0"),IF('01_Master_Data'!D228&lt;&gt;"","PID|"&amp;TRIM('01_Master_Data'!D228&amp;""),"")))</f>
        <v/>
      </c>
      <c r="C228">
        <f>IF('01_Master_Data'!B228="","",'01_Master_Data'!B228)</f>
        <v/>
      </c>
      <c r="D228">
        <f>IF('01_Master_Data'!B228="","",'01_Master_Data'!C228)</f>
        <v/>
      </c>
      <c r="E228">
        <f>IF('01_Master_Data'!B228="","",'01_Master_Data'!D228)</f>
        <v/>
      </c>
      <c r="F228">
        <f>IF('01_Master_Data'!B228="","",'01_Master_Data'!E228)</f>
        <v/>
      </c>
      <c r="G228">
        <f>IF('01_Master_Data'!B228="","",IFERROR(VLOOKUP(TRIM('01_Master_Data'!E228&amp;""),'02_Configuration'!$A$40:$B$44,2,FALSE),UPPER(TRIM('01_Master_Data'!E228&amp;""))))</f>
        <v/>
      </c>
      <c r="H228">
        <f>IF('01_Master_Data'!B228="","",IF('01_Master_Data'!U228="","",TRIM('01_Master_Data'!U228&amp;"")))</f>
        <v/>
      </c>
      <c r="I228">
        <f>IF('01_Master_Data'!B228="","",TRIM('01_Master_Data'!F228&amp;""))</f>
        <v/>
      </c>
      <c r="J228">
        <f>IF('01_Master_Data'!B228="","",TRIM('01_Master_Data'!G228&amp;""))</f>
        <v/>
      </c>
      <c r="K228">
        <f>IF('01_Master_Data'!B228="","",'01_Master_Data'!H228)</f>
        <v/>
      </c>
      <c r="L228">
        <f>IF('01_Master_Data'!B228="","",IF(LOWER(TRIM('01_Master_Data'!V228&amp;""))="yes",1,0))</f>
        <v/>
      </c>
      <c r="M228">
        <f>IF('01_Master_Data'!B228="","",IF(LOWER(TRIM('01_Master_Data'!W228&amp;""))="yes",1,0))</f>
        <v/>
      </c>
      <c r="N228">
        <f>IF('01_Master_Data'!B228="","",IF(LOWER(TRIM('01_Master_Data'!X228&amp;""))="yes",1,0))</f>
        <v/>
      </c>
      <c r="O228">
        <f>IF('01_Master_Data'!B228="","",IF(LOWER(TRIM('01_Master_Data'!Y228&amp;""))="yes",1,0))</f>
        <v/>
      </c>
      <c r="P228">
        <f>IF('01_Master_Data'!B228="","",IF(LOWER(TRIM('01_Master_Data'!Z228&amp;""))="yes",1,0))</f>
        <v/>
      </c>
      <c r="Q228">
        <f>IF(A228="","",L228+M228+N228+O228+P228)</f>
        <v/>
      </c>
      <c r="R228">
        <f>IF(A228="","",IF(Q228&gt;1,"Yes","No"))</f>
        <v/>
      </c>
      <c r="S228">
        <f>IF(A228="","",TEXTJOIN(", ",TRUE,IF(L228=1,"ICICI",""),IF(M228=1,"Propelld",""),IF(N228=1,"Study4Buddy",""),IF(O228=1,"Poonawala Fincorp",""),IF(P228=1,"GyanDhan","")))</f>
        <v/>
      </c>
      <c r="T228">
        <f>IF(A228="","",IF(L228=1,"ICICI",IF(M228=1,"Propelld",IF(P228=1,"GyanDhan",IF(N228=1,"Study4Buddy",IF(O228=1,"Poonawala Fincorp",IF(ISNUMBER(SEARCH("GyanDhan",W228&amp;"")),"GyanDhan",IF(ISNUMBER(SEARCH("Icici",W228&amp;"")),"ICICI",IF(ISNUMBER(SEARCH("Propelld",W228&amp;"")),"Propelld",IF(ISNUMBER(SEARCH("vidyalakshmi",LOWER(W228&amp;"")),"PM Vidyalakshmi","—"))))))))))</f>
        <v/>
      </c>
      <c r="U228">
        <f>IF(A228="","",TRIM('01_Master_Data'!AA228&amp;""))</f>
        <v/>
      </c>
      <c r="V228">
        <f>IF(A228="","",TRIM('01_Master_Data'!AG228&amp;""))</f>
        <v/>
      </c>
      <c r="W228">
        <f>IF(A228="","",TRIM('01_Master_Data'!AH228&amp;""))</f>
        <v/>
      </c>
      <c r="X228">
        <f>IF(A228="","",IF(OR(LOWER(H228)="refund",LOWER(U228)="refund case"),"Refund",IF(OR(LOWER(H228)="dnp",LOWER(U228)="dnp"),"DNP",IF(OR(LOWER(V228)="disbursed",ISNUMBER(SEARCH("Disbursed",W228&amp;""))),"Disbursed",IF(OR(LOWER(V228)="loan proccessed/accepted",ISNUMBER(SEARCH("sanctioned",LOWER(W228&amp;"")))),"Sanctioned",IF(OR(LOWER(V228)="rejected",ISNUMBER(SEARCH("Not eligbile",W228&amp;"")),ISNUMBER(SEARCH("Not eligible",W228&amp;""))),"Rejected",IF(ISNUMBER(SEARCH("Docs Pending",W228&amp;"")),"Documents Pending",IF(AND(LOWER(H228)="yes",LOWER(V228)="ongoing"),"Processing",IF(AND(LOWER(H228)="yes",Q228&gt;0,OR(V228="",LOWER(V228)="not even started")),"Vendor Assigned",IF(AND(LOWER(H228)="yes",LOWER(V228)="not even started"),"Need Loan",IF(LOWER(H228)="yes","Loan Started",IF(LOWER(H228)="not sure","Interested",IF(OR(LOWER(H228)="no",LOWER(V228)="not required"),"Not Required","Unclassified")))))))))))))</f>
        <v/>
      </c>
      <c r="Y228">
        <f>IF(A228="","",IF(OR(X228="Sanctioned",X228="Disbursed",X228="Approved"),"Approved",IF(X228="Rejected","Rejected",IF(OR(X228="Processing",X228="Documents Pending",X228="Vendor Assigned"),"In Progress",IF(X228="Need Loan","Pending Start","—"))))</f>
        <v/>
      </c>
      <c r="Z228">
        <f>IF(A228="","",IF(X228="Disbursed","Disbursed",IF(X228="Sanctioned","Sanctioned - Awaiting Disbursement","Not Disbursed")))</f>
        <v/>
      </c>
      <c r="AA228">
        <f>IF(A228="","",IF(LOWER(TRIM('01_Master_Data'!AI228&amp;""))="yes","Need FLDG",IF(LOWER(TRIM('01_Master_Data'!AK228&amp;""))="yes","Need Vidyalakshmi",IF(LOWER(TRIM('01_Master_Data'!AJ228&amp;""))="yes","Need Review",IF(LOWER(J228)="critical","Critical",IF(LOWER(U228)="risk","Risk Case",IF(X228="Refund","Refund","Normal")))))))</f>
        <v/>
      </c>
      <c r="AB228">
        <f>IF(A228="","",IF(OR(LOWER(J228)="critical",LOWER(TRIM('01_Master_Data'!AI228&amp;""))="yes",LOWER(TRIM('01_Master_Data'!AK228&amp;""))="yes",LOWER(U228)="risk"),"Yes","No"))</f>
        <v/>
      </c>
      <c r="AC228">
        <f>IF(A228="","",IF(LOWER(TRIM('01_Master_Data'!AI228&amp;""))="yes","Yes","No"))</f>
        <v/>
      </c>
      <c r="AD228">
        <f>IF(A228="","",IF(LOWER(TRIM('01_Master_Data'!AK228&amp;""))="yes","Yes","No"))</f>
        <v/>
      </c>
      <c r="AE228">
        <f>IF(A228="","",IF(LOWER(TRIM('01_Master_Data'!AJ228&amp;""))="yes","Yes","No"))</f>
        <v/>
      </c>
      <c r="AF228">
        <f>IF(A228="","",TRIM('01_Master_Data'!AL228&amp;""))</f>
        <v/>
      </c>
      <c r="AG228">
        <f>IF(A228="","",IF(AF228="","—",IF(ISNUMBER(SEARCH("DNP",AF228)),"Unreachable / DNP",IF(ISNUMBER(SEARCH("interest",LOWER(AF228))),"High Interest / Terms",IF(OR(ISNUMBER(SEARCH("eligib",LOWER(AF228))),ISNUMBER(SEARCH("income",LOWER(AF228)))),"Eligibility / Income",IF(OR(ISNUMBER(SEARCH("start",LOWER(AF228))),ISNUMBER(SEARCH("Newer",AF228)),ISNUMBER(SEARCH("Will start",AF228))),"Process Yet to Start",IF(ISNUMBER(SEARCH("sure",LOWER(AF228))),"Undecided",IF(OR(ISNUMBER(SEARCH("reject",LOWER(AF228))),ISNUMBER(SEARCH("SBI",AF228))),"Rejected Elsewhere",IF(ISNUMBER(SEARCH("call",LOWER(AF228))),"Bank Communication",IF(OR(ISNUMBER(SEARCH("father",LOWER(AF228))),ISNUMBER(SEARCH("sister",LOWER(AF228)))),"Family / Dependency","Other"))))))))))</f>
        <v/>
      </c>
      <c r="AH228">
        <f>IF(A228="","",'01_Master_Data'!AC228)</f>
        <v/>
      </c>
      <c r="AI228">
        <f>IF(A228="","",IF(OR(AH228="",NOT(ISNUMBER(AH228))),"",MAX(0,'02_Configuration'!$B$82-AH228)))</f>
        <v/>
      </c>
      <c r="AJ228">
        <f>IF(A228="","",IF(AI228="","Unknown",IF(AI228&lt;=3,"0–3 Days",IF(AI228&lt;=7,"4–7 Days",IF(AI228&lt;=15,"8–15 Days",IF(AI228&lt;=30,"16–30 Days","30+ Days"))))))</f>
        <v/>
      </c>
      <c r="AK228">
        <f>IF(A228="","",IF(LOWER(H228)="yes","Yes","No"))</f>
        <v/>
      </c>
      <c r="AL228">
        <f>IF(A228="","",'01_Master_Data'!T228)</f>
        <v/>
      </c>
      <c r="AM228">
        <f>IF(A228="","",'01_Master_Data'!S228)</f>
        <v/>
      </c>
      <c r="AN228">
        <f>IF(A228="","",'01_Master_Data'!I228)</f>
        <v/>
      </c>
      <c r="AO228">
        <f>IF(A228="","",'01_Master_Data'!M228)</f>
        <v/>
      </c>
      <c r="AP228">
        <f>IF(A228="","",IF(ISNUMBER(SEARCH("Icici",W228&amp;"")),1,0))</f>
        <v/>
      </c>
      <c r="AQ228">
        <f>IF(A228="","",IF(ISNUMBER(SEARCH("Propelld",W228&amp;"")),1,0))</f>
        <v/>
      </c>
      <c r="AR228">
        <f>IF(A228="","",IF(ISNUMBER(SEARCH("GyanDhan",W228&amp;"")),1,0))</f>
        <v/>
      </c>
      <c r="AS228">
        <f>IF(A228="","",IF(ISNUMBER(SEARCH("vidyalakshmi",LOWER(W228&amp;""))),1,0))</f>
        <v/>
      </c>
      <c r="AT228">
        <f>IF(A228="","",IF(ISNUMBER(SEARCH("other bank",LOWER(W228&amp;""))),1,0))</f>
        <v/>
      </c>
      <c r="AU228">
        <f>IF(A228="","",IF(ISNUMBER(SEARCH("sanctioned",LOWER(W228&amp;""))),1,0))</f>
        <v/>
      </c>
      <c r="AV228">
        <f>IF(A228="","",IF(ISNUMBER(SEARCH("Docs Pending",W228&amp;"")),1,0))</f>
        <v/>
      </c>
      <c r="AW228">
        <f>IF(A228="","",IF(OR(X228="Rejected",ISNUMBER(SEARCH("Not eligbile",W228&amp;""))),1,0))</f>
        <v/>
      </c>
    </row>
    <row r="229">
      <c r="A229">
        <f>IF('01_Master_Data'!B229="","",228)</f>
        <v/>
      </c>
      <c r="B229">
        <f>IF('01_Master_Data'!B229="","",IF('01_Master_Data'!C229&lt;&gt;"","MOB|"&amp;TEXT('01_Master_Data'!C229,"0"),IF('01_Master_Data'!D229&lt;&gt;"","PID|"&amp;TRIM('01_Master_Data'!D229&amp;""),"")))</f>
        <v/>
      </c>
      <c r="C229">
        <f>IF('01_Master_Data'!B229="","",'01_Master_Data'!B229)</f>
        <v/>
      </c>
      <c r="D229">
        <f>IF('01_Master_Data'!B229="","",'01_Master_Data'!C229)</f>
        <v/>
      </c>
      <c r="E229">
        <f>IF('01_Master_Data'!B229="","",'01_Master_Data'!D229)</f>
        <v/>
      </c>
      <c r="F229">
        <f>IF('01_Master_Data'!B229="","",'01_Master_Data'!E229)</f>
        <v/>
      </c>
      <c r="G229">
        <f>IF('01_Master_Data'!B229="","",IFERROR(VLOOKUP(TRIM('01_Master_Data'!E229&amp;""),'02_Configuration'!$A$40:$B$44,2,FALSE),UPPER(TRIM('01_Master_Data'!E229&amp;""))))</f>
        <v/>
      </c>
      <c r="H229">
        <f>IF('01_Master_Data'!B229="","",IF('01_Master_Data'!U229="","",TRIM('01_Master_Data'!U229&amp;"")))</f>
        <v/>
      </c>
      <c r="I229">
        <f>IF('01_Master_Data'!B229="","",TRIM('01_Master_Data'!F229&amp;""))</f>
        <v/>
      </c>
      <c r="J229">
        <f>IF('01_Master_Data'!B229="","",TRIM('01_Master_Data'!G229&amp;""))</f>
        <v/>
      </c>
      <c r="K229">
        <f>IF('01_Master_Data'!B229="","",'01_Master_Data'!H229)</f>
        <v/>
      </c>
      <c r="L229">
        <f>IF('01_Master_Data'!B229="","",IF(LOWER(TRIM('01_Master_Data'!V229&amp;""))="yes",1,0))</f>
        <v/>
      </c>
      <c r="M229">
        <f>IF('01_Master_Data'!B229="","",IF(LOWER(TRIM('01_Master_Data'!W229&amp;""))="yes",1,0))</f>
        <v/>
      </c>
      <c r="N229">
        <f>IF('01_Master_Data'!B229="","",IF(LOWER(TRIM('01_Master_Data'!X229&amp;""))="yes",1,0))</f>
        <v/>
      </c>
      <c r="O229">
        <f>IF('01_Master_Data'!B229="","",IF(LOWER(TRIM('01_Master_Data'!Y229&amp;""))="yes",1,0))</f>
        <v/>
      </c>
      <c r="P229">
        <f>IF('01_Master_Data'!B229="","",IF(LOWER(TRIM('01_Master_Data'!Z229&amp;""))="yes",1,0))</f>
        <v/>
      </c>
      <c r="Q229">
        <f>IF(A229="","",L229+M229+N229+O229+P229)</f>
        <v/>
      </c>
      <c r="R229">
        <f>IF(A229="","",IF(Q229&gt;1,"Yes","No"))</f>
        <v/>
      </c>
      <c r="S229">
        <f>IF(A229="","",TEXTJOIN(", ",TRUE,IF(L229=1,"ICICI",""),IF(M229=1,"Propelld",""),IF(N229=1,"Study4Buddy",""),IF(O229=1,"Poonawala Fincorp",""),IF(P229=1,"GyanDhan","")))</f>
        <v/>
      </c>
      <c r="T229">
        <f>IF(A229="","",IF(L229=1,"ICICI",IF(M229=1,"Propelld",IF(P229=1,"GyanDhan",IF(N229=1,"Study4Buddy",IF(O229=1,"Poonawala Fincorp",IF(ISNUMBER(SEARCH("GyanDhan",W229&amp;"")),"GyanDhan",IF(ISNUMBER(SEARCH("Icici",W229&amp;"")),"ICICI",IF(ISNUMBER(SEARCH("Propelld",W229&amp;"")),"Propelld",IF(ISNUMBER(SEARCH("vidyalakshmi",LOWER(W229&amp;"")),"PM Vidyalakshmi","—"))))))))))</f>
        <v/>
      </c>
      <c r="U229">
        <f>IF(A229="","",TRIM('01_Master_Data'!AA229&amp;""))</f>
        <v/>
      </c>
      <c r="V229">
        <f>IF(A229="","",TRIM('01_Master_Data'!AG229&amp;""))</f>
        <v/>
      </c>
      <c r="W229">
        <f>IF(A229="","",TRIM('01_Master_Data'!AH229&amp;""))</f>
        <v/>
      </c>
      <c r="X229">
        <f>IF(A229="","",IF(OR(LOWER(H229)="refund",LOWER(U229)="refund case"),"Refund",IF(OR(LOWER(H229)="dnp",LOWER(U229)="dnp"),"DNP",IF(OR(LOWER(V229)="disbursed",ISNUMBER(SEARCH("Disbursed",W229&amp;""))),"Disbursed",IF(OR(LOWER(V229)="loan proccessed/accepted",ISNUMBER(SEARCH("sanctioned",LOWER(W229&amp;"")))),"Sanctioned",IF(OR(LOWER(V229)="rejected",ISNUMBER(SEARCH("Not eligbile",W229&amp;"")),ISNUMBER(SEARCH("Not eligible",W229&amp;""))),"Rejected",IF(ISNUMBER(SEARCH("Docs Pending",W229&amp;"")),"Documents Pending",IF(AND(LOWER(H229)="yes",LOWER(V229)="ongoing"),"Processing",IF(AND(LOWER(H229)="yes",Q229&gt;0,OR(V229="",LOWER(V229)="not even started")),"Vendor Assigned",IF(AND(LOWER(H229)="yes",LOWER(V229)="not even started"),"Need Loan",IF(LOWER(H229)="yes","Loan Started",IF(LOWER(H229)="not sure","Interested",IF(OR(LOWER(H229)="no",LOWER(V229)="not required"),"Not Required","Unclassified")))))))))))))</f>
        <v/>
      </c>
      <c r="Y229">
        <f>IF(A229="","",IF(OR(X229="Sanctioned",X229="Disbursed",X229="Approved"),"Approved",IF(X229="Rejected","Rejected",IF(OR(X229="Processing",X229="Documents Pending",X229="Vendor Assigned"),"In Progress",IF(X229="Need Loan","Pending Start","—"))))</f>
        <v/>
      </c>
      <c r="Z229">
        <f>IF(A229="","",IF(X229="Disbursed","Disbursed",IF(X229="Sanctioned","Sanctioned - Awaiting Disbursement","Not Disbursed")))</f>
        <v/>
      </c>
      <c r="AA229">
        <f>IF(A229="","",IF(LOWER(TRIM('01_Master_Data'!AI229&amp;""))="yes","Need FLDG",IF(LOWER(TRIM('01_Master_Data'!AK229&amp;""))="yes","Need Vidyalakshmi",IF(LOWER(TRIM('01_Master_Data'!AJ229&amp;""))="yes","Need Review",IF(LOWER(J229)="critical","Critical",IF(LOWER(U229)="risk","Risk Case",IF(X229="Refund","Refund","Normal")))))))</f>
        <v/>
      </c>
      <c r="AB229">
        <f>IF(A229="","",IF(OR(LOWER(J229)="critical",LOWER(TRIM('01_Master_Data'!AI229&amp;""))="yes",LOWER(TRIM('01_Master_Data'!AK229&amp;""))="yes",LOWER(U229)="risk"),"Yes","No"))</f>
        <v/>
      </c>
      <c r="AC229">
        <f>IF(A229="","",IF(LOWER(TRIM('01_Master_Data'!AI229&amp;""))="yes","Yes","No"))</f>
        <v/>
      </c>
      <c r="AD229">
        <f>IF(A229="","",IF(LOWER(TRIM('01_Master_Data'!AK229&amp;""))="yes","Yes","No"))</f>
        <v/>
      </c>
      <c r="AE229">
        <f>IF(A229="","",IF(LOWER(TRIM('01_Master_Data'!AJ229&amp;""))="yes","Yes","No"))</f>
        <v/>
      </c>
      <c r="AF229">
        <f>IF(A229="","",TRIM('01_Master_Data'!AL229&amp;""))</f>
        <v/>
      </c>
      <c r="AG229">
        <f>IF(A229="","",IF(AF229="","—",IF(ISNUMBER(SEARCH("DNP",AF229)),"Unreachable / DNP",IF(ISNUMBER(SEARCH("interest",LOWER(AF229))),"High Interest / Terms",IF(OR(ISNUMBER(SEARCH("eligib",LOWER(AF229))),ISNUMBER(SEARCH("income",LOWER(AF229)))),"Eligibility / Income",IF(OR(ISNUMBER(SEARCH("start",LOWER(AF229))),ISNUMBER(SEARCH("Newer",AF229)),ISNUMBER(SEARCH("Will start",AF229))),"Process Yet to Start",IF(ISNUMBER(SEARCH("sure",LOWER(AF229))),"Undecided",IF(OR(ISNUMBER(SEARCH("reject",LOWER(AF229))),ISNUMBER(SEARCH("SBI",AF229))),"Rejected Elsewhere",IF(ISNUMBER(SEARCH("call",LOWER(AF229))),"Bank Communication",IF(OR(ISNUMBER(SEARCH("father",LOWER(AF229))),ISNUMBER(SEARCH("sister",LOWER(AF229)))),"Family / Dependency","Other"))))))))))</f>
        <v/>
      </c>
      <c r="AH229">
        <f>IF(A229="","",'01_Master_Data'!AC229)</f>
        <v/>
      </c>
      <c r="AI229">
        <f>IF(A229="","",IF(OR(AH229="",NOT(ISNUMBER(AH229))),"",MAX(0,'02_Configuration'!$B$82-AH229)))</f>
        <v/>
      </c>
      <c r="AJ229">
        <f>IF(A229="","",IF(AI229="","Unknown",IF(AI229&lt;=3,"0–3 Days",IF(AI229&lt;=7,"4–7 Days",IF(AI229&lt;=15,"8–15 Days",IF(AI229&lt;=30,"16–30 Days","30+ Days"))))))</f>
        <v/>
      </c>
      <c r="AK229">
        <f>IF(A229="","",IF(LOWER(H229)="yes","Yes","No"))</f>
        <v/>
      </c>
      <c r="AL229">
        <f>IF(A229="","",'01_Master_Data'!T229)</f>
        <v/>
      </c>
      <c r="AM229">
        <f>IF(A229="","",'01_Master_Data'!S229)</f>
        <v/>
      </c>
      <c r="AN229">
        <f>IF(A229="","",'01_Master_Data'!I229)</f>
        <v/>
      </c>
      <c r="AO229">
        <f>IF(A229="","",'01_Master_Data'!M229)</f>
        <v/>
      </c>
      <c r="AP229">
        <f>IF(A229="","",IF(ISNUMBER(SEARCH("Icici",W229&amp;"")),1,0))</f>
        <v/>
      </c>
      <c r="AQ229">
        <f>IF(A229="","",IF(ISNUMBER(SEARCH("Propelld",W229&amp;"")),1,0))</f>
        <v/>
      </c>
      <c r="AR229">
        <f>IF(A229="","",IF(ISNUMBER(SEARCH("GyanDhan",W229&amp;"")),1,0))</f>
        <v/>
      </c>
      <c r="AS229">
        <f>IF(A229="","",IF(ISNUMBER(SEARCH("vidyalakshmi",LOWER(W229&amp;""))),1,0))</f>
        <v/>
      </c>
      <c r="AT229">
        <f>IF(A229="","",IF(ISNUMBER(SEARCH("other bank",LOWER(W229&amp;""))),1,0))</f>
        <v/>
      </c>
      <c r="AU229">
        <f>IF(A229="","",IF(ISNUMBER(SEARCH("sanctioned",LOWER(W229&amp;""))),1,0))</f>
        <v/>
      </c>
      <c r="AV229">
        <f>IF(A229="","",IF(ISNUMBER(SEARCH("Docs Pending",W229&amp;"")),1,0))</f>
        <v/>
      </c>
      <c r="AW229">
        <f>IF(A229="","",IF(OR(X229="Rejected",ISNUMBER(SEARCH("Not eligbile",W229&amp;""))),1,0))</f>
        <v/>
      </c>
    </row>
    <row r="230">
      <c r="A230">
        <f>IF('01_Master_Data'!B230="","",229)</f>
        <v/>
      </c>
      <c r="B230">
        <f>IF('01_Master_Data'!B230="","",IF('01_Master_Data'!C230&lt;&gt;"","MOB|"&amp;TEXT('01_Master_Data'!C230,"0"),IF('01_Master_Data'!D230&lt;&gt;"","PID|"&amp;TRIM('01_Master_Data'!D230&amp;""),"")))</f>
        <v/>
      </c>
      <c r="C230">
        <f>IF('01_Master_Data'!B230="","",'01_Master_Data'!B230)</f>
        <v/>
      </c>
      <c r="D230">
        <f>IF('01_Master_Data'!B230="","",'01_Master_Data'!C230)</f>
        <v/>
      </c>
      <c r="E230">
        <f>IF('01_Master_Data'!B230="","",'01_Master_Data'!D230)</f>
        <v/>
      </c>
      <c r="F230">
        <f>IF('01_Master_Data'!B230="","",'01_Master_Data'!E230)</f>
        <v/>
      </c>
      <c r="G230">
        <f>IF('01_Master_Data'!B230="","",IFERROR(VLOOKUP(TRIM('01_Master_Data'!E230&amp;""),'02_Configuration'!$A$40:$B$44,2,FALSE),UPPER(TRIM('01_Master_Data'!E230&amp;""))))</f>
        <v/>
      </c>
      <c r="H230">
        <f>IF('01_Master_Data'!B230="","",IF('01_Master_Data'!U230="","",TRIM('01_Master_Data'!U230&amp;"")))</f>
        <v/>
      </c>
      <c r="I230">
        <f>IF('01_Master_Data'!B230="","",TRIM('01_Master_Data'!F230&amp;""))</f>
        <v/>
      </c>
      <c r="J230">
        <f>IF('01_Master_Data'!B230="","",TRIM('01_Master_Data'!G230&amp;""))</f>
        <v/>
      </c>
      <c r="K230">
        <f>IF('01_Master_Data'!B230="","",'01_Master_Data'!H230)</f>
        <v/>
      </c>
      <c r="L230">
        <f>IF('01_Master_Data'!B230="","",IF(LOWER(TRIM('01_Master_Data'!V230&amp;""))="yes",1,0))</f>
        <v/>
      </c>
      <c r="M230">
        <f>IF('01_Master_Data'!B230="","",IF(LOWER(TRIM('01_Master_Data'!W230&amp;""))="yes",1,0))</f>
        <v/>
      </c>
      <c r="N230">
        <f>IF('01_Master_Data'!B230="","",IF(LOWER(TRIM('01_Master_Data'!X230&amp;""))="yes",1,0))</f>
        <v/>
      </c>
      <c r="O230">
        <f>IF('01_Master_Data'!B230="","",IF(LOWER(TRIM('01_Master_Data'!Y230&amp;""))="yes",1,0))</f>
        <v/>
      </c>
      <c r="P230">
        <f>IF('01_Master_Data'!B230="","",IF(LOWER(TRIM('01_Master_Data'!Z230&amp;""))="yes",1,0))</f>
        <v/>
      </c>
      <c r="Q230">
        <f>IF(A230="","",L230+M230+N230+O230+P230)</f>
        <v/>
      </c>
      <c r="R230">
        <f>IF(A230="","",IF(Q230&gt;1,"Yes","No"))</f>
        <v/>
      </c>
      <c r="S230">
        <f>IF(A230="","",TEXTJOIN(", ",TRUE,IF(L230=1,"ICICI",""),IF(M230=1,"Propelld",""),IF(N230=1,"Study4Buddy",""),IF(O230=1,"Poonawala Fincorp",""),IF(P230=1,"GyanDhan","")))</f>
        <v/>
      </c>
      <c r="T230">
        <f>IF(A230="","",IF(L230=1,"ICICI",IF(M230=1,"Propelld",IF(P230=1,"GyanDhan",IF(N230=1,"Study4Buddy",IF(O230=1,"Poonawala Fincorp",IF(ISNUMBER(SEARCH("GyanDhan",W230&amp;"")),"GyanDhan",IF(ISNUMBER(SEARCH("Icici",W230&amp;"")),"ICICI",IF(ISNUMBER(SEARCH("Propelld",W230&amp;"")),"Propelld",IF(ISNUMBER(SEARCH("vidyalakshmi",LOWER(W230&amp;"")),"PM Vidyalakshmi","—"))))))))))</f>
        <v/>
      </c>
      <c r="U230">
        <f>IF(A230="","",TRIM('01_Master_Data'!AA230&amp;""))</f>
        <v/>
      </c>
      <c r="V230">
        <f>IF(A230="","",TRIM('01_Master_Data'!AG230&amp;""))</f>
        <v/>
      </c>
      <c r="W230">
        <f>IF(A230="","",TRIM('01_Master_Data'!AH230&amp;""))</f>
        <v/>
      </c>
      <c r="X230">
        <f>IF(A230="","",IF(OR(LOWER(H230)="refund",LOWER(U230)="refund case"),"Refund",IF(OR(LOWER(H230)="dnp",LOWER(U230)="dnp"),"DNP",IF(OR(LOWER(V230)="disbursed",ISNUMBER(SEARCH("Disbursed",W230&amp;""))),"Disbursed",IF(OR(LOWER(V230)="loan proccessed/accepted",ISNUMBER(SEARCH("sanctioned",LOWER(W230&amp;"")))),"Sanctioned",IF(OR(LOWER(V230)="rejected",ISNUMBER(SEARCH("Not eligbile",W230&amp;"")),ISNUMBER(SEARCH("Not eligible",W230&amp;""))),"Rejected",IF(ISNUMBER(SEARCH("Docs Pending",W230&amp;"")),"Documents Pending",IF(AND(LOWER(H230)="yes",LOWER(V230)="ongoing"),"Processing",IF(AND(LOWER(H230)="yes",Q230&gt;0,OR(V230="",LOWER(V230)="not even started")),"Vendor Assigned",IF(AND(LOWER(H230)="yes",LOWER(V230)="not even started"),"Need Loan",IF(LOWER(H230)="yes","Loan Started",IF(LOWER(H230)="not sure","Interested",IF(OR(LOWER(H230)="no",LOWER(V230)="not required"),"Not Required","Unclassified")))))))))))))</f>
        <v/>
      </c>
      <c r="Y230">
        <f>IF(A230="","",IF(OR(X230="Sanctioned",X230="Disbursed",X230="Approved"),"Approved",IF(X230="Rejected","Rejected",IF(OR(X230="Processing",X230="Documents Pending",X230="Vendor Assigned"),"In Progress",IF(X230="Need Loan","Pending Start","—"))))</f>
        <v/>
      </c>
      <c r="Z230">
        <f>IF(A230="","",IF(X230="Disbursed","Disbursed",IF(X230="Sanctioned","Sanctioned - Awaiting Disbursement","Not Disbursed")))</f>
        <v/>
      </c>
      <c r="AA230">
        <f>IF(A230="","",IF(LOWER(TRIM('01_Master_Data'!AI230&amp;""))="yes","Need FLDG",IF(LOWER(TRIM('01_Master_Data'!AK230&amp;""))="yes","Need Vidyalakshmi",IF(LOWER(TRIM('01_Master_Data'!AJ230&amp;""))="yes","Need Review",IF(LOWER(J230)="critical","Critical",IF(LOWER(U230)="risk","Risk Case",IF(X230="Refund","Refund","Normal")))))))</f>
        <v/>
      </c>
      <c r="AB230">
        <f>IF(A230="","",IF(OR(LOWER(J230)="critical",LOWER(TRIM('01_Master_Data'!AI230&amp;""))="yes",LOWER(TRIM('01_Master_Data'!AK230&amp;""))="yes",LOWER(U230)="risk"),"Yes","No"))</f>
        <v/>
      </c>
      <c r="AC230">
        <f>IF(A230="","",IF(LOWER(TRIM('01_Master_Data'!AI230&amp;""))="yes","Yes","No"))</f>
        <v/>
      </c>
      <c r="AD230">
        <f>IF(A230="","",IF(LOWER(TRIM('01_Master_Data'!AK230&amp;""))="yes","Yes","No"))</f>
        <v/>
      </c>
      <c r="AE230">
        <f>IF(A230="","",IF(LOWER(TRIM('01_Master_Data'!AJ230&amp;""))="yes","Yes","No"))</f>
        <v/>
      </c>
      <c r="AF230">
        <f>IF(A230="","",TRIM('01_Master_Data'!AL230&amp;""))</f>
        <v/>
      </c>
      <c r="AG230">
        <f>IF(A230="","",IF(AF230="","—",IF(ISNUMBER(SEARCH("DNP",AF230)),"Unreachable / DNP",IF(ISNUMBER(SEARCH("interest",LOWER(AF230))),"High Interest / Terms",IF(OR(ISNUMBER(SEARCH("eligib",LOWER(AF230))),ISNUMBER(SEARCH("income",LOWER(AF230)))),"Eligibility / Income",IF(OR(ISNUMBER(SEARCH("start",LOWER(AF230))),ISNUMBER(SEARCH("Newer",AF230)),ISNUMBER(SEARCH("Will start",AF230))),"Process Yet to Start",IF(ISNUMBER(SEARCH("sure",LOWER(AF230))),"Undecided",IF(OR(ISNUMBER(SEARCH("reject",LOWER(AF230))),ISNUMBER(SEARCH("SBI",AF230))),"Rejected Elsewhere",IF(ISNUMBER(SEARCH("call",LOWER(AF230))),"Bank Communication",IF(OR(ISNUMBER(SEARCH("father",LOWER(AF230))),ISNUMBER(SEARCH("sister",LOWER(AF230)))),"Family / Dependency","Other"))))))))))</f>
        <v/>
      </c>
      <c r="AH230">
        <f>IF(A230="","",'01_Master_Data'!AC230)</f>
        <v/>
      </c>
      <c r="AI230">
        <f>IF(A230="","",IF(OR(AH230="",NOT(ISNUMBER(AH230))),"",MAX(0,'02_Configuration'!$B$82-AH230)))</f>
        <v/>
      </c>
      <c r="AJ230">
        <f>IF(A230="","",IF(AI230="","Unknown",IF(AI230&lt;=3,"0–3 Days",IF(AI230&lt;=7,"4–7 Days",IF(AI230&lt;=15,"8–15 Days",IF(AI230&lt;=30,"16–30 Days","30+ Days"))))))</f>
        <v/>
      </c>
      <c r="AK230">
        <f>IF(A230="","",IF(LOWER(H230)="yes","Yes","No"))</f>
        <v/>
      </c>
      <c r="AL230">
        <f>IF(A230="","",'01_Master_Data'!T230)</f>
        <v/>
      </c>
      <c r="AM230">
        <f>IF(A230="","",'01_Master_Data'!S230)</f>
        <v/>
      </c>
      <c r="AN230">
        <f>IF(A230="","",'01_Master_Data'!I230)</f>
        <v/>
      </c>
      <c r="AO230">
        <f>IF(A230="","",'01_Master_Data'!M230)</f>
        <v/>
      </c>
      <c r="AP230">
        <f>IF(A230="","",IF(ISNUMBER(SEARCH("Icici",W230&amp;"")),1,0))</f>
        <v/>
      </c>
      <c r="AQ230">
        <f>IF(A230="","",IF(ISNUMBER(SEARCH("Propelld",W230&amp;"")),1,0))</f>
        <v/>
      </c>
      <c r="AR230">
        <f>IF(A230="","",IF(ISNUMBER(SEARCH("GyanDhan",W230&amp;"")),1,0))</f>
        <v/>
      </c>
      <c r="AS230">
        <f>IF(A230="","",IF(ISNUMBER(SEARCH("vidyalakshmi",LOWER(W230&amp;""))),1,0))</f>
        <v/>
      </c>
      <c r="AT230">
        <f>IF(A230="","",IF(ISNUMBER(SEARCH("other bank",LOWER(W230&amp;""))),1,0))</f>
        <v/>
      </c>
      <c r="AU230">
        <f>IF(A230="","",IF(ISNUMBER(SEARCH("sanctioned",LOWER(W230&amp;""))),1,0))</f>
        <v/>
      </c>
      <c r="AV230">
        <f>IF(A230="","",IF(ISNUMBER(SEARCH("Docs Pending",W230&amp;"")),1,0))</f>
        <v/>
      </c>
      <c r="AW230">
        <f>IF(A230="","",IF(OR(X230="Rejected",ISNUMBER(SEARCH("Not eligbile",W230&amp;""))),1,0))</f>
        <v/>
      </c>
    </row>
    <row r="231">
      <c r="A231">
        <f>IF('01_Master_Data'!B231="","",230)</f>
        <v/>
      </c>
      <c r="B231">
        <f>IF('01_Master_Data'!B231="","",IF('01_Master_Data'!C231&lt;&gt;"","MOB|"&amp;TEXT('01_Master_Data'!C231,"0"),IF('01_Master_Data'!D231&lt;&gt;"","PID|"&amp;TRIM('01_Master_Data'!D231&amp;""),"")))</f>
        <v/>
      </c>
      <c r="C231">
        <f>IF('01_Master_Data'!B231="","",'01_Master_Data'!B231)</f>
        <v/>
      </c>
      <c r="D231">
        <f>IF('01_Master_Data'!B231="","",'01_Master_Data'!C231)</f>
        <v/>
      </c>
      <c r="E231">
        <f>IF('01_Master_Data'!B231="","",'01_Master_Data'!D231)</f>
        <v/>
      </c>
      <c r="F231">
        <f>IF('01_Master_Data'!B231="","",'01_Master_Data'!E231)</f>
        <v/>
      </c>
      <c r="G231">
        <f>IF('01_Master_Data'!B231="","",IFERROR(VLOOKUP(TRIM('01_Master_Data'!E231&amp;""),'02_Configuration'!$A$40:$B$44,2,FALSE),UPPER(TRIM('01_Master_Data'!E231&amp;""))))</f>
        <v/>
      </c>
      <c r="H231">
        <f>IF('01_Master_Data'!B231="","",IF('01_Master_Data'!U231="","",TRIM('01_Master_Data'!U231&amp;"")))</f>
        <v/>
      </c>
      <c r="I231">
        <f>IF('01_Master_Data'!B231="","",TRIM('01_Master_Data'!F231&amp;""))</f>
        <v/>
      </c>
      <c r="J231">
        <f>IF('01_Master_Data'!B231="","",TRIM('01_Master_Data'!G231&amp;""))</f>
        <v/>
      </c>
      <c r="K231">
        <f>IF('01_Master_Data'!B231="","",'01_Master_Data'!H231)</f>
        <v/>
      </c>
      <c r="L231">
        <f>IF('01_Master_Data'!B231="","",IF(LOWER(TRIM('01_Master_Data'!V231&amp;""))="yes",1,0))</f>
        <v/>
      </c>
      <c r="M231">
        <f>IF('01_Master_Data'!B231="","",IF(LOWER(TRIM('01_Master_Data'!W231&amp;""))="yes",1,0))</f>
        <v/>
      </c>
      <c r="N231">
        <f>IF('01_Master_Data'!B231="","",IF(LOWER(TRIM('01_Master_Data'!X231&amp;""))="yes",1,0))</f>
        <v/>
      </c>
      <c r="O231">
        <f>IF('01_Master_Data'!B231="","",IF(LOWER(TRIM('01_Master_Data'!Y231&amp;""))="yes",1,0))</f>
        <v/>
      </c>
      <c r="P231">
        <f>IF('01_Master_Data'!B231="","",IF(LOWER(TRIM('01_Master_Data'!Z231&amp;""))="yes",1,0))</f>
        <v/>
      </c>
      <c r="Q231">
        <f>IF(A231="","",L231+M231+N231+O231+P231)</f>
        <v/>
      </c>
      <c r="R231">
        <f>IF(A231="","",IF(Q231&gt;1,"Yes","No"))</f>
        <v/>
      </c>
      <c r="S231">
        <f>IF(A231="","",TEXTJOIN(", ",TRUE,IF(L231=1,"ICICI",""),IF(M231=1,"Propelld",""),IF(N231=1,"Study4Buddy",""),IF(O231=1,"Poonawala Fincorp",""),IF(P231=1,"GyanDhan","")))</f>
        <v/>
      </c>
      <c r="T231">
        <f>IF(A231="","",IF(L231=1,"ICICI",IF(M231=1,"Propelld",IF(P231=1,"GyanDhan",IF(N231=1,"Study4Buddy",IF(O231=1,"Poonawala Fincorp",IF(ISNUMBER(SEARCH("GyanDhan",W231&amp;"")),"GyanDhan",IF(ISNUMBER(SEARCH("Icici",W231&amp;"")),"ICICI",IF(ISNUMBER(SEARCH("Propelld",W231&amp;"")),"Propelld",IF(ISNUMBER(SEARCH("vidyalakshmi",LOWER(W231&amp;"")),"PM Vidyalakshmi","—"))))))))))</f>
        <v/>
      </c>
      <c r="U231">
        <f>IF(A231="","",TRIM('01_Master_Data'!AA231&amp;""))</f>
        <v/>
      </c>
      <c r="V231">
        <f>IF(A231="","",TRIM('01_Master_Data'!AG231&amp;""))</f>
        <v/>
      </c>
      <c r="W231">
        <f>IF(A231="","",TRIM('01_Master_Data'!AH231&amp;""))</f>
        <v/>
      </c>
      <c r="X231">
        <f>IF(A231="","",IF(OR(LOWER(H231)="refund",LOWER(U231)="refund case"),"Refund",IF(OR(LOWER(H231)="dnp",LOWER(U231)="dnp"),"DNP",IF(OR(LOWER(V231)="disbursed",ISNUMBER(SEARCH("Disbursed",W231&amp;""))),"Disbursed",IF(OR(LOWER(V231)="loan proccessed/accepted",ISNUMBER(SEARCH("sanctioned",LOWER(W231&amp;"")))),"Sanctioned",IF(OR(LOWER(V231)="rejected",ISNUMBER(SEARCH("Not eligbile",W231&amp;"")),ISNUMBER(SEARCH("Not eligible",W231&amp;""))),"Rejected",IF(ISNUMBER(SEARCH("Docs Pending",W231&amp;"")),"Documents Pending",IF(AND(LOWER(H231)="yes",LOWER(V231)="ongoing"),"Processing",IF(AND(LOWER(H231)="yes",Q231&gt;0,OR(V231="",LOWER(V231)="not even started")),"Vendor Assigned",IF(AND(LOWER(H231)="yes",LOWER(V231)="not even started"),"Need Loan",IF(LOWER(H231)="yes","Loan Started",IF(LOWER(H231)="not sure","Interested",IF(OR(LOWER(H231)="no",LOWER(V231)="not required"),"Not Required","Unclassified")))))))))))))</f>
        <v/>
      </c>
      <c r="Y231">
        <f>IF(A231="","",IF(OR(X231="Sanctioned",X231="Disbursed",X231="Approved"),"Approved",IF(X231="Rejected","Rejected",IF(OR(X231="Processing",X231="Documents Pending",X231="Vendor Assigned"),"In Progress",IF(X231="Need Loan","Pending Start","—"))))</f>
        <v/>
      </c>
      <c r="Z231">
        <f>IF(A231="","",IF(X231="Disbursed","Disbursed",IF(X231="Sanctioned","Sanctioned - Awaiting Disbursement","Not Disbursed")))</f>
        <v/>
      </c>
      <c r="AA231">
        <f>IF(A231="","",IF(LOWER(TRIM('01_Master_Data'!AI231&amp;""))="yes","Need FLDG",IF(LOWER(TRIM('01_Master_Data'!AK231&amp;""))="yes","Need Vidyalakshmi",IF(LOWER(TRIM('01_Master_Data'!AJ231&amp;""))="yes","Need Review",IF(LOWER(J231)="critical","Critical",IF(LOWER(U231)="risk","Risk Case",IF(X231="Refund","Refund","Normal")))))))</f>
        <v/>
      </c>
      <c r="AB231">
        <f>IF(A231="","",IF(OR(LOWER(J231)="critical",LOWER(TRIM('01_Master_Data'!AI231&amp;""))="yes",LOWER(TRIM('01_Master_Data'!AK231&amp;""))="yes",LOWER(U231)="risk"),"Yes","No"))</f>
        <v/>
      </c>
      <c r="AC231">
        <f>IF(A231="","",IF(LOWER(TRIM('01_Master_Data'!AI231&amp;""))="yes","Yes","No"))</f>
        <v/>
      </c>
      <c r="AD231">
        <f>IF(A231="","",IF(LOWER(TRIM('01_Master_Data'!AK231&amp;""))="yes","Yes","No"))</f>
        <v/>
      </c>
      <c r="AE231">
        <f>IF(A231="","",IF(LOWER(TRIM('01_Master_Data'!AJ231&amp;""))="yes","Yes","No"))</f>
        <v/>
      </c>
      <c r="AF231">
        <f>IF(A231="","",TRIM('01_Master_Data'!AL231&amp;""))</f>
        <v/>
      </c>
      <c r="AG231">
        <f>IF(A231="","",IF(AF231="","—",IF(ISNUMBER(SEARCH("DNP",AF231)),"Unreachable / DNP",IF(ISNUMBER(SEARCH("interest",LOWER(AF231))),"High Interest / Terms",IF(OR(ISNUMBER(SEARCH("eligib",LOWER(AF231))),ISNUMBER(SEARCH("income",LOWER(AF231)))),"Eligibility / Income",IF(OR(ISNUMBER(SEARCH("start",LOWER(AF231))),ISNUMBER(SEARCH("Newer",AF231)),ISNUMBER(SEARCH("Will start",AF231))),"Process Yet to Start",IF(ISNUMBER(SEARCH("sure",LOWER(AF231))),"Undecided",IF(OR(ISNUMBER(SEARCH("reject",LOWER(AF231))),ISNUMBER(SEARCH("SBI",AF231))),"Rejected Elsewhere",IF(ISNUMBER(SEARCH("call",LOWER(AF231))),"Bank Communication",IF(OR(ISNUMBER(SEARCH("father",LOWER(AF231))),ISNUMBER(SEARCH("sister",LOWER(AF231)))),"Family / Dependency","Other"))))))))))</f>
        <v/>
      </c>
      <c r="AH231">
        <f>IF(A231="","",'01_Master_Data'!AC231)</f>
        <v/>
      </c>
      <c r="AI231">
        <f>IF(A231="","",IF(OR(AH231="",NOT(ISNUMBER(AH231))),"",MAX(0,'02_Configuration'!$B$82-AH231)))</f>
        <v/>
      </c>
      <c r="AJ231">
        <f>IF(A231="","",IF(AI231="","Unknown",IF(AI231&lt;=3,"0–3 Days",IF(AI231&lt;=7,"4–7 Days",IF(AI231&lt;=15,"8–15 Days",IF(AI231&lt;=30,"16–30 Days","30+ Days"))))))</f>
        <v/>
      </c>
      <c r="AK231">
        <f>IF(A231="","",IF(LOWER(H231)="yes","Yes","No"))</f>
        <v/>
      </c>
      <c r="AL231">
        <f>IF(A231="","",'01_Master_Data'!T231)</f>
        <v/>
      </c>
      <c r="AM231">
        <f>IF(A231="","",'01_Master_Data'!S231)</f>
        <v/>
      </c>
      <c r="AN231">
        <f>IF(A231="","",'01_Master_Data'!I231)</f>
        <v/>
      </c>
      <c r="AO231">
        <f>IF(A231="","",'01_Master_Data'!M231)</f>
        <v/>
      </c>
      <c r="AP231">
        <f>IF(A231="","",IF(ISNUMBER(SEARCH("Icici",W231&amp;"")),1,0))</f>
        <v/>
      </c>
      <c r="AQ231">
        <f>IF(A231="","",IF(ISNUMBER(SEARCH("Propelld",W231&amp;"")),1,0))</f>
        <v/>
      </c>
      <c r="AR231">
        <f>IF(A231="","",IF(ISNUMBER(SEARCH("GyanDhan",W231&amp;"")),1,0))</f>
        <v/>
      </c>
      <c r="AS231">
        <f>IF(A231="","",IF(ISNUMBER(SEARCH("vidyalakshmi",LOWER(W231&amp;""))),1,0))</f>
        <v/>
      </c>
      <c r="AT231">
        <f>IF(A231="","",IF(ISNUMBER(SEARCH("other bank",LOWER(W231&amp;""))),1,0))</f>
        <v/>
      </c>
      <c r="AU231">
        <f>IF(A231="","",IF(ISNUMBER(SEARCH("sanctioned",LOWER(W231&amp;""))),1,0))</f>
        <v/>
      </c>
      <c r="AV231">
        <f>IF(A231="","",IF(ISNUMBER(SEARCH("Docs Pending",W231&amp;"")),1,0))</f>
        <v/>
      </c>
      <c r="AW231">
        <f>IF(A231="","",IF(OR(X231="Rejected",ISNUMBER(SEARCH("Not eligbile",W231&amp;""))),1,0))</f>
        <v/>
      </c>
    </row>
    <row r="232">
      <c r="A232">
        <f>IF('01_Master_Data'!B232="","",231)</f>
        <v/>
      </c>
      <c r="B232">
        <f>IF('01_Master_Data'!B232="","",IF('01_Master_Data'!C232&lt;&gt;"","MOB|"&amp;TEXT('01_Master_Data'!C232,"0"),IF('01_Master_Data'!D232&lt;&gt;"","PID|"&amp;TRIM('01_Master_Data'!D232&amp;""),"")))</f>
        <v/>
      </c>
      <c r="C232">
        <f>IF('01_Master_Data'!B232="","",'01_Master_Data'!B232)</f>
        <v/>
      </c>
      <c r="D232">
        <f>IF('01_Master_Data'!B232="","",'01_Master_Data'!C232)</f>
        <v/>
      </c>
      <c r="E232">
        <f>IF('01_Master_Data'!B232="","",'01_Master_Data'!D232)</f>
        <v/>
      </c>
      <c r="F232">
        <f>IF('01_Master_Data'!B232="","",'01_Master_Data'!E232)</f>
        <v/>
      </c>
      <c r="G232">
        <f>IF('01_Master_Data'!B232="","",IFERROR(VLOOKUP(TRIM('01_Master_Data'!E232&amp;""),'02_Configuration'!$A$40:$B$44,2,FALSE),UPPER(TRIM('01_Master_Data'!E232&amp;""))))</f>
        <v/>
      </c>
      <c r="H232">
        <f>IF('01_Master_Data'!B232="","",IF('01_Master_Data'!U232="","",TRIM('01_Master_Data'!U232&amp;"")))</f>
        <v/>
      </c>
      <c r="I232">
        <f>IF('01_Master_Data'!B232="","",TRIM('01_Master_Data'!F232&amp;""))</f>
        <v/>
      </c>
      <c r="J232">
        <f>IF('01_Master_Data'!B232="","",TRIM('01_Master_Data'!G232&amp;""))</f>
        <v/>
      </c>
      <c r="K232">
        <f>IF('01_Master_Data'!B232="","",'01_Master_Data'!H232)</f>
        <v/>
      </c>
      <c r="L232">
        <f>IF('01_Master_Data'!B232="","",IF(LOWER(TRIM('01_Master_Data'!V232&amp;""))="yes",1,0))</f>
        <v/>
      </c>
      <c r="M232">
        <f>IF('01_Master_Data'!B232="","",IF(LOWER(TRIM('01_Master_Data'!W232&amp;""))="yes",1,0))</f>
        <v/>
      </c>
      <c r="N232">
        <f>IF('01_Master_Data'!B232="","",IF(LOWER(TRIM('01_Master_Data'!X232&amp;""))="yes",1,0))</f>
        <v/>
      </c>
      <c r="O232">
        <f>IF('01_Master_Data'!B232="","",IF(LOWER(TRIM('01_Master_Data'!Y232&amp;""))="yes",1,0))</f>
        <v/>
      </c>
      <c r="P232">
        <f>IF('01_Master_Data'!B232="","",IF(LOWER(TRIM('01_Master_Data'!Z232&amp;""))="yes",1,0))</f>
        <v/>
      </c>
      <c r="Q232">
        <f>IF(A232="","",L232+M232+N232+O232+P232)</f>
        <v/>
      </c>
      <c r="R232">
        <f>IF(A232="","",IF(Q232&gt;1,"Yes","No"))</f>
        <v/>
      </c>
      <c r="S232">
        <f>IF(A232="","",TEXTJOIN(", ",TRUE,IF(L232=1,"ICICI",""),IF(M232=1,"Propelld",""),IF(N232=1,"Study4Buddy",""),IF(O232=1,"Poonawala Fincorp",""),IF(P232=1,"GyanDhan","")))</f>
        <v/>
      </c>
      <c r="T232">
        <f>IF(A232="","",IF(L232=1,"ICICI",IF(M232=1,"Propelld",IF(P232=1,"GyanDhan",IF(N232=1,"Study4Buddy",IF(O232=1,"Poonawala Fincorp",IF(ISNUMBER(SEARCH("GyanDhan",W232&amp;"")),"GyanDhan",IF(ISNUMBER(SEARCH("Icici",W232&amp;"")),"ICICI",IF(ISNUMBER(SEARCH("Propelld",W232&amp;"")),"Propelld",IF(ISNUMBER(SEARCH("vidyalakshmi",LOWER(W232&amp;"")),"PM Vidyalakshmi","—"))))))))))</f>
        <v/>
      </c>
      <c r="U232">
        <f>IF(A232="","",TRIM('01_Master_Data'!AA232&amp;""))</f>
        <v/>
      </c>
      <c r="V232">
        <f>IF(A232="","",TRIM('01_Master_Data'!AG232&amp;""))</f>
        <v/>
      </c>
      <c r="W232">
        <f>IF(A232="","",TRIM('01_Master_Data'!AH232&amp;""))</f>
        <v/>
      </c>
      <c r="X232">
        <f>IF(A232="","",IF(OR(LOWER(H232)="refund",LOWER(U232)="refund case"),"Refund",IF(OR(LOWER(H232)="dnp",LOWER(U232)="dnp"),"DNP",IF(OR(LOWER(V232)="disbursed",ISNUMBER(SEARCH("Disbursed",W232&amp;""))),"Disbursed",IF(OR(LOWER(V232)="loan proccessed/accepted",ISNUMBER(SEARCH("sanctioned",LOWER(W232&amp;"")))),"Sanctioned",IF(OR(LOWER(V232)="rejected",ISNUMBER(SEARCH("Not eligbile",W232&amp;"")),ISNUMBER(SEARCH("Not eligible",W232&amp;""))),"Rejected",IF(ISNUMBER(SEARCH("Docs Pending",W232&amp;"")),"Documents Pending",IF(AND(LOWER(H232)="yes",LOWER(V232)="ongoing"),"Processing",IF(AND(LOWER(H232)="yes",Q232&gt;0,OR(V232="",LOWER(V232)="not even started")),"Vendor Assigned",IF(AND(LOWER(H232)="yes",LOWER(V232)="not even started"),"Need Loan",IF(LOWER(H232)="yes","Loan Started",IF(LOWER(H232)="not sure","Interested",IF(OR(LOWER(H232)="no",LOWER(V232)="not required"),"Not Required","Unclassified")))))))))))))</f>
        <v/>
      </c>
      <c r="Y232">
        <f>IF(A232="","",IF(OR(X232="Sanctioned",X232="Disbursed",X232="Approved"),"Approved",IF(X232="Rejected","Rejected",IF(OR(X232="Processing",X232="Documents Pending",X232="Vendor Assigned"),"In Progress",IF(X232="Need Loan","Pending Start","—"))))</f>
        <v/>
      </c>
      <c r="Z232">
        <f>IF(A232="","",IF(X232="Disbursed","Disbursed",IF(X232="Sanctioned","Sanctioned - Awaiting Disbursement","Not Disbursed")))</f>
        <v/>
      </c>
      <c r="AA232">
        <f>IF(A232="","",IF(LOWER(TRIM('01_Master_Data'!AI232&amp;""))="yes","Need FLDG",IF(LOWER(TRIM('01_Master_Data'!AK232&amp;""))="yes","Need Vidyalakshmi",IF(LOWER(TRIM('01_Master_Data'!AJ232&amp;""))="yes","Need Review",IF(LOWER(J232)="critical","Critical",IF(LOWER(U232)="risk","Risk Case",IF(X232="Refund","Refund","Normal")))))))</f>
        <v/>
      </c>
      <c r="AB232">
        <f>IF(A232="","",IF(OR(LOWER(J232)="critical",LOWER(TRIM('01_Master_Data'!AI232&amp;""))="yes",LOWER(TRIM('01_Master_Data'!AK232&amp;""))="yes",LOWER(U232)="risk"),"Yes","No"))</f>
        <v/>
      </c>
      <c r="AC232">
        <f>IF(A232="","",IF(LOWER(TRIM('01_Master_Data'!AI232&amp;""))="yes","Yes","No"))</f>
        <v/>
      </c>
      <c r="AD232">
        <f>IF(A232="","",IF(LOWER(TRIM('01_Master_Data'!AK232&amp;""))="yes","Yes","No"))</f>
        <v/>
      </c>
      <c r="AE232">
        <f>IF(A232="","",IF(LOWER(TRIM('01_Master_Data'!AJ232&amp;""))="yes","Yes","No"))</f>
        <v/>
      </c>
      <c r="AF232">
        <f>IF(A232="","",TRIM('01_Master_Data'!AL232&amp;""))</f>
        <v/>
      </c>
      <c r="AG232">
        <f>IF(A232="","",IF(AF232="","—",IF(ISNUMBER(SEARCH("DNP",AF232)),"Unreachable / DNP",IF(ISNUMBER(SEARCH("interest",LOWER(AF232))),"High Interest / Terms",IF(OR(ISNUMBER(SEARCH("eligib",LOWER(AF232))),ISNUMBER(SEARCH("income",LOWER(AF232)))),"Eligibility / Income",IF(OR(ISNUMBER(SEARCH("start",LOWER(AF232))),ISNUMBER(SEARCH("Newer",AF232)),ISNUMBER(SEARCH("Will start",AF232))),"Process Yet to Start",IF(ISNUMBER(SEARCH("sure",LOWER(AF232))),"Undecided",IF(OR(ISNUMBER(SEARCH("reject",LOWER(AF232))),ISNUMBER(SEARCH("SBI",AF232))),"Rejected Elsewhere",IF(ISNUMBER(SEARCH("call",LOWER(AF232))),"Bank Communication",IF(OR(ISNUMBER(SEARCH("father",LOWER(AF232))),ISNUMBER(SEARCH("sister",LOWER(AF232)))),"Family / Dependency","Other"))))))))))</f>
        <v/>
      </c>
      <c r="AH232">
        <f>IF(A232="","",'01_Master_Data'!AC232)</f>
        <v/>
      </c>
      <c r="AI232">
        <f>IF(A232="","",IF(OR(AH232="",NOT(ISNUMBER(AH232))),"",MAX(0,'02_Configuration'!$B$82-AH232)))</f>
        <v/>
      </c>
      <c r="AJ232">
        <f>IF(A232="","",IF(AI232="","Unknown",IF(AI232&lt;=3,"0–3 Days",IF(AI232&lt;=7,"4–7 Days",IF(AI232&lt;=15,"8–15 Days",IF(AI232&lt;=30,"16–30 Days","30+ Days"))))))</f>
        <v/>
      </c>
      <c r="AK232">
        <f>IF(A232="","",IF(LOWER(H232)="yes","Yes","No"))</f>
        <v/>
      </c>
      <c r="AL232">
        <f>IF(A232="","",'01_Master_Data'!T232)</f>
        <v/>
      </c>
      <c r="AM232">
        <f>IF(A232="","",'01_Master_Data'!S232)</f>
        <v/>
      </c>
      <c r="AN232">
        <f>IF(A232="","",'01_Master_Data'!I232)</f>
        <v/>
      </c>
      <c r="AO232">
        <f>IF(A232="","",'01_Master_Data'!M232)</f>
        <v/>
      </c>
      <c r="AP232">
        <f>IF(A232="","",IF(ISNUMBER(SEARCH("Icici",W232&amp;"")),1,0))</f>
        <v/>
      </c>
      <c r="AQ232">
        <f>IF(A232="","",IF(ISNUMBER(SEARCH("Propelld",W232&amp;"")),1,0))</f>
        <v/>
      </c>
      <c r="AR232">
        <f>IF(A232="","",IF(ISNUMBER(SEARCH("GyanDhan",W232&amp;"")),1,0))</f>
        <v/>
      </c>
      <c r="AS232">
        <f>IF(A232="","",IF(ISNUMBER(SEARCH("vidyalakshmi",LOWER(W232&amp;""))),1,0))</f>
        <v/>
      </c>
      <c r="AT232">
        <f>IF(A232="","",IF(ISNUMBER(SEARCH("other bank",LOWER(W232&amp;""))),1,0))</f>
        <v/>
      </c>
      <c r="AU232">
        <f>IF(A232="","",IF(ISNUMBER(SEARCH("sanctioned",LOWER(W232&amp;""))),1,0))</f>
        <v/>
      </c>
      <c r="AV232">
        <f>IF(A232="","",IF(ISNUMBER(SEARCH("Docs Pending",W232&amp;"")),1,0))</f>
        <v/>
      </c>
      <c r="AW232">
        <f>IF(A232="","",IF(OR(X232="Rejected",ISNUMBER(SEARCH("Not eligbile",W232&amp;""))),1,0))</f>
        <v/>
      </c>
    </row>
    <row r="233">
      <c r="A233">
        <f>IF('01_Master_Data'!B233="","",232)</f>
        <v/>
      </c>
      <c r="B233">
        <f>IF('01_Master_Data'!B233="","",IF('01_Master_Data'!C233&lt;&gt;"","MOB|"&amp;TEXT('01_Master_Data'!C233,"0"),IF('01_Master_Data'!D233&lt;&gt;"","PID|"&amp;TRIM('01_Master_Data'!D233&amp;""),"")))</f>
        <v/>
      </c>
      <c r="C233">
        <f>IF('01_Master_Data'!B233="","",'01_Master_Data'!B233)</f>
        <v/>
      </c>
      <c r="D233">
        <f>IF('01_Master_Data'!B233="","",'01_Master_Data'!C233)</f>
        <v/>
      </c>
      <c r="E233">
        <f>IF('01_Master_Data'!B233="","",'01_Master_Data'!D233)</f>
        <v/>
      </c>
      <c r="F233">
        <f>IF('01_Master_Data'!B233="","",'01_Master_Data'!E233)</f>
        <v/>
      </c>
      <c r="G233">
        <f>IF('01_Master_Data'!B233="","",IFERROR(VLOOKUP(TRIM('01_Master_Data'!E233&amp;""),'02_Configuration'!$A$40:$B$44,2,FALSE),UPPER(TRIM('01_Master_Data'!E233&amp;""))))</f>
        <v/>
      </c>
      <c r="H233">
        <f>IF('01_Master_Data'!B233="","",IF('01_Master_Data'!U233="","",TRIM('01_Master_Data'!U233&amp;"")))</f>
        <v/>
      </c>
      <c r="I233">
        <f>IF('01_Master_Data'!B233="","",TRIM('01_Master_Data'!F233&amp;""))</f>
        <v/>
      </c>
      <c r="J233">
        <f>IF('01_Master_Data'!B233="","",TRIM('01_Master_Data'!G233&amp;""))</f>
        <v/>
      </c>
      <c r="K233">
        <f>IF('01_Master_Data'!B233="","",'01_Master_Data'!H233)</f>
        <v/>
      </c>
      <c r="L233">
        <f>IF('01_Master_Data'!B233="","",IF(LOWER(TRIM('01_Master_Data'!V233&amp;""))="yes",1,0))</f>
        <v/>
      </c>
      <c r="M233">
        <f>IF('01_Master_Data'!B233="","",IF(LOWER(TRIM('01_Master_Data'!W233&amp;""))="yes",1,0))</f>
        <v/>
      </c>
      <c r="N233">
        <f>IF('01_Master_Data'!B233="","",IF(LOWER(TRIM('01_Master_Data'!X233&amp;""))="yes",1,0))</f>
        <v/>
      </c>
      <c r="O233">
        <f>IF('01_Master_Data'!B233="","",IF(LOWER(TRIM('01_Master_Data'!Y233&amp;""))="yes",1,0))</f>
        <v/>
      </c>
      <c r="P233">
        <f>IF('01_Master_Data'!B233="","",IF(LOWER(TRIM('01_Master_Data'!Z233&amp;""))="yes",1,0))</f>
        <v/>
      </c>
      <c r="Q233">
        <f>IF(A233="","",L233+M233+N233+O233+P233)</f>
        <v/>
      </c>
      <c r="R233">
        <f>IF(A233="","",IF(Q233&gt;1,"Yes","No"))</f>
        <v/>
      </c>
      <c r="S233">
        <f>IF(A233="","",TEXTJOIN(", ",TRUE,IF(L233=1,"ICICI",""),IF(M233=1,"Propelld",""),IF(N233=1,"Study4Buddy",""),IF(O233=1,"Poonawala Fincorp",""),IF(P233=1,"GyanDhan","")))</f>
        <v/>
      </c>
      <c r="T233">
        <f>IF(A233="","",IF(L233=1,"ICICI",IF(M233=1,"Propelld",IF(P233=1,"GyanDhan",IF(N233=1,"Study4Buddy",IF(O233=1,"Poonawala Fincorp",IF(ISNUMBER(SEARCH("GyanDhan",W233&amp;"")),"GyanDhan",IF(ISNUMBER(SEARCH("Icici",W233&amp;"")),"ICICI",IF(ISNUMBER(SEARCH("Propelld",W233&amp;"")),"Propelld",IF(ISNUMBER(SEARCH("vidyalakshmi",LOWER(W233&amp;"")),"PM Vidyalakshmi","—"))))))))))</f>
        <v/>
      </c>
      <c r="U233">
        <f>IF(A233="","",TRIM('01_Master_Data'!AA233&amp;""))</f>
        <v/>
      </c>
      <c r="V233">
        <f>IF(A233="","",TRIM('01_Master_Data'!AG233&amp;""))</f>
        <v/>
      </c>
      <c r="W233">
        <f>IF(A233="","",TRIM('01_Master_Data'!AH233&amp;""))</f>
        <v/>
      </c>
      <c r="X233">
        <f>IF(A233="","",IF(OR(LOWER(H233)="refund",LOWER(U233)="refund case"),"Refund",IF(OR(LOWER(H233)="dnp",LOWER(U233)="dnp"),"DNP",IF(OR(LOWER(V233)="disbursed",ISNUMBER(SEARCH("Disbursed",W233&amp;""))),"Disbursed",IF(OR(LOWER(V233)="loan proccessed/accepted",ISNUMBER(SEARCH("sanctioned",LOWER(W233&amp;"")))),"Sanctioned",IF(OR(LOWER(V233)="rejected",ISNUMBER(SEARCH("Not eligbile",W233&amp;"")),ISNUMBER(SEARCH("Not eligible",W233&amp;""))),"Rejected",IF(ISNUMBER(SEARCH("Docs Pending",W233&amp;"")),"Documents Pending",IF(AND(LOWER(H233)="yes",LOWER(V233)="ongoing"),"Processing",IF(AND(LOWER(H233)="yes",Q233&gt;0,OR(V233="",LOWER(V233)="not even started")),"Vendor Assigned",IF(AND(LOWER(H233)="yes",LOWER(V233)="not even started"),"Need Loan",IF(LOWER(H233)="yes","Loan Started",IF(LOWER(H233)="not sure","Interested",IF(OR(LOWER(H233)="no",LOWER(V233)="not required"),"Not Required","Unclassified")))))))))))))</f>
        <v/>
      </c>
      <c r="Y233">
        <f>IF(A233="","",IF(OR(X233="Sanctioned",X233="Disbursed",X233="Approved"),"Approved",IF(X233="Rejected","Rejected",IF(OR(X233="Processing",X233="Documents Pending",X233="Vendor Assigned"),"In Progress",IF(X233="Need Loan","Pending Start","—"))))</f>
        <v/>
      </c>
      <c r="Z233">
        <f>IF(A233="","",IF(X233="Disbursed","Disbursed",IF(X233="Sanctioned","Sanctioned - Awaiting Disbursement","Not Disbursed")))</f>
        <v/>
      </c>
      <c r="AA233">
        <f>IF(A233="","",IF(LOWER(TRIM('01_Master_Data'!AI233&amp;""))="yes","Need FLDG",IF(LOWER(TRIM('01_Master_Data'!AK233&amp;""))="yes","Need Vidyalakshmi",IF(LOWER(TRIM('01_Master_Data'!AJ233&amp;""))="yes","Need Review",IF(LOWER(J233)="critical","Critical",IF(LOWER(U233)="risk","Risk Case",IF(X233="Refund","Refund","Normal")))))))</f>
        <v/>
      </c>
      <c r="AB233">
        <f>IF(A233="","",IF(OR(LOWER(J233)="critical",LOWER(TRIM('01_Master_Data'!AI233&amp;""))="yes",LOWER(TRIM('01_Master_Data'!AK233&amp;""))="yes",LOWER(U233)="risk"),"Yes","No"))</f>
        <v/>
      </c>
      <c r="AC233">
        <f>IF(A233="","",IF(LOWER(TRIM('01_Master_Data'!AI233&amp;""))="yes","Yes","No"))</f>
        <v/>
      </c>
      <c r="AD233">
        <f>IF(A233="","",IF(LOWER(TRIM('01_Master_Data'!AK233&amp;""))="yes","Yes","No"))</f>
        <v/>
      </c>
      <c r="AE233">
        <f>IF(A233="","",IF(LOWER(TRIM('01_Master_Data'!AJ233&amp;""))="yes","Yes","No"))</f>
        <v/>
      </c>
      <c r="AF233">
        <f>IF(A233="","",TRIM('01_Master_Data'!AL233&amp;""))</f>
        <v/>
      </c>
      <c r="AG233">
        <f>IF(A233="","",IF(AF233="","—",IF(ISNUMBER(SEARCH("DNP",AF233)),"Unreachable / DNP",IF(ISNUMBER(SEARCH("interest",LOWER(AF233))),"High Interest / Terms",IF(OR(ISNUMBER(SEARCH("eligib",LOWER(AF233))),ISNUMBER(SEARCH("income",LOWER(AF233)))),"Eligibility / Income",IF(OR(ISNUMBER(SEARCH("start",LOWER(AF233))),ISNUMBER(SEARCH("Newer",AF233)),ISNUMBER(SEARCH("Will start",AF233))),"Process Yet to Start",IF(ISNUMBER(SEARCH("sure",LOWER(AF233))),"Undecided",IF(OR(ISNUMBER(SEARCH("reject",LOWER(AF233))),ISNUMBER(SEARCH("SBI",AF233))),"Rejected Elsewhere",IF(ISNUMBER(SEARCH("call",LOWER(AF233))),"Bank Communication",IF(OR(ISNUMBER(SEARCH("father",LOWER(AF233))),ISNUMBER(SEARCH("sister",LOWER(AF233)))),"Family / Dependency","Other"))))))))))</f>
        <v/>
      </c>
      <c r="AH233">
        <f>IF(A233="","",'01_Master_Data'!AC233)</f>
        <v/>
      </c>
      <c r="AI233">
        <f>IF(A233="","",IF(OR(AH233="",NOT(ISNUMBER(AH233))),"",MAX(0,'02_Configuration'!$B$82-AH233)))</f>
        <v/>
      </c>
      <c r="AJ233">
        <f>IF(A233="","",IF(AI233="","Unknown",IF(AI233&lt;=3,"0–3 Days",IF(AI233&lt;=7,"4–7 Days",IF(AI233&lt;=15,"8–15 Days",IF(AI233&lt;=30,"16–30 Days","30+ Days"))))))</f>
        <v/>
      </c>
      <c r="AK233">
        <f>IF(A233="","",IF(LOWER(H233)="yes","Yes","No"))</f>
        <v/>
      </c>
      <c r="AL233">
        <f>IF(A233="","",'01_Master_Data'!T233)</f>
        <v/>
      </c>
      <c r="AM233">
        <f>IF(A233="","",'01_Master_Data'!S233)</f>
        <v/>
      </c>
      <c r="AN233">
        <f>IF(A233="","",'01_Master_Data'!I233)</f>
        <v/>
      </c>
      <c r="AO233">
        <f>IF(A233="","",'01_Master_Data'!M233)</f>
        <v/>
      </c>
      <c r="AP233">
        <f>IF(A233="","",IF(ISNUMBER(SEARCH("Icici",W233&amp;"")),1,0))</f>
        <v/>
      </c>
      <c r="AQ233">
        <f>IF(A233="","",IF(ISNUMBER(SEARCH("Propelld",W233&amp;"")),1,0))</f>
        <v/>
      </c>
      <c r="AR233">
        <f>IF(A233="","",IF(ISNUMBER(SEARCH("GyanDhan",W233&amp;"")),1,0))</f>
        <v/>
      </c>
      <c r="AS233">
        <f>IF(A233="","",IF(ISNUMBER(SEARCH("vidyalakshmi",LOWER(W233&amp;""))),1,0))</f>
        <v/>
      </c>
      <c r="AT233">
        <f>IF(A233="","",IF(ISNUMBER(SEARCH("other bank",LOWER(W233&amp;""))),1,0))</f>
        <v/>
      </c>
      <c r="AU233">
        <f>IF(A233="","",IF(ISNUMBER(SEARCH("sanctioned",LOWER(W233&amp;""))),1,0))</f>
        <v/>
      </c>
      <c r="AV233">
        <f>IF(A233="","",IF(ISNUMBER(SEARCH("Docs Pending",W233&amp;"")),1,0))</f>
        <v/>
      </c>
      <c r="AW233">
        <f>IF(A233="","",IF(OR(X233="Rejected",ISNUMBER(SEARCH("Not eligbile",W233&amp;""))),1,0))</f>
        <v/>
      </c>
    </row>
    <row r="234">
      <c r="A234">
        <f>IF('01_Master_Data'!B234="","",233)</f>
        <v/>
      </c>
      <c r="B234">
        <f>IF('01_Master_Data'!B234="","",IF('01_Master_Data'!C234&lt;&gt;"","MOB|"&amp;TEXT('01_Master_Data'!C234,"0"),IF('01_Master_Data'!D234&lt;&gt;"","PID|"&amp;TRIM('01_Master_Data'!D234&amp;""),"")))</f>
        <v/>
      </c>
      <c r="C234">
        <f>IF('01_Master_Data'!B234="","",'01_Master_Data'!B234)</f>
        <v/>
      </c>
      <c r="D234">
        <f>IF('01_Master_Data'!B234="","",'01_Master_Data'!C234)</f>
        <v/>
      </c>
      <c r="E234">
        <f>IF('01_Master_Data'!B234="","",'01_Master_Data'!D234)</f>
        <v/>
      </c>
      <c r="F234">
        <f>IF('01_Master_Data'!B234="","",'01_Master_Data'!E234)</f>
        <v/>
      </c>
      <c r="G234">
        <f>IF('01_Master_Data'!B234="","",IFERROR(VLOOKUP(TRIM('01_Master_Data'!E234&amp;""),'02_Configuration'!$A$40:$B$44,2,FALSE),UPPER(TRIM('01_Master_Data'!E234&amp;""))))</f>
        <v/>
      </c>
      <c r="H234">
        <f>IF('01_Master_Data'!B234="","",IF('01_Master_Data'!U234="","",TRIM('01_Master_Data'!U234&amp;"")))</f>
        <v/>
      </c>
      <c r="I234">
        <f>IF('01_Master_Data'!B234="","",TRIM('01_Master_Data'!F234&amp;""))</f>
        <v/>
      </c>
      <c r="J234">
        <f>IF('01_Master_Data'!B234="","",TRIM('01_Master_Data'!G234&amp;""))</f>
        <v/>
      </c>
      <c r="K234">
        <f>IF('01_Master_Data'!B234="","",'01_Master_Data'!H234)</f>
        <v/>
      </c>
      <c r="L234">
        <f>IF('01_Master_Data'!B234="","",IF(LOWER(TRIM('01_Master_Data'!V234&amp;""))="yes",1,0))</f>
        <v/>
      </c>
      <c r="M234">
        <f>IF('01_Master_Data'!B234="","",IF(LOWER(TRIM('01_Master_Data'!W234&amp;""))="yes",1,0))</f>
        <v/>
      </c>
      <c r="N234">
        <f>IF('01_Master_Data'!B234="","",IF(LOWER(TRIM('01_Master_Data'!X234&amp;""))="yes",1,0))</f>
        <v/>
      </c>
      <c r="O234">
        <f>IF('01_Master_Data'!B234="","",IF(LOWER(TRIM('01_Master_Data'!Y234&amp;""))="yes",1,0))</f>
        <v/>
      </c>
      <c r="P234">
        <f>IF('01_Master_Data'!B234="","",IF(LOWER(TRIM('01_Master_Data'!Z234&amp;""))="yes",1,0))</f>
        <v/>
      </c>
      <c r="Q234">
        <f>IF(A234="","",L234+M234+N234+O234+P234)</f>
        <v/>
      </c>
      <c r="R234">
        <f>IF(A234="","",IF(Q234&gt;1,"Yes","No"))</f>
        <v/>
      </c>
      <c r="S234">
        <f>IF(A234="","",TEXTJOIN(", ",TRUE,IF(L234=1,"ICICI",""),IF(M234=1,"Propelld",""),IF(N234=1,"Study4Buddy",""),IF(O234=1,"Poonawala Fincorp",""),IF(P234=1,"GyanDhan","")))</f>
        <v/>
      </c>
      <c r="T234">
        <f>IF(A234="","",IF(L234=1,"ICICI",IF(M234=1,"Propelld",IF(P234=1,"GyanDhan",IF(N234=1,"Study4Buddy",IF(O234=1,"Poonawala Fincorp",IF(ISNUMBER(SEARCH("GyanDhan",W234&amp;"")),"GyanDhan",IF(ISNUMBER(SEARCH("Icici",W234&amp;"")),"ICICI",IF(ISNUMBER(SEARCH("Propelld",W234&amp;"")),"Propelld",IF(ISNUMBER(SEARCH("vidyalakshmi",LOWER(W234&amp;"")),"PM Vidyalakshmi","—"))))))))))</f>
        <v/>
      </c>
      <c r="U234">
        <f>IF(A234="","",TRIM('01_Master_Data'!AA234&amp;""))</f>
        <v/>
      </c>
      <c r="V234">
        <f>IF(A234="","",TRIM('01_Master_Data'!AG234&amp;""))</f>
        <v/>
      </c>
      <c r="W234">
        <f>IF(A234="","",TRIM('01_Master_Data'!AH234&amp;""))</f>
        <v/>
      </c>
      <c r="X234">
        <f>IF(A234="","",IF(OR(LOWER(H234)="refund",LOWER(U234)="refund case"),"Refund",IF(OR(LOWER(H234)="dnp",LOWER(U234)="dnp"),"DNP",IF(OR(LOWER(V234)="disbursed",ISNUMBER(SEARCH("Disbursed",W234&amp;""))),"Disbursed",IF(OR(LOWER(V234)="loan proccessed/accepted",ISNUMBER(SEARCH("sanctioned",LOWER(W234&amp;"")))),"Sanctioned",IF(OR(LOWER(V234)="rejected",ISNUMBER(SEARCH("Not eligbile",W234&amp;"")),ISNUMBER(SEARCH("Not eligible",W234&amp;""))),"Rejected",IF(ISNUMBER(SEARCH("Docs Pending",W234&amp;"")),"Documents Pending",IF(AND(LOWER(H234)="yes",LOWER(V234)="ongoing"),"Processing",IF(AND(LOWER(H234)="yes",Q234&gt;0,OR(V234="",LOWER(V234)="not even started")),"Vendor Assigned",IF(AND(LOWER(H234)="yes",LOWER(V234)="not even started"),"Need Loan",IF(LOWER(H234)="yes","Loan Started",IF(LOWER(H234)="not sure","Interested",IF(OR(LOWER(H234)="no",LOWER(V234)="not required"),"Not Required","Unclassified")))))))))))))</f>
        <v/>
      </c>
      <c r="Y234">
        <f>IF(A234="","",IF(OR(X234="Sanctioned",X234="Disbursed",X234="Approved"),"Approved",IF(X234="Rejected","Rejected",IF(OR(X234="Processing",X234="Documents Pending",X234="Vendor Assigned"),"In Progress",IF(X234="Need Loan","Pending Start","—"))))</f>
        <v/>
      </c>
      <c r="Z234">
        <f>IF(A234="","",IF(X234="Disbursed","Disbursed",IF(X234="Sanctioned","Sanctioned - Awaiting Disbursement","Not Disbursed")))</f>
        <v/>
      </c>
      <c r="AA234">
        <f>IF(A234="","",IF(LOWER(TRIM('01_Master_Data'!AI234&amp;""))="yes","Need FLDG",IF(LOWER(TRIM('01_Master_Data'!AK234&amp;""))="yes","Need Vidyalakshmi",IF(LOWER(TRIM('01_Master_Data'!AJ234&amp;""))="yes","Need Review",IF(LOWER(J234)="critical","Critical",IF(LOWER(U234)="risk","Risk Case",IF(X234="Refund","Refund","Normal")))))))</f>
        <v/>
      </c>
      <c r="AB234">
        <f>IF(A234="","",IF(OR(LOWER(J234)="critical",LOWER(TRIM('01_Master_Data'!AI234&amp;""))="yes",LOWER(TRIM('01_Master_Data'!AK234&amp;""))="yes",LOWER(U234)="risk"),"Yes","No"))</f>
        <v/>
      </c>
      <c r="AC234">
        <f>IF(A234="","",IF(LOWER(TRIM('01_Master_Data'!AI234&amp;""))="yes","Yes","No"))</f>
        <v/>
      </c>
      <c r="AD234">
        <f>IF(A234="","",IF(LOWER(TRIM('01_Master_Data'!AK234&amp;""))="yes","Yes","No"))</f>
        <v/>
      </c>
      <c r="AE234">
        <f>IF(A234="","",IF(LOWER(TRIM('01_Master_Data'!AJ234&amp;""))="yes","Yes","No"))</f>
        <v/>
      </c>
      <c r="AF234">
        <f>IF(A234="","",TRIM('01_Master_Data'!AL234&amp;""))</f>
        <v/>
      </c>
      <c r="AG234">
        <f>IF(A234="","",IF(AF234="","—",IF(ISNUMBER(SEARCH("DNP",AF234)),"Unreachable / DNP",IF(ISNUMBER(SEARCH("interest",LOWER(AF234))),"High Interest / Terms",IF(OR(ISNUMBER(SEARCH("eligib",LOWER(AF234))),ISNUMBER(SEARCH("income",LOWER(AF234)))),"Eligibility / Income",IF(OR(ISNUMBER(SEARCH("start",LOWER(AF234))),ISNUMBER(SEARCH("Newer",AF234)),ISNUMBER(SEARCH("Will start",AF234))),"Process Yet to Start",IF(ISNUMBER(SEARCH("sure",LOWER(AF234))),"Undecided",IF(OR(ISNUMBER(SEARCH("reject",LOWER(AF234))),ISNUMBER(SEARCH("SBI",AF234))),"Rejected Elsewhere",IF(ISNUMBER(SEARCH("call",LOWER(AF234))),"Bank Communication",IF(OR(ISNUMBER(SEARCH("father",LOWER(AF234))),ISNUMBER(SEARCH("sister",LOWER(AF234)))),"Family / Dependency","Other"))))))))))</f>
        <v/>
      </c>
      <c r="AH234">
        <f>IF(A234="","",'01_Master_Data'!AC234)</f>
        <v/>
      </c>
      <c r="AI234">
        <f>IF(A234="","",IF(OR(AH234="",NOT(ISNUMBER(AH234))),"",MAX(0,'02_Configuration'!$B$82-AH234)))</f>
        <v/>
      </c>
      <c r="AJ234">
        <f>IF(A234="","",IF(AI234="","Unknown",IF(AI234&lt;=3,"0–3 Days",IF(AI234&lt;=7,"4–7 Days",IF(AI234&lt;=15,"8–15 Days",IF(AI234&lt;=30,"16–30 Days","30+ Days"))))))</f>
        <v/>
      </c>
      <c r="AK234">
        <f>IF(A234="","",IF(LOWER(H234)="yes","Yes","No"))</f>
        <v/>
      </c>
      <c r="AL234">
        <f>IF(A234="","",'01_Master_Data'!T234)</f>
        <v/>
      </c>
      <c r="AM234">
        <f>IF(A234="","",'01_Master_Data'!S234)</f>
        <v/>
      </c>
      <c r="AN234">
        <f>IF(A234="","",'01_Master_Data'!I234)</f>
        <v/>
      </c>
      <c r="AO234">
        <f>IF(A234="","",'01_Master_Data'!M234)</f>
        <v/>
      </c>
      <c r="AP234">
        <f>IF(A234="","",IF(ISNUMBER(SEARCH("Icici",W234&amp;"")),1,0))</f>
        <v/>
      </c>
      <c r="AQ234">
        <f>IF(A234="","",IF(ISNUMBER(SEARCH("Propelld",W234&amp;"")),1,0))</f>
        <v/>
      </c>
      <c r="AR234">
        <f>IF(A234="","",IF(ISNUMBER(SEARCH("GyanDhan",W234&amp;"")),1,0))</f>
        <v/>
      </c>
      <c r="AS234">
        <f>IF(A234="","",IF(ISNUMBER(SEARCH("vidyalakshmi",LOWER(W234&amp;""))),1,0))</f>
        <v/>
      </c>
      <c r="AT234">
        <f>IF(A234="","",IF(ISNUMBER(SEARCH("other bank",LOWER(W234&amp;""))),1,0))</f>
        <v/>
      </c>
      <c r="AU234">
        <f>IF(A234="","",IF(ISNUMBER(SEARCH("sanctioned",LOWER(W234&amp;""))),1,0))</f>
        <v/>
      </c>
      <c r="AV234">
        <f>IF(A234="","",IF(ISNUMBER(SEARCH("Docs Pending",W234&amp;"")),1,0))</f>
        <v/>
      </c>
      <c r="AW234">
        <f>IF(A234="","",IF(OR(X234="Rejected",ISNUMBER(SEARCH("Not eligbile",W234&amp;""))),1,0))</f>
        <v/>
      </c>
    </row>
    <row r="235">
      <c r="A235">
        <f>IF('01_Master_Data'!B235="","",234)</f>
        <v/>
      </c>
      <c r="B235">
        <f>IF('01_Master_Data'!B235="","",IF('01_Master_Data'!C235&lt;&gt;"","MOB|"&amp;TEXT('01_Master_Data'!C235,"0"),IF('01_Master_Data'!D235&lt;&gt;"","PID|"&amp;TRIM('01_Master_Data'!D235&amp;""),"")))</f>
        <v/>
      </c>
      <c r="C235">
        <f>IF('01_Master_Data'!B235="","",'01_Master_Data'!B235)</f>
        <v/>
      </c>
      <c r="D235">
        <f>IF('01_Master_Data'!B235="","",'01_Master_Data'!C235)</f>
        <v/>
      </c>
      <c r="E235">
        <f>IF('01_Master_Data'!B235="","",'01_Master_Data'!D235)</f>
        <v/>
      </c>
      <c r="F235">
        <f>IF('01_Master_Data'!B235="","",'01_Master_Data'!E235)</f>
        <v/>
      </c>
      <c r="G235">
        <f>IF('01_Master_Data'!B235="","",IFERROR(VLOOKUP(TRIM('01_Master_Data'!E235&amp;""),'02_Configuration'!$A$40:$B$44,2,FALSE),UPPER(TRIM('01_Master_Data'!E235&amp;""))))</f>
        <v/>
      </c>
      <c r="H235">
        <f>IF('01_Master_Data'!B235="","",IF('01_Master_Data'!U235="","",TRIM('01_Master_Data'!U235&amp;"")))</f>
        <v/>
      </c>
      <c r="I235">
        <f>IF('01_Master_Data'!B235="","",TRIM('01_Master_Data'!F235&amp;""))</f>
        <v/>
      </c>
      <c r="J235">
        <f>IF('01_Master_Data'!B235="","",TRIM('01_Master_Data'!G235&amp;""))</f>
        <v/>
      </c>
      <c r="K235">
        <f>IF('01_Master_Data'!B235="","",'01_Master_Data'!H235)</f>
        <v/>
      </c>
      <c r="L235">
        <f>IF('01_Master_Data'!B235="","",IF(LOWER(TRIM('01_Master_Data'!V235&amp;""))="yes",1,0))</f>
        <v/>
      </c>
      <c r="M235">
        <f>IF('01_Master_Data'!B235="","",IF(LOWER(TRIM('01_Master_Data'!W235&amp;""))="yes",1,0))</f>
        <v/>
      </c>
      <c r="N235">
        <f>IF('01_Master_Data'!B235="","",IF(LOWER(TRIM('01_Master_Data'!X235&amp;""))="yes",1,0))</f>
        <v/>
      </c>
      <c r="O235">
        <f>IF('01_Master_Data'!B235="","",IF(LOWER(TRIM('01_Master_Data'!Y235&amp;""))="yes",1,0))</f>
        <v/>
      </c>
      <c r="P235">
        <f>IF('01_Master_Data'!B235="","",IF(LOWER(TRIM('01_Master_Data'!Z235&amp;""))="yes",1,0))</f>
        <v/>
      </c>
      <c r="Q235">
        <f>IF(A235="","",L235+M235+N235+O235+P235)</f>
        <v/>
      </c>
      <c r="R235">
        <f>IF(A235="","",IF(Q235&gt;1,"Yes","No"))</f>
        <v/>
      </c>
      <c r="S235">
        <f>IF(A235="","",TEXTJOIN(", ",TRUE,IF(L235=1,"ICICI",""),IF(M235=1,"Propelld",""),IF(N235=1,"Study4Buddy",""),IF(O235=1,"Poonawala Fincorp",""),IF(P235=1,"GyanDhan","")))</f>
        <v/>
      </c>
      <c r="T235">
        <f>IF(A235="","",IF(L235=1,"ICICI",IF(M235=1,"Propelld",IF(P235=1,"GyanDhan",IF(N235=1,"Study4Buddy",IF(O235=1,"Poonawala Fincorp",IF(ISNUMBER(SEARCH("GyanDhan",W235&amp;"")),"GyanDhan",IF(ISNUMBER(SEARCH("Icici",W235&amp;"")),"ICICI",IF(ISNUMBER(SEARCH("Propelld",W235&amp;"")),"Propelld",IF(ISNUMBER(SEARCH("vidyalakshmi",LOWER(W235&amp;"")),"PM Vidyalakshmi","—"))))))))))</f>
        <v/>
      </c>
      <c r="U235">
        <f>IF(A235="","",TRIM('01_Master_Data'!AA235&amp;""))</f>
        <v/>
      </c>
      <c r="V235">
        <f>IF(A235="","",TRIM('01_Master_Data'!AG235&amp;""))</f>
        <v/>
      </c>
      <c r="W235">
        <f>IF(A235="","",TRIM('01_Master_Data'!AH235&amp;""))</f>
        <v/>
      </c>
      <c r="X235">
        <f>IF(A235="","",IF(OR(LOWER(H235)="refund",LOWER(U235)="refund case"),"Refund",IF(OR(LOWER(H235)="dnp",LOWER(U235)="dnp"),"DNP",IF(OR(LOWER(V235)="disbursed",ISNUMBER(SEARCH("Disbursed",W235&amp;""))),"Disbursed",IF(OR(LOWER(V235)="loan proccessed/accepted",ISNUMBER(SEARCH("sanctioned",LOWER(W235&amp;"")))),"Sanctioned",IF(OR(LOWER(V235)="rejected",ISNUMBER(SEARCH("Not eligbile",W235&amp;"")),ISNUMBER(SEARCH("Not eligible",W235&amp;""))),"Rejected",IF(ISNUMBER(SEARCH("Docs Pending",W235&amp;"")),"Documents Pending",IF(AND(LOWER(H235)="yes",LOWER(V235)="ongoing"),"Processing",IF(AND(LOWER(H235)="yes",Q235&gt;0,OR(V235="",LOWER(V235)="not even started")),"Vendor Assigned",IF(AND(LOWER(H235)="yes",LOWER(V235)="not even started"),"Need Loan",IF(LOWER(H235)="yes","Loan Started",IF(LOWER(H235)="not sure","Interested",IF(OR(LOWER(H235)="no",LOWER(V235)="not required"),"Not Required","Unclassified")))))))))))))</f>
        <v/>
      </c>
      <c r="Y235">
        <f>IF(A235="","",IF(OR(X235="Sanctioned",X235="Disbursed",X235="Approved"),"Approved",IF(X235="Rejected","Rejected",IF(OR(X235="Processing",X235="Documents Pending",X235="Vendor Assigned"),"In Progress",IF(X235="Need Loan","Pending Start","—"))))</f>
        <v/>
      </c>
      <c r="Z235">
        <f>IF(A235="","",IF(X235="Disbursed","Disbursed",IF(X235="Sanctioned","Sanctioned - Awaiting Disbursement","Not Disbursed")))</f>
        <v/>
      </c>
      <c r="AA235">
        <f>IF(A235="","",IF(LOWER(TRIM('01_Master_Data'!AI235&amp;""))="yes","Need FLDG",IF(LOWER(TRIM('01_Master_Data'!AK235&amp;""))="yes","Need Vidyalakshmi",IF(LOWER(TRIM('01_Master_Data'!AJ235&amp;""))="yes","Need Review",IF(LOWER(J235)="critical","Critical",IF(LOWER(U235)="risk","Risk Case",IF(X235="Refund","Refund","Normal")))))))</f>
        <v/>
      </c>
      <c r="AB235">
        <f>IF(A235="","",IF(OR(LOWER(J235)="critical",LOWER(TRIM('01_Master_Data'!AI235&amp;""))="yes",LOWER(TRIM('01_Master_Data'!AK235&amp;""))="yes",LOWER(U235)="risk"),"Yes","No"))</f>
        <v/>
      </c>
      <c r="AC235">
        <f>IF(A235="","",IF(LOWER(TRIM('01_Master_Data'!AI235&amp;""))="yes","Yes","No"))</f>
        <v/>
      </c>
      <c r="AD235">
        <f>IF(A235="","",IF(LOWER(TRIM('01_Master_Data'!AK235&amp;""))="yes","Yes","No"))</f>
        <v/>
      </c>
      <c r="AE235">
        <f>IF(A235="","",IF(LOWER(TRIM('01_Master_Data'!AJ235&amp;""))="yes","Yes","No"))</f>
        <v/>
      </c>
      <c r="AF235">
        <f>IF(A235="","",TRIM('01_Master_Data'!AL235&amp;""))</f>
        <v/>
      </c>
      <c r="AG235">
        <f>IF(A235="","",IF(AF235="","—",IF(ISNUMBER(SEARCH("DNP",AF235)),"Unreachable / DNP",IF(ISNUMBER(SEARCH("interest",LOWER(AF235))),"High Interest / Terms",IF(OR(ISNUMBER(SEARCH("eligib",LOWER(AF235))),ISNUMBER(SEARCH("income",LOWER(AF235)))),"Eligibility / Income",IF(OR(ISNUMBER(SEARCH("start",LOWER(AF235))),ISNUMBER(SEARCH("Newer",AF235)),ISNUMBER(SEARCH("Will start",AF235))),"Process Yet to Start",IF(ISNUMBER(SEARCH("sure",LOWER(AF235))),"Undecided",IF(OR(ISNUMBER(SEARCH("reject",LOWER(AF235))),ISNUMBER(SEARCH("SBI",AF235))),"Rejected Elsewhere",IF(ISNUMBER(SEARCH("call",LOWER(AF235))),"Bank Communication",IF(OR(ISNUMBER(SEARCH("father",LOWER(AF235))),ISNUMBER(SEARCH("sister",LOWER(AF235)))),"Family / Dependency","Other"))))))))))</f>
        <v/>
      </c>
      <c r="AH235">
        <f>IF(A235="","",'01_Master_Data'!AC235)</f>
        <v/>
      </c>
      <c r="AI235">
        <f>IF(A235="","",IF(OR(AH235="",NOT(ISNUMBER(AH235))),"",MAX(0,'02_Configuration'!$B$82-AH235)))</f>
        <v/>
      </c>
      <c r="AJ235">
        <f>IF(A235="","",IF(AI235="","Unknown",IF(AI235&lt;=3,"0–3 Days",IF(AI235&lt;=7,"4–7 Days",IF(AI235&lt;=15,"8–15 Days",IF(AI235&lt;=30,"16–30 Days","30+ Days"))))))</f>
        <v/>
      </c>
      <c r="AK235">
        <f>IF(A235="","",IF(LOWER(H235)="yes","Yes","No"))</f>
        <v/>
      </c>
      <c r="AL235">
        <f>IF(A235="","",'01_Master_Data'!T235)</f>
        <v/>
      </c>
      <c r="AM235">
        <f>IF(A235="","",'01_Master_Data'!S235)</f>
        <v/>
      </c>
      <c r="AN235">
        <f>IF(A235="","",'01_Master_Data'!I235)</f>
        <v/>
      </c>
      <c r="AO235">
        <f>IF(A235="","",'01_Master_Data'!M235)</f>
        <v/>
      </c>
      <c r="AP235">
        <f>IF(A235="","",IF(ISNUMBER(SEARCH("Icici",W235&amp;"")),1,0))</f>
        <v/>
      </c>
      <c r="AQ235">
        <f>IF(A235="","",IF(ISNUMBER(SEARCH("Propelld",W235&amp;"")),1,0))</f>
        <v/>
      </c>
      <c r="AR235">
        <f>IF(A235="","",IF(ISNUMBER(SEARCH("GyanDhan",W235&amp;"")),1,0))</f>
        <v/>
      </c>
      <c r="AS235">
        <f>IF(A235="","",IF(ISNUMBER(SEARCH("vidyalakshmi",LOWER(W235&amp;""))),1,0))</f>
        <v/>
      </c>
      <c r="AT235">
        <f>IF(A235="","",IF(ISNUMBER(SEARCH("other bank",LOWER(W235&amp;""))),1,0))</f>
        <v/>
      </c>
      <c r="AU235">
        <f>IF(A235="","",IF(ISNUMBER(SEARCH("sanctioned",LOWER(W235&amp;""))),1,0))</f>
        <v/>
      </c>
      <c r="AV235">
        <f>IF(A235="","",IF(ISNUMBER(SEARCH("Docs Pending",W235&amp;"")),1,0))</f>
        <v/>
      </c>
      <c r="AW235">
        <f>IF(A235="","",IF(OR(X235="Rejected",ISNUMBER(SEARCH("Not eligbile",W235&amp;""))),1,0))</f>
        <v/>
      </c>
    </row>
    <row r="236">
      <c r="A236">
        <f>IF('01_Master_Data'!B236="","",235)</f>
        <v/>
      </c>
      <c r="B236">
        <f>IF('01_Master_Data'!B236="","",IF('01_Master_Data'!C236&lt;&gt;"","MOB|"&amp;TEXT('01_Master_Data'!C236,"0"),IF('01_Master_Data'!D236&lt;&gt;"","PID|"&amp;TRIM('01_Master_Data'!D236&amp;""),"")))</f>
        <v/>
      </c>
      <c r="C236">
        <f>IF('01_Master_Data'!B236="","",'01_Master_Data'!B236)</f>
        <v/>
      </c>
      <c r="D236">
        <f>IF('01_Master_Data'!B236="","",'01_Master_Data'!C236)</f>
        <v/>
      </c>
      <c r="E236">
        <f>IF('01_Master_Data'!B236="","",'01_Master_Data'!D236)</f>
        <v/>
      </c>
      <c r="F236">
        <f>IF('01_Master_Data'!B236="","",'01_Master_Data'!E236)</f>
        <v/>
      </c>
      <c r="G236">
        <f>IF('01_Master_Data'!B236="","",IFERROR(VLOOKUP(TRIM('01_Master_Data'!E236&amp;""),'02_Configuration'!$A$40:$B$44,2,FALSE),UPPER(TRIM('01_Master_Data'!E236&amp;""))))</f>
        <v/>
      </c>
      <c r="H236">
        <f>IF('01_Master_Data'!B236="","",IF('01_Master_Data'!U236="","",TRIM('01_Master_Data'!U236&amp;"")))</f>
        <v/>
      </c>
      <c r="I236">
        <f>IF('01_Master_Data'!B236="","",TRIM('01_Master_Data'!F236&amp;""))</f>
        <v/>
      </c>
      <c r="J236">
        <f>IF('01_Master_Data'!B236="","",TRIM('01_Master_Data'!G236&amp;""))</f>
        <v/>
      </c>
      <c r="K236">
        <f>IF('01_Master_Data'!B236="","",'01_Master_Data'!H236)</f>
        <v/>
      </c>
      <c r="L236">
        <f>IF('01_Master_Data'!B236="","",IF(LOWER(TRIM('01_Master_Data'!V236&amp;""))="yes",1,0))</f>
        <v/>
      </c>
      <c r="M236">
        <f>IF('01_Master_Data'!B236="","",IF(LOWER(TRIM('01_Master_Data'!W236&amp;""))="yes",1,0))</f>
        <v/>
      </c>
      <c r="N236">
        <f>IF('01_Master_Data'!B236="","",IF(LOWER(TRIM('01_Master_Data'!X236&amp;""))="yes",1,0))</f>
        <v/>
      </c>
      <c r="O236">
        <f>IF('01_Master_Data'!B236="","",IF(LOWER(TRIM('01_Master_Data'!Y236&amp;""))="yes",1,0))</f>
        <v/>
      </c>
      <c r="P236">
        <f>IF('01_Master_Data'!B236="","",IF(LOWER(TRIM('01_Master_Data'!Z236&amp;""))="yes",1,0))</f>
        <v/>
      </c>
      <c r="Q236">
        <f>IF(A236="","",L236+M236+N236+O236+P236)</f>
        <v/>
      </c>
      <c r="R236">
        <f>IF(A236="","",IF(Q236&gt;1,"Yes","No"))</f>
        <v/>
      </c>
      <c r="S236">
        <f>IF(A236="","",TEXTJOIN(", ",TRUE,IF(L236=1,"ICICI",""),IF(M236=1,"Propelld",""),IF(N236=1,"Study4Buddy",""),IF(O236=1,"Poonawala Fincorp",""),IF(P236=1,"GyanDhan","")))</f>
        <v/>
      </c>
      <c r="T236">
        <f>IF(A236="","",IF(L236=1,"ICICI",IF(M236=1,"Propelld",IF(P236=1,"GyanDhan",IF(N236=1,"Study4Buddy",IF(O236=1,"Poonawala Fincorp",IF(ISNUMBER(SEARCH("GyanDhan",W236&amp;"")),"GyanDhan",IF(ISNUMBER(SEARCH("Icici",W236&amp;"")),"ICICI",IF(ISNUMBER(SEARCH("Propelld",W236&amp;"")),"Propelld",IF(ISNUMBER(SEARCH("vidyalakshmi",LOWER(W236&amp;"")),"PM Vidyalakshmi","—"))))))))))</f>
        <v/>
      </c>
      <c r="U236">
        <f>IF(A236="","",TRIM('01_Master_Data'!AA236&amp;""))</f>
        <v/>
      </c>
      <c r="V236">
        <f>IF(A236="","",TRIM('01_Master_Data'!AG236&amp;""))</f>
        <v/>
      </c>
      <c r="W236">
        <f>IF(A236="","",TRIM('01_Master_Data'!AH236&amp;""))</f>
        <v/>
      </c>
      <c r="X236">
        <f>IF(A236="","",IF(OR(LOWER(H236)="refund",LOWER(U236)="refund case"),"Refund",IF(OR(LOWER(H236)="dnp",LOWER(U236)="dnp"),"DNP",IF(OR(LOWER(V236)="disbursed",ISNUMBER(SEARCH("Disbursed",W236&amp;""))),"Disbursed",IF(OR(LOWER(V236)="loan proccessed/accepted",ISNUMBER(SEARCH("sanctioned",LOWER(W236&amp;"")))),"Sanctioned",IF(OR(LOWER(V236)="rejected",ISNUMBER(SEARCH("Not eligbile",W236&amp;"")),ISNUMBER(SEARCH("Not eligible",W236&amp;""))),"Rejected",IF(ISNUMBER(SEARCH("Docs Pending",W236&amp;"")),"Documents Pending",IF(AND(LOWER(H236)="yes",LOWER(V236)="ongoing"),"Processing",IF(AND(LOWER(H236)="yes",Q236&gt;0,OR(V236="",LOWER(V236)="not even started")),"Vendor Assigned",IF(AND(LOWER(H236)="yes",LOWER(V236)="not even started"),"Need Loan",IF(LOWER(H236)="yes","Loan Started",IF(LOWER(H236)="not sure","Interested",IF(OR(LOWER(H236)="no",LOWER(V236)="not required"),"Not Required","Unclassified")))))))))))))</f>
        <v/>
      </c>
      <c r="Y236">
        <f>IF(A236="","",IF(OR(X236="Sanctioned",X236="Disbursed",X236="Approved"),"Approved",IF(X236="Rejected","Rejected",IF(OR(X236="Processing",X236="Documents Pending",X236="Vendor Assigned"),"In Progress",IF(X236="Need Loan","Pending Start","—"))))</f>
        <v/>
      </c>
      <c r="Z236">
        <f>IF(A236="","",IF(X236="Disbursed","Disbursed",IF(X236="Sanctioned","Sanctioned - Awaiting Disbursement","Not Disbursed")))</f>
        <v/>
      </c>
      <c r="AA236">
        <f>IF(A236="","",IF(LOWER(TRIM('01_Master_Data'!AI236&amp;""))="yes","Need FLDG",IF(LOWER(TRIM('01_Master_Data'!AK236&amp;""))="yes","Need Vidyalakshmi",IF(LOWER(TRIM('01_Master_Data'!AJ236&amp;""))="yes","Need Review",IF(LOWER(J236)="critical","Critical",IF(LOWER(U236)="risk","Risk Case",IF(X236="Refund","Refund","Normal")))))))</f>
        <v/>
      </c>
      <c r="AB236">
        <f>IF(A236="","",IF(OR(LOWER(J236)="critical",LOWER(TRIM('01_Master_Data'!AI236&amp;""))="yes",LOWER(TRIM('01_Master_Data'!AK236&amp;""))="yes",LOWER(U236)="risk"),"Yes","No"))</f>
        <v/>
      </c>
      <c r="AC236">
        <f>IF(A236="","",IF(LOWER(TRIM('01_Master_Data'!AI236&amp;""))="yes","Yes","No"))</f>
        <v/>
      </c>
      <c r="AD236">
        <f>IF(A236="","",IF(LOWER(TRIM('01_Master_Data'!AK236&amp;""))="yes","Yes","No"))</f>
        <v/>
      </c>
      <c r="AE236">
        <f>IF(A236="","",IF(LOWER(TRIM('01_Master_Data'!AJ236&amp;""))="yes","Yes","No"))</f>
        <v/>
      </c>
      <c r="AF236">
        <f>IF(A236="","",TRIM('01_Master_Data'!AL236&amp;""))</f>
        <v/>
      </c>
      <c r="AG236">
        <f>IF(A236="","",IF(AF236="","—",IF(ISNUMBER(SEARCH("DNP",AF236)),"Unreachable / DNP",IF(ISNUMBER(SEARCH("interest",LOWER(AF236))),"High Interest / Terms",IF(OR(ISNUMBER(SEARCH("eligib",LOWER(AF236))),ISNUMBER(SEARCH("income",LOWER(AF236)))),"Eligibility / Income",IF(OR(ISNUMBER(SEARCH("start",LOWER(AF236))),ISNUMBER(SEARCH("Newer",AF236)),ISNUMBER(SEARCH("Will start",AF236))),"Process Yet to Start",IF(ISNUMBER(SEARCH("sure",LOWER(AF236))),"Undecided",IF(OR(ISNUMBER(SEARCH("reject",LOWER(AF236))),ISNUMBER(SEARCH("SBI",AF236))),"Rejected Elsewhere",IF(ISNUMBER(SEARCH("call",LOWER(AF236))),"Bank Communication",IF(OR(ISNUMBER(SEARCH("father",LOWER(AF236))),ISNUMBER(SEARCH("sister",LOWER(AF236)))),"Family / Dependency","Other"))))))))))</f>
        <v/>
      </c>
      <c r="AH236">
        <f>IF(A236="","",'01_Master_Data'!AC236)</f>
        <v/>
      </c>
      <c r="AI236">
        <f>IF(A236="","",IF(OR(AH236="",NOT(ISNUMBER(AH236))),"",MAX(0,'02_Configuration'!$B$82-AH236)))</f>
        <v/>
      </c>
      <c r="AJ236">
        <f>IF(A236="","",IF(AI236="","Unknown",IF(AI236&lt;=3,"0–3 Days",IF(AI236&lt;=7,"4–7 Days",IF(AI236&lt;=15,"8–15 Days",IF(AI236&lt;=30,"16–30 Days","30+ Days"))))))</f>
        <v/>
      </c>
      <c r="AK236">
        <f>IF(A236="","",IF(LOWER(H236)="yes","Yes","No"))</f>
        <v/>
      </c>
      <c r="AL236">
        <f>IF(A236="","",'01_Master_Data'!T236)</f>
        <v/>
      </c>
      <c r="AM236">
        <f>IF(A236="","",'01_Master_Data'!S236)</f>
        <v/>
      </c>
      <c r="AN236">
        <f>IF(A236="","",'01_Master_Data'!I236)</f>
        <v/>
      </c>
      <c r="AO236">
        <f>IF(A236="","",'01_Master_Data'!M236)</f>
        <v/>
      </c>
      <c r="AP236">
        <f>IF(A236="","",IF(ISNUMBER(SEARCH("Icici",W236&amp;"")),1,0))</f>
        <v/>
      </c>
      <c r="AQ236">
        <f>IF(A236="","",IF(ISNUMBER(SEARCH("Propelld",W236&amp;"")),1,0))</f>
        <v/>
      </c>
      <c r="AR236">
        <f>IF(A236="","",IF(ISNUMBER(SEARCH("GyanDhan",W236&amp;"")),1,0))</f>
        <v/>
      </c>
      <c r="AS236">
        <f>IF(A236="","",IF(ISNUMBER(SEARCH("vidyalakshmi",LOWER(W236&amp;""))),1,0))</f>
        <v/>
      </c>
      <c r="AT236">
        <f>IF(A236="","",IF(ISNUMBER(SEARCH("other bank",LOWER(W236&amp;""))),1,0))</f>
        <v/>
      </c>
      <c r="AU236">
        <f>IF(A236="","",IF(ISNUMBER(SEARCH("sanctioned",LOWER(W236&amp;""))),1,0))</f>
        <v/>
      </c>
      <c r="AV236">
        <f>IF(A236="","",IF(ISNUMBER(SEARCH("Docs Pending",W236&amp;"")),1,0))</f>
        <v/>
      </c>
      <c r="AW236">
        <f>IF(A236="","",IF(OR(X236="Rejected",ISNUMBER(SEARCH("Not eligbile",W236&amp;""))),1,0))</f>
        <v/>
      </c>
    </row>
    <row r="237">
      <c r="A237">
        <f>IF('01_Master_Data'!B237="","",236)</f>
        <v/>
      </c>
      <c r="B237">
        <f>IF('01_Master_Data'!B237="","",IF('01_Master_Data'!C237&lt;&gt;"","MOB|"&amp;TEXT('01_Master_Data'!C237,"0"),IF('01_Master_Data'!D237&lt;&gt;"","PID|"&amp;TRIM('01_Master_Data'!D237&amp;""),"")))</f>
        <v/>
      </c>
      <c r="C237">
        <f>IF('01_Master_Data'!B237="","",'01_Master_Data'!B237)</f>
        <v/>
      </c>
      <c r="D237">
        <f>IF('01_Master_Data'!B237="","",'01_Master_Data'!C237)</f>
        <v/>
      </c>
      <c r="E237">
        <f>IF('01_Master_Data'!B237="","",'01_Master_Data'!D237)</f>
        <v/>
      </c>
      <c r="F237">
        <f>IF('01_Master_Data'!B237="","",'01_Master_Data'!E237)</f>
        <v/>
      </c>
      <c r="G237">
        <f>IF('01_Master_Data'!B237="","",IFERROR(VLOOKUP(TRIM('01_Master_Data'!E237&amp;""),'02_Configuration'!$A$40:$B$44,2,FALSE),UPPER(TRIM('01_Master_Data'!E237&amp;""))))</f>
        <v/>
      </c>
      <c r="H237">
        <f>IF('01_Master_Data'!B237="","",IF('01_Master_Data'!U237="","",TRIM('01_Master_Data'!U237&amp;"")))</f>
        <v/>
      </c>
      <c r="I237">
        <f>IF('01_Master_Data'!B237="","",TRIM('01_Master_Data'!F237&amp;""))</f>
        <v/>
      </c>
      <c r="J237">
        <f>IF('01_Master_Data'!B237="","",TRIM('01_Master_Data'!G237&amp;""))</f>
        <v/>
      </c>
      <c r="K237">
        <f>IF('01_Master_Data'!B237="","",'01_Master_Data'!H237)</f>
        <v/>
      </c>
      <c r="L237">
        <f>IF('01_Master_Data'!B237="","",IF(LOWER(TRIM('01_Master_Data'!V237&amp;""))="yes",1,0))</f>
        <v/>
      </c>
      <c r="M237">
        <f>IF('01_Master_Data'!B237="","",IF(LOWER(TRIM('01_Master_Data'!W237&amp;""))="yes",1,0))</f>
        <v/>
      </c>
      <c r="N237">
        <f>IF('01_Master_Data'!B237="","",IF(LOWER(TRIM('01_Master_Data'!X237&amp;""))="yes",1,0))</f>
        <v/>
      </c>
      <c r="O237">
        <f>IF('01_Master_Data'!B237="","",IF(LOWER(TRIM('01_Master_Data'!Y237&amp;""))="yes",1,0))</f>
        <v/>
      </c>
      <c r="P237">
        <f>IF('01_Master_Data'!B237="","",IF(LOWER(TRIM('01_Master_Data'!Z237&amp;""))="yes",1,0))</f>
        <v/>
      </c>
      <c r="Q237">
        <f>IF(A237="","",L237+M237+N237+O237+P237)</f>
        <v/>
      </c>
      <c r="R237">
        <f>IF(A237="","",IF(Q237&gt;1,"Yes","No"))</f>
        <v/>
      </c>
      <c r="S237">
        <f>IF(A237="","",TEXTJOIN(", ",TRUE,IF(L237=1,"ICICI",""),IF(M237=1,"Propelld",""),IF(N237=1,"Study4Buddy",""),IF(O237=1,"Poonawala Fincorp",""),IF(P237=1,"GyanDhan","")))</f>
        <v/>
      </c>
      <c r="T237">
        <f>IF(A237="","",IF(L237=1,"ICICI",IF(M237=1,"Propelld",IF(P237=1,"GyanDhan",IF(N237=1,"Study4Buddy",IF(O237=1,"Poonawala Fincorp",IF(ISNUMBER(SEARCH("GyanDhan",W237&amp;"")),"GyanDhan",IF(ISNUMBER(SEARCH("Icici",W237&amp;"")),"ICICI",IF(ISNUMBER(SEARCH("Propelld",W237&amp;"")),"Propelld",IF(ISNUMBER(SEARCH("vidyalakshmi",LOWER(W237&amp;"")),"PM Vidyalakshmi","—"))))))))))</f>
        <v/>
      </c>
      <c r="U237">
        <f>IF(A237="","",TRIM('01_Master_Data'!AA237&amp;""))</f>
        <v/>
      </c>
      <c r="V237">
        <f>IF(A237="","",TRIM('01_Master_Data'!AG237&amp;""))</f>
        <v/>
      </c>
      <c r="W237">
        <f>IF(A237="","",TRIM('01_Master_Data'!AH237&amp;""))</f>
        <v/>
      </c>
      <c r="X237">
        <f>IF(A237="","",IF(OR(LOWER(H237)="refund",LOWER(U237)="refund case"),"Refund",IF(OR(LOWER(H237)="dnp",LOWER(U237)="dnp"),"DNP",IF(OR(LOWER(V237)="disbursed",ISNUMBER(SEARCH("Disbursed",W237&amp;""))),"Disbursed",IF(OR(LOWER(V237)="loan proccessed/accepted",ISNUMBER(SEARCH("sanctioned",LOWER(W237&amp;"")))),"Sanctioned",IF(OR(LOWER(V237)="rejected",ISNUMBER(SEARCH("Not eligbile",W237&amp;"")),ISNUMBER(SEARCH("Not eligible",W237&amp;""))),"Rejected",IF(ISNUMBER(SEARCH("Docs Pending",W237&amp;"")),"Documents Pending",IF(AND(LOWER(H237)="yes",LOWER(V237)="ongoing"),"Processing",IF(AND(LOWER(H237)="yes",Q237&gt;0,OR(V237="",LOWER(V237)="not even started")),"Vendor Assigned",IF(AND(LOWER(H237)="yes",LOWER(V237)="not even started"),"Need Loan",IF(LOWER(H237)="yes","Loan Started",IF(LOWER(H237)="not sure","Interested",IF(OR(LOWER(H237)="no",LOWER(V237)="not required"),"Not Required","Unclassified")))))))))))))</f>
        <v/>
      </c>
      <c r="Y237">
        <f>IF(A237="","",IF(OR(X237="Sanctioned",X237="Disbursed",X237="Approved"),"Approved",IF(X237="Rejected","Rejected",IF(OR(X237="Processing",X237="Documents Pending",X237="Vendor Assigned"),"In Progress",IF(X237="Need Loan","Pending Start","—"))))</f>
        <v/>
      </c>
      <c r="Z237">
        <f>IF(A237="","",IF(X237="Disbursed","Disbursed",IF(X237="Sanctioned","Sanctioned - Awaiting Disbursement","Not Disbursed")))</f>
        <v/>
      </c>
      <c r="AA237">
        <f>IF(A237="","",IF(LOWER(TRIM('01_Master_Data'!AI237&amp;""))="yes","Need FLDG",IF(LOWER(TRIM('01_Master_Data'!AK237&amp;""))="yes","Need Vidyalakshmi",IF(LOWER(TRIM('01_Master_Data'!AJ237&amp;""))="yes","Need Review",IF(LOWER(J237)="critical","Critical",IF(LOWER(U237)="risk","Risk Case",IF(X237="Refund","Refund","Normal")))))))</f>
        <v/>
      </c>
      <c r="AB237">
        <f>IF(A237="","",IF(OR(LOWER(J237)="critical",LOWER(TRIM('01_Master_Data'!AI237&amp;""))="yes",LOWER(TRIM('01_Master_Data'!AK237&amp;""))="yes",LOWER(U237)="risk"),"Yes","No"))</f>
        <v/>
      </c>
      <c r="AC237">
        <f>IF(A237="","",IF(LOWER(TRIM('01_Master_Data'!AI237&amp;""))="yes","Yes","No"))</f>
        <v/>
      </c>
      <c r="AD237">
        <f>IF(A237="","",IF(LOWER(TRIM('01_Master_Data'!AK237&amp;""))="yes","Yes","No"))</f>
        <v/>
      </c>
      <c r="AE237">
        <f>IF(A237="","",IF(LOWER(TRIM('01_Master_Data'!AJ237&amp;""))="yes","Yes","No"))</f>
        <v/>
      </c>
      <c r="AF237">
        <f>IF(A237="","",TRIM('01_Master_Data'!AL237&amp;""))</f>
        <v/>
      </c>
      <c r="AG237">
        <f>IF(A237="","",IF(AF237="","—",IF(ISNUMBER(SEARCH("DNP",AF237)),"Unreachable / DNP",IF(ISNUMBER(SEARCH("interest",LOWER(AF237))),"High Interest / Terms",IF(OR(ISNUMBER(SEARCH("eligib",LOWER(AF237))),ISNUMBER(SEARCH("income",LOWER(AF237)))),"Eligibility / Income",IF(OR(ISNUMBER(SEARCH("start",LOWER(AF237))),ISNUMBER(SEARCH("Newer",AF237)),ISNUMBER(SEARCH("Will start",AF237))),"Process Yet to Start",IF(ISNUMBER(SEARCH("sure",LOWER(AF237))),"Undecided",IF(OR(ISNUMBER(SEARCH("reject",LOWER(AF237))),ISNUMBER(SEARCH("SBI",AF237))),"Rejected Elsewhere",IF(ISNUMBER(SEARCH("call",LOWER(AF237))),"Bank Communication",IF(OR(ISNUMBER(SEARCH("father",LOWER(AF237))),ISNUMBER(SEARCH("sister",LOWER(AF237)))),"Family / Dependency","Other"))))))))))</f>
        <v/>
      </c>
      <c r="AH237">
        <f>IF(A237="","",'01_Master_Data'!AC237)</f>
        <v/>
      </c>
      <c r="AI237">
        <f>IF(A237="","",IF(OR(AH237="",NOT(ISNUMBER(AH237))),"",MAX(0,'02_Configuration'!$B$82-AH237)))</f>
        <v/>
      </c>
      <c r="AJ237">
        <f>IF(A237="","",IF(AI237="","Unknown",IF(AI237&lt;=3,"0–3 Days",IF(AI237&lt;=7,"4–7 Days",IF(AI237&lt;=15,"8–15 Days",IF(AI237&lt;=30,"16–30 Days","30+ Days"))))))</f>
        <v/>
      </c>
      <c r="AK237">
        <f>IF(A237="","",IF(LOWER(H237)="yes","Yes","No"))</f>
        <v/>
      </c>
      <c r="AL237">
        <f>IF(A237="","",'01_Master_Data'!T237)</f>
        <v/>
      </c>
      <c r="AM237">
        <f>IF(A237="","",'01_Master_Data'!S237)</f>
        <v/>
      </c>
      <c r="AN237">
        <f>IF(A237="","",'01_Master_Data'!I237)</f>
        <v/>
      </c>
      <c r="AO237">
        <f>IF(A237="","",'01_Master_Data'!M237)</f>
        <v/>
      </c>
      <c r="AP237">
        <f>IF(A237="","",IF(ISNUMBER(SEARCH("Icici",W237&amp;"")),1,0))</f>
        <v/>
      </c>
      <c r="AQ237">
        <f>IF(A237="","",IF(ISNUMBER(SEARCH("Propelld",W237&amp;"")),1,0))</f>
        <v/>
      </c>
      <c r="AR237">
        <f>IF(A237="","",IF(ISNUMBER(SEARCH("GyanDhan",W237&amp;"")),1,0))</f>
        <v/>
      </c>
      <c r="AS237">
        <f>IF(A237="","",IF(ISNUMBER(SEARCH("vidyalakshmi",LOWER(W237&amp;""))),1,0))</f>
        <v/>
      </c>
      <c r="AT237">
        <f>IF(A237="","",IF(ISNUMBER(SEARCH("other bank",LOWER(W237&amp;""))),1,0))</f>
        <v/>
      </c>
      <c r="AU237">
        <f>IF(A237="","",IF(ISNUMBER(SEARCH("sanctioned",LOWER(W237&amp;""))),1,0))</f>
        <v/>
      </c>
      <c r="AV237">
        <f>IF(A237="","",IF(ISNUMBER(SEARCH("Docs Pending",W237&amp;"")),1,0))</f>
        <v/>
      </c>
      <c r="AW237">
        <f>IF(A237="","",IF(OR(X237="Rejected",ISNUMBER(SEARCH("Not eligbile",W237&amp;""))),1,0))</f>
        <v/>
      </c>
    </row>
    <row r="238">
      <c r="A238">
        <f>IF('01_Master_Data'!B238="","",237)</f>
        <v/>
      </c>
      <c r="B238">
        <f>IF('01_Master_Data'!B238="","",IF('01_Master_Data'!C238&lt;&gt;"","MOB|"&amp;TEXT('01_Master_Data'!C238,"0"),IF('01_Master_Data'!D238&lt;&gt;"","PID|"&amp;TRIM('01_Master_Data'!D238&amp;""),"")))</f>
        <v/>
      </c>
      <c r="C238">
        <f>IF('01_Master_Data'!B238="","",'01_Master_Data'!B238)</f>
        <v/>
      </c>
      <c r="D238">
        <f>IF('01_Master_Data'!B238="","",'01_Master_Data'!C238)</f>
        <v/>
      </c>
      <c r="E238">
        <f>IF('01_Master_Data'!B238="","",'01_Master_Data'!D238)</f>
        <v/>
      </c>
      <c r="F238">
        <f>IF('01_Master_Data'!B238="","",'01_Master_Data'!E238)</f>
        <v/>
      </c>
      <c r="G238">
        <f>IF('01_Master_Data'!B238="","",IFERROR(VLOOKUP(TRIM('01_Master_Data'!E238&amp;""),'02_Configuration'!$A$40:$B$44,2,FALSE),UPPER(TRIM('01_Master_Data'!E238&amp;""))))</f>
        <v/>
      </c>
      <c r="H238">
        <f>IF('01_Master_Data'!B238="","",IF('01_Master_Data'!U238="","",TRIM('01_Master_Data'!U238&amp;"")))</f>
        <v/>
      </c>
      <c r="I238">
        <f>IF('01_Master_Data'!B238="","",TRIM('01_Master_Data'!F238&amp;""))</f>
        <v/>
      </c>
      <c r="J238">
        <f>IF('01_Master_Data'!B238="","",TRIM('01_Master_Data'!G238&amp;""))</f>
        <v/>
      </c>
      <c r="K238">
        <f>IF('01_Master_Data'!B238="","",'01_Master_Data'!H238)</f>
        <v/>
      </c>
      <c r="L238">
        <f>IF('01_Master_Data'!B238="","",IF(LOWER(TRIM('01_Master_Data'!V238&amp;""))="yes",1,0))</f>
        <v/>
      </c>
      <c r="M238">
        <f>IF('01_Master_Data'!B238="","",IF(LOWER(TRIM('01_Master_Data'!W238&amp;""))="yes",1,0))</f>
        <v/>
      </c>
      <c r="N238">
        <f>IF('01_Master_Data'!B238="","",IF(LOWER(TRIM('01_Master_Data'!X238&amp;""))="yes",1,0))</f>
        <v/>
      </c>
      <c r="O238">
        <f>IF('01_Master_Data'!B238="","",IF(LOWER(TRIM('01_Master_Data'!Y238&amp;""))="yes",1,0))</f>
        <v/>
      </c>
      <c r="P238">
        <f>IF('01_Master_Data'!B238="","",IF(LOWER(TRIM('01_Master_Data'!Z238&amp;""))="yes",1,0))</f>
        <v/>
      </c>
      <c r="Q238">
        <f>IF(A238="","",L238+M238+N238+O238+P238)</f>
        <v/>
      </c>
      <c r="R238">
        <f>IF(A238="","",IF(Q238&gt;1,"Yes","No"))</f>
        <v/>
      </c>
      <c r="S238">
        <f>IF(A238="","",TEXTJOIN(", ",TRUE,IF(L238=1,"ICICI",""),IF(M238=1,"Propelld",""),IF(N238=1,"Study4Buddy",""),IF(O238=1,"Poonawala Fincorp",""),IF(P238=1,"GyanDhan","")))</f>
        <v/>
      </c>
      <c r="T238">
        <f>IF(A238="","",IF(L238=1,"ICICI",IF(M238=1,"Propelld",IF(P238=1,"GyanDhan",IF(N238=1,"Study4Buddy",IF(O238=1,"Poonawala Fincorp",IF(ISNUMBER(SEARCH("GyanDhan",W238&amp;"")),"GyanDhan",IF(ISNUMBER(SEARCH("Icici",W238&amp;"")),"ICICI",IF(ISNUMBER(SEARCH("Propelld",W238&amp;"")),"Propelld",IF(ISNUMBER(SEARCH("vidyalakshmi",LOWER(W238&amp;"")),"PM Vidyalakshmi","—"))))))))))</f>
        <v/>
      </c>
      <c r="U238">
        <f>IF(A238="","",TRIM('01_Master_Data'!AA238&amp;""))</f>
        <v/>
      </c>
      <c r="V238">
        <f>IF(A238="","",TRIM('01_Master_Data'!AG238&amp;""))</f>
        <v/>
      </c>
      <c r="W238">
        <f>IF(A238="","",TRIM('01_Master_Data'!AH238&amp;""))</f>
        <v/>
      </c>
      <c r="X238">
        <f>IF(A238="","",IF(OR(LOWER(H238)="refund",LOWER(U238)="refund case"),"Refund",IF(OR(LOWER(H238)="dnp",LOWER(U238)="dnp"),"DNP",IF(OR(LOWER(V238)="disbursed",ISNUMBER(SEARCH("Disbursed",W238&amp;""))),"Disbursed",IF(OR(LOWER(V238)="loan proccessed/accepted",ISNUMBER(SEARCH("sanctioned",LOWER(W238&amp;"")))),"Sanctioned",IF(OR(LOWER(V238)="rejected",ISNUMBER(SEARCH("Not eligbile",W238&amp;"")),ISNUMBER(SEARCH("Not eligible",W238&amp;""))),"Rejected",IF(ISNUMBER(SEARCH("Docs Pending",W238&amp;"")),"Documents Pending",IF(AND(LOWER(H238)="yes",LOWER(V238)="ongoing"),"Processing",IF(AND(LOWER(H238)="yes",Q238&gt;0,OR(V238="",LOWER(V238)="not even started")),"Vendor Assigned",IF(AND(LOWER(H238)="yes",LOWER(V238)="not even started"),"Need Loan",IF(LOWER(H238)="yes","Loan Started",IF(LOWER(H238)="not sure","Interested",IF(OR(LOWER(H238)="no",LOWER(V238)="not required"),"Not Required","Unclassified")))))))))))))</f>
        <v/>
      </c>
      <c r="Y238">
        <f>IF(A238="","",IF(OR(X238="Sanctioned",X238="Disbursed",X238="Approved"),"Approved",IF(X238="Rejected","Rejected",IF(OR(X238="Processing",X238="Documents Pending",X238="Vendor Assigned"),"In Progress",IF(X238="Need Loan","Pending Start","—"))))</f>
        <v/>
      </c>
      <c r="Z238">
        <f>IF(A238="","",IF(X238="Disbursed","Disbursed",IF(X238="Sanctioned","Sanctioned - Awaiting Disbursement","Not Disbursed")))</f>
        <v/>
      </c>
      <c r="AA238">
        <f>IF(A238="","",IF(LOWER(TRIM('01_Master_Data'!AI238&amp;""))="yes","Need FLDG",IF(LOWER(TRIM('01_Master_Data'!AK238&amp;""))="yes","Need Vidyalakshmi",IF(LOWER(TRIM('01_Master_Data'!AJ238&amp;""))="yes","Need Review",IF(LOWER(J238)="critical","Critical",IF(LOWER(U238)="risk","Risk Case",IF(X238="Refund","Refund","Normal")))))))</f>
        <v/>
      </c>
      <c r="AB238">
        <f>IF(A238="","",IF(OR(LOWER(J238)="critical",LOWER(TRIM('01_Master_Data'!AI238&amp;""))="yes",LOWER(TRIM('01_Master_Data'!AK238&amp;""))="yes",LOWER(U238)="risk"),"Yes","No"))</f>
        <v/>
      </c>
      <c r="AC238">
        <f>IF(A238="","",IF(LOWER(TRIM('01_Master_Data'!AI238&amp;""))="yes","Yes","No"))</f>
        <v/>
      </c>
      <c r="AD238">
        <f>IF(A238="","",IF(LOWER(TRIM('01_Master_Data'!AK238&amp;""))="yes","Yes","No"))</f>
        <v/>
      </c>
      <c r="AE238">
        <f>IF(A238="","",IF(LOWER(TRIM('01_Master_Data'!AJ238&amp;""))="yes","Yes","No"))</f>
        <v/>
      </c>
      <c r="AF238">
        <f>IF(A238="","",TRIM('01_Master_Data'!AL238&amp;""))</f>
        <v/>
      </c>
      <c r="AG238">
        <f>IF(A238="","",IF(AF238="","—",IF(ISNUMBER(SEARCH("DNP",AF238)),"Unreachable / DNP",IF(ISNUMBER(SEARCH("interest",LOWER(AF238))),"High Interest / Terms",IF(OR(ISNUMBER(SEARCH("eligib",LOWER(AF238))),ISNUMBER(SEARCH("income",LOWER(AF238)))),"Eligibility / Income",IF(OR(ISNUMBER(SEARCH("start",LOWER(AF238))),ISNUMBER(SEARCH("Newer",AF238)),ISNUMBER(SEARCH("Will start",AF238))),"Process Yet to Start",IF(ISNUMBER(SEARCH("sure",LOWER(AF238))),"Undecided",IF(OR(ISNUMBER(SEARCH("reject",LOWER(AF238))),ISNUMBER(SEARCH("SBI",AF238))),"Rejected Elsewhere",IF(ISNUMBER(SEARCH("call",LOWER(AF238))),"Bank Communication",IF(OR(ISNUMBER(SEARCH("father",LOWER(AF238))),ISNUMBER(SEARCH("sister",LOWER(AF238)))),"Family / Dependency","Other"))))))))))</f>
        <v/>
      </c>
      <c r="AH238">
        <f>IF(A238="","",'01_Master_Data'!AC238)</f>
        <v/>
      </c>
      <c r="AI238">
        <f>IF(A238="","",IF(OR(AH238="",NOT(ISNUMBER(AH238))),"",MAX(0,'02_Configuration'!$B$82-AH238)))</f>
        <v/>
      </c>
      <c r="AJ238">
        <f>IF(A238="","",IF(AI238="","Unknown",IF(AI238&lt;=3,"0–3 Days",IF(AI238&lt;=7,"4–7 Days",IF(AI238&lt;=15,"8–15 Days",IF(AI238&lt;=30,"16–30 Days","30+ Days"))))))</f>
        <v/>
      </c>
      <c r="AK238">
        <f>IF(A238="","",IF(LOWER(H238)="yes","Yes","No"))</f>
        <v/>
      </c>
      <c r="AL238">
        <f>IF(A238="","",'01_Master_Data'!T238)</f>
        <v/>
      </c>
      <c r="AM238">
        <f>IF(A238="","",'01_Master_Data'!S238)</f>
        <v/>
      </c>
      <c r="AN238">
        <f>IF(A238="","",'01_Master_Data'!I238)</f>
        <v/>
      </c>
      <c r="AO238">
        <f>IF(A238="","",'01_Master_Data'!M238)</f>
        <v/>
      </c>
      <c r="AP238">
        <f>IF(A238="","",IF(ISNUMBER(SEARCH("Icici",W238&amp;"")),1,0))</f>
        <v/>
      </c>
      <c r="AQ238">
        <f>IF(A238="","",IF(ISNUMBER(SEARCH("Propelld",W238&amp;"")),1,0))</f>
        <v/>
      </c>
      <c r="AR238">
        <f>IF(A238="","",IF(ISNUMBER(SEARCH("GyanDhan",W238&amp;"")),1,0))</f>
        <v/>
      </c>
      <c r="AS238">
        <f>IF(A238="","",IF(ISNUMBER(SEARCH("vidyalakshmi",LOWER(W238&amp;""))),1,0))</f>
        <v/>
      </c>
      <c r="AT238">
        <f>IF(A238="","",IF(ISNUMBER(SEARCH("other bank",LOWER(W238&amp;""))),1,0))</f>
        <v/>
      </c>
      <c r="AU238">
        <f>IF(A238="","",IF(ISNUMBER(SEARCH("sanctioned",LOWER(W238&amp;""))),1,0))</f>
        <v/>
      </c>
      <c r="AV238">
        <f>IF(A238="","",IF(ISNUMBER(SEARCH("Docs Pending",W238&amp;"")),1,0))</f>
        <v/>
      </c>
      <c r="AW238">
        <f>IF(A238="","",IF(OR(X238="Rejected",ISNUMBER(SEARCH("Not eligbile",W238&amp;""))),1,0))</f>
        <v/>
      </c>
    </row>
    <row r="239">
      <c r="A239">
        <f>IF('01_Master_Data'!B239="","",238)</f>
        <v/>
      </c>
      <c r="B239">
        <f>IF('01_Master_Data'!B239="","",IF('01_Master_Data'!C239&lt;&gt;"","MOB|"&amp;TEXT('01_Master_Data'!C239,"0"),IF('01_Master_Data'!D239&lt;&gt;"","PID|"&amp;TRIM('01_Master_Data'!D239&amp;""),"")))</f>
        <v/>
      </c>
      <c r="C239">
        <f>IF('01_Master_Data'!B239="","",'01_Master_Data'!B239)</f>
        <v/>
      </c>
      <c r="D239">
        <f>IF('01_Master_Data'!B239="","",'01_Master_Data'!C239)</f>
        <v/>
      </c>
      <c r="E239">
        <f>IF('01_Master_Data'!B239="","",'01_Master_Data'!D239)</f>
        <v/>
      </c>
      <c r="F239">
        <f>IF('01_Master_Data'!B239="","",'01_Master_Data'!E239)</f>
        <v/>
      </c>
      <c r="G239">
        <f>IF('01_Master_Data'!B239="","",IFERROR(VLOOKUP(TRIM('01_Master_Data'!E239&amp;""),'02_Configuration'!$A$40:$B$44,2,FALSE),UPPER(TRIM('01_Master_Data'!E239&amp;""))))</f>
        <v/>
      </c>
      <c r="H239">
        <f>IF('01_Master_Data'!B239="","",IF('01_Master_Data'!U239="","",TRIM('01_Master_Data'!U239&amp;"")))</f>
        <v/>
      </c>
      <c r="I239">
        <f>IF('01_Master_Data'!B239="","",TRIM('01_Master_Data'!F239&amp;""))</f>
        <v/>
      </c>
      <c r="J239">
        <f>IF('01_Master_Data'!B239="","",TRIM('01_Master_Data'!G239&amp;""))</f>
        <v/>
      </c>
      <c r="K239">
        <f>IF('01_Master_Data'!B239="","",'01_Master_Data'!H239)</f>
        <v/>
      </c>
      <c r="L239">
        <f>IF('01_Master_Data'!B239="","",IF(LOWER(TRIM('01_Master_Data'!V239&amp;""))="yes",1,0))</f>
        <v/>
      </c>
      <c r="M239">
        <f>IF('01_Master_Data'!B239="","",IF(LOWER(TRIM('01_Master_Data'!W239&amp;""))="yes",1,0))</f>
        <v/>
      </c>
      <c r="N239">
        <f>IF('01_Master_Data'!B239="","",IF(LOWER(TRIM('01_Master_Data'!X239&amp;""))="yes",1,0))</f>
        <v/>
      </c>
      <c r="O239">
        <f>IF('01_Master_Data'!B239="","",IF(LOWER(TRIM('01_Master_Data'!Y239&amp;""))="yes",1,0))</f>
        <v/>
      </c>
      <c r="P239">
        <f>IF('01_Master_Data'!B239="","",IF(LOWER(TRIM('01_Master_Data'!Z239&amp;""))="yes",1,0))</f>
        <v/>
      </c>
      <c r="Q239">
        <f>IF(A239="","",L239+M239+N239+O239+P239)</f>
        <v/>
      </c>
      <c r="R239">
        <f>IF(A239="","",IF(Q239&gt;1,"Yes","No"))</f>
        <v/>
      </c>
      <c r="S239">
        <f>IF(A239="","",TEXTJOIN(", ",TRUE,IF(L239=1,"ICICI",""),IF(M239=1,"Propelld",""),IF(N239=1,"Study4Buddy",""),IF(O239=1,"Poonawala Fincorp",""),IF(P239=1,"GyanDhan","")))</f>
        <v/>
      </c>
      <c r="T239">
        <f>IF(A239="","",IF(L239=1,"ICICI",IF(M239=1,"Propelld",IF(P239=1,"GyanDhan",IF(N239=1,"Study4Buddy",IF(O239=1,"Poonawala Fincorp",IF(ISNUMBER(SEARCH("GyanDhan",W239&amp;"")),"GyanDhan",IF(ISNUMBER(SEARCH("Icici",W239&amp;"")),"ICICI",IF(ISNUMBER(SEARCH("Propelld",W239&amp;"")),"Propelld",IF(ISNUMBER(SEARCH("vidyalakshmi",LOWER(W239&amp;"")),"PM Vidyalakshmi","—"))))))))))</f>
        <v/>
      </c>
      <c r="U239">
        <f>IF(A239="","",TRIM('01_Master_Data'!AA239&amp;""))</f>
        <v/>
      </c>
      <c r="V239">
        <f>IF(A239="","",TRIM('01_Master_Data'!AG239&amp;""))</f>
        <v/>
      </c>
      <c r="W239">
        <f>IF(A239="","",TRIM('01_Master_Data'!AH239&amp;""))</f>
        <v/>
      </c>
      <c r="X239">
        <f>IF(A239="","",IF(OR(LOWER(H239)="refund",LOWER(U239)="refund case"),"Refund",IF(OR(LOWER(H239)="dnp",LOWER(U239)="dnp"),"DNP",IF(OR(LOWER(V239)="disbursed",ISNUMBER(SEARCH("Disbursed",W239&amp;""))),"Disbursed",IF(OR(LOWER(V239)="loan proccessed/accepted",ISNUMBER(SEARCH("sanctioned",LOWER(W239&amp;"")))),"Sanctioned",IF(OR(LOWER(V239)="rejected",ISNUMBER(SEARCH("Not eligbile",W239&amp;"")),ISNUMBER(SEARCH("Not eligible",W239&amp;""))),"Rejected",IF(ISNUMBER(SEARCH("Docs Pending",W239&amp;"")),"Documents Pending",IF(AND(LOWER(H239)="yes",LOWER(V239)="ongoing"),"Processing",IF(AND(LOWER(H239)="yes",Q239&gt;0,OR(V239="",LOWER(V239)="not even started")),"Vendor Assigned",IF(AND(LOWER(H239)="yes",LOWER(V239)="not even started"),"Need Loan",IF(LOWER(H239)="yes","Loan Started",IF(LOWER(H239)="not sure","Interested",IF(OR(LOWER(H239)="no",LOWER(V239)="not required"),"Not Required","Unclassified")))))))))))))</f>
        <v/>
      </c>
      <c r="Y239">
        <f>IF(A239="","",IF(OR(X239="Sanctioned",X239="Disbursed",X239="Approved"),"Approved",IF(X239="Rejected","Rejected",IF(OR(X239="Processing",X239="Documents Pending",X239="Vendor Assigned"),"In Progress",IF(X239="Need Loan","Pending Start","—"))))</f>
        <v/>
      </c>
      <c r="Z239">
        <f>IF(A239="","",IF(X239="Disbursed","Disbursed",IF(X239="Sanctioned","Sanctioned - Awaiting Disbursement","Not Disbursed")))</f>
        <v/>
      </c>
      <c r="AA239">
        <f>IF(A239="","",IF(LOWER(TRIM('01_Master_Data'!AI239&amp;""))="yes","Need FLDG",IF(LOWER(TRIM('01_Master_Data'!AK239&amp;""))="yes","Need Vidyalakshmi",IF(LOWER(TRIM('01_Master_Data'!AJ239&amp;""))="yes","Need Review",IF(LOWER(J239)="critical","Critical",IF(LOWER(U239)="risk","Risk Case",IF(X239="Refund","Refund","Normal")))))))</f>
        <v/>
      </c>
      <c r="AB239">
        <f>IF(A239="","",IF(OR(LOWER(J239)="critical",LOWER(TRIM('01_Master_Data'!AI239&amp;""))="yes",LOWER(TRIM('01_Master_Data'!AK239&amp;""))="yes",LOWER(U239)="risk"),"Yes","No"))</f>
        <v/>
      </c>
      <c r="AC239">
        <f>IF(A239="","",IF(LOWER(TRIM('01_Master_Data'!AI239&amp;""))="yes","Yes","No"))</f>
        <v/>
      </c>
      <c r="AD239">
        <f>IF(A239="","",IF(LOWER(TRIM('01_Master_Data'!AK239&amp;""))="yes","Yes","No"))</f>
        <v/>
      </c>
      <c r="AE239">
        <f>IF(A239="","",IF(LOWER(TRIM('01_Master_Data'!AJ239&amp;""))="yes","Yes","No"))</f>
        <v/>
      </c>
      <c r="AF239">
        <f>IF(A239="","",TRIM('01_Master_Data'!AL239&amp;""))</f>
        <v/>
      </c>
      <c r="AG239">
        <f>IF(A239="","",IF(AF239="","—",IF(ISNUMBER(SEARCH("DNP",AF239)),"Unreachable / DNP",IF(ISNUMBER(SEARCH("interest",LOWER(AF239))),"High Interest / Terms",IF(OR(ISNUMBER(SEARCH("eligib",LOWER(AF239))),ISNUMBER(SEARCH("income",LOWER(AF239)))),"Eligibility / Income",IF(OR(ISNUMBER(SEARCH("start",LOWER(AF239))),ISNUMBER(SEARCH("Newer",AF239)),ISNUMBER(SEARCH("Will start",AF239))),"Process Yet to Start",IF(ISNUMBER(SEARCH("sure",LOWER(AF239))),"Undecided",IF(OR(ISNUMBER(SEARCH("reject",LOWER(AF239))),ISNUMBER(SEARCH("SBI",AF239))),"Rejected Elsewhere",IF(ISNUMBER(SEARCH("call",LOWER(AF239))),"Bank Communication",IF(OR(ISNUMBER(SEARCH("father",LOWER(AF239))),ISNUMBER(SEARCH("sister",LOWER(AF239)))),"Family / Dependency","Other"))))))))))</f>
        <v/>
      </c>
      <c r="AH239">
        <f>IF(A239="","",'01_Master_Data'!AC239)</f>
        <v/>
      </c>
      <c r="AI239">
        <f>IF(A239="","",IF(OR(AH239="",NOT(ISNUMBER(AH239))),"",MAX(0,'02_Configuration'!$B$82-AH239)))</f>
        <v/>
      </c>
      <c r="AJ239">
        <f>IF(A239="","",IF(AI239="","Unknown",IF(AI239&lt;=3,"0–3 Days",IF(AI239&lt;=7,"4–7 Days",IF(AI239&lt;=15,"8–15 Days",IF(AI239&lt;=30,"16–30 Days","30+ Days"))))))</f>
        <v/>
      </c>
      <c r="AK239">
        <f>IF(A239="","",IF(LOWER(H239)="yes","Yes","No"))</f>
        <v/>
      </c>
      <c r="AL239">
        <f>IF(A239="","",'01_Master_Data'!T239)</f>
        <v/>
      </c>
      <c r="AM239">
        <f>IF(A239="","",'01_Master_Data'!S239)</f>
        <v/>
      </c>
      <c r="AN239">
        <f>IF(A239="","",'01_Master_Data'!I239)</f>
        <v/>
      </c>
      <c r="AO239">
        <f>IF(A239="","",'01_Master_Data'!M239)</f>
        <v/>
      </c>
      <c r="AP239">
        <f>IF(A239="","",IF(ISNUMBER(SEARCH("Icici",W239&amp;"")),1,0))</f>
        <v/>
      </c>
      <c r="AQ239">
        <f>IF(A239="","",IF(ISNUMBER(SEARCH("Propelld",W239&amp;"")),1,0))</f>
        <v/>
      </c>
      <c r="AR239">
        <f>IF(A239="","",IF(ISNUMBER(SEARCH("GyanDhan",W239&amp;"")),1,0))</f>
        <v/>
      </c>
      <c r="AS239">
        <f>IF(A239="","",IF(ISNUMBER(SEARCH("vidyalakshmi",LOWER(W239&amp;""))),1,0))</f>
        <v/>
      </c>
      <c r="AT239">
        <f>IF(A239="","",IF(ISNUMBER(SEARCH("other bank",LOWER(W239&amp;""))),1,0))</f>
        <v/>
      </c>
      <c r="AU239">
        <f>IF(A239="","",IF(ISNUMBER(SEARCH("sanctioned",LOWER(W239&amp;""))),1,0))</f>
        <v/>
      </c>
      <c r="AV239">
        <f>IF(A239="","",IF(ISNUMBER(SEARCH("Docs Pending",W239&amp;"")),1,0))</f>
        <v/>
      </c>
      <c r="AW239">
        <f>IF(A239="","",IF(OR(X239="Rejected",ISNUMBER(SEARCH("Not eligbile",W239&amp;""))),1,0))</f>
        <v/>
      </c>
    </row>
    <row r="240">
      <c r="A240">
        <f>IF('01_Master_Data'!B240="","",239)</f>
        <v/>
      </c>
      <c r="B240">
        <f>IF('01_Master_Data'!B240="","",IF('01_Master_Data'!C240&lt;&gt;"","MOB|"&amp;TEXT('01_Master_Data'!C240,"0"),IF('01_Master_Data'!D240&lt;&gt;"","PID|"&amp;TRIM('01_Master_Data'!D240&amp;""),"")))</f>
        <v/>
      </c>
      <c r="C240">
        <f>IF('01_Master_Data'!B240="","",'01_Master_Data'!B240)</f>
        <v/>
      </c>
      <c r="D240">
        <f>IF('01_Master_Data'!B240="","",'01_Master_Data'!C240)</f>
        <v/>
      </c>
      <c r="E240">
        <f>IF('01_Master_Data'!B240="","",'01_Master_Data'!D240)</f>
        <v/>
      </c>
      <c r="F240">
        <f>IF('01_Master_Data'!B240="","",'01_Master_Data'!E240)</f>
        <v/>
      </c>
      <c r="G240">
        <f>IF('01_Master_Data'!B240="","",IFERROR(VLOOKUP(TRIM('01_Master_Data'!E240&amp;""),'02_Configuration'!$A$40:$B$44,2,FALSE),UPPER(TRIM('01_Master_Data'!E240&amp;""))))</f>
        <v/>
      </c>
      <c r="H240">
        <f>IF('01_Master_Data'!B240="","",IF('01_Master_Data'!U240="","",TRIM('01_Master_Data'!U240&amp;"")))</f>
        <v/>
      </c>
      <c r="I240">
        <f>IF('01_Master_Data'!B240="","",TRIM('01_Master_Data'!F240&amp;""))</f>
        <v/>
      </c>
      <c r="J240">
        <f>IF('01_Master_Data'!B240="","",TRIM('01_Master_Data'!G240&amp;""))</f>
        <v/>
      </c>
      <c r="K240">
        <f>IF('01_Master_Data'!B240="","",'01_Master_Data'!H240)</f>
        <v/>
      </c>
      <c r="L240">
        <f>IF('01_Master_Data'!B240="","",IF(LOWER(TRIM('01_Master_Data'!V240&amp;""))="yes",1,0))</f>
        <v/>
      </c>
      <c r="M240">
        <f>IF('01_Master_Data'!B240="","",IF(LOWER(TRIM('01_Master_Data'!W240&amp;""))="yes",1,0))</f>
        <v/>
      </c>
      <c r="N240">
        <f>IF('01_Master_Data'!B240="","",IF(LOWER(TRIM('01_Master_Data'!X240&amp;""))="yes",1,0))</f>
        <v/>
      </c>
      <c r="O240">
        <f>IF('01_Master_Data'!B240="","",IF(LOWER(TRIM('01_Master_Data'!Y240&amp;""))="yes",1,0))</f>
        <v/>
      </c>
      <c r="P240">
        <f>IF('01_Master_Data'!B240="","",IF(LOWER(TRIM('01_Master_Data'!Z240&amp;""))="yes",1,0))</f>
        <v/>
      </c>
      <c r="Q240">
        <f>IF(A240="","",L240+M240+N240+O240+P240)</f>
        <v/>
      </c>
      <c r="R240">
        <f>IF(A240="","",IF(Q240&gt;1,"Yes","No"))</f>
        <v/>
      </c>
      <c r="S240">
        <f>IF(A240="","",TEXTJOIN(", ",TRUE,IF(L240=1,"ICICI",""),IF(M240=1,"Propelld",""),IF(N240=1,"Study4Buddy",""),IF(O240=1,"Poonawala Fincorp",""),IF(P240=1,"GyanDhan","")))</f>
        <v/>
      </c>
      <c r="T240">
        <f>IF(A240="","",IF(L240=1,"ICICI",IF(M240=1,"Propelld",IF(P240=1,"GyanDhan",IF(N240=1,"Study4Buddy",IF(O240=1,"Poonawala Fincorp",IF(ISNUMBER(SEARCH("GyanDhan",W240&amp;"")),"GyanDhan",IF(ISNUMBER(SEARCH("Icici",W240&amp;"")),"ICICI",IF(ISNUMBER(SEARCH("Propelld",W240&amp;"")),"Propelld",IF(ISNUMBER(SEARCH("vidyalakshmi",LOWER(W240&amp;"")),"PM Vidyalakshmi","—"))))))))))</f>
        <v/>
      </c>
      <c r="U240">
        <f>IF(A240="","",TRIM('01_Master_Data'!AA240&amp;""))</f>
        <v/>
      </c>
      <c r="V240">
        <f>IF(A240="","",TRIM('01_Master_Data'!AG240&amp;""))</f>
        <v/>
      </c>
      <c r="W240">
        <f>IF(A240="","",TRIM('01_Master_Data'!AH240&amp;""))</f>
        <v/>
      </c>
      <c r="X240">
        <f>IF(A240="","",IF(OR(LOWER(H240)="refund",LOWER(U240)="refund case"),"Refund",IF(OR(LOWER(H240)="dnp",LOWER(U240)="dnp"),"DNP",IF(OR(LOWER(V240)="disbursed",ISNUMBER(SEARCH("Disbursed",W240&amp;""))),"Disbursed",IF(OR(LOWER(V240)="loan proccessed/accepted",ISNUMBER(SEARCH("sanctioned",LOWER(W240&amp;"")))),"Sanctioned",IF(OR(LOWER(V240)="rejected",ISNUMBER(SEARCH("Not eligbile",W240&amp;"")),ISNUMBER(SEARCH("Not eligible",W240&amp;""))),"Rejected",IF(ISNUMBER(SEARCH("Docs Pending",W240&amp;"")),"Documents Pending",IF(AND(LOWER(H240)="yes",LOWER(V240)="ongoing"),"Processing",IF(AND(LOWER(H240)="yes",Q240&gt;0,OR(V240="",LOWER(V240)="not even started")),"Vendor Assigned",IF(AND(LOWER(H240)="yes",LOWER(V240)="not even started"),"Need Loan",IF(LOWER(H240)="yes","Loan Started",IF(LOWER(H240)="not sure","Interested",IF(OR(LOWER(H240)="no",LOWER(V240)="not required"),"Not Required","Unclassified")))))))))))))</f>
        <v/>
      </c>
      <c r="Y240">
        <f>IF(A240="","",IF(OR(X240="Sanctioned",X240="Disbursed",X240="Approved"),"Approved",IF(X240="Rejected","Rejected",IF(OR(X240="Processing",X240="Documents Pending",X240="Vendor Assigned"),"In Progress",IF(X240="Need Loan","Pending Start","—"))))</f>
        <v/>
      </c>
      <c r="Z240">
        <f>IF(A240="","",IF(X240="Disbursed","Disbursed",IF(X240="Sanctioned","Sanctioned - Awaiting Disbursement","Not Disbursed")))</f>
        <v/>
      </c>
      <c r="AA240">
        <f>IF(A240="","",IF(LOWER(TRIM('01_Master_Data'!AI240&amp;""))="yes","Need FLDG",IF(LOWER(TRIM('01_Master_Data'!AK240&amp;""))="yes","Need Vidyalakshmi",IF(LOWER(TRIM('01_Master_Data'!AJ240&amp;""))="yes","Need Review",IF(LOWER(J240)="critical","Critical",IF(LOWER(U240)="risk","Risk Case",IF(X240="Refund","Refund","Normal")))))))</f>
        <v/>
      </c>
      <c r="AB240">
        <f>IF(A240="","",IF(OR(LOWER(J240)="critical",LOWER(TRIM('01_Master_Data'!AI240&amp;""))="yes",LOWER(TRIM('01_Master_Data'!AK240&amp;""))="yes",LOWER(U240)="risk"),"Yes","No"))</f>
        <v/>
      </c>
      <c r="AC240">
        <f>IF(A240="","",IF(LOWER(TRIM('01_Master_Data'!AI240&amp;""))="yes","Yes","No"))</f>
        <v/>
      </c>
      <c r="AD240">
        <f>IF(A240="","",IF(LOWER(TRIM('01_Master_Data'!AK240&amp;""))="yes","Yes","No"))</f>
        <v/>
      </c>
      <c r="AE240">
        <f>IF(A240="","",IF(LOWER(TRIM('01_Master_Data'!AJ240&amp;""))="yes","Yes","No"))</f>
        <v/>
      </c>
      <c r="AF240">
        <f>IF(A240="","",TRIM('01_Master_Data'!AL240&amp;""))</f>
        <v/>
      </c>
      <c r="AG240">
        <f>IF(A240="","",IF(AF240="","—",IF(ISNUMBER(SEARCH("DNP",AF240)),"Unreachable / DNP",IF(ISNUMBER(SEARCH("interest",LOWER(AF240))),"High Interest / Terms",IF(OR(ISNUMBER(SEARCH("eligib",LOWER(AF240))),ISNUMBER(SEARCH("income",LOWER(AF240)))),"Eligibility / Income",IF(OR(ISNUMBER(SEARCH("start",LOWER(AF240))),ISNUMBER(SEARCH("Newer",AF240)),ISNUMBER(SEARCH("Will start",AF240))),"Process Yet to Start",IF(ISNUMBER(SEARCH("sure",LOWER(AF240))),"Undecided",IF(OR(ISNUMBER(SEARCH("reject",LOWER(AF240))),ISNUMBER(SEARCH("SBI",AF240))),"Rejected Elsewhere",IF(ISNUMBER(SEARCH("call",LOWER(AF240))),"Bank Communication",IF(OR(ISNUMBER(SEARCH("father",LOWER(AF240))),ISNUMBER(SEARCH("sister",LOWER(AF240)))),"Family / Dependency","Other"))))))))))</f>
        <v/>
      </c>
      <c r="AH240">
        <f>IF(A240="","",'01_Master_Data'!AC240)</f>
        <v/>
      </c>
      <c r="AI240">
        <f>IF(A240="","",IF(OR(AH240="",NOT(ISNUMBER(AH240))),"",MAX(0,'02_Configuration'!$B$82-AH240)))</f>
        <v/>
      </c>
      <c r="AJ240">
        <f>IF(A240="","",IF(AI240="","Unknown",IF(AI240&lt;=3,"0–3 Days",IF(AI240&lt;=7,"4–7 Days",IF(AI240&lt;=15,"8–15 Days",IF(AI240&lt;=30,"16–30 Days","30+ Days"))))))</f>
        <v/>
      </c>
      <c r="AK240">
        <f>IF(A240="","",IF(LOWER(H240)="yes","Yes","No"))</f>
        <v/>
      </c>
      <c r="AL240">
        <f>IF(A240="","",'01_Master_Data'!T240)</f>
        <v/>
      </c>
      <c r="AM240">
        <f>IF(A240="","",'01_Master_Data'!S240)</f>
        <v/>
      </c>
      <c r="AN240">
        <f>IF(A240="","",'01_Master_Data'!I240)</f>
        <v/>
      </c>
      <c r="AO240">
        <f>IF(A240="","",'01_Master_Data'!M240)</f>
        <v/>
      </c>
      <c r="AP240">
        <f>IF(A240="","",IF(ISNUMBER(SEARCH("Icici",W240&amp;"")),1,0))</f>
        <v/>
      </c>
      <c r="AQ240">
        <f>IF(A240="","",IF(ISNUMBER(SEARCH("Propelld",W240&amp;"")),1,0))</f>
        <v/>
      </c>
      <c r="AR240">
        <f>IF(A240="","",IF(ISNUMBER(SEARCH("GyanDhan",W240&amp;"")),1,0))</f>
        <v/>
      </c>
      <c r="AS240">
        <f>IF(A240="","",IF(ISNUMBER(SEARCH("vidyalakshmi",LOWER(W240&amp;""))),1,0))</f>
        <v/>
      </c>
      <c r="AT240">
        <f>IF(A240="","",IF(ISNUMBER(SEARCH("other bank",LOWER(W240&amp;""))),1,0))</f>
        <v/>
      </c>
      <c r="AU240">
        <f>IF(A240="","",IF(ISNUMBER(SEARCH("sanctioned",LOWER(W240&amp;""))),1,0))</f>
        <v/>
      </c>
      <c r="AV240">
        <f>IF(A240="","",IF(ISNUMBER(SEARCH("Docs Pending",W240&amp;"")),1,0))</f>
        <v/>
      </c>
      <c r="AW240">
        <f>IF(A240="","",IF(OR(X240="Rejected",ISNUMBER(SEARCH("Not eligbile",W240&amp;""))),1,0))</f>
        <v/>
      </c>
    </row>
    <row r="241">
      <c r="A241">
        <f>IF('01_Master_Data'!B241="","",240)</f>
        <v/>
      </c>
      <c r="B241">
        <f>IF('01_Master_Data'!B241="","",IF('01_Master_Data'!C241&lt;&gt;"","MOB|"&amp;TEXT('01_Master_Data'!C241,"0"),IF('01_Master_Data'!D241&lt;&gt;"","PID|"&amp;TRIM('01_Master_Data'!D241&amp;""),"")))</f>
        <v/>
      </c>
      <c r="C241">
        <f>IF('01_Master_Data'!B241="","",'01_Master_Data'!B241)</f>
        <v/>
      </c>
      <c r="D241">
        <f>IF('01_Master_Data'!B241="","",'01_Master_Data'!C241)</f>
        <v/>
      </c>
      <c r="E241">
        <f>IF('01_Master_Data'!B241="","",'01_Master_Data'!D241)</f>
        <v/>
      </c>
      <c r="F241">
        <f>IF('01_Master_Data'!B241="","",'01_Master_Data'!E241)</f>
        <v/>
      </c>
      <c r="G241">
        <f>IF('01_Master_Data'!B241="","",IFERROR(VLOOKUP(TRIM('01_Master_Data'!E241&amp;""),'02_Configuration'!$A$40:$B$44,2,FALSE),UPPER(TRIM('01_Master_Data'!E241&amp;""))))</f>
        <v/>
      </c>
      <c r="H241">
        <f>IF('01_Master_Data'!B241="","",IF('01_Master_Data'!U241="","",TRIM('01_Master_Data'!U241&amp;"")))</f>
        <v/>
      </c>
      <c r="I241">
        <f>IF('01_Master_Data'!B241="","",TRIM('01_Master_Data'!F241&amp;""))</f>
        <v/>
      </c>
      <c r="J241">
        <f>IF('01_Master_Data'!B241="","",TRIM('01_Master_Data'!G241&amp;""))</f>
        <v/>
      </c>
      <c r="K241">
        <f>IF('01_Master_Data'!B241="","",'01_Master_Data'!H241)</f>
        <v/>
      </c>
      <c r="L241">
        <f>IF('01_Master_Data'!B241="","",IF(LOWER(TRIM('01_Master_Data'!V241&amp;""))="yes",1,0))</f>
        <v/>
      </c>
      <c r="M241">
        <f>IF('01_Master_Data'!B241="","",IF(LOWER(TRIM('01_Master_Data'!W241&amp;""))="yes",1,0))</f>
        <v/>
      </c>
      <c r="N241">
        <f>IF('01_Master_Data'!B241="","",IF(LOWER(TRIM('01_Master_Data'!X241&amp;""))="yes",1,0))</f>
        <v/>
      </c>
      <c r="O241">
        <f>IF('01_Master_Data'!B241="","",IF(LOWER(TRIM('01_Master_Data'!Y241&amp;""))="yes",1,0))</f>
        <v/>
      </c>
      <c r="P241">
        <f>IF('01_Master_Data'!B241="","",IF(LOWER(TRIM('01_Master_Data'!Z241&amp;""))="yes",1,0))</f>
        <v/>
      </c>
      <c r="Q241">
        <f>IF(A241="","",L241+M241+N241+O241+P241)</f>
        <v/>
      </c>
      <c r="R241">
        <f>IF(A241="","",IF(Q241&gt;1,"Yes","No"))</f>
        <v/>
      </c>
      <c r="S241">
        <f>IF(A241="","",TEXTJOIN(", ",TRUE,IF(L241=1,"ICICI",""),IF(M241=1,"Propelld",""),IF(N241=1,"Study4Buddy",""),IF(O241=1,"Poonawala Fincorp",""),IF(P241=1,"GyanDhan","")))</f>
        <v/>
      </c>
      <c r="T241">
        <f>IF(A241="","",IF(L241=1,"ICICI",IF(M241=1,"Propelld",IF(P241=1,"GyanDhan",IF(N241=1,"Study4Buddy",IF(O241=1,"Poonawala Fincorp",IF(ISNUMBER(SEARCH("GyanDhan",W241&amp;"")),"GyanDhan",IF(ISNUMBER(SEARCH("Icici",W241&amp;"")),"ICICI",IF(ISNUMBER(SEARCH("Propelld",W241&amp;"")),"Propelld",IF(ISNUMBER(SEARCH("vidyalakshmi",LOWER(W241&amp;"")),"PM Vidyalakshmi","—"))))))))))</f>
        <v/>
      </c>
      <c r="U241">
        <f>IF(A241="","",TRIM('01_Master_Data'!AA241&amp;""))</f>
        <v/>
      </c>
      <c r="V241">
        <f>IF(A241="","",TRIM('01_Master_Data'!AG241&amp;""))</f>
        <v/>
      </c>
      <c r="W241">
        <f>IF(A241="","",TRIM('01_Master_Data'!AH241&amp;""))</f>
        <v/>
      </c>
      <c r="X241">
        <f>IF(A241="","",IF(OR(LOWER(H241)="refund",LOWER(U241)="refund case"),"Refund",IF(OR(LOWER(H241)="dnp",LOWER(U241)="dnp"),"DNP",IF(OR(LOWER(V241)="disbursed",ISNUMBER(SEARCH("Disbursed",W241&amp;""))),"Disbursed",IF(OR(LOWER(V241)="loan proccessed/accepted",ISNUMBER(SEARCH("sanctioned",LOWER(W241&amp;"")))),"Sanctioned",IF(OR(LOWER(V241)="rejected",ISNUMBER(SEARCH("Not eligbile",W241&amp;"")),ISNUMBER(SEARCH("Not eligible",W241&amp;""))),"Rejected",IF(ISNUMBER(SEARCH("Docs Pending",W241&amp;"")),"Documents Pending",IF(AND(LOWER(H241)="yes",LOWER(V241)="ongoing"),"Processing",IF(AND(LOWER(H241)="yes",Q241&gt;0,OR(V241="",LOWER(V241)="not even started")),"Vendor Assigned",IF(AND(LOWER(H241)="yes",LOWER(V241)="not even started"),"Need Loan",IF(LOWER(H241)="yes","Loan Started",IF(LOWER(H241)="not sure","Interested",IF(OR(LOWER(H241)="no",LOWER(V241)="not required"),"Not Required","Unclassified")))))))))))))</f>
        <v/>
      </c>
      <c r="Y241">
        <f>IF(A241="","",IF(OR(X241="Sanctioned",X241="Disbursed",X241="Approved"),"Approved",IF(X241="Rejected","Rejected",IF(OR(X241="Processing",X241="Documents Pending",X241="Vendor Assigned"),"In Progress",IF(X241="Need Loan","Pending Start","—"))))</f>
        <v/>
      </c>
      <c r="Z241">
        <f>IF(A241="","",IF(X241="Disbursed","Disbursed",IF(X241="Sanctioned","Sanctioned - Awaiting Disbursement","Not Disbursed")))</f>
        <v/>
      </c>
      <c r="AA241">
        <f>IF(A241="","",IF(LOWER(TRIM('01_Master_Data'!AI241&amp;""))="yes","Need FLDG",IF(LOWER(TRIM('01_Master_Data'!AK241&amp;""))="yes","Need Vidyalakshmi",IF(LOWER(TRIM('01_Master_Data'!AJ241&amp;""))="yes","Need Review",IF(LOWER(J241)="critical","Critical",IF(LOWER(U241)="risk","Risk Case",IF(X241="Refund","Refund","Normal")))))))</f>
        <v/>
      </c>
      <c r="AB241">
        <f>IF(A241="","",IF(OR(LOWER(J241)="critical",LOWER(TRIM('01_Master_Data'!AI241&amp;""))="yes",LOWER(TRIM('01_Master_Data'!AK241&amp;""))="yes",LOWER(U241)="risk"),"Yes","No"))</f>
        <v/>
      </c>
      <c r="AC241">
        <f>IF(A241="","",IF(LOWER(TRIM('01_Master_Data'!AI241&amp;""))="yes","Yes","No"))</f>
        <v/>
      </c>
      <c r="AD241">
        <f>IF(A241="","",IF(LOWER(TRIM('01_Master_Data'!AK241&amp;""))="yes","Yes","No"))</f>
        <v/>
      </c>
      <c r="AE241">
        <f>IF(A241="","",IF(LOWER(TRIM('01_Master_Data'!AJ241&amp;""))="yes","Yes","No"))</f>
        <v/>
      </c>
      <c r="AF241">
        <f>IF(A241="","",TRIM('01_Master_Data'!AL241&amp;""))</f>
        <v/>
      </c>
      <c r="AG241">
        <f>IF(A241="","",IF(AF241="","—",IF(ISNUMBER(SEARCH("DNP",AF241)),"Unreachable / DNP",IF(ISNUMBER(SEARCH("interest",LOWER(AF241))),"High Interest / Terms",IF(OR(ISNUMBER(SEARCH("eligib",LOWER(AF241))),ISNUMBER(SEARCH("income",LOWER(AF241)))),"Eligibility / Income",IF(OR(ISNUMBER(SEARCH("start",LOWER(AF241))),ISNUMBER(SEARCH("Newer",AF241)),ISNUMBER(SEARCH("Will start",AF241))),"Process Yet to Start",IF(ISNUMBER(SEARCH("sure",LOWER(AF241))),"Undecided",IF(OR(ISNUMBER(SEARCH("reject",LOWER(AF241))),ISNUMBER(SEARCH("SBI",AF241))),"Rejected Elsewhere",IF(ISNUMBER(SEARCH("call",LOWER(AF241))),"Bank Communication",IF(OR(ISNUMBER(SEARCH("father",LOWER(AF241))),ISNUMBER(SEARCH("sister",LOWER(AF241)))),"Family / Dependency","Other"))))))))))</f>
        <v/>
      </c>
      <c r="AH241">
        <f>IF(A241="","",'01_Master_Data'!AC241)</f>
        <v/>
      </c>
      <c r="AI241">
        <f>IF(A241="","",IF(OR(AH241="",NOT(ISNUMBER(AH241))),"",MAX(0,'02_Configuration'!$B$82-AH241)))</f>
        <v/>
      </c>
      <c r="AJ241">
        <f>IF(A241="","",IF(AI241="","Unknown",IF(AI241&lt;=3,"0–3 Days",IF(AI241&lt;=7,"4–7 Days",IF(AI241&lt;=15,"8–15 Days",IF(AI241&lt;=30,"16–30 Days","30+ Days"))))))</f>
        <v/>
      </c>
      <c r="AK241">
        <f>IF(A241="","",IF(LOWER(H241)="yes","Yes","No"))</f>
        <v/>
      </c>
      <c r="AL241">
        <f>IF(A241="","",'01_Master_Data'!T241)</f>
        <v/>
      </c>
      <c r="AM241">
        <f>IF(A241="","",'01_Master_Data'!S241)</f>
        <v/>
      </c>
      <c r="AN241">
        <f>IF(A241="","",'01_Master_Data'!I241)</f>
        <v/>
      </c>
      <c r="AO241">
        <f>IF(A241="","",'01_Master_Data'!M241)</f>
        <v/>
      </c>
      <c r="AP241">
        <f>IF(A241="","",IF(ISNUMBER(SEARCH("Icici",W241&amp;"")),1,0))</f>
        <v/>
      </c>
      <c r="AQ241">
        <f>IF(A241="","",IF(ISNUMBER(SEARCH("Propelld",W241&amp;"")),1,0))</f>
        <v/>
      </c>
      <c r="AR241">
        <f>IF(A241="","",IF(ISNUMBER(SEARCH("GyanDhan",W241&amp;"")),1,0))</f>
        <v/>
      </c>
      <c r="AS241">
        <f>IF(A241="","",IF(ISNUMBER(SEARCH("vidyalakshmi",LOWER(W241&amp;""))),1,0))</f>
        <v/>
      </c>
      <c r="AT241">
        <f>IF(A241="","",IF(ISNUMBER(SEARCH("other bank",LOWER(W241&amp;""))),1,0))</f>
        <v/>
      </c>
      <c r="AU241">
        <f>IF(A241="","",IF(ISNUMBER(SEARCH("sanctioned",LOWER(W241&amp;""))),1,0))</f>
        <v/>
      </c>
      <c r="AV241">
        <f>IF(A241="","",IF(ISNUMBER(SEARCH("Docs Pending",W241&amp;"")),1,0))</f>
        <v/>
      </c>
      <c r="AW241">
        <f>IF(A241="","",IF(OR(X241="Rejected",ISNUMBER(SEARCH("Not eligbile",W241&amp;""))),1,0))</f>
        <v/>
      </c>
    </row>
    <row r="242">
      <c r="A242">
        <f>IF('01_Master_Data'!B242="","",241)</f>
        <v/>
      </c>
      <c r="B242">
        <f>IF('01_Master_Data'!B242="","",IF('01_Master_Data'!C242&lt;&gt;"","MOB|"&amp;TEXT('01_Master_Data'!C242,"0"),IF('01_Master_Data'!D242&lt;&gt;"","PID|"&amp;TRIM('01_Master_Data'!D242&amp;""),"")))</f>
        <v/>
      </c>
      <c r="C242">
        <f>IF('01_Master_Data'!B242="","",'01_Master_Data'!B242)</f>
        <v/>
      </c>
      <c r="D242">
        <f>IF('01_Master_Data'!B242="","",'01_Master_Data'!C242)</f>
        <v/>
      </c>
      <c r="E242">
        <f>IF('01_Master_Data'!B242="","",'01_Master_Data'!D242)</f>
        <v/>
      </c>
      <c r="F242">
        <f>IF('01_Master_Data'!B242="","",'01_Master_Data'!E242)</f>
        <v/>
      </c>
      <c r="G242">
        <f>IF('01_Master_Data'!B242="","",IFERROR(VLOOKUP(TRIM('01_Master_Data'!E242&amp;""),'02_Configuration'!$A$40:$B$44,2,FALSE),UPPER(TRIM('01_Master_Data'!E242&amp;""))))</f>
        <v/>
      </c>
      <c r="H242">
        <f>IF('01_Master_Data'!B242="","",IF('01_Master_Data'!U242="","",TRIM('01_Master_Data'!U242&amp;"")))</f>
        <v/>
      </c>
      <c r="I242">
        <f>IF('01_Master_Data'!B242="","",TRIM('01_Master_Data'!F242&amp;""))</f>
        <v/>
      </c>
      <c r="J242">
        <f>IF('01_Master_Data'!B242="","",TRIM('01_Master_Data'!G242&amp;""))</f>
        <v/>
      </c>
      <c r="K242">
        <f>IF('01_Master_Data'!B242="","",'01_Master_Data'!H242)</f>
        <v/>
      </c>
      <c r="L242">
        <f>IF('01_Master_Data'!B242="","",IF(LOWER(TRIM('01_Master_Data'!V242&amp;""))="yes",1,0))</f>
        <v/>
      </c>
      <c r="M242">
        <f>IF('01_Master_Data'!B242="","",IF(LOWER(TRIM('01_Master_Data'!W242&amp;""))="yes",1,0))</f>
        <v/>
      </c>
      <c r="N242">
        <f>IF('01_Master_Data'!B242="","",IF(LOWER(TRIM('01_Master_Data'!X242&amp;""))="yes",1,0))</f>
        <v/>
      </c>
      <c r="O242">
        <f>IF('01_Master_Data'!B242="","",IF(LOWER(TRIM('01_Master_Data'!Y242&amp;""))="yes",1,0))</f>
        <v/>
      </c>
      <c r="P242">
        <f>IF('01_Master_Data'!B242="","",IF(LOWER(TRIM('01_Master_Data'!Z242&amp;""))="yes",1,0))</f>
        <v/>
      </c>
      <c r="Q242">
        <f>IF(A242="","",L242+M242+N242+O242+P242)</f>
        <v/>
      </c>
      <c r="R242">
        <f>IF(A242="","",IF(Q242&gt;1,"Yes","No"))</f>
        <v/>
      </c>
      <c r="S242">
        <f>IF(A242="","",TEXTJOIN(", ",TRUE,IF(L242=1,"ICICI",""),IF(M242=1,"Propelld",""),IF(N242=1,"Study4Buddy",""),IF(O242=1,"Poonawala Fincorp",""),IF(P242=1,"GyanDhan","")))</f>
        <v/>
      </c>
      <c r="T242">
        <f>IF(A242="","",IF(L242=1,"ICICI",IF(M242=1,"Propelld",IF(P242=1,"GyanDhan",IF(N242=1,"Study4Buddy",IF(O242=1,"Poonawala Fincorp",IF(ISNUMBER(SEARCH("GyanDhan",W242&amp;"")),"GyanDhan",IF(ISNUMBER(SEARCH("Icici",W242&amp;"")),"ICICI",IF(ISNUMBER(SEARCH("Propelld",W242&amp;"")),"Propelld",IF(ISNUMBER(SEARCH("vidyalakshmi",LOWER(W242&amp;"")),"PM Vidyalakshmi","—"))))))))))</f>
        <v/>
      </c>
      <c r="U242">
        <f>IF(A242="","",TRIM('01_Master_Data'!AA242&amp;""))</f>
        <v/>
      </c>
      <c r="V242">
        <f>IF(A242="","",TRIM('01_Master_Data'!AG242&amp;""))</f>
        <v/>
      </c>
      <c r="W242">
        <f>IF(A242="","",TRIM('01_Master_Data'!AH242&amp;""))</f>
        <v/>
      </c>
      <c r="X242">
        <f>IF(A242="","",IF(OR(LOWER(H242)="refund",LOWER(U242)="refund case"),"Refund",IF(OR(LOWER(H242)="dnp",LOWER(U242)="dnp"),"DNP",IF(OR(LOWER(V242)="disbursed",ISNUMBER(SEARCH("Disbursed",W242&amp;""))),"Disbursed",IF(OR(LOWER(V242)="loan proccessed/accepted",ISNUMBER(SEARCH("sanctioned",LOWER(W242&amp;"")))),"Sanctioned",IF(OR(LOWER(V242)="rejected",ISNUMBER(SEARCH("Not eligbile",W242&amp;"")),ISNUMBER(SEARCH("Not eligible",W242&amp;""))),"Rejected",IF(ISNUMBER(SEARCH("Docs Pending",W242&amp;"")),"Documents Pending",IF(AND(LOWER(H242)="yes",LOWER(V242)="ongoing"),"Processing",IF(AND(LOWER(H242)="yes",Q242&gt;0,OR(V242="",LOWER(V242)="not even started")),"Vendor Assigned",IF(AND(LOWER(H242)="yes",LOWER(V242)="not even started"),"Need Loan",IF(LOWER(H242)="yes","Loan Started",IF(LOWER(H242)="not sure","Interested",IF(OR(LOWER(H242)="no",LOWER(V242)="not required"),"Not Required","Unclassified")))))))))))))</f>
        <v/>
      </c>
      <c r="Y242">
        <f>IF(A242="","",IF(OR(X242="Sanctioned",X242="Disbursed",X242="Approved"),"Approved",IF(X242="Rejected","Rejected",IF(OR(X242="Processing",X242="Documents Pending",X242="Vendor Assigned"),"In Progress",IF(X242="Need Loan","Pending Start","—"))))</f>
        <v/>
      </c>
      <c r="Z242">
        <f>IF(A242="","",IF(X242="Disbursed","Disbursed",IF(X242="Sanctioned","Sanctioned - Awaiting Disbursement","Not Disbursed")))</f>
        <v/>
      </c>
      <c r="AA242">
        <f>IF(A242="","",IF(LOWER(TRIM('01_Master_Data'!AI242&amp;""))="yes","Need FLDG",IF(LOWER(TRIM('01_Master_Data'!AK242&amp;""))="yes","Need Vidyalakshmi",IF(LOWER(TRIM('01_Master_Data'!AJ242&amp;""))="yes","Need Review",IF(LOWER(J242)="critical","Critical",IF(LOWER(U242)="risk","Risk Case",IF(X242="Refund","Refund","Normal")))))))</f>
        <v/>
      </c>
      <c r="AB242">
        <f>IF(A242="","",IF(OR(LOWER(J242)="critical",LOWER(TRIM('01_Master_Data'!AI242&amp;""))="yes",LOWER(TRIM('01_Master_Data'!AK242&amp;""))="yes",LOWER(U242)="risk"),"Yes","No"))</f>
        <v/>
      </c>
      <c r="AC242">
        <f>IF(A242="","",IF(LOWER(TRIM('01_Master_Data'!AI242&amp;""))="yes","Yes","No"))</f>
        <v/>
      </c>
      <c r="AD242">
        <f>IF(A242="","",IF(LOWER(TRIM('01_Master_Data'!AK242&amp;""))="yes","Yes","No"))</f>
        <v/>
      </c>
      <c r="AE242">
        <f>IF(A242="","",IF(LOWER(TRIM('01_Master_Data'!AJ242&amp;""))="yes","Yes","No"))</f>
        <v/>
      </c>
      <c r="AF242">
        <f>IF(A242="","",TRIM('01_Master_Data'!AL242&amp;""))</f>
        <v/>
      </c>
      <c r="AG242">
        <f>IF(A242="","",IF(AF242="","—",IF(ISNUMBER(SEARCH("DNP",AF242)),"Unreachable / DNP",IF(ISNUMBER(SEARCH("interest",LOWER(AF242))),"High Interest / Terms",IF(OR(ISNUMBER(SEARCH("eligib",LOWER(AF242))),ISNUMBER(SEARCH("income",LOWER(AF242)))),"Eligibility / Income",IF(OR(ISNUMBER(SEARCH("start",LOWER(AF242))),ISNUMBER(SEARCH("Newer",AF242)),ISNUMBER(SEARCH("Will start",AF242))),"Process Yet to Start",IF(ISNUMBER(SEARCH("sure",LOWER(AF242))),"Undecided",IF(OR(ISNUMBER(SEARCH("reject",LOWER(AF242))),ISNUMBER(SEARCH("SBI",AF242))),"Rejected Elsewhere",IF(ISNUMBER(SEARCH("call",LOWER(AF242))),"Bank Communication",IF(OR(ISNUMBER(SEARCH("father",LOWER(AF242))),ISNUMBER(SEARCH("sister",LOWER(AF242)))),"Family / Dependency","Other"))))))))))</f>
        <v/>
      </c>
      <c r="AH242">
        <f>IF(A242="","",'01_Master_Data'!AC242)</f>
        <v/>
      </c>
      <c r="AI242">
        <f>IF(A242="","",IF(OR(AH242="",NOT(ISNUMBER(AH242))),"",MAX(0,'02_Configuration'!$B$82-AH242)))</f>
        <v/>
      </c>
      <c r="AJ242">
        <f>IF(A242="","",IF(AI242="","Unknown",IF(AI242&lt;=3,"0–3 Days",IF(AI242&lt;=7,"4–7 Days",IF(AI242&lt;=15,"8–15 Days",IF(AI242&lt;=30,"16–30 Days","30+ Days"))))))</f>
        <v/>
      </c>
      <c r="AK242">
        <f>IF(A242="","",IF(LOWER(H242)="yes","Yes","No"))</f>
        <v/>
      </c>
      <c r="AL242">
        <f>IF(A242="","",'01_Master_Data'!T242)</f>
        <v/>
      </c>
      <c r="AM242">
        <f>IF(A242="","",'01_Master_Data'!S242)</f>
        <v/>
      </c>
      <c r="AN242">
        <f>IF(A242="","",'01_Master_Data'!I242)</f>
        <v/>
      </c>
      <c r="AO242">
        <f>IF(A242="","",'01_Master_Data'!M242)</f>
        <v/>
      </c>
      <c r="AP242">
        <f>IF(A242="","",IF(ISNUMBER(SEARCH("Icici",W242&amp;"")),1,0))</f>
        <v/>
      </c>
      <c r="AQ242">
        <f>IF(A242="","",IF(ISNUMBER(SEARCH("Propelld",W242&amp;"")),1,0))</f>
        <v/>
      </c>
      <c r="AR242">
        <f>IF(A242="","",IF(ISNUMBER(SEARCH("GyanDhan",W242&amp;"")),1,0))</f>
        <v/>
      </c>
      <c r="AS242">
        <f>IF(A242="","",IF(ISNUMBER(SEARCH("vidyalakshmi",LOWER(W242&amp;""))),1,0))</f>
        <v/>
      </c>
      <c r="AT242">
        <f>IF(A242="","",IF(ISNUMBER(SEARCH("other bank",LOWER(W242&amp;""))),1,0))</f>
        <v/>
      </c>
      <c r="AU242">
        <f>IF(A242="","",IF(ISNUMBER(SEARCH("sanctioned",LOWER(W242&amp;""))),1,0))</f>
        <v/>
      </c>
      <c r="AV242">
        <f>IF(A242="","",IF(ISNUMBER(SEARCH("Docs Pending",W242&amp;"")),1,0))</f>
        <v/>
      </c>
      <c r="AW242">
        <f>IF(A242="","",IF(OR(X242="Rejected",ISNUMBER(SEARCH("Not eligbile",W242&amp;""))),1,0))</f>
        <v/>
      </c>
    </row>
    <row r="243">
      <c r="A243">
        <f>IF('01_Master_Data'!B243="","",242)</f>
        <v/>
      </c>
      <c r="B243">
        <f>IF('01_Master_Data'!B243="","",IF('01_Master_Data'!C243&lt;&gt;"","MOB|"&amp;TEXT('01_Master_Data'!C243,"0"),IF('01_Master_Data'!D243&lt;&gt;"","PID|"&amp;TRIM('01_Master_Data'!D243&amp;""),"")))</f>
        <v/>
      </c>
      <c r="C243">
        <f>IF('01_Master_Data'!B243="","",'01_Master_Data'!B243)</f>
        <v/>
      </c>
      <c r="D243">
        <f>IF('01_Master_Data'!B243="","",'01_Master_Data'!C243)</f>
        <v/>
      </c>
      <c r="E243">
        <f>IF('01_Master_Data'!B243="","",'01_Master_Data'!D243)</f>
        <v/>
      </c>
      <c r="F243">
        <f>IF('01_Master_Data'!B243="","",'01_Master_Data'!E243)</f>
        <v/>
      </c>
      <c r="G243">
        <f>IF('01_Master_Data'!B243="","",IFERROR(VLOOKUP(TRIM('01_Master_Data'!E243&amp;""),'02_Configuration'!$A$40:$B$44,2,FALSE),UPPER(TRIM('01_Master_Data'!E243&amp;""))))</f>
        <v/>
      </c>
      <c r="H243">
        <f>IF('01_Master_Data'!B243="","",IF('01_Master_Data'!U243="","",TRIM('01_Master_Data'!U243&amp;"")))</f>
        <v/>
      </c>
      <c r="I243">
        <f>IF('01_Master_Data'!B243="","",TRIM('01_Master_Data'!F243&amp;""))</f>
        <v/>
      </c>
      <c r="J243">
        <f>IF('01_Master_Data'!B243="","",TRIM('01_Master_Data'!G243&amp;""))</f>
        <v/>
      </c>
      <c r="K243">
        <f>IF('01_Master_Data'!B243="","",'01_Master_Data'!H243)</f>
        <v/>
      </c>
      <c r="L243">
        <f>IF('01_Master_Data'!B243="","",IF(LOWER(TRIM('01_Master_Data'!V243&amp;""))="yes",1,0))</f>
        <v/>
      </c>
      <c r="M243">
        <f>IF('01_Master_Data'!B243="","",IF(LOWER(TRIM('01_Master_Data'!W243&amp;""))="yes",1,0))</f>
        <v/>
      </c>
      <c r="N243">
        <f>IF('01_Master_Data'!B243="","",IF(LOWER(TRIM('01_Master_Data'!X243&amp;""))="yes",1,0))</f>
        <v/>
      </c>
      <c r="O243">
        <f>IF('01_Master_Data'!B243="","",IF(LOWER(TRIM('01_Master_Data'!Y243&amp;""))="yes",1,0))</f>
        <v/>
      </c>
      <c r="P243">
        <f>IF('01_Master_Data'!B243="","",IF(LOWER(TRIM('01_Master_Data'!Z243&amp;""))="yes",1,0))</f>
        <v/>
      </c>
      <c r="Q243">
        <f>IF(A243="","",L243+M243+N243+O243+P243)</f>
        <v/>
      </c>
      <c r="R243">
        <f>IF(A243="","",IF(Q243&gt;1,"Yes","No"))</f>
        <v/>
      </c>
      <c r="S243">
        <f>IF(A243="","",TEXTJOIN(", ",TRUE,IF(L243=1,"ICICI",""),IF(M243=1,"Propelld",""),IF(N243=1,"Study4Buddy",""),IF(O243=1,"Poonawala Fincorp",""),IF(P243=1,"GyanDhan","")))</f>
        <v/>
      </c>
      <c r="T243">
        <f>IF(A243="","",IF(L243=1,"ICICI",IF(M243=1,"Propelld",IF(P243=1,"GyanDhan",IF(N243=1,"Study4Buddy",IF(O243=1,"Poonawala Fincorp",IF(ISNUMBER(SEARCH("GyanDhan",W243&amp;"")),"GyanDhan",IF(ISNUMBER(SEARCH("Icici",W243&amp;"")),"ICICI",IF(ISNUMBER(SEARCH("Propelld",W243&amp;"")),"Propelld",IF(ISNUMBER(SEARCH("vidyalakshmi",LOWER(W243&amp;"")),"PM Vidyalakshmi","—"))))))))))</f>
        <v/>
      </c>
      <c r="U243">
        <f>IF(A243="","",TRIM('01_Master_Data'!AA243&amp;""))</f>
        <v/>
      </c>
      <c r="V243">
        <f>IF(A243="","",TRIM('01_Master_Data'!AG243&amp;""))</f>
        <v/>
      </c>
      <c r="W243">
        <f>IF(A243="","",TRIM('01_Master_Data'!AH243&amp;""))</f>
        <v/>
      </c>
      <c r="X243">
        <f>IF(A243="","",IF(OR(LOWER(H243)="refund",LOWER(U243)="refund case"),"Refund",IF(OR(LOWER(H243)="dnp",LOWER(U243)="dnp"),"DNP",IF(OR(LOWER(V243)="disbursed",ISNUMBER(SEARCH("Disbursed",W243&amp;""))),"Disbursed",IF(OR(LOWER(V243)="loan proccessed/accepted",ISNUMBER(SEARCH("sanctioned",LOWER(W243&amp;"")))),"Sanctioned",IF(OR(LOWER(V243)="rejected",ISNUMBER(SEARCH("Not eligbile",W243&amp;"")),ISNUMBER(SEARCH("Not eligible",W243&amp;""))),"Rejected",IF(ISNUMBER(SEARCH("Docs Pending",W243&amp;"")),"Documents Pending",IF(AND(LOWER(H243)="yes",LOWER(V243)="ongoing"),"Processing",IF(AND(LOWER(H243)="yes",Q243&gt;0,OR(V243="",LOWER(V243)="not even started")),"Vendor Assigned",IF(AND(LOWER(H243)="yes",LOWER(V243)="not even started"),"Need Loan",IF(LOWER(H243)="yes","Loan Started",IF(LOWER(H243)="not sure","Interested",IF(OR(LOWER(H243)="no",LOWER(V243)="not required"),"Not Required","Unclassified")))))))))))))</f>
        <v/>
      </c>
      <c r="Y243">
        <f>IF(A243="","",IF(OR(X243="Sanctioned",X243="Disbursed",X243="Approved"),"Approved",IF(X243="Rejected","Rejected",IF(OR(X243="Processing",X243="Documents Pending",X243="Vendor Assigned"),"In Progress",IF(X243="Need Loan","Pending Start","—"))))</f>
        <v/>
      </c>
      <c r="Z243">
        <f>IF(A243="","",IF(X243="Disbursed","Disbursed",IF(X243="Sanctioned","Sanctioned - Awaiting Disbursement","Not Disbursed")))</f>
        <v/>
      </c>
      <c r="AA243">
        <f>IF(A243="","",IF(LOWER(TRIM('01_Master_Data'!AI243&amp;""))="yes","Need FLDG",IF(LOWER(TRIM('01_Master_Data'!AK243&amp;""))="yes","Need Vidyalakshmi",IF(LOWER(TRIM('01_Master_Data'!AJ243&amp;""))="yes","Need Review",IF(LOWER(J243)="critical","Critical",IF(LOWER(U243)="risk","Risk Case",IF(X243="Refund","Refund","Normal")))))))</f>
        <v/>
      </c>
      <c r="AB243">
        <f>IF(A243="","",IF(OR(LOWER(J243)="critical",LOWER(TRIM('01_Master_Data'!AI243&amp;""))="yes",LOWER(TRIM('01_Master_Data'!AK243&amp;""))="yes",LOWER(U243)="risk"),"Yes","No"))</f>
        <v/>
      </c>
      <c r="AC243">
        <f>IF(A243="","",IF(LOWER(TRIM('01_Master_Data'!AI243&amp;""))="yes","Yes","No"))</f>
        <v/>
      </c>
      <c r="AD243">
        <f>IF(A243="","",IF(LOWER(TRIM('01_Master_Data'!AK243&amp;""))="yes","Yes","No"))</f>
        <v/>
      </c>
      <c r="AE243">
        <f>IF(A243="","",IF(LOWER(TRIM('01_Master_Data'!AJ243&amp;""))="yes","Yes","No"))</f>
        <v/>
      </c>
      <c r="AF243">
        <f>IF(A243="","",TRIM('01_Master_Data'!AL243&amp;""))</f>
        <v/>
      </c>
      <c r="AG243">
        <f>IF(A243="","",IF(AF243="","—",IF(ISNUMBER(SEARCH("DNP",AF243)),"Unreachable / DNP",IF(ISNUMBER(SEARCH("interest",LOWER(AF243))),"High Interest / Terms",IF(OR(ISNUMBER(SEARCH("eligib",LOWER(AF243))),ISNUMBER(SEARCH("income",LOWER(AF243)))),"Eligibility / Income",IF(OR(ISNUMBER(SEARCH("start",LOWER(AF243))),ISNUMBER(SEARCH("Newer",AF243)),ISNUMBER(SEARCH("Will start",AF243))),"Process Yet to Start",IF(ISNUMBER(SEARCH("sure",LOWER(AF243))),"Undecided",IF(OR(ISNUMBER(SEARCH("reject",LOWER(AF243))),ISNUMBER(SEARCH("SBI",AF243))),"Rejected Elsewhere",IF(ISNUMBER(SEARCH("call",LOWER(AF243))),"Bank Communication",IF(OR(ISNUMBER(SEARCH("father",LOWER(AF243))),ISNUMBER(SEARCH("sister",LOWER(AF243)))),"Family / Dependency","Other"))))))))))</f>
        <v/>
      </c>
      <c r="AH243">
        <f>IF(A243="","",'01_Master_Data'!AC243)</f>
        <v/>
      </c>
      <c r="AI243">
        <f>IF(A243="","",IF(OR(AH243="",NOT(ISNUMBER(AH243))),"",MAX(0,'02_Configuration'!$B$82-AH243)))</f>
        <v/>
      </c>
      <c r="AJ243">
        <f>IF(A243="","",IF(AI243="","Unknown",IF(AI243&lt;=3,"0–3 Days",IF(AI243&lt;=7,"4–7 Days",IF(AI243&lt;=15,"8–15 Days",IF(AI243&lt;=30,"16–30 Days","30+ Days"))))))</f>
        <v/>
      </c>
      <c r="AK243">
        <f>IF(A243="","",IF(LOWER(H243)="yes","Yes","No"))</f>
        <v/>
      </c>
      <c r="AL243">
        <f>IF(A243="","",'01_Master_Data'!T243)</f>
        <v/>
      </c>
      <c r="AM243">
        <f>IF(A243="","",'01_Master_Data'!S243)</f>
        <v/>
      </c>
      <c r="AN243">
        <f>IF(A243="","",'01_Master_Data'!I243)</f>
        <v/>
      </c>
      <c r="AO243">
        <f>IF(A243="","",'01_Master_Data'!M243)</f>
        <v/>
      </c>
      <c r="AP243">
        <f>IF(A243="","",IF(ISNUMBER(SEARCH("Icici",W243&amp;"")),1,0))</f>
        <v/>
      </c>
      <c r="AQ243">
        <f>IF(A243="","",IF(ISNUMBER(SEARCH("Propelld",W243&amp;"")),1,0))</f>
        <v/>
      </c>
      <c r="AR243">
        <f>IF(A243="","",IF(ISNUMBER(SEARCH("GyanDhan",W243&amp;"")),1,0))</f>
        <v/>
      </c>
      <c r="AS243">
        <f>IF(A243="","",IF(ISNUMBER(SEARCH("vidyalakshmi",LOWER(W243&amp;""))),1,0))</f>
        <v/>
      </c>
      <c r="AT243">
        <f>IF(A243="","",IF(ISNUMBER(SEARCH("other bank",LOWER(W243&amp;""))),1,0))</f>
        <v/>
      </c>
      <c r="AU243">
        <f>IF(A243="","",IF(ISNUMBER(SEARCH("sanctioned",LOWER(W243&amp;""))),1,0))</f>
        <v/>
      </c>
      <c r="AV243">
        <f>IF(A243="","",IF(ISNUMBER(SEARCH("Docs Pending",W243&amp;"")),1,0))</f>
        <v/>
      </c>
      <c r="AW243">
        <f>IF(A243="","",IF(OR(X243="Rejected",ISNUMBER(SEARCH("Not eligbile",W243&amp;""))),1,0))</f>
        <v/>
      </c>
    </row>
    <row r="244">
      <c r="A244">
        <f>IF('01_Master_Data'!B244="","",243)</f>
        <v/>
      </c>
      <c r="B244">
        <f>IF('01_Master_Data'!B244="","",IF('01_Master_Data'!C244&lt;&gt;"","MOB|"&amp;TEXT('01_Master_Data'!C244,"0"),IF('01_Master_Data'!D244&lt;&gt;"","PID|"&amp;TRIM('01_Master_Data'!D244&amp;""),"")))</f>
        <v/>
      </c>
      <c r="C244">
        <f>IF('01_Master_Data'!B244="","",'01_Master_Data'!B244)</f>
        <v/>
      </c>
      <c r="D244">
        <f>IF('01_Master_Data'!B244="","",'01_Master_Data'!C244)</f>
        <v/>
      </c>
      <c r="E244">
        <f>IF('01_Master_Data'!B244="","",'01_Master_Data'!D244)</f>
        <v/>
      </c>
      <c r="F244">
        <f>IF('01_Master_Data'!B244="","",'01_Master_Data'!E244)</f>
        <v/>
      </c>
      <c r="G244">
        <f>IF('01_Master_Data'!B244="","",IFERROR(VLOOKUP(TRIM('01_Master_Data'!E244&amp;""),'02_Configuration'!$A$40:$B$44,2,FALSE),UPPER(TRIM('01_Master_Data'!E244&amp;""))))</f>
        <v/>
      </c>
      <c r="H244">
        <f>IF('01_Master_Data'!B244="","",IF('01_Master_Data'!U244="","",TRIM('01_Master_Data'!U244&amp;"")))</f>
        <v/>
      </c>
      <c r="I244">
        <f>IF('01_Master_Data'!B244="","",TRIM('01_Master_Data'!F244&amp;""))</f>
        <v/>
      </c>
      <c r="J244">
        <f>IF('01_Master_Data'!B244="","",TRIM('01_Master_Data'!G244&amp;""))</f>
        <v/>
      </c>
      <c r="K244">
        <f>IF('01_Master_Data'!B244="","",'01_Master_Data'!H244)</f>
        <v/>
      </c>
      <c r="L244">
        <f>IF('01_Master_Data'!B244="","",IF(LOWER(TRIM('01_Master_Data'!V244&amp;""))="yes",1,0))</f>
        <v/>
      </c>
      <c r="M244">
        <f>IF('01_Master_Data'!B244="","",IF(LOWER(TRIM('01_Master_Data'!W244&amp;""))="yes",1,0))</f>
        <v/>
      </c>
      <c r="N244">
        <f>IF('01_Master_Data'!B244="","",IF(LOWER(TRIM('01_Master_Data'!X244&amp;""))="yes",1,0))</f>
        <v/>
      </c>
      <c r="O244">
        <f>IF('01_Master_Data'!B244="","",IF(LOWER(TRIM('01_Master_Data'!Y244&amp;""))="yes",1,0))</f>
        <v/>
      </c>
      <c r="P244">
        <f>IF('01_Master_Data'!B244="","",IF(LOWER(TRIM('01_Master_Data'!Z244&amp;""))="yes",1,0))</f>
        <v/>
      </c>
      <c r="Q244">
        <f>IF(A244="","",L244+M244+N244+O244+P244)</f>
        <v/>
      </c>
      <c r="R244">
        <f>IF(A244="","",IF(Q244&gt;1,"Yes","No"))</f>
        <v/>
      </c>
      <c r="S244">
        <f>IF(A244="","",TEXTJOIN(", ",TRUE,IF(L244=1,"ICICI",""),IF(M244=1,"Propelld",""),IF(N244=1,"Study4Buddy",""),IF(O244=1,"Poonawala Fincorp",""),IF(P244=1,"GyanDhan","")))</f>
        <v/>
      </c>
      <c r="T244">
        <f>IF(A244="","",IF(L244=1,"ICICI",IF(M244=1,"Propelld",IF(P244=1,"GyanDhan",IF(N244=1,"Study4Buddy",IF(O244=1,"Poonawala Fincorp",IF(ISNUMBER(SEARCH("GyanDhan",W244&amp;"")),"GyanDhan",IF(ISNUMBER(SEARCH("Icici",W244&amp;"")),"ICICI",IF(ISNUMBER(SEARCH("Propelld",W244&amp;"")),"Propelld",IF(ISNUMBER(SEARCH("vidyalakshmi",LOWER(W244&amp;"")),"PM Vidyalakshmi","—"))))))))))</f>
        <v/>
      </c>
      <c r="U244">
        <f>IF(A244="","",TRIM('01_Master_Data'!AA244&amp;""))</f>
        <v/>
      </c>
      <c r="V244">
        <f>IF(A244="","",TRIM('01_Master_Data'!AG244&amp;""))</f>
        <v/>
      </c>
      <c r="W244">
        <f>IF(A244="","",TRIM('01_Master_Data'!AH244&amp;""))</f>
        <v/>
      </c>
      <c r="X244">
        <f>IF(A244="","",IF(OR(LOWER(H244)="refund",LOWER(U244)="refund case"),"Refund",IF(OR(LOWER(H244)="dnp",LOWER(U244)="dnp"),"DNP",IF(OR(LOWER(V244)="disbursed",ISNUMBER(SEARCH("Disbursed",W244&amp;""))),"Disbursed",IF(OR(LOWER(V244)="loan proccessed/accepted",ISNUMBER(SEARCH("sanctioned",LOWER(W244&amp;"")))),"Sanctioned",IF(OR(LOWER(V244)="rejected",ISNUMBER(SEARCH("Not eligbile",W244&amp;"")),ISNUMBER(SEARCH("Not eligible",W244&amp;""))),"Rejected",IF(ISNUMBER(SEARCH("Docs Pending",W244&amp;"")),"Documents Pending",IF(AND(LOWER(H244)="yes",LOWER(V244)="ongoing"),"Processing",IF(AND(LOWER(H244)="yes",Q244&gt;0,OR(V244="",LOWER(V244)="not even started")),"Vendor Assigned",IF(AND(LOWER(H244)="yes",LOWER(V244)="not even started"),"Need Loan",IF(LOWER(H244)="yes","Loan Started",IF(LOWER(H244)="not sure","Interested",IF(OR(LOWER(H244)="no",LOWER(V244)="not required"),"Not Required","Unclassified")))))))))))))</f>
        <v/>
      </c>
      <c r="Y244">
        <f>IF(A244="","",IF(OR(X244="Sanctioned",X244="Disbursed",X244="Approved"),"Approved",IF(X244="Rejected","Rejected",IF(OR(X244="Processing",X244="Documents Pending",X244="Vendor Assigned"),"In Progress",IF(X244="Need Loan","Pending Start","—"))))</f>
        <v/>
      </c>
      <c r="Z244">
        <f>IF(A244="","",IF(X244="Disbursed","Disbursed",IF(X244="Sanctioned","Sanctioned - Awaiting Disbursement","Not Disbursed")))</f>
        <v/>
      </c>
      <c r="AA244">
        <f>IF(A244="","",IF(LOWER(TRIM('01_Master_Data'!AI244&amp;""))="yes","Need FLDG",IF(LOWER(TRIM('01_Master_Data'!AK244&amp;""))="yes","Need Vidyalakshmi",IF(LOWER(TRIM('01_Master_Data'!AJ244&amp;""))="yes","Need Review",IF(LOWER(J244)="critical","Critical",IF(LOWER(U244)="risk","Risk Case",IF(X244="Refund","Refund","Normal")))))))</f>
        <v/>
      </c>
      <c r="AB244">
        <f>IF(A244="","",IF(OR(LOWER(J244)="critical",LOWER(TRIM('01_Master_Data'!AI244&amp;""))="yes",LOWER(TRIM('01_Master_Data'!AK244&amp;""))="yes",LOWER(U244)="risk"),"Yes","No"))</f>
        <v/>
      </c>
      <c r="AC244">
        <f>IF(A244="","",IF(LOWER(TRIM('01_Master_Data'!AI244&amp;""))="yes","Yes","No"))</f>
        <v/>
      </c>
      <c r="AD244">
        <f>IF(A244="","",IF(LOWER(TRIM('01_Master_Data'!AK244&amp;""))="yes","Yes","No"))</f>
        <v/>
      </c>
      <c r="AE244">
        <f>IF(A244="","",IF(LOWER(TRIM('01_Master_Data'!AJ244&amp;""))="yes","Yes","No"))</f>
        <v/>
      </c>
      <c r="AF244">
        <f>IF(A244="","",TRIM('01_Master_Data'!AL244&amp;""))</f>
        <v/>
      </c>
      <c r="AG244">
        <f>IF(A244="","",IF(AF244="","—",IF(ISNUMBER(SEARCH("DNP",AF244)),"Unreachable / DNP",IF(ISNUMBER(SEARCH("interest",LOWER(AF244))),"High Interest / Terms",IF(OR(ISNUMBER(SEARCH("eligib",LOWER(AF244))),ISNUMBER(SEARCH("income",LOWER(AF244)))),"Eligibility / Income",IF(OR(ISNUMBER(SEARCH("start",LOWER(AF244))),ISNUMBER(SEARCH("Newer",AF244)),ISNUMBER(SEARCH("Will start",AF244))),"Process Yet to Start",IF(ISNUMBER(SEARCH("sure",LOWER(AF244))),"Undecided",IF(OR(ISNUMBER(SEARCH("reject",LOWER(AF244))),ISNUMBER(SEARCH("SBI",AF244))),"Rejected Elsewhere",IF(ISNUMBER(SEARCH("call",LOWER(AF244))),"Bank Communication",IF(OR(ISNUMBER(SEARCH("father",LOWER(AF244))),ISNUMBER(SEARCH("sister",LOWER(AF244)))),"Family / Dependency","Other"))))))))))</f>
        <v/>
      </c>
      <c r="AH244">
        <f>IF(A244="","",'01_Master_Data'!AC244)</f>
        <v/>
      </c>
      <c r="AI244">
        <f>IF(A244="","",IF(OR(AH244="",NOT(ISNUMBER(AH244))),"",MAX(0,'02_Configuration'!$B$82-AH244)))</f>
        <v/>
      </c>
      <c r="AJ244">
        <f>IF(A244="","",IF(AI244="","Unknown",IF(AI244&lt;=3,"0–3 Days",IF(AI244&lt;=7,"4–7 Days",IF(AI244&lt;=15,"8–15 Days",IF(AI244&lt;=30,"16–30 Days","30+ Days"))))))</f>
        <v/>
      </c>
      <c r="AK244">
        <f>IF(A244="","",IF(LOWER(H244)="yes","Yes","No"))</f>
        <v/>
      </c>
      <c r="AL244">
        <f>IF(A244="","",'01_Master_Data'!T244)</f>
        <v/>
      </c>
      <c r="AM244">
        <f>IF(A244="","",'01_Master_Data'!S244)</f>
        <v/>
      </c>
      <c r="AN244">
        <f>IF(A244="","",'01_Master_Data'!I244)</f>
        <v/>
      </c>
      <c r="AO244">
        <f>IF(A244="","",'01_Master_Data'!M244)</f>
        <v/>
      </c>
      <c r="AP244">
        <f>IF(A244="","",IF(ISNUMBER(SEARCH("Icici",W244&amp;"")),1,0))</f>
        <v/>
      </c>
      <c r="AQ244">
        <f>IF(A244="","",IF(ISNUMBER(SEARCH("Propelld",W244&amp;"")),1,0))</f>
        <v/>
      </c>
      <c r="AR244">
        <f>IF(A244="","",IF(ISNUMBER(SEARCH("GyanDhan",W244&amp;"")),1,0))</f>
        <v/>
      </c>
      <c r="AS244">
        <f>IF(A244="","",IF(ISNUMBER(SEARCH("vidyalakshmi",LOWER(W244&amp;""))),1,0))</f>
        <v/>
      </c>
      <c r="AT244">
        <f>IF(A244="","",IF(ISNUMBER(SEARCH("other bank",LOWER(W244&amp;""))),1,0))</f>
        <v/>
      </c>
      <c r="AU244">
        <f>IF(A244="","",IF(ISNUMBER(SEARCH("sanctioned",LOWER(W244&amp;""))),1,0))</f>
        <v/>
      </c>
      <c r="AV244">
        <f>IF(A244="","",IF(ISNUMBER(SEARCH("Docs Pending",W244&amp;"")),1,0))</f>
        <v/>
      </c>
      <c r="AW244">
        <f>IF(A244="","",IF(OR(X244="Rejected",ISNUMBER(SEARCH("Not eligbile",W244&amp;""))),1,0))</f>
        <v/>
      </c>
    </row>
    <row r="245">
      <c r="A245">
        <f>IF('01_Master_Data'!B245="","",244)</f>
        <v/>
      </c>
      <c r="B245">
        <f>IF('01_Master_Data'!B245="","",IF('01_Master_Data'!C245&lt;&gt;"","MOB|"&amp;TEXT('01_Master_Data'!C245,"0"),IF('01_Master_Data'!D245&lt;&gt;"","PID|"&amp;TRIM('01_Master_Data'!D245&amp;""),"")))</f>
        <v/>
      </c>
      <c r="C245">
        <f>IF('01_Master_Data'!B245="","",'01_Master_Data'!B245)</f>
        <v/>
      </c>
      <c r="D245">
        <f>IF('01_Master_Data'!B245="","",'01_Master_Data'!C245)</f>
        <v/>
      </c>
      <c r="E245">
        <f>IF('01_Master_Data'!B245="","",'01_Master_Data'!D245)</f>
        <v/>
      </c>
      <c r="F245">
        <f>IF('01_Master_Data'!B245="","",'01_Master_Data'!E245)</f>
        <v/>
      </c>
      <c r="G245">
        <f>IF('01_Master_Data'!B245="","",IFERROR(VLOOKUP(TRIM('01_Master_Data'!E245&amp;""),'02_Configuration'!$A$40:$B$44,2,FALSE),UPPER(TRIM('01_Master_Data'!E245&amp;""))))</f>
        <v/>
      </c>
      <c r="H245">
        <f>IF('01_Master_Data'!B245="","",IF('01_Master_Data'!U245="","",TRIM('01_Master_Data'!U245&amp;"")))</f>
        <v/>
      </c>
      <c r="I245">
        <f>IF('01_Master_Data'!B245="","",TRIM('01_Master_Data'!F245&amp;""))</f>
        <v/>
      </c>
      <c r="J245">
        <f>IF('01_Master_Data'!B245="","",TRIM('01_Master_Data'!G245&amp;""))</f>
        <v/>
      </c>
      <c r="K245">
        <f>IF('01_Master_Data'!B245="","",'01_Master_Data'!H245)</f>
        <v/>
      </c>
      <c r="L245">
        <f>IF('01_Master_Data'!B245="","",IF(LOWER(TRIM('01_Master_Data'!V245&amp;""))="yes",1,0))</f>
        <v/>
      </c>
      <c r="M245">
        <f>IF('01_Master_Data'!B245="","",IF(LOWER(TRIM('01_Master_Data'!W245&amp;""))="yes",1,0))</f>
        <v/>
      </c>
      <c r="N245">
        <f>IF('01_Master_Data'!B245="","",IF(LOWER(TRIM('01_Master_Data'!X245&amp;""))="yes",1,0))</f>
        <v/>
      </c>
      <c r="O245">
        <f>IF('01_Master_Data'!B245="","",IF(LOWER(TRIM('01_Master_Data'!Y245&amp;""))="yes",1,0))</f>
        <v/>
      </c>
      <c r="P245">
        <f>IF('01_Master_Data'!B245="","",IF(LOWER(TRIM('01_Master_Data'!Z245&amp;""))="yes",1,0))</f>
        <v/>
      </c>
      <c r="Q245">
        <f>IF(A245="","",L245+M245+N245+O245+P245)</f>
        <v/>
      </c>
      <c r="R245">
        <f>IF(A245="","",IF(Q245&gt;1,"Yes","No"))</f>
        <v/>
      </c>
      <c r="S245">
        <f>IF(A245="","",TEXTJOIN(", ",TRUE,IF(L245=1,"ICICI",""),IF(M245=1,"Propelld",""),IF(N245=1,"Study4Buddy",""),IF(O245=1,"Poonawala Fincorp",""),IF(P245=1,"GyanDhan","")))</f>
        <v/>
      </c>
      <c r="T245">
        <f>IF(A245="","",IF(L245=1,"ICICI",IF(M245=1,"Propelld",IF(P245=1,"GyanDhan",IF(N245=1,"Study4Buddy",IF(O245=1,"Poonawala Fincorp",IF(ISNUMBER(SEARCH("GyanDhan",W245&amp;"")),"GyanDhan",IF(ISNUMBER(SEARCH("Icici",W245&amp;"")),"ICICI",IF(ISNUMBER(SEARCH("Propelld",W245&amp;"")),"Propelld",IF(ISNUMBER(SEARCH("vidyalakshmi",LOWER(W245&amp;"")),"PM Vidyalakshmi","—"))))))))))</f>
        <v/>
      </c>
      <c r="U245">
        <f>IF(A245="","",TRIM('01_Master_Data'!AA245&amp;""))</f>
        <v/>
      </c>
      <c r="V245">
        <f>IF(A245="","",TRIM('01_Master_Data'!AG245&amp;""))</f>
        <v/>
      </c>
      <c r="W245">
        <f>IF(A245="","",TRIM('01_Master_Data'!AH245&amp;""))</f>
        <v/>
      </c>
      <c r="X245">
        <f>IF(A245="","",IF(OR(LOWER(H245)="refund",LOWER(U245)="refund case"),"Refund",IF(OR(LOWER(H245)="dnp",LOWER(U245)="dnp"),"DNP",IF(OR(LOWER(V245)="disbursed",ISNUMBER(SEARCH("Disbursed",W245&amp;""))),"Disbursed",IF(OR(LOWER(V245)="loan proccessed/accepted",ISNUMBER(SEARCH("sanctioned",LOWER(W245&amp;"")))),"Sanctioned",IF(OR(LOWER(V245)="rejected",ISNUMBER(SEARCH("Not eligbile",W245&amp;"")),ISNUMBER(SEARCH("Not eligible",W245&amp;""))),"Rejected",IF(ISNUMBER(SEARCH("Docs Pending",W245&amp;"")),"Documents Pending",IF(AND(LOWER(H245)="yes",LOWER(V245)="ongoing"),"Processing",IF(AND(LOWER(H245)="yes",Q245&gt;0,OR(V245="",LOWER(V245)="not even started")),"Vendor Assigned",IF(AND(LOWER(H245)="yes",LOWER(V245)="not even started"),"Need Loan",IF(LOWER(H245)="yes","Loan Started",IF(LOWER(H245)="not sure","Interested",IF(OR(LOWER(H245)="no",LOWER(V245)="not required"),"Not Required","Unclassified")))))))))))))</f>
        <v/>
      </c>
      <c r="Y245">
        <f>IF(A245="","",IF(OR(X245="Sanctioned",X245="Disbursed",X245="Approved"),"Approved",IF(X245="Rejected","Rejected",IF(OR(X245="Processing",X245="Documents Pending",X245="Vendor Assigned"),"In Progress",IF(X245="Need Loan","Pending Start","—"))))</f>
        <v/>
      </c>
      <c r="Z245">
        <f>IF(A245="","",IF(X245="Disbursed","Disbursed",IF(X245="Sanctioned","Sanctioned - Awaiting Disbursement","Not Disbursed")))</f>
        <v/>
      </c>
      <c r="AA245">
        <f>IF(A245="","",IF(LOWER(TRIM('01_Master_Data'!AI245&amp;""))="yes","Need FLDG",IF(LOWER(TRIM('01_Master_Data'!AK245&amp;""))="yes","Need Vidyalakshmi",IF(LOWER(TRIM('01_Master_Data'!AJ245&amp;""))="yes","Need Review",IF(LOWER(J245)="critical","Critical",IF(LOWER(U245)="risk","Risk Case",IF(X245="Refund","Refund","Normal")))))))</f>
        <v/>
      </c>
      <c r="AB245">
        <f>IF(A245="","",IF(OR(LOWER(J245)="critical",LOWER(TRIM('01_Master_Data'!AI245&amp;""))="yes",LOWER(TRIM('01_Master_Data'!AK245&amp;""))="yes",LOWER(U245)="risk"),"Yes","No"))</f>
        <v/>
      </c>
      <c r="AC245">
        <f>IF(A245="","",IF(LOWER(TRIM('01_Master_Data'!AI245&amp;""))="yes","Yes","No"))</f>
        <v/>
      </c>
      <c r="AD245">
        <f>IF(A245="","",IF(LOWER(TRIM('01_Master_Data'!AK245&amp;""))="yes","Yes","No"))</f>
        <v/>
      </c>
      <c r="AE245">
        <f>IF(A245="","",IF(LOWER(TRIM('01_Master_Data'!AJ245&amp;""))="yes","Yes","No"))</f>
        <v/>
      </c>
      <c r="AF245">
        <f>IF(A245="","",TRIM('01_Master_Data'!AL245&amp;""))</f>
        <v/>
      </c>
      <c r="AG245">
        <f>IF(A245="","",IF(AF245="","—",IF(ISNUMBER(SEARCH("DNP",AF245)),"Unreachable / DNP",IF(ISNUMBER(SEARCH("interest",LOWER(AF245))),"High Interest / Terms",IF(OR(ISNUMBER(SEARCH("eligib",LOWER(AF245))),ISNUMBER(SEARCH("income",LOWER(AF245)))),"Eligibility / Income",IF(OR(ISNUMBER(SEARCH("start",LOWER(AF245))),ISNUMBER(SEARCH("Newer",AF245)),ISNUMBER(SEARCH("Will start",AF245))),"Process Yet to Start",IF(ISNUMBER(SEARCH("sure",LOWER(AF245))),"Undecided",IF(OR(ISNUMBER(SEARCH("reject",LOWER(AF245))),ISNUMBER(SEARCH("SBI",AF245))),"Rejected Elsewhere",IF(ISNUMBER(SEARCH("call",LOWER(AF245))),"Bank Communication",IF(OR(ISNUMBER(SEARCH("father",LOWER(AF245))),ISNUMBER(SEARCH("sister",LOWER(AF245)))),"Family / Dependency","Other"))))))))))</f>
        <v/>
      </c>
      <c r="AH245">
        <f>IF(A245="","",'01_Master_Data'!AC245)</f>
        <v/>
      </c>
      <c r="AI245">
        <f>IF(A245="","",IF(OR(AH245="",NOT(ISNUMBER(AH245))),"",MAX(0,'02_Configuration'!$B$82-AH245)))</f>
        <v/>
      </c>
      <c r="AJ245">
        <f>IF(A245="","",IF(AI245="","Unknown",IF(AI245&lt;=3,"0–3 Days",IF(AI245&lt;=7,"4–7 Days",IF(AI245&lt;=15,"8–15 Days",IF(AI245&lt;=30,"16–30 Days","30+ Days"))))))</f>
        <v/>
      </c>
      <c r="AK245">
        <f>IF(A245="","",IF(LOWER(H245)="yes","Yes","No"))</f>
        <v/>
      </c>
      <c r="AL245">
        <f>IF(A245="","",'01_Master_Data'!T245)</f>
        <v/>
      </c>
      <c r="AM245">
        <f>IF(A245="","",'01_Master_Data'!S245)</f>
        <v/>
      </c>
      <c r="AN245">
        <f>IF(A245="","",'01_Master_Data'!I245)</f>
        <v/>
      </c>
      <c r="AO245">
        <f>IF(A245="","",'01_Master_Data'!M245)</f>
        <v/>
      </c>
      <c r="AP245">
        <f>IF(A245="","",IF(ISNUMBER(SEARCH("Icici",W245&amp;"")),1,0))</f>
        <v/>
      </c>
      <c r="AQ245">
        <f>IF(A245="","",IF(ISNUMBER(SEARCH("Propelld",W245&amp;"")),1,0))</f>
        <v/>
      </c>
      <c r="AR245">
        <f>IF(A245="","",IF(ISNUMBER(SEARCH("GyanDhan",W245&amp;"")),1,0))</f>
        <v/>
      </c>
      <c r="AS245">
        <f>IF(A245="","",IF(ISNUMBER(SEARCH("vidyalakshmi",LOWER(W245&amp;""))),1,0))</f>
        <v/>
      </c>
      <c r="AT245">
        <f>IF(A245="","",IF(ISNUMBER(SEARCH("other bank",LOWER(W245&amp;""))),1,0))</f>
        <v/>
      </c>
      <c r="AU245">
        <f>IF(A245="","",IF(ISNUMBER(SEARCH("sanctioned",LOWER(W245&amp;""))),1,0))</f>
        <v/>
      </c>
      <c r="AV245">
        <f>IF(A245="","",IF(ISNUMBER(SEARCH("Docs Pending",W245&amp;"")),1,0))</f>
        <v/>
      </c>
      <c r="AW245">
        <f>IF(A245="","",IF(OR(X245="Rejected",ISNUMBER(SEARCH("Not eligbile",W245&amp;""))),1,0))</f>
        <v/>
      </c>
    </row>
    <row r="246">
      <c r="A246">
        <f>IF('01_Master_Data'!B246="","",245)</f>
        <v/>
      </c>
      <c r="B246">
        <f>IF('01_Master_Data'!B246="","",IF('01_Master_Data'!C246&lt;&gt;"","MOB|"&amp;TEXT('01_Master_Data'!C246,"0"),IF('01_Master_Data'!D246&lt;&gt;"","PID|"&amp;TRIM('01_Master_Data'!D246&amp;""),"")))</f>
        <v/>
      </c>
      <c r="C246">
        <f>IF('01_Master_Data'!B246="","",'01_Master_Data'!B246)</f>
        <v/>
      </c>
      <c r="D246">
        <f>IF('01_Master_Data'!B246="","",'01_Master_Data'!C246)</f>
        <v/>
      </c>
      <c r="E246">
        <f>IF('01_Master_Data'!B246="","",'01_Master_Data'!D246)</f>
        <v/>
      </c>
      <c r="F246">
        <f>IF('01_Master_Data'!B246="","",'01_Master_Data'!E246)</f>
        <v/>
      </c>
      <c r="G246">
        <f>IF('01_Master_Data'!B246="","",IFERROR(VLOOKUP(TRIM('01_Master_Data'!E246&amp;""),'02_Configuration'!$A$40:$B$44,2,FALSE),UPPER(TRIM('01_Master_Data'!E246&amp;""))))</f>
        <v/>
      </c>
      <c r="H246">
        <f>IF('01_Master_Data'!B246="","",IF('01_Master_Data'!U246="","",TRIM('01_Master_Data'!U246&amp;"")))</f>
        <v/>
      </c>
      <c r="I246">
        <f>IF('01_Master_Data'!B246="","",TRIM('01_Master_Data'!F246&amp;""))</f>
        <v/>
      </c>
      <c r="J246">
        <f>IF('01_Master_Data'!B246="","",TRIM('01_Master_Data'!G246&amp;""))</f>
        <v/>
      </c>
      <c r="K246">
        <f>IF('01_Master_Data'!B246="","",'01_Master_Data'!H246)</f>
        <v/>
      </c>
      <c r="L246">
        <f>IF('01_Master_Data'!B246="","",IF(LOWER(TRIM('01_Master_Data'!V246&amp;""))="yes",1,0))</f>
        <v/>
      </c>
      <c r="M246">
        <f>IF('01_Master_Data'!B246="","",IF(LOWER(TRIM('01_Master_Data'!W246&amp;""))="yes",1,0))</f>
        <v/>
      </c>
      <c r="N246">
        <f>IF('01_Master_Data'!B246="","",IF(LOWER(TRIM('01_Master_Data'!X246&amp;""))="yes",1,0))</f>
        <v/>
      </c>
      <c r="O246">
        <f>IF('01_Master_Data'!B246="","",IF(LOWER(TRIM('01_Master_Data'!Y246&amp;""))="yes",1,0))</f>
        <v/>
      </c>
      <c r="P246">
        <f>IF('01_Master_Data'!B246="","",IF(LOWER(TRIM('01_Master_Data'!Z246&amp;""))="yes",1,0))</f>
        <v/>
      </c>
      <c r="Q246">
        <f>IF(A246="","",L246+M246+N246+O246+P246)</f>
        <v/>
      </c>
      <c r="R246">
        <f>IF(A246="","",IF(Q246&gt;1,"Yes","No"))</f>
        <v/>
      </c>
      <c r="S246">
        <f>IF(A246="","",TEXTJOIN(", ",TRUE,IF(L246=1,"ICICI",""),IF(M246=1,"Propelld",""),IF(N246=1,"Study4Buddy",""),IF(O246=1,"Poonawala Fincorp",""),IF(P246=1,"GyanDhan","")))</f>
        <v/>
      </c>
      <c r="T246">
        <f>IF(A246="","",IF(L246=1,"ICICI",IF(M246=1,"Propelld",IF(P246=1,"GyanDhan",IF(N246=1,"Study4Buddy",IF(O246=1,"Poonawala Fincorp",IF(ISNUMBER(SEARCH("GyanDhan",W246&amp;"")),"GyanDhan",IF(ISNUMBER(SEARCH("Icici",W246&amp;"")),"ICICI",IF(ISNUMBER(SEARCH("Propelld",W246&amp;"")),"Propelld",IF(ISNUMBER(SEARCH("vidyalakshmi",LOWER(W246&amp;"")),"PM Vidyalakshmi","—"))))))))))</f>
        <v/>
      </c>
      <c r="U246">
        <f>IF(A246="","",TRIM('01_Master_Data'!AA246&amp;""))</f>
        <v/>
      </c>
      <c r="V246">
        <f>IF(A246="","",TRIM('01_Master_Data'!AG246&amp;""))</f>
        <v/>
      </c>
      <c r="W246">
        <f>IF(A246="","",TRIM('01_Master_Data'!AH246&amp;""))</f>
        <v/>
      </c>
      <c r="X246">
        <f>IF(A246="","",IF(OR(LOWER(H246)="refund",LOWER(U246)="refund case"),"Refund",IF(OR(LOWER(H246)="dnp",LOWER(U246)="dnp"),"DNP",IF(OR(LOWER(V246)="disbursed",ISNUMBER(SEARCH("Disbursed",W246&amp;""))),"Disbursed",IF(OR(LOWER(V246)="loan proccessed/accepted",ISNUMBER(SEARCH("sanctioned",LOWER(W246&amp;"")))),"Sanctioned",IF(OR(LOWER(V246)="rejected",ISNUMBER(SEARCH("Not eligbile",W246&amp;"")),ISNUMBER(SEARCH("Not eligible",W246&amp;""))),"Rejected",IF(ISNUMBER(SEARCH("Docs Pending",W246&amp;"")),"Documents Pending",IF(AND(LOWER(H246)="yes",LOWER(V246)="ongoing"),"Processing",IF(AND(LOWER(H246)="yes",Q246&gt;0,OR(V246="",LOWER(V246)="not even started")),"Vendor Assigned",IF(AND(LOWER(H246)="yes",LOWER(V246)="not even started"),"Need Loan",IF(LOWER(H246)="yes","Loan Started",IF(LOWER(H246)="not sure","Interested",IF(OR(LOWER(H246)="no",LOWER(V246)="not required"),"Not Required","Unclassified")))))))))))))</f>
        <v/>
      </c>
      <c r="Y246">
        <f>IF(A246="","",IF(OR(X246="Sanctioned",X246="Disbursed",X246="Approved"),"Approved",IF(X246="Rejected","Rejected",IF(OR(X246="Processing",X246="Documents Pending",X246="Vendor Assigned"),"In Progress",IF(X246="Need Loan","Pending Start","—"))))</f>
        <v/>
      </c>
      <c r="Z246">
        <f>IF(A246="","",IF(X246="Disbursed","Disbursed",IF(X246="Sanctioned","Sanctioned - Awaiting Disbursement","Not Disbursed")))</f>
        <v/>
      </c>
      <c r="AA246">
        <f>IF(A246="","",IF(LOWER(TRIM('01_Master_Data'!AI246&amp;""))="yes","Need FLDG",IF(LOWER(TRIM('01_Master_Data'!AK246&amp;""))="yes","Need Vidyalakshmi",IF(LOWER(TRIM('01_Master_Data'!AJ246&amp;""))="yes","Need Review",IF(LOWER(J246)="critical","Critical",IF(LOWER(U246)="risk","Risk Case",IF(X246="Refund","Refund","Normal")))))))</f>
        <v/>
      </c>
      <c r="AB246">
        <f>IF(A246="","",IF(OR(LOWER(J246)="critical",LOWER(TRIM('01_Master_Data'!AI246&amp;""))="yes",LOWER(TRIM('01_Master_Data'!AK246&amp;""))="yes",LOWER(U246)="risk"),"Yes","No"))</f>
        <v/>
      </c>
      <c r="AC246">
        <f>IF(A246="","",IF(LOWER(TRIM('01_Master_Data'!AI246&amp;""))="yes","Yes","No"))</f>
        <v/>
      </c>
      <c r="AD246">
        <f>IF(A246="","",IF(LOWER(TRIM('01_Master_Data'!AK246&amp;""))="yes","Yes","No"))</f>
        <v/>
      </c>
      <c r="AE246">
        <f>IF(A246="","",IF(LOWER(TRIM('01_Master_Data'!AJ246&amp;""))="yes","Yes","No"))</f>
        <v/>
      </c>
      <c r="AF246">
        <f>IF(A246="","",TRIM('01_Master_Data'!AL246&amp;""))</f>
        <v/>
      </c>
      <c r="AG246">
        <f>IF(A246="","",IF(AF246="","—",IF(ISNUMBER(SEARCH("DNP",AF246)),"Unreachable / DNP",IF(ISNUMBER(SEARCH("interest",LOWER(AF246))),"High Interest / Terms",IF(OR(ISNUMBER(SEARCH("eligib",LOWER(AF246))),ISNUMBER(SEARCH("income",LOWER(AF246)))),"Eligibility / Income",IF(OR(ISNUMBER(SEARCH("start",LOWER(AF246))),ISNUMBER(SEARCH("Newer",AF246)),ISNUMBER(SEARCH("Will start",AF246))),"Process Yet to Start",IF(ISNUMBER(SEARCH("sure",LOWER(AF246))),"Undecided",IF(OR(ISNUMBER(SEARCH("reject",LOWER(AF246))),ISNUMBER(SEARCH("SBI",AF246))),"Rejected Elsewhere",IF(ISNUMBER(SEARCH("call",LOWER(AF246))),"Bank Communication",IF(OR(ISNUMBER(SEARCH("father",LOWER(AF246))),ISNUMBER(SEARCH("sister",LOWER(AF246)))),"Family / Dependency","Other"))))))))))</f>
        <v/>
      </c>
      <c r="AH246">
        <f>IF(A246="","",'01_Master_Data'!AC246)</f>
        <v/>
      </c>
      <c r="AI246">
        <f>IF(A246="","",IF(OR(AH246="",NOT(ISNUMBER(AH246))),"",MAX(0,'02_Configuration'!$B$82-AH246)))</f>
        <v/>
      </c>
      <c r="AJ246">
        <f>IF(A246="","",IF(AI246="","Unknown",IF(AI246&lt;=3,"0–3 Days",IF(AI246&lt;=7,"4–7 Days",IF(AI246&lt;=15,"8–15 Days",IF(AI246&lt;=30,"16–30 Days","30+ Days"))))))</f>
        <v/>
      </c>
      <c r="AK246">
        <f>IF(A246="","",IF(LOWER(H246)="yes","Yes","No"))</f>
        <v/>
      </c>
      <c r="AL246">
        <f>IF(A246="","",'01_Master_Data'!T246)</f>
        <v/>
      </c>
      <c r="AM246">
        <f>IF(A246="","",'01_Master_Data'!S246)</f>
        <v/>
      </c>
      <c r="AN246">
        <f>IF(A246="","",'01_Master_Data'!I246)</f>
        <v/>
      </c>
      <c r="AO246">
        <f>IF(A246="","",'01_Master_Data'!M246)</f>
        <v/>
      </c>
      <c r="AP246">
        <f>IF(A246="","",IF(ISNUMBER(SEARCH("Icici",W246&amp;"")),1,0))</f>
        <v/>
      </c>
      <c r="AQ246">
        <f>IF(A246="","",IF(ISNUMBER(SEARCH("Propelld",W246&amp;"")),1,0))</f>
        <v/>
      </c>
      <c r="AR246">
        <f>IF(A246="","",IF(ISNUMBER(SEARCH("GyanDhan",W246&amp;"")),1,0))</f>
        <v/>
      </c>
      <c r="AS246">
        <f>IF(A246="","",IF(ISNUMBER(SEARCH("vidyalakshmi",LOWER(W246&amp;""))),1,0))</f>
        <v/>
      </c>
      <c r="AT246">
        <f>IF(A246="","",IF(ISNUMBER(SEARCH("other bank",LOWER(W246&amp;""))),1,0))</f>
        <v/>
      </c>
      <c r="AU246">
        <f>IF(A246="","",IF(ISNUMBER(SEARCH("sanctioned",LOWER(W246&amp;""))),1,0))</f>
        <v/>
      </c>
      <c r="AV246">
        <f>IF(A246="","",IF(ISNUMBER(SEARCH("Docs Pending",W246&amp;"")),1,0))</f>
        <v/>
      </c>
      <c r="AW246">
        <f>IF(A246="","",IF(OR(X246="Rejected",ISNUMBER(SEARCH("Not eligbile",W246&amp;""))),1,0))</f>
        <v/>
      </c>
    </row>
    <row r="247">
      <c r="A247">
        <f>IF('01_Master_Data'!B247="","",246)</f>
        <v/>
      </c>
      <c r="B247">
        <f>IF('01_Master_Data'!B247="","",IF('01_Master_Data'!C247&lt;&gt;"","MOB|"&amp;TEXT('01_Master_Data'!C247,"0"),IF('01_Master_Data'!D247&lt;&gt;"","PID|"&amp;TRIM('01_Master_Data'!D247&amp;""),"")))</f>
        <v/>
      </c>
      <c r="C247">
        <f>IF('01_Master_Data'!B247="","",'01_Master_Data'!B247)</f>
        <v/>
      </c>
      <c r="D247">
        <f>IF('01_Master_Data'!B247="","",'01_Master_Data'!C247)</f>
        <v/>
      </c>
      <c r="E247">
        <f>IF('01_Master_Data'!B247="","",'01_Master_Data'!D247)</f>
        <v/>
      </c>
      <c r="F247">
        <f>IF('01_Master_Data'!B247="","",'01_Master_Data'!E247)</f>
        <v/>
      </c>
      <c r="G247">
        <f>IF('01_Master_Data'!B247="","",IFERROR(VLOOKUP(TRIM('01_Master_Data'!E247&amp;""),'02_Configuration'!$A$40:$B$44,2,FALSE),UPPER(TRIM('01_Master_Data'!E247&amp;""))))</f>
        <v/>
      </c>
      <c r="H247">
        <f>IF('01_Master_Data'!B247="","",IF('01_Master_Data'!U247="","",TRIM('01_Master_Data'!U247&amp;"")))</f>
        <v/>
      </c>
      <c r="I247">
        <f>IF('01_Master_Data'!B247="","",TRIM('01_Master_Data'!F247&amp;""))</f>
        <v/>
      </c>
      <c r="J247">
        <f>IF('01_Master_Data'!B247="","",TRIM('01_Master_Data'!G247&amp;""))</f>
        <v/>
      </c>
      <c r="K247">
        <f>IF('01_Master_Data'!B247="","",'01_Master_Data'!H247)</f>
        <v/>
      </c>
      <c r="L247">
        <f>IF('01_Master_Data'!B247="","",IF(LOWER(TRIM('01_Master_Data'!V247&amp;""))="yes",1,0))</f>
        <v/>
      </c>
      <c r="M247">
        <f>IF('01_Master_Data'!B247="","",IF(LOWER(TRIM('01_Master_Data'!W247&amp;""))="yes",1,0))</f>
        <v/>
      </c>
      <c r="N247">
        <f>IF('01_Master_Data'!B247="","",IF(LOWER(TRIM('01_Master_Data'!X247&amp;""))="yes",1,0))</f>
        <v/>
      </c>
      <c r="O247">
        <f>IF('01_Master_Data'!B247="","",IF(LOWER(TRIM('01_Master_Data'!Y247&amp;""))="yes",1,0))</f>
        <v/>
      </c>
      <c r="P247">
        <f>IF('01_Master_Data'!B247="","",IF(LOWER(TRIM('01_Master_Data'!Z247&amp;""))="yes",1,0))</f>
        <v/>
      </c>
      <c r="Q247">
        <f>IF(A247="","",L247+M247+N247+O247+P247)</f>
        <v/>
      </c>
      <c r="R247">
        <f>IF(A247="","",IF(Q247&gt;1,"Yes","No"))</f>
        <v/>
      </c>
      <c r="S247">
        <f>IF(A247="","",TEXTJOIN(", ",TRUE,IF(L247=1,"ICICI",""),IF(M247=1,"Propelld",""),IF(N247=1,"Study4Buddy",""),IF(O247=1,"Poonawala Fincorp",""),IF(P247=1,"GyanDhan","")))</f>
        <v/>
      </c>
      <c r="T247">
        <f>IF(A247="","",IF(L247=1,"ICICI",IF(M247=1,"Propelld",IF(P247=1,"GyanDhan",IF(N247=1,"Study4Buddy",IF(O247=1,"Poonawala Fincorp",IF(ISNUMBER(SEARCH("GyanDhan",W247&amp;"")),"GyanDhan",IF(ISNUMBER(SEARCH("Icici",W247&amp;"")),"ICICI",IF(ISNUMBER(SEARCH("Propelld",W247&amp;"")),"Propelld",IF(ISNUMBER(SEARCH("vidyalakshmi",LOWER(W247&amp;"")),"PM Vidyalakshmi","—"))))))))))</f>
        <v/>
      </c>
      <c r="U247">
        <f>IF(A247="","",TRIM('01_Master_Data'!AA247&amp;""))</f>
        <v/>
      </c>
      <c r="V247">
        <f>IF(A247="","",TRIM('01_Master_Data'!AG247&amp;""))</f>
        <v/>
      </c>
      <c r="W247">
        <f>IF(A247="","",TRIM('01_Master_Data'!AH247&amp;""))</f>
        <v/>
      </c>
      <c r="X247">
        <f>IF(A247="","",IF(OR(LOWER(H247)="refund",LOWER(U247)="refund case"),"Refund",IF(OR(LOWER(H247)="dnp",LOWER(U247)="dnp"),"DNP",IF(OR(LOWER(V247)="disbursed",ISNUMBER(SEARCH("Disbursed",W247&amp;""))),"Disbursed",IF(OR(LOWER(V247)="loan proccessed/accepted",ISNUMBER(SEARCH("sanctioned",LOWER(W247&amp;"")))),"Sanctioned",IF(OR(LOWER(V247)="rejected",ISNUMBER(SEARCH("Not eligbile",W247&amp;"")),ISNUMBER(SEARCH("Not eligible",W247&amp;""))),"Rejected",IF(ISNUMBER(SEARCH("Docs Pending",W247&amp;"")),"Documents Pending",IF(AND(LOWER(H247)="yes",LOWER(V247)="ongoing"),"Processing",IF(AND(LOWER(H247)="yes",Q247&gt;0,OR(V247="",LOWER(V247)="not even started")),"Vendor Assigned",IF(AND(LOWER(H247)="yes",LOWER(V247)="not even started"),"Need Loan",IF(LOWER(H247)="yes","Loan Started",IF(LOWER(H247)="not sure","Interested",IF(OR(LOWER(H247)="no",LOWER(V247)="not required"),"Not Required","Unclassified")))))))))))))</f>
        <v/>
      </c>
      <c r="Y247">
        <f>IF(A247="","",IF(OR(X247="Sanctioned",X247="Disbursed",X247="Approved"),"Approved",IF(X247="Rejected","Rejected",IF(OR(X247="Processing",X247="Documents Pending",X247="Vendor Assigned"),"In Progress",IF(X247="Need Loan","Pending Start","—"))))</f>
        <v/>
      </c>
      <c r="Z247">
        <f>IF(A247="","",IF(X247="Disbursed","Disbursed",IF(X247="Sanctioned","Sanctioned - Awaiting Disbursement","Not Disbursed")))</f>
        <v/>
      </c>
      <c r="AA247">
        <f>IF(A247="","",IF(LOWER(TRIM('01_Master_Data'!AI247&amp;""))="yes","Need FLDG",IF(LOWER(TRIM('01_Master_Data'!AK247&amp;""))="yes","Need Vidyalakshmi",IF(LOWER(TRIM('01_Master_Data'!AJ247&amp;""))="yes","Need Review",IF(LOWER(J247)="critical","Critical",IF(LOWER(U247)="risk","Risk Case",IF(X247="Refund","Refund","Normal")))))))</f>
        <v/>
      </c>
      <c r="AB247">
        <f>IF(A247="","",IF(OR(LOWER(J247)="critical",LOWER(TRIM('01_Master_Data'!AI247&amp;""))="yes",LOWER(TRIM('01_Master_Data'!AK247&amp;""))="yes",LOWER(U247)="risk"),"Yes","No"))</f>
        <v/>
      </c>
      <c r="AC247">
        <f>IF(A247="","",IF(LOWER(TRIM('01_Master_Data'!AI247&amp;""))="yes","Yes","No"))</f>
        <v/>
      </c>
      <c r="AD247">
        <f>IF(A247="","",IF(LOWER(TRIM('01_Master_Data'!AK247&amp;""))="yes","Yes","No"))</f>
        <v/>
      </c>
      <c r="AE247">
        <f>IF(A247="","",IF(LOWER(TRIM('01_Master_Data'!AJ247&amp;""))="yes","Yes","No"))</f>
        <v/>
      </c>
      <c r="AF247">
        <f>IF(A247="","",TRIM('01_Master_Data'!AL247&amp;""))</f>
        <v/>
      </c>
      <c r="AG247">
        <f>IF(A247="","",IF(AF247="","—",IF(ISNUMBER(SEARCH("DNP",AF247)),"Unreachable / DNP",IF(ISNUMBER(SEARCH("interest",LOWER(AF247))),"High Interest / Terms",IF(OR(ISNUMBER(SEARCH("eligib",LOWER(AF247))),ISNUMBER(SEARCH("income",LOWER(AF247)))),"Eligibility / Income",IF(OR(ISNUMBER(SEARCH("start",LOWER(AF247))),ISNUMBER(SEARCH("Newer",AF247)),ISNUMBER(SEARCH("Will start",AF247))),"Process Yet to Start",IF(ISNUMBER(SEARCH("sure",LOWER(AF247))),"Undecided",IF(OR(ISNUMBER(SEARCH("reject",LOWER(AF247))),ISNUMBER(SEARCH("SBI",AF247))),"Rejected Elsewhere",IF(ISNUMBER(SEARCH("call",LOWER(AF247))),"Bank Communication",IF(OR(ISNUMBER(SEARCH("father",LOWER(AF247))),ISNUMBER(SEARCH("sister",LOWER(AF247)))),"Family / Dependency","Other"))))))))))</f>
        <v/>
      </c>
      <c r="AH247">
        <f>IF(A247="","",'01_Master_Data'!AC247)</f>
        <v/>
      </c>
      <c r="AI247">
        <f>IF(A247="","",IF(OR(AH247="",NOT(ISNUMBER(AH247))),"",MAX(0,'02_Configuration'!$B$82-AH247)))</f>
        <v/>
      </c>
      <c r="AJ247">
        <f>IF(A247="","",IF(AI247="","Unknown",IF(AI247&lt;=3,"0–3 Days",IF(AI247&lt;=7,"4–7 Days",IF(AI247&lt;=15,"8–15 Days",IF(AI247&lt;=30,"16–30 Days","30+ Days"))))))</f>
        <v/>
      </c>
      <c r="AK247">
        <f>IF(A247="","",IF(LOWER(H247)="yes","Yes","No"))</f>
        <v/>
      </c>
      <c r="AL247">
        <f>IF(A247="","",'01_Master_Data'!T247)</f>
        <v/>
      </c>
      <c r="AM247">
        <f>IF(A247="","",'01_Master_Data'!S247)</f>
        <v/>
      </c>
      <c r="AN247">
        <f>IF(A247="","",'01_Master_Data'!I247)</f>
        <v/>
      </c>
      <c r="AO247">
        <f>IF(A247="","",'01_Master_Data'!M247)</f>
        <v/>
      </c>
      <c r="AP247">
        <f>IF(A247="","",IF(ISNUMBER(SEARCH("Icici",W247&amp;"")),1,0))</f>
        <v/>
      </c>
      <c r="AQ247">
        <f>IF(A247="","",IF(ISNUMBER(SEARCH("Propelld",W247&amp;"")),1,0))</f>
        <v/>
      </c>
      <c r="AR247">
        <f>IF(A247="","",IF(ISNUMBER(SEARCH("GyanDhan",W247&amp;"")),1,0))</f>
        <v/>
      </c>
      <c r="AS247">
        <f>IF(A247="","",IF(ISNUMBER(SEARCH("vidyalakshmi",LOWER(W247&amp;""))),1,0))</f>
        <v/>
      </c>
      <c r="AT247">
        <f>IF(A247="","",IF(ISNUMBER(SEARCH("other bank",LOWER(W247&amp;""))),1,0))</f>
        <v/>
      </c>
      <c r="AU247">
        <f>IF(A247="","",IF(ISNUMBER(SEARCH("sanctioned",LOWER(W247&amp;""))),1,0))</f>
        <v/>
      </c>
      <c r="AV247">
        <f>IF(A247="","",IF(ISNUMBER(SEARCH("Docs Pending",W247&amp;"")),1,0))</f>
        <v/>
      </c>
      <c r="AW247">
        <f>IF(A247="","",IF(OR(X247="Rejected",ISNUMBER(SEARCH("Not eligbile",W247&amp;""))),1,0))</f>
        <v/>
      </c>
    </row>
    <row r="248">
      <c r="A248">
        <f>IF('01_Master_Data'!B248="","",247)</f>
        <v/>
      </c>
      <c r="B248">
        <f>IF('01_Master_Data'!B248="","",IF('01_Master_Data'!C248&lt;&gt;"","MOB|"&amp;TEXT('01_Master_Data'!C248,"0"),IF('01_Master_Data'!D248&lt;&gt;"","PID|"&amp;TRIM('01_Master_Data'!D248&amp;""),"")))</f>
        <v/>
      </c>
      <c r="C248">
        <f>IF('01_Master_Data'!B248="","",'01_Master_Data'!B248)</f>
        <v/>
      </c>
      <c r="D248">
        <f>IF('01_Master_Data'!B248="","",'01_Master_Data'!C248)</f>
        <v/>
      </c>
      <c r="E248">
        <f>IF('01_Master_Data'!B248="","",'01_Master_Data'!D248)</f>
        <v/>
      </c>
      <c r="F248">
        <f>IF('01_Master_Data'!B248="","",'01_Master_Data'!E248)</f>
        <v/>
      </c>
      <c r="G248">
        <f>IF('01_Master_Data'!B248="","",IFERROR(VLOOKUP(TRIM('01_Master_Data'!E248&amp;""),'02_Configuration'!$A$40:$B$44,2,FALSE),UPPER(TRIM('01_Master_Data'!E248&amp;""))))</f>
        <v/>
      </c>
      <c r="H248">
        <f>IF('01_Master_Data'!B248="","",IF('01_Master_Data'!U248="","",TRIM('01_Master_Data'!U248&amp;"")))</f>
        <v/>
      </c>
      <c r="I248">
        <f>IF('01_Master_Data'!B248="","",TRIM('01_Master_Data'!F248&amp;""))</f>
        <v/>
      </c>
      <c r="J248">
        <f>IF('01_Master_Data'!B248="","",TRIM('01_Master_Data'!G248&amp;""))</f>
        <v/>
      </c>
      <c r="K248">
        <f>IF('01_Master_Data'!B248="","",'01_Master_Data'!H248)</f>
        <v/>
      </c>
      <c r="L248">
        <f>IF('01_Master_Data'!B248="","",IF(LOWER(TRIM('01_Master_Data'!V248&amp;""))="yes",1,0))</f>
        <v/>
      </c>
      <c r="M248">
        <f>IF('01_Master_Data'!B248="","",IF(LOWER(TRIM('01_Master_Data'!W248&amp;""))="yes",1,0))</f>
        <v/>
      </c>
      <c r="N248">
        <f>IF('01_Master_Data'!B248="","",IF(LOWER(TRIM('01_Master_Data'!X248&amp;""))="yes",1,0))</f>
        <v/>
      </c>
      <c r="O248">
        <f>IF('01_Master_Data'!B248="","",IF(LOWER(TRIM('01_Master_Data'!Y248&amp;""))="yes",1,0))</f>
        <v/>
      </c>
      <c r="P248">
        <f>IF('01_Master_Data'!B248="","",IF(LOWER(TRIM('01_Master_Data'!Z248&amp;""))="yes",1,0))</f>
        <v/>
      </c>
      <c r="Q248">
        <f>IF(A248="","",L248+M248+N248+O248+P248)</f>
        <v/>
      </c>
      <c r="R248">
        <f>IF(A248="","",IF(Q248&gt;1,"Yes","No"))</f>
        <v/>
      </c>
      <c r="S248">
        <f>IF(A248="","",TEXTJOIN(", ",TRUE,IF(L248=1,"ICICI",""),IF(M248=1,"Propelld",""),IF(N248=1,"Study4Buddy",""),IF(O248=1,"Poonawala Fincorp",""),IF(P248=1,"GyanDhan","")))</f>
        <v/>
      </c>
      <c r="T248">
        <f>IF(A248="","",IF(L248=1,"ICICI",IF(M248=1,"Propelld",IF(P248=1,"GyanDhan",IF(N248=1,"Study4Buddy",IF(O248=1,"Poonawala Fincorp",IF(ISNUMBER(SEARCH("GyanDhan",W248&amp;"")),"GyanDhan",IF(ISNUMBER(SEARCH("Icici",W248&amp;"")),"ICICI",IF(ISNUMBER(SEARCH("Propelld",W248&amp;"")),"Propelld",IF(ISNUMBER(SEARCH("vidyalakshmi",LOWER(W248&amp;"")),"PM Vidyalakshmi","—"))))))))))</f>
        <v/>
      </c>
      <c r="U248">
        <f>IF(A248="","",TRIM('01_Master_Data'!AA248&amp;""))</f>
        <v/>
      </c>
      <c r="V248">
        <f>IF(A248="","",TRIM('01_Master_Data'!AG248&amp;""))</f>
        <v/>
      </c>
      <c r="W248">
        <f>IF(A248="","",TRIM('01_Master_Data'!AH248&amp;""))</f>
        <v/>
      </c>
      <c r="X248">
        <f>IF(A248="","",IF(OR(LOWER(H248)="refund",LOWER(U248)="refund case"),"Refund",IF(OR(LOWER(H248)="dnp",LOWER(U248)="dnp"),"DNP",IF(OR(LOWER(V248)="disbursed",ISNUMBER(SEARCH("Disbursed",W248&amp;""))),"Disbursed",IF(OR(LOWER(V248)="loan proccessed/accepted",ISNUMBER(SEARCH("sanctioned",LOWER(W248&amp;"")))),"Sanctioned",IF(OR(LOWER(V248)="rejected",ISNUMBER(SEARCH("Not eligbile",W248&amp;"")),ISNUMBER(SEARCH("Not eligible",W248&amp;""))),"Rejected",IF(ISNUMBER(SEARCH("Docs Pending",W248&amp;"")),"Documents Pending",IF(AND(LOWER(H248)="yes",LOWER(V248)="ongoing"),"Processing",IF(AND(LOWER(H248)="yes",Q248&gt;0,OR(V248="",LOWER(V248)="not even started")),"Vendor Assigned",IF(AND(LOWER(H248)="yes",LOWER(V248)="not even started"),"Need Loan",IF(LOWER(H248)="yes","Loan Started",IF(LOWER(H248)="not sure","Interested",IF(OR(LOWER(H248)="no",LOWER(V248)="not required"),"Not Required","Unclassified")))))))))))))</f>
        <v/>
      </c>
      <c r="Y248">
        <f>IF(A248="","",IF(OR(X248="Sanctioned",X248="Disbursed",X248="Approved"),"Approved",IF(X248="Rejected","Rejected",IF(OR(X248="Processing",X248="Documents Pending",X248="Vendor Assigned"),"In Progress",IF(X248="Need Loan","Pending Start","—"))))</f>
        <v/>
      </c>
      <c r="Z248">
        <f>IF(A248="","",IF(X248="Disbursed","Disbursed",IF(X248="Sanctioned","Sanctioned - Awaiting Disbursement","Not Disbursed")))</f>
        <v/>
      </c>
      <c r="AA248">
        <f>IF(A248="","",IF(LOWER(TRIM('01_Master_Data'!AI248&amp;""))="yes","Need FLDG",IF(LOWER(TRIM('01_Master_Data'!AK248&amp;""))="yes","Need Vidyalakshmi",IF(LOWER(TRIM('01_Master_Data'!AJ248&amp;""))="yes","Need Review",IF(LOWER(J248)="critical","Critical",IF(LOWER(U248)="risk","Risk Case",IF(X248="Refund","Refund","Normal")))))))</f>
        <v/>
      </c>
      <c r="AB248">
        <f>IF(A248="","",IF(OR(LOWER(J248)="critical",LOWER(TRIM('01_Master_Data'!AI248&amp;""))="yes",LOWER(TRIM('01_Master_Data'!AK248&amp;""))="yes",LOWER(U248)="risk"),"Yes","No"))</f>
        <v/>
      </c>
      <c r="AC248">
        <f>IF(A248="","",IF(LOWER(TRIM('01_Master_Data'!AI248&amp;""))="yes","Yes","No"))</f>
        <v/>
      </c>
      <c r="AD248">
        <f>IF(A248="","",IF(LOWER(TRIM('01_Master_Data'!AK248&amp;""))="yes","Yes","No"))</f>
        <v/>
      </c>
      <c r="AE248">
        <f>IF(A248="","",IF(LOWER(TRIM('01_Master_Data'!AJ248&amp;""))="yes","Yes","No"))</f>
        <v/>
      </c>
      <c r="AF248">
        <f>IF(A248="","",TRIM('01_Master_Data'!AL248&amp;""))</f>
        <v/>
      </c>
      <c r="AG248">
        <f>IF(A248="","",IF(AF248="","—",IF(ISNUMBER(SEARCH("DNP",AF248)),"Unreachable / DNP",IF(ISNUMBER(SEARCH("interest",LOWER(AF248))),"High Interest / Terms",IF(OR(ISNUMBER(SEARCH("eligib",LOWER(AF248))),ISNUMBER(SEARCH("income",LOWER(AF248)))),"Eligibility / Income",IF(OR(ISNUMBER(SEARCH("start",LOWER(AF248))),ISNUMBER(SEARCH("Newer",AF248)),ISNUMBER(SEARCH("Will start",AF248))),"Process Yet to Start",IF(ISNUMBER(SEARCH("sure",LOWER(AF248))),"Undecided",IF(OR(ISNUMBER(SEARCH("reject",LOWER(AF248))),ISNUMBER(SEARCH("SBI",AF248))),"Rejected Elsewhere",IF(ISNUMBER(SEARCH("call",LOWER(AF248))),"Bank Communication",IF(OR(ISNUMBER(SEARCH("father",LOWER(AF248))),ISNUMBER(SEARCH("sister",LOWER(AF248)))),"Family / Dependency","Other"))))))))))</f>
        <v/>
      </c>
      <c r="AH248">
        <f>IF(A248="","",'01_Master_Data'!AC248)</f>
        <v/>
      </c>
      <c r="AI248">
        <f>IF(A248="","",IF(OR(AH248="",NOT(ISNUMBER(AH248))),"",MAX(0,'02_Configuration'!$B$82-AH248)))</f>
        <v/>
      </c>
      <c r="AJ248">
        <f>IF(A248="","",IF(AI248="","Unknown",IF(AI248&lt;=3,"0–3 Days",IF(AI248&lt;=7,"4–7 Days",IF(AI248&lt;=15,"8–15 Days",IF(AI248&lt;=30,"16–30 Days","30+ Days"))))))</f>
        <v/>
      </c>
      <c r="AK248">
        <f>IF(A248="","",IF(LOWER(H248)="yes","Yes","No"))</f>
        <v/>
      </c>
      <c r="AL248">
        <f>IF(A248="","",'01_Master_Data'!T248)</f>
        <v/>
      </c>
      <c r="AM248">
        <f>IF(A248="","",'01_Master_Data'!S248)</f>
        <v/>
      </c>
      <c r="AN248">
        <f>IF(A248="","",'01_Master_Data'!I248)</f>
        <v/>
      </c>
      <c r="AO248">
        <f>IF(A248="","",'01_Master_Data'!M248)</f>
        <v/>
      </c>
      <c r="AP248">
        <f>IF(A248="","",IF(ISNUMBER(SEARCH("Icici",W248&amp;"")),1,0))</f>
        <v/>
      </c>
      <c r="AQ248">
        <f>IF(A248="","",IF(ISNUMBER(SEARCH("Propelld",W248&amp;"")),1,0))</f>
        <v/>
      </c>
      <c r="AR248">
        <f>IF(A248="","",IF(ISNUMBER(SEARCH("GyanDhan",W248&amp;"")),1,0))</f>
        <v/>
      </c>
      <c r="AS248">
        <f>IF(A248="","",IF(ISNUMBER(SEARCH("vidyalakshmi",LOWER(W248&amp;""))),1,0))</f>
        <v/>
      </c>
      <c r="AT248">
        <f>IF(A248="","",IF(ISNUMBER(SEARCH("other bank",LOWER(W248&amp;""))),1,0))</f>
        <v/>
      </c>
      <c r="AU248">
        <f>IF(A248="","",IF(ISNUMBER(SEARCH("sanctioned",LOWER(W248&amp;""))),1,0))</f>
        <v/>
      </c>
      <c r="AV248">
        <f>IF(A248="","",IF(ISNUMBER(SEARCH("Docs Pending",W248&amp;"")),1,0))</f>
        <v/>
      </c>
      <c r="AW248">
        <f>IF(A248="","",IF(OR(X248="Rejected",ISNUMBER(SEARCH("Not eligbile",W248&amp;""))),1,0))</f>
        <v/>
      </c>
    </row>
    <row r="249">
      <c r="A249">
        <f>IF('01_Master_Data'!B249="","",248)</f>
        <v/>
      </c>
      <c r="B249">
        <f>IF('01_Master_Data'!B249="","",IF('01_Master_Data'!C249&lt;&gt;"","MOB|"&amp;TEXT('01_Master_Data'!C249,"0"),IF('01_Master_Data'!D249&lt;&gt;"","PID|"&amp;TRIM('01_Master_Data'!D249&amp;""),"")))</f>
        <v/>
      </c>
      <c r="C249">
        <f>IF('01_Master_Data'!B249="","",'01_Master_Data'!B249)</f>
        <v/>
      </c>
      <c r="D249">
        <f>IF('01_Master_Data'!B249="","",'01_Master_Data'!C249)</f>
        <v/>
      </c>
      <c r="E249">
        <f>IF('01_Master_Data'!B249="","",'01_Master_Data'!D249)</f>
        <v/>
      </c>
      <c r="F249">
        <f>IF('01_Master_Data'!B249="","",'01_Master_Data'!E249)</f>
        <v/>
      </c>
      <c r="G249">
        <f>IF('01_Master_Data'!B249="","",IFERROR(VLOOKUP(TRIM('01_Master_Data'!E249&amp;""),'02_Configuration'!$A$40:$B$44,2,FALSE),UPPER(TRIM('01_Master_Data'!E249&amp;""))))</f>
        <v/>
      </c>
      <c r="H249">
        <f>IF('01_Master_Data'!B249="","",IF('01_Master_Data'!U249="","",TRIM('01_Master_Data'!U249&amp;"")))</f>
        <v/>
      </c>
      <c r="I249">
        <f>IF('01_Master_Data'!B249="","",TRIM('01_Master_Data'!F249&amp;""))</f>
        <v/>
      </c>
      <c r="J249">
        <f>IF('01_Master_Data'!B249="","",TRIM('01_Master_Data'!G249&amp;""))</f>
        <v/>
      </c>
      <c r="K249">
        <f>IF('01_Master_Data'!B249="","",'01_Master_Data'!H249)</f>
        <v/>
      </c>
      <c r="L249">
        <f>IF('01_Master_Data'!B249="","",IF(LOWER(TRIM('01_Master_Data'!V249&amp;""))="yes",1,0))</f>
        <v/>
      </c>
      <c r="M249">
        <f>IF('01_Master_Data'!B249="","",IF(LOWER(TRIM('01_Master_Data'!W249&amp;""))="yes",1,0))</f>
        <v/>
      </c>
      <c r="N249">
        <f>IF('01_Master_Data'!B249="","",IF(LOWER(TRIM('01_Master_Data'!X249&amp;""))="yes",1,0))</f>
        <v/>
      </c>
      <c r="O249">
        <f>IF('01_Master_Data'!B249="","",IF(LOWER(TRIM('01_Master_Data'!Y249&amp;""))="yes",1,0))</f>
        <v/>
      </c>
      <c r="P249">
        <f>IF('01_Master_Data'!B249="","",IF(LOWER(TRIM('01_Master_Data'!Z249&amp;""))="yes",1,0))</f>
        <v/>
      </c>
      <c r="Q249">
        <f>IF(A249="","",L249+M249+N249+O249+P249)</f>
        <v/>
      </c>
      <c r="R249">
        <f>IF(A249="","",IF(Q249&gt;1,"Yes","No"))</f>
        <v/>
      </c>
      <c r="S249">
        <f>IF(A249="","",TEXTJOIN(", ",TRUE,IF(L249=1,"ICICI",""),IF(M249=1,"Propelld",""),IF(N249=1,"Study4Buddy",""),IF(O249=1,"Poonawala Fincorp",""),IF(P249=1,"GyanDhan","")))</f>
        <v/>
      </c>
      <c r="T249">
        <f>IF(A249="","",IF(L249=1,"ICICI",IF(M249=1,"Propelld",IF(P249=1,"GyanDhan",IF(N249=1,"Study4Buddy",IF(O249=1,"Poonawala Fincorp",IF(ISNUMBER(SEARCH("GyanDhan",W249&amp;"")),"GyanDhan",IF(ISNUMBER(SEARCH("Icici",W249&amp;"")),"ICICI",IF(ISNUMBER(SEARCH("Propelld",W249&amp;"")),"Propelld",IF(ISNUMBER(SEARCH("vidyalakshmi",LOWER(W249&amp;"")),"PM Vidyalakshmi","—"))))))))))</f>
        <v/>
      </c>
      <c r="U249">
        <f>IF(A249="","",TRIM('01_Master_Data'!AA249&amp;""))</f>
        <v/>
      </c>
      <c r="V249">
        <f>IF(A249="","",TRIM('01_Master_Data'!AG249&amp;""))</f>
        <v/>
      </c>
      <c r="W249">
        <f>IF(A249="","",TRIM('01_Master_Data'!AH249&amp;""))</f>
        <v/>
      </c>
      <c r="X249">
        <f>IF(A249="","",IF(OR(LOWER(H249)="refund",LOWER(U249)="refund case"),"Refund",IF(OR(LOWER(H249)="dnp",LOWER(U249)="dnp"),"DNP",IF(OR(LOWER(V249)="disbursed",ISNUMBER(SEARCH("Disbursed",W249&amp;""))),"Disbursed",IF(OR(LOWER(V249)="loan proccessed/accepted",ISNUMBER(SEARCH("sanctioned",LOWER(W249&amp;"")))),"Sanctioned",IF(OR(LOWER(V249)="rejected",ISNUMBER(SEARCH("Not eligbile",W249&amp;"")),ISNUMBER(SEARCH("Not eligible",W249&amp;""))),"Rejected",IF(ISNUMBER(SEARCH("Docs Pending",W249&amp;"")),"Documents Pending",IF(AND(LOWER(H249)="yes",LOWER(V249)="ongoing"),"Processing",IF(AND(LOWER(H249)="yes",Q249&gt;0,OR(V249="",LOWER(V249)="not even started")),"Vendor Assigned",IF(AND(LOWER(H249)="yes",LOWER(V249)="not even started"),"Need Loan",IF(LOWER(H249)="yes","Loan Started",IF(LOWER(H249)="not sure","Interested",IF(OR(LOWER(H249)="no",LOWER(V249)="not required"),"Not Required","Unclassified")))))))))))))</f>
        <v/>
      </c>
      <c r="Y249">
        <f>IF(A249="","",IF(OR(X249="Sanctioned",X249="Disbursed",X249="Approved"),"Approved",IF(X249="Rejected","Rejected",IF(OR(X249="Processing",X249="Documents Pending",X249="Vendor Assigned"),"In Progress",IF(X249="Need Loan","Pending Start","—"))))</f>
        <v/>
      </c>
      <c r="Z249">
        <f>IF(A249="","",IF(X249="Disbursed","Disbursed",IF(X249="Sanctioned","Sanctioned - Awaiting Disbursement","Not Disbursed")))</f>
        <v/>
      </c>
      <c r="AA249">
        <f>IF(A249="","",IF(LOWER(TRIM('01_Master_Data'!AI249&amp;""))="yes","Need FLDG",IF(LOWER(TRIM('01_Master_Data'!AK249&amp;""))="yes","Need Vidyalakshmi",IF(LOWER(TRIM('01_Master_Data'!AJ249&amp;""))="yes","Need Review",IF(LOWER(J249)="critical","Critical",IF(LOWER(U249)="risk","Risk Case",IF(X249="Refund","Refund","Normal")))))))</f>
        <v/>
      </c>
      <c r="AB249">
        <f>IF(A249="","",IF(OR(LOWER(J249)="critical",LOWER(TRIM('01_Master_Data'!AI249&amp;""))="yes",LOWER(TRIM('01_Master_Data'!AK249&amp;""))="yes",LOWER(U249)="risk"),"Yes","No"))</f>
        <v/>
      </c>
      <c r="AC249">
        <f>IF(A249="","",IF(LOWER(TRIM('01_Master_Data'!AI249&amp;""))="yes","Yes","No"))</f>
        <v/>
      </c>
      <c r="AD249">
        <f>IF(A249="","",IF(LOWER(TRIM('01_Master_Data'!AK249&amp;""))="yes","Yes","No"))</f>
        <v/>
      </c>
      <c r="AE249">
        <f>IF(A249="","",IF(LOWER(TRIM('01_Master_Data'!AJ249&amp;""))="yes","Yes","No"))</f>
        <v/>
      </c>
      <c r="AF249">
        <f>IF(A249="","",TRIM('01_Master_Data'!AL249&amp;""))</f>
        <v/>
      </c>
      <c r="AG249">
        <f>IF(A249="","",IF(AF249="","—",IF(ISNUMBER(SEARCH("DNP",AF249)),"Unreachable / DNP",IF(ISNUMBER(SEARCH("interest",LOWER(AF249))),"High Interest / Terms",IF(OR(ISNUMBER(SEARCH("eligib",LOWER(AF249))),ISNUMBER(SEARCH("income",LOWER(AF249)))),"Eligibility / Income",IF(OR(ISNUMBER(SEARCH("start",LOWER(AF249))),ISNUMBER(SEARCH("Newer",AF249)),ISNUMBER(SEARCH("Will start",AF249))),"Process Yet to Start",IF(ISNUMBER(SEARCH("sure",LOWER(AF249))),"Undecided",IF(OR(ISNUMBER(SEARCH("reject",LOWER(AF249))),ISNUMBER(SEARCH("SBI",AF249))),"Rejected Elsewhere",IF(ISNUMBER(SEARCH("call",LOWER(AF249))),"Bank Communication",IF(OR(ISNUMBER(SEARCH("father",LOWER(AF249))),ISNUMBER(SEARCH("sister",LOWER(AF249)))),"Family / Dependency","Other"))))))))))</f>
        <v/>
      </c>
      <c r="AH249">
        <f>IF(A249="","",'01_Master_Data'!AC249)</f>
        <v/>
      </c>
      <c r="AI249">
        <f>IF(A249="","",IF(OR(AH249="",NOT(ISNUMBER(AH249))),"",MAX(0,'02_Configuration'!$B$82-AH249)))</f>
        <v/>
      </c>
      <c r="AJ249">
        <f>IF(A249="","",IF(AI249="","Unknown",IF(AI249&lt;=3,"0–3 Days",IF(AI249&lt;=7,"4–7 Days",IF(AI249&lt;=15,"8–15 Days",IF(AI249&lt;=30,"16–30 Days","30+ Days"))))))</f>
        <v/>
      </c>
      <c r="AK249">
        <f>IF(A249="","",IF(LOWER(H249)="yes","Yes","No"))</f>
        <v/>
      </c>
      <c r="AL249">
        <f>IF(A249="","",'01_Master_Data'!T249)</f>
        <v/>
      </c>
      <c r="AM249">
        <f>IF(A249="","",'01_Master_Data'!S249)</f>
        <v/>
      </c>
      <c r="AN249">
        <f>IF(A249="","",'01_Master_Data'!I249)</f>
        <v/>
      </c>
      <c r="AO249">
        <f>IF(A249="","",'01_Master_Data'!M249)</f>
        <v/>
      </c>
      <c r="AP249">
        <f>IF(A249="","",IF(ISNUMBER(SEARCH("Icici",W249&amp;"")),1,0))</f>
        <v/>
      </c>
      <c r="AQ249">
        <f>IF(A249="","",IF(ISNUMBER(SEARCH("Propelld",W249&amp;"")),1,0))</f>
        <v/>
      </c>
      <c r="AR249">
        <f>IF(A249="","",IF(ISNUMBER(SEARCH("GyanDhan",W249&amp;"")),1,0))</f>
        <v/>
      </c>
      <c r="AS249">
        <f>IF(A249="","",IF(ISNUMBER(SEARCH("vidyalakshmi",LOWER(W249&amp;""))),1,0))</f>
        <v/>
      </c>
      <c r="AT249">
        <f>IF(A249="","",IF(ISNUMBER(SEARCH("other bank",LOWER(W249&amp;""))),1,0))</f>
        <v/>
      </c>
      <c r="AU249">
        <f>IF(A249="","",IF(ISNUMBER(SEARCH("sanctioned",LOWER(W249&amp;""))),1,0))</f>
        <v/>
      </c>
      <c r="AV249">
        <f>IF(A249="","",IF(ISNUMBER(SEARCH("Docs Pending",W249&amp;"")),1,0))</f>
        <v/>
      </c>
      <c r="AW249">
        <f>IF(A249="","",IF(OR(X249="Rejected",ISNUMBER(SEARCH("Not eligbile",W249&amp;""))),1,0))</f>
        <v/>
      </c>
    </row>
    <row r="250">
      <c r="A250">
        <f>IF('01_Master_Data'!B250="","",249)</f>
        <v/>
      </c>
      <c r="B250">
        <f>IF('01_Master_Data'!B250="","",IF('01_Master_Data'!C250&lt;&gt;"","MOB|"&amp;TEXT('01_Master_Data'!C250,"0"),IF('01_Master_Data'!D250&lt;&gt;"","PID|"&amp;TRIM('01_Master_Data'!D250&amp;""),"")))</f>
        <v/>
      </c>
      <c r="C250">
        <f>IF('01_Master_Data'!B250="","",'01_Master_Data'!B250)</f>
        <v/>
      </c>
      <c r="D250">
        <f>IF('01_Master_Data'!B250="","",'01_Master_Data'!C250)</f>
        <v/>
      </c>
      <c r="E250">
        <f>IF('01_Master_Data'!B250="","",'01_Master_Data'!D250)</f>
        <v/>
      </c>
      <c r="F250">
        <f>IF('01_Master_Data'!B250="","",'01_Master_Data'!E250)</f>
        <v/>
      </c>
      <c r="G250">
        <f>IF('01_Master_Data'!B250="","",IFERROR(VLOOKUP(TRIM('01_Master_Data'!E250&amp;""),'02_Configuration'!$A$40:$B$44,2,FALSE),UPPER(TRIM('01_Master_Data'!E250&amp;""))))</f>
        <v/>
      </c>
      <c r="H250">
        <f>IF('01_Master_Data'!B250="","",IF('01_Master_Data'!U250="","",TRIM('01_Master_Data'!U250&amp;"")))</f>
        <v/>
      </c>
      <c r="I250">
        <f>IF('01_Master_Data'!B250="","",TRIM('01_Master_Data'!F250&amp;""))</f>
        <v/>
      </c>
      <c r="J250">
        <f>IF('01_Master_Data'!B250="","",TRIM('01_Master_Data'!G250&amp;""))</f>
        <v/>
      </c>
      <c r="K250">
        <f>IF('01_Master_Data'!B250="","",'01_Master_Data'!H250)</f>
        <v/>
      </c>
      <c r="L250">
        <f>IF('01_Master_Data'!B250="","",IF(LOWER(TRIM('01_Master_Data'!V250&amp;""))="yes",1,0))</f>
        <v/>
      </c>
      <c r="M250">
        <f>IF('01_Master_Data'!B250="","",IF(LOWER(TRIM('01_Master_Data'!W250&amp;""))="yes",1,0))</f>
        <v/>
      </c>
      <c r="N250">
        <f>IF('01_Master_Data'!B250="","",IF(LOWER(TRIM('01_Master_Data'!X250&amp;""))="yes",1,0))</f>
        <v/>
      </c>
      <c r="O250">
        <f>IF('01_Master_Data'!B250="","",IF(LOWER(TRIM('01_Master_Data'!Y250&amp;""))="yes",1,0))</f>
        <v/>
      </c>
      <c r="P250">
        <f>IF('01_Master_Data'!B250="","",IF(LOWER(TRIM('01_Master_Data'!Z250&amp;""))="yes",1,0))</f>
        <v/>
      </c>
      <c r="Q250">
        <f>IF(A250="","",L250+M250+N250+O250+P250)</f>
        <v/>
      </c>
      <c r="R250">
        <f>IF(A250="","",IF(Q250&gt;1,"Yes","No"))</f>
        <v/>
      </c>
      <c r="S250">
        <f>IF(A250="","",TEXTJOIN(", ",TRUE,IF(L250=1,"ICICI",""),IF(M250=1,"Propelld",""),IF(N250=1,"Study4Buddy",""),IF(O250=1,"Poonawala Fincorp",""),IF(P250=1,"GyanDhan","")))</f>
        <v/>
      </c>
      <c r="T250">
        <f>IF(A250="","",IF(L250=1,"ICICI",IF(M250=1,"Propelld",IF(P250=1,"GyanDhan",IF(N250=1,"Study4Buddy",IF(O250=1,"Poonawala Fincorp",IF(ISNUMBER(SEARCH("GyanDhan",W250&amp;"")),"GyanDhan",IF(ISNUMBER(SEARCH("Icici",W250&amp;"")),"ICICI",IF(ISNUMBER(SEARCH("Propelld",W250&amp;"")),"Propelld",IF(ISNUMBER(SEARCH("vidyalakshmi",LOWER(W250&amp;"")),"PM Vidyalakshmi","—"))))))))))</f>
        <v/>
      </c>
      <c r="U250">
        <f>IF(A250="","",TRIM('01_Master_Data'!AA250&amp;""))</f>
        <v/>
      </c>
      <c r="V250">
        <f>IF(A250="","",TRIM('01_Master_Data'!AG250&amp;""))</f>
        <v/>
      </c>
      <c r="W250">
        <f>IF(A250="","",TRIM('01_Master_Data'!AH250&amp;""))</f>
        <v/>
      </c>
      <c r="X250">
        <f>IF(A250="","",IF(OR(LOWER(H250)="refund",LOWER(U250)="refund case"),"Refund",IF(OR(LOWER(H250)="dnp",LOWER(U250)="dnp"),"DNP",IF(OR(LOWER(V250)="disbursed",ISNUMBER(SEARCH("Disbursed",W250&amp;""))),"Disbursed",IF(OR(LOWER(V250)="loan proccessed/accepted",ISNUMBER(SEARCH("sanctioned",LOWER(W250&amp;"")))),"Sanctioned",IF(OR(LOWER(V250)="rejected",ISNUMBER(SEARCH("Not eligbile",W250&amp;"")),ISNUMBER(SEARCH("Not eligible",W250&amp;""))),"Rejected",IF(ISNUMBER(SEARCH("Docs Pending",W250&amp;"")),"Documents Pending",IF(AND(LOWER(H250)="yes",LOWER(V250)="ongoing"),"Processing",IF(AND(LOWER(H250)="yes",Q250&gt;0,OR(V250="",LOWER(V250)="not even started")),"Vendor Assigned",IF(AND(LOWER(H250)="yes",LOWER(V250)="not even started"),"Need Loan",IF(LOWER(H250)="yes","Loan Started",IF(LOWER(H250)="not sure","Interested",IF(OR(LOWER(H250)="no",LOWER(V250)="not required"),"Not Required","Unclassified")))))))))))))</f>
        <v/>
      </c>
      <c r="Y250">
        <f>IF(A250="","",IF(OR(X250="Sanctioned",X250="Disbursed",X250="Approved"),"Approved",IF(X250="Rejected","Rejected",IF(OR(X250="Processing",X250="Documents Pending",X250="Vendor Assigned"),"In Progress",IF(X250="Need Loan","Pending Start","—"))))</f>
        <v/>
      </c>
      <c r="Z250">
        <f>IF(A250="","",IF(X250="Disbursed","Disbursed",IF(X250="Sanctioned","Sanctioned - Awaiting Disbursement","Not Disbursed")))</f>
        <v/>
      </c>
      <c r="AA250">
        <f>IF(A250="","",IF(LOWER(TRIM('01_Master_Data'!AI250&amp;""))="yes","Need FLDG",IF(LOWER(TRIM('01_Master_Data'!AK250&amp;""))="yes","Need Vidyalakshmi",IF(LOWER(TRIM('01_Master_Data'!AJ250&amp;""))="yes","Need Review",IF(LOWER(J250)="critical","Critical",IF(LOWER(U250)="risk","Risk Case",IF(X250="Refund","Refund","Normal")))))))</f>
        <v/>
      </c>
      <c r="AB250">
        <f>IF(A250="","",IF(OR(LOWER(J250)="critical",LOWER(TRIM('01_Master_Data'!AI250&amp;""))="yes",LOWER(TRIM('01_Master_Data'!AK250&amp;""))="yes",LOWER(U250)="risk"),"Yes","No"))</f>
        <v/>
      </c>
      <c r="AC250">
        <f>IF(A250="","",IF(LOWER(TRIM('01_Master_Data'!AI250&amp;""))="yes","Yes","No"))</f>
        <v/>
      </c>
      <c r="AD250">
        <f>IF(A250="","",IF(LOWER(TRIM('01_Master_Data'!AK250&amp;""))="yes","Yes","No"))</f>
        <v/>
      </c>
      <c r="AE250">
        <f>IF(A250="","",IF(LOWER(TRIM('01_Master_Data'!AJ250&amp;""))="yes","Yes","No"))</f>
        <v/>
      </c>
      <c r="AF250">
        <f>IF(A250="","",TRIM('01_Master_Data'!AL250&amp;""))</f>
        <v/>
      </c>
      <c r="AG250">
        <f>IF(A250="","",IF(AF250="","—",IF(ISNUMBER(SEARCH("DNP",AF250)),"Unreachable / DNP",IF(ISNUMBER(SEARCH("interest",LOWER(AF250))),"High Interest / Terms",IF(OR(ISNUMBER(SEARCH("eligib",LOWER(AF250))),ISNUMBER(SEARCH("income",LOWER(AF250)))),"Eligibility / Income",IF(OR(ISNUMBER(SEARCH("start",LOWER(AF250))),ISNUMBER(SEARCH("Newer",AF250)),ISNUMBER(SEARCH("Will start",AF250))),"Process Yet to Start",IF(ISNUMBER(SEARCH("sure",LOWER(AF250))),"Undecided",IF(OR(ISNUMBER(SEARCH("reject",LOWER(AF250))),ISNUMBER(SEARCH("SBI",AF250))),"Rejected Elsewhere",IF(ISNUMBER(SEARCH("call",LOWER(AF250))),"Bank Communication",IF(OR(ISNUMBER(SEARCH("father",LOWER(AF250))),ISNUMBER(SEARCH("sister",LOWER(AF250)))),"Family / Dependency","Other"))))))))))</f>
        <v/>
      </c>
      <c r="AH250">
        <f>IF(A250="","",'01_Master_Data'!AC250)</f>
        <v/>
      </c>
      <c r="AI250">
        <f>IF(A250="","",IF(OR(AH250="",NOT(ISNUMBER(AH250))),"",MAX(0,'02_Configuration'!$B$82-AH250)))</f>
        <v/>
      </c>
      <c r="AJ250">
        <f>IF(A250="","",IF(AI250="","Unknown",IF(AI250&lt;=3,"0–3 Days",IF(AI250&lt;=7,"4–7 Days",IF(AI250&lt;=15,"8–15 Days",IF(AI250&lt;=30,"16–30 Days","30+ Days"))))))</f>
        <v/>
      </c>
      <c r="AK250">
        <f>IF(A250="","",IF(LOWER(H250)="yes","Yes","No"))</f>
        <v/>
      </c>
      <c r="AL250">
        <f>IF(A250="","",'01_Master_Data'!T250)</f>
        <v/>
      </c>
      <c r="AM250">
        <f>IF(A250="","",'01_Master_Data'!S250)</f>
        <v/>
      </c>
      <c r="AN250">
        <f>IF(A250="","",'01_Master_Data'!I250)</f>
        <v/>
      </c>
      <c r="AO250">
        <f>IF(A250="","",'01_Master_Data'!M250)</f>
        <v/>
      </c>
      <c r="AP250">
        <f>IF(A250="","",IF(ISNUMBER(SEARCH("Icici",W250&amp;"")),1,0))</f>
        <v/>
      </c>
      <c r="AQ250">
        <f>IF(A250="","",IF(ISNUMBER(SEARCH("Propelld",W250&amp;"")),1,0))</f>
        <v/>
      </c>
      <c r="AR250">
        <f>IF(A250="","",IF(ISNUMBER(SEARCH("GyanDhan",W250&amp;"")),1,0))</f>
        <v/>
      </c>
      <c r="AS250">
        <f>IF(A250="","",IF(ISNUMBER(SEARCH("vidyalakshmi",LOWER(W250&amp;""))),1,0))</f>
        <v/>
      </c>
      <c r="AT250">
        <f>IF(A250="","",IF(ISNUMBER(SEARCH("other bank",LOWER(W250&amp;""))),1,0))</f>
        <v/>
      </c>
      <c r="AU250">
        <f>IF(A250="","",IF(ISNUMBER(SEARCH("sanctioned",LOWER(W250&amp;""))),1,0))</f>
        <v/>
      </c>
      <c r="AV250">
        <f>IF(A250="","",IF(ISNUMBER(SEARCH("Docs Pending",W250&amp;"")),1,0))</f>
        <v/>
      </c>
      <c r="AW250">
        <f>IF(A250="","",IF(OR(X250="Rejected",ISNUMBER(SEARCH("Not eligbile",W250&amp;""))),1,0))</f>
        <v/>
      </c>
    </row>
    <row r="251">
      <c r="A251">
        <f>IF('01_Master_Data'!B251="","",250)</f>
        <v/>
      </c>
      <c r="B251">
        <f>IF('01_Master_Data'!B251="","",IF('01_Master_Data'!C251&lt;&gt;"","MOB|"&amp;TEXT('01_Master_Data'!C251,"0"),IF('01_Master_Data'!D251&lt;&gt;"","PID|"&amp;TRIM('01_Master_Data'!D251&amp;""),"")))</f>
        <v/>
      </c>
      <c r="C251">
        <f>IF('01_Master_Data'!B251="","",'01_Master_Data'!B251)</f>
        <v/>
      </c>
      <c r="D251">
        <f>IF('01_Master_Data'!B251="","",'01_Master_Data'!C251)</f>
        <v/>
      </c>
      <c r="E251">
        <f>IF('01_Master_Data'!B251="","",'01_Master_Data'!D251)</f>
        <v/>
      </c>
      <c r="F251">
        <f>IF('01_Master_Data'!B251="","",'01_Master_Data'!E251)</f>
        <v/>
      </c>
      <c r="G251">
        <f>IF('01_Master_Data'!B251="","",IFERROR(VLOOKUP(TRIM('01_Master_Data'!E251&amp;""),'02_Configuration'!$A$40:$B$44,2,FALSE),UPPER(TRIM('01_Master_Data'!E251&amp;""))))</f>
        <v/>
      </c>
      <c r="H251">
        <f>IF('01_Master_Data'!B251="","",IF('01_Master_Data'!U251="","",TRIM('01_Master_Data'!U251&amp;"")))</f>
        <v/>
      </c>
      <c r="I251">
        <f>IF('01_Master_Data'!B251="","",TRIM('01_Master_Data'!F251&amp;""))</f>
        <v/>
      </c>
      <c r="J251">
        <f>IF('01_Master_Data'!B251="","",TRIM('01_Master_Data'!G251&amp;""))</f>
        <v/>
      </c>
      <c r="K251">
        <f>IF('01_Master_Data'!B251="","",'01_Master_Data'!H251)</f>
        <v/>
      </c>
      <c r="L251">
        <f>IF('01_Master_Data'!B251="","",IF(LOWER(TRIM('01_Master_Data'!V251&amp;""))="yes",1,0))</f>
        <v/>
      </c>
      <c r="M251">
        <f>IF('01_Master_Data'!B251="","",IF(LOWER(TRIM('01_Master_Data'!W251&amp;""))="yes",1,0))</f>
        <v/>
      </c>
      <c r="N251">
        <f>IF('01_Master_Data'!B251="","",IF(LOWER(TRIM('01_Master_Data'!X251&amp;""))="yes",1,0))</f>
        <v/>
      </c>
      <c r="O251">
        <f>IF('01_Master_Data'!B251="","",IF(LOWER(TRIM('01_Master_Data'!Y251&amp;""))="yes",1,0))</f>
        <v/>
      </c>
      <c r="P251">
        <f>IF('01_Master_Data'!B251="","",IF(LOWER(TRIM('01_Master_Data'!Z251&amp;""))="yes",1,0))</f>
        <v/>
      </c>
      <c r="Q251">
        <f>IF(A251="","",L251+M251+N251+O251+P251)</f>
        <v/>
      </c>
      <c r="R251">
        <f>IF(A251="","",IF(Q251&gt;1,"Yes","No"))</f>
        <v/>
      </c>
      <c r="S251">
        <f>IF(A251="","",TEXTJOIN(", ",TRUE,IF(L251=1,"ICICI",""),IF(M251=1,"Propelld",""),IF(N251=1,"Study4Buddy",""),IF(O251=1,"Poonawala Fincorp",""),IF(P251=1,"GyanDhan","")))</f>
        <v/>
      </c>
      <c r="T251">
        <f>IF(A251="","",IF(L251=1,"ICICI",IF(M251=1,"Propelld",IF(P251=1,"GyanDhan",IF(N251=1,"Study4Buddy",IF(O251=1,"Poonawala Fincorp",IF(ISNUMBER(SEARCH("GyanDhan",W251&amp;"")),"GyanDhan",IF(ISNUMBER(SEARCH("Icici",W251&amp;"")),"ICICI",IF(ISNUMBER(SEARCH("Propelld",W251&amp;"")),"Propelld",IF(ISNUMBER(SEARCH("vidyalakshmi",LOWER(W251&amp;"")),"PM Vidyalakshmi","—"))))))))))</f>
        <v/>
      </c>
      <c r="U251">
        <f>IF(A251="","",TRIM('01_Master_Data'!AA251&amp;""))</f>
        <v/>
      </c>
      <c r="V251">
        <f>IF(A251="","",TRIM('01_Master_Data'!AG251&amp;""))</f>
        <v/>
      </c>
      <c r="W251">
        <f>IF(A251="","",TRIM('01_Master_Data'!AH251&amp;""))</f>
        <v/>
      </c>
      <c r="X251">
        <f>IF(A251="","",IF(OR(LOWER(H251)="refund",LOWER(U251)="refund case"),"Refund",IF(OR(LOWER(H251)="dnp",LOWER(U251)="dnp"),"DNP",IF(OR(LOWER(V251)="disbursed",ISNUMBER(SEARCH("Disbursed",W251&amp;""))),"Disbursed",IF(OR(LOWER(V251)="loan proccessed/accepted",ISNUMBER(SEARCH("sanctioned",LOWER(W251&amp;"")))),"Sanctioned",IF(OR(LOWER(V251)="rejected",ISNUMBER(SEARCH("Not eligbile",W251&amp;"")),ISNUMBER(SEARCH("Not eligible",W251&amp;""))),"Rejected",IF(ISNUMBER(SEARCH("Docs Pending",W251&amp;"")),"Documents Pending",IF(AND(LOWER(H251)="yes",LOWER(V251)="ongoing"),"Processing",IF(AND(LOWER(H251)="yes",Q251&gt;0,OR(V251="",LOWER(V251)="not even started")),"Vendor Assigned",IF(AND(LOWER(H251)="yes",LOWER(V251)="not even started"),"Need Loan",IF(LOWER(H251)="yes","Loan Started",IF(LOWER(H251)="not sure","Interested",IF(OR(LOWER(H251)="no",LOWER(V251)="not required"),"Not Required","Unclassified")))))))))))))</f>
        <v/>
      </c>
      <c r="Y251">
        <f>IF(A251="","",IF(OR(X251="Sanctioned",X251="Disbursed",X251="Approved"),"Approved",IF(X251="Rejected","Rejected",IF(OR(X251="Processing",X251="Documents Pending",X251="Vendor Assigned"),"In Progress",IF(X251="Need Loan","Pending Start","—"))))</f>
        <v/>
      </c>
      <c r="Z251">
        <f>IF(A251="","",IF(X251="Disbursed","Disbursed",IF(X251="Sanctioned","Sanctioned - Awaiting Disbursement","Not Disbursed")))</f>
        <v/>
      </c>
      <c r="AA251">
        <f>IF(A251="","",IF(LOWER(TRIM('01_Master_Data'!AI251&amp;""))="yes","Need FLDG",IF(LOWER(TRIM('01_Master_Data'!AK251&amp;""))="yes","Need Vidyalakshmi",IF(LOWER(TRIM('01_Master_Data'!AJ251&amp;""))="yes","Need Review",IF(LOWER(J251)="critical","Critical",IF(LOWER(U251)="risk","Risk Case",IF(X251="Refund","Refund","Normal")))))))</f>
        <v/>
      </c>
      <c r="AB251">
        <f>IF(A251="","",IF(OR(LOWER(J251)="critical",LOWER(TRIM('01_Master_Data'!AI251&amp;""))="yes",LOWER(TRIM('01_Master_Data'!AK251&amp;""))="yes",LOWER(U251)="risk"),"Yes","No"))</f>
        <v/>
      </c>
      <c r="AC251">
        <f>IF(A251="","",IF(LOWER(TRIM('01_Master_Data'!AI251&amp;""))="yes","Yes","No"))</f>
        <v/>
      </c>
      <c r="AD251">
        <f>IF(A251="","",IF(LOWER(TRIM('01_Master_Data'!AK251&amp;""))="yes","Yes","No"))</f>
        <v/>
      </c>
      <c r="AE251">
        <f>IF(A251="","",IF(LOWER(TRIM('01_Master_Data'!AJ251&amp;""))="yes","Yes","No"))</f>
        <v/>
      </c>
      <c r="AF251">
        <f>IF(A251="","",TRIM('01_Master_Data'!AL251&amp;""))</f>
        <v/>
      </c>
      <c r="AG251">
        <f>IF(A251="","",IF(AF251="","—",IF(ISNUMBER(SEARCH("DNP",AF251)),"Unreachable / DNP",IF(ISNUMBER(SEARCH("interest",LOWER(AF251))),"High Interest / Terms",IF(OR(ISNUMBER(SEARCH("eligib",LOWER(AF251))),ISNUMBER(SEARCH("income",LOWER(AF251)))),"Eligibility / Income",IF(OR(ISNUMBER(SEARCH("start",LOWER(AF251))),ISNUMBER(SEARCH("Newer",AF251)),ISNUMBER(SEARCH("Will start",AF251))),"Process Yet to Start",IF(ISNUMBER(SEARCH("sure",LOWER(AF251))),"Undecided",IF(OR(ISNUMBER(SEARCH("reject",LOWER(AF251))),ISNUMBER(SEARCH("SBI",AF251))),"Rejected Elsewhere",IF(ISNUMBER(SEARCH("call",LOWER(AF251))),"Bank Communication",IF(OR(ISNUMBER(SEARCH("father",LOWER(AF251))),ISNUMBER(SEARCH("sister",LOWER(AF251)))),"Family / Dependency","Other"))))))))))</f>
        <v/>
      </c>
      <c r="AH251">
        <f>IF(A251="","",'01_Master_Data'!AC251)</f>
        <v/>
      </c>
      <c r="AI251">
        <f>IF(A251="","",IF(OR(AH251="",NOT(ISNUMBER(AH251))),"",MAX(0,'02_Configuration'!$B$82-AH251)))</f>
        <v/>
      </c>
      <c r="AJ251">
        <f>IF(A251="","",IF(AI251="","Unknown",IF(AI251&lt;=3,"0–3 Days",IF(AI251&lt;=7,"4–7 Days",IF(AI251&lt;=15,"8–15 Days",IF(AI251&lt;=30,"16–30 Days","30+ Days"))))))</f>
        <v/>
      </c>
      <c r="AK251">
        <f>IF(A251="","",IF(LOWER(H251)="yes","Yes","No"))</f>
        <v/>
      </c>
      <c r="AL251">
        <f>IF(A251="","",'01_Master_Data'!T251)</f>
        <v/>
      </c>
      <c r="AM251">
        <f>IF(A251="","",'01_Master_Data'!S251)</f>
        <v/>
      </c>
      <c r="AN251">
        <f>IF(A251="","",'01_Master_Data'!I251)</f>
        <v/>
      </c>
      <c r="AO251">
        <f>IF(A251="","",'01_Master_Data'!M251)</f>
        <v/>
      </c>
      <c r="AP251">
        <f>IF(A251="","",IF(ISNUMBER(SEARCH("Icici",W251&amp;"")),1,0))</f>
        <v/>
      </c>
      <c r="AQ251">
        <f>IF(A251="","",IF(ISNUMBER(SEARCH("Propelld",W251&amp;"")),1,0))</f>
        <v/>
      </c>
      <c r="AR251">
        <f>IF(A251="","",IF(ISNUMBER(SEARCH("GyanDhan",W251&amp;"")),1,0))</f>
        <v/>
      </c>
      <c r="AS251">
        <f>IF(A251="","",IF(ISNUMBER(SEARCH("vidyalakshmi",LOWER(W251&amp;""))),1,0))</f>
        <v/>
      </c>
      <c r="AT251">
        <f>IF(A251="","",IF(ISNUMBER(SEARCH("other bank",LOWER(W251&amp;""))),1,0))</f>
        <v/>
      </c>
      <c r="AU251">
        <f>IF(A251="","",IF(ISNUMBER(SEARCH("sanctioned",LOWER(W251&amp;""))),1,0))</f>
        <v/>
      </c>
      <c r="AV251">
        <f>IF(A251="","",IF(ISNUMBER(SEARCH("Docs Pending",W251&amp;"")),1,0))</f>
        <v/>
      </c>
      <c r="AW251">
        <f>IF(A251="","",IF(OR(X251="Rejected",ISNUMBER(SEARCH("Not eligbile",W251&amp;""))),1,0))</f>
        <v/>
      </c>
    </row>
    <row r="252">
      <c r="A252">
        <f>IF('01_Master_Data'!B252="","",251)</f>
        <v/>
      </c>
      <c r="B252">
        <f>IF('01_Master_Data'!B252="","",IF('01_Master_Data'!C252&lt;&gt;"","MOB|"&amp;TEXT('01_Master_Data'!C252,"0"),IF('01_Master_Data'!D252&lt;&gt;"","PID|"&amp;TRIM('01_Master_Data'!D252&amp;""),"")))</f>
        <v/>
      </c>
      <c r="C252">
        <f>IF('01_Master_Data'!B252="","",'01_Master_Data'!B252)</f>
        <v/>
      </c>
      <c r="D252">
        <f>IF('01_Master_Data'!B252="","",'01_Master_Data'!C252)</f>
        <v/>
      </c>
      <c r="E252">
        <f>IF('01_Master_Data'!B252="","",'01_Master_Data'!D252)</f>
        <v/>
      </c>
      <c r="F252">
        <f>IF('01_Master_Data'!B252="","",'01_Master_Data'!E252)</f>
        <v/>
      </c>
      <c r="G252">
        <f>IF('01_Master_Data'!B252="","",IFERROR(VLOOKUP(TRIM('01_Master_Data'!E252&amp;""),'02_Configuration'!$A$40:$B$44,2,FALSE),UPPER(TRIM('01_Master_Data'!E252&amp;""))))</f>
        <v/>
      </c>
      <c r="H252">
        <f>IF('01_Master_Data'!B252="","",IF('01_Master_Data'!U252="","",TRIM('01_Master_Data'!U252&amp;"")))</f>
        <v/>
      </c>
      <c r="I252">
        <f>IF('01_Master_Data'!B252="","",TRIM('01_Master_Data'!F252&amp;""))</f>
        <v/>
      </c>
      <c r="J252">
        <f>IF('01_Master_Data'!B252="","",TRIM('01_Master_Data'!G252&amp;""))</f>
        <v/>
      </c>
      <c r="K252">
        <f>IF('01_Master_Data'!B252="","",'01_Master_Data'!H252)</f>
        <v/>
      </c>
      <c r="L252">
        <f>IF('01_Master_Data'!B252="","",IF(LOWER(TRIM('01_Master_Data'!V252&amp;""))="yes",1,0))</f>
        <v/>
      </c>
      <c r="M252">
        <f>IF('01_Master_Data'!B252="","",IF(LOWER(TRIM('01_Master_Data'!W252&amp;""))="yes",1,0))</f>
        <v/>
      </c>
      <c r="N252">
        <f>IF('01_Master_Data'!B252="","",IF(LOWER(TRIM('01_Master_Data'!X252&amp;""))="yes",1,0))</f>
        <v/>
      </c>
      <c r="O252">
        <f>IF('01_Master_Data'!B252="","",IF(LOWER(TRIM('01_Master_Data'!Y252&amp;""))="yes",1,0))</f>
        <v/>
      </c>
      <c r="P252">
        <f>IF('01_Master_Data'!B252="","",IF(LOWER(TRIM('01_Master_Data'!Z252&amp;""))="yes",1,0))</f>
        <v/>
      </c>
      <c r="Q252">
        <f>IF(A252="","",L252+M252+N252+O252+P252)</f>
        <v/>
      </c>
      <c r="R252">
        <f>IF(A252="","",IF(Q252&gt;1,"Yes","No"))</f>
        <v/>
      </c>
      <c r="S252">
        <f>IF(A252="","",TEXTJOIN(", ",TRUE,IF(L252=1,"ICICI",""),IF(M252=1,"Propelld",""),IF(N252=1,"Study4Buddy",""),IF(O252=1,"Poonawala Fincorp",""),IF(P252=1,"GyanDhan","")))</f>
        <v/>
      </c>
      <c r="T252">
        <f>IF(A252="","",IF(L252=1,"ICICI",IF(M252=1,"Propelld",IF(P252=1,"GyanDhan",IF(N252=1,"Study4Buddy",IF(O252=1,"Poonawala Fincorp",IF(ISNUMBER(SEARCH("GyanDhan",W252&amp;"")),"GyanDhan",IF(ISNUMBER(SEARCH("Icici",W252&amp;"")),"ICICI",IF(ISNUMBER(SEARCH("Propelld",W252&amp;"")),"Propelld",IF(ISNUMBER(SEARCH("vidyalakshmi",LOWER(W252&amp;"")),"PM Vidyalakshmi","—"))))))))))</f>
        <v/>
      </c>
      <c r="U252">
        <f>IF(A252="","",TRIM('01_Master_Data'!AA252&amp;""))</f>
        <v/>
      </c>
      <c r="V252">
        <f>IF(A252="","",TRIM('01_Master_Data'!AG252&amp;""))</f>
        <v/>
      </c>
      <c r="W252">
        <f>IF(A252="","",TRIM('01_Master_Data'!AH252&amp;""))</f>
        <v/>
      </c>
      <c r="X252">
        <f>IF(A252="","",IF(OR(LOWER(H252)="refund",LOWER(U252)="refund case"),"Refund",IF(OR(LOWER(H252)="dnp",LOWER(U252)="dnp"),"DNP",IF(OR(LOWER(V252)="disbursed",ISNUMBER(SEARCH("Disbursed",W252&amp;""))),"Disbursed",IF(OR(LOWER(V252)="loan proccessed/accepted",ISNUMBER(SEARCH("sanctioned",LOWER(W252&amp;"")))),"Sanctioned",IF(OR(LOWER(V252)="rejected",ISNUMBER(SEARCH("Not eligbile",W252&amp;"")),ISNUMBER(SEARCH("Not eligible",W252&amp;""))),"Rejected",IF(ISNUMBER(SEARCH("Docs Pending",W252&amp;"")),"Documents Pending",IF(AND(LOWER(H252)="yes",LOWER(V252)="ongoing"),"Processing",IF(AND(LOWER(H252)="yes",Q252&gt;0,OR(V252="",LOWER(V252)="not even started")),"Vendor Assigned",IF(AND(LOWER(H252)="yes",LOWER(V252)="not even started"),"Need Loan",IF(LOWER(H252)="yes","Loan Started",IF(LOWER(H252)="not sure","Interested",IF(OR(LOWER(H252)="no",LOWER(V252)="not required"),"Not Required","Unclassified")))))))))))))</f>
        <v/>
      </c>
      <c r="Y252">
        <f>IF(A252="","",IF(OR(X252="Sanctioned",X252="Disbursed",X252="Approved"),"Approved",IF(X252="Rejected","Rejected",IF(OR(X252="Processing",X252="Documents Pending",X252="Vendor Assigned"),"In Progress",IF(X252="Need Loan","Pending Start","—"))))</f>
        <v/>
      </c>
      <c r="Z252">
        <f>IF(A252="","",IF(X252="Disbursed","Disbursed",IF(X252="Sanctioned","Sanctioned - Awaiting Disbursement","Not Disbursed")))</f>
        <v/>
      </c>
      <c r="AA252">
        <f>IF(A252="","",IF(LOWER(TRIM('01_Master_Data'!AI252&amp;""))="yes","Need FLDG",IF(LOWER(TRIM('01_Master_Data'!AK252&amp;""))="yes","Need Vidyalakshmi",IF(LOWER(TRIM('01_Master_Data'!AJ252&amp;""))="yes","Need Review",IF(LOWER(J252)="critical","Critical",IF(LOWER(U252)="risk","Risk Case",IF(X252="Refund","Refund","Normal")))))))</f>
        <v/>
      </c>
      <c r="AB252">
        <f>IF(A252="","",IF(OR(LOWER(J252)="critical",LOWER(TRIM('01_Master_Data'!AI252&amp;""))="yes",LOWER(TRIM('01_Master_Data'!AK252&amp;""))="yes",LOWER(U252)="risk"),"Yes","No"))</f>
        <v/>
      </c>
      <c r="AC252">
        <f>IF(A252="","",IF(LOWER(TRIM('01_Master_Data'!AI252&amp;""))="yes","Yes","No"))</f>
        <v/>
      </c>
      <c r="AD252">
        <f>IF(A252="","",IF(LOWER(TRIM('01_Master_Data'!AK252&amp;""))="yes","Yes","No"))</f>
        <v/>
      </c>
      <c r="AE252">
        <f>IF(A252="","",IF(LOWER(TRIM('01_Master_Data'!AJ252&amp;""))="yes","Yes","No"))</f>
        <v/>
      </c>
      <c r="AF252">
        <f>IF(A252="","",TRIM('01_Master_Data'!AL252&amp;""))</f>
        <v/>
      </c>
      <c r="AG252">
        <f>IF(A252="","",IF(AF252="","—",IF(ISNUMBER(SEARCH("DNP",AF252)),"Unreachable / DNP",IF(ISNUMBER(SEARCH("interest",LOWER(AF252))),"High Interest / Terms",IF(OR(ISNUMBER(SEARCH("eligib",LOWER(AF252))),ISNUMBER(SEARCH("income",LOWER(AF252)))),"Eligibility / Income",IF(OR(ISNUMBER(SEARCH("start",LOWER(AF252))),ISNUMBER(SEARCH("Newer",AF252)),ISNUMBER(SEARCH("Will start",AF252))),"Process Yet to Start",IF(ISNUMBER(SEARCH("sure",LOWER(AF252))),"Undecided",IF(OR(ISNUMBER(SEARCH("reject",LOWER(AF252))),ISNUMBER(SEARCH("SBI",AF252))),"Rejected Elsewhere",IF(ISNUMBER(SEARCH("call",LOWER(AF252))),"Bank Communication",IF(OR(ISNUMBER(SEARCH("father",LOWER(AF252))),ISNUMBER(SEARCH("sister",LOWER(AF252)))),"Family / Dependency","Other"))))))))))</f>
        <v/>
      </c>
      <c r="AH252">
        <f>IF(A252="","",'01_Master_Data'!AC252)</f>
        <v/>
      </c>
      <c r="AI252">
        <f>IF(A252="","",IF(OR(AH252="",NOT(ISNUMBER(AH252))),"",MAX(0,'02_Configuration'!$B$82-AH252)))</f>
        <v/>
      </c>
      <c r="AJ252">
        <f>IF(A252="","",IF(AI252="","Unknown",IF(AI252&lt;=3,"0–3 Days",IF(AI252&lt;=7,"4–7 Days",IF(AI252&lt;=15,"8–15 Days",IF(AI252&lt;=30,"16–30 Days","30+ Days"))))))</f>
        <v/>
      </c>
      <c r="AK252">
        <f>IF(A252="","",IF(LOWER(H252)="yes","Yes","No"))</f>
        <v/>
      </c>
      <c r="AL252">
        <f>IF(A252="","",'01_Master_Data'!T252)</f>
        <v/>
      </c>
      <c r="AM252">
        <f>IF(A252="","",'01_Master_Data'!S252)</f>
        <v/>
      </c>
      <c r="AN252">
        <f>IF(A252="","",'01_Master_Data'!I252)</f>
        <v/>
      </c>
      <c r="AO252">
        <f>IF(A252="","",'01_Master_Data'!M252)</f>
        <v/>
      </c>
      <c r="AP252">
        <f>IF(A252="","",IF(ISNUMBER(SEARCH("Icici",W252&amp;"")),1,0))</f>
        <v/>
      </c>
      <c r="AQ252">
        <f>IF(A252="","",IF(ISNUMBER(SEARCH("Propelld",W252&amp;"")),1,0))</f>
        <v/>
      </c>
      <c r="AR252">
        <f>IF(A252="","",IF(ISNUMBER(SEARCH("GyanDhan",W252&amp;"")),1,0))</f>
        <v/>
      </c>
      <c r="AS252">
        <f>IF(A252="","",IF(ISNUMBER(SEARCH("vidyalakshmi",LOWER(W252&amp;""))),1,0))</f>
        <v/>
      </c>
      <c r="AT252">
        <f>IF(A252="","",IF(ISNUMBER(SEARCH("other bank",LOWER(W252&amp;""))),1,0))</f>
        <v/>
      </c>
      <c r="AU252">
        <f>IF(A252="","",IF(ISNUMBER(SEARCH("sanctioned",LOWER(W252&amp;""))),1,0))</f>
        <v/>
      </c>
      <c r="AV252">
        <f>IF(A252="","",IF(ISNUMBER(SEARCH("Docs Pending",W252&amp;"")),1,0))</f>
        <v/>
      </c>
      <c r="AW252">
        <f>IF(A252="","",IF(OR(X252="Rejected",ISNUMBER(SEARCH("Not eligbile",W252&amp;""))),1,0))</f>
        <v/>
      </c>
    </row>
    <row r="253">
      <c r="A253">
        <f>IF('01_Master_Data'!B253="","",252)</f>
        <v/>
      </c>
      <c r="B253">
        <f>IF('01_Master_Data'!B253="","",IF('01_Master_Data'!C253&lt;&gt;"","MOB|"&amp;TEXT('01_Master_Data'!C253,"0"),IF('01_Master_Data'!D253&lt;&gt;"","PID|"&amp;TRIM('01_Master_Data'!D253&amp;""),"")))</f>
        <v/>
      </c>
      <c r="C253">
        <f>IF('01_Master_Data'!B253="","",'01_Master_Data'!B253)</f>
        <v/>
      </c>
      <c r="D253">
        <f>IF('01_Master_Data'!B253="","",'01_Master_Data'!C253)</f>
        <v/>
      </c>
      <c r="E253">
        <f>IF('01_Master_Data'!B253="","",'01_Master_Data'!D253)</f>
        <v/>
      </c>
      <c r="F253">
        <f>IF('01_Master_Data'!B253="","",'01_Master_Data'!E253)</f>
        <v/>
      </c>
      <c r="G253">
        <f>IF('01_Master_Data'!B253="","",IFERROR(VLOOKUP(TRIM('01_Master_Data'!E253&amp;""),'02_Configuration'!$A$40:$B$44,2,FALSE),UPPER(TRIM('01_Master_Data'!E253&amp;""))))</f>
        <v/>
      </c>
      <c r="H253">
        <f>IF('01_Master_Data'!B253="","",IF('01_Master_Data'!U253="","",TRIM('01_Master_Data'!U253&amp;"")))</f>
        <v/>
      </c>
      <c r="I253">
        <f>IF('01_Master_Data'!B253="","",TRIM('01_Master_Data'!F253&amp;""))</f>
        <v/>
      </c>
      <c r="J253">
        <f>IF('01_Master_Data'!B253="","",TRIM('01_Master_Data'!G253&amp;""))</f>
        <v/>
      </c>
      <c r="K253">
        <f>IF('01_Master_Data'!B253="","",'01_Master_Data'!H253)</f>
        <v/>
      </c>
      <c r="L253">
        <f>IF('01_Master_Data'!B253="","",IF(LOWER(TRIM('01_Master_Data'!V253&amp;""))="yes",1,0))</f>
        <v/>
      </c>
      <c r="M253">
        <f>IF('01_Master_Data'!B253="","",IF(LOWER(TRIM('01_Master_Data'!W253&amp;""))="yes",1,0))</f>
        <v/>
      </c>
      <c r="N253">
        <f>IF('01_Master_Data'!B253="","",IF(LOWER(TRIM('01_Master_Data'!X253&amp;""))="yes",1,0))</f>
        <v/>
      </c>
      <c r="O253">
        <f>IF('01_Master_Data'!B253="","",IF(LOWER(TRIM('01_Master_Data'!Y253&amp;""))="yes",1,0))</f>
        <v/>
      </c>
      <c r="P253">
        <f>IF('01_Master_Data'!B253="","",IF(LOWER(TRIM('01_Master_Data'!Z253&amp;""))="yes",1,0))</f>
        <v/>
      </c>
      <c r="Q253">
        <f>IF(A253="","",L253+M253+N253+O253+P253)</f>
        <v/>
      </c>
      <c r="R253">
        <f>IF(A253="","",IF(Q253&gt;1,"Yes","No"))</f>
        <v/>
      </c>
      <c r="S253">
        <f>IF(A253="","",TEXTJOIN(", ",TRUE,IF(L253=1,"ICICI",""),IF(M253=1,"Propelld",""),IF(N253=1,"Study4Buddy",""),IF(O253=1,"Poonawala Fincorp",""),IF(P253=1,"GyanDhan","")))</f>
        <v/>
      </c>
      <c r="T253">
        <f>IF(A253="","",IF(L253=1,"ICICI",IF(M253=1,"Propelld",IF(P253=1,"GyanDhan",IF(N253=1,"Study4Buddy",IF(O253=1,"Poonawala Fincorp",IF(ISNUMBER(SEARCH("GyanDhan",W253&amp;"")),"GyanDhan",IF(ISNUMBER(SEARCH("Icici",W253&amp;"")),"ICICI",IF(ISNUMBER(SEARCH("Propelld",W253&amp;"")),"Propelld",IF(ISNUMBER(SEARCH("vidyalakshmi",LOWER(W253&amp;"")),"PM Vidyalakshmi","—"))))))))))</f>
        <v/>
      </c>
      <c r="U253">
        <f>IF(A253="","",TRIM('01_Master_Data'!AA253&amp;""))</f>
        <v/>
      </c>
      <c r="V253">
        <f>IF(A253="","",TRIM('01_Master_Data'!AG253&amp;""))</f>
        <v/>
      </c>
      <c r="W253">
        <f>IF(A253="","",TRIM('01_Master_Data'!AH253&amp;""))</f>
        <v/>
      </c>
      <c r="X253">
        <f>IF(A253="","",IF(OR(LOWER(H253)="refund",LOWER(U253)="refund case"),"Refund",IF(OR(LOWER(H253)="dnp",LOWER(U253)="dnp"),"DNP",IF(OR(LOWER(V253)="disbursed",ISNUMBER(SEARCH("Disbursed",W253&amp;""))),"Disbursed",IF(OR(LOWER(V253)="loan proccessed/accepted",ISNUMBER(SEARCH("sanctioned",LOWER(W253&amp;"")))),"Sanctioned",IF(OR(LOWER(V253)="rejected",ISNUMBER(SEARCH("Not eligbile",W253&amp;"")),ISNUMBER(SEARCH("Not eligible",W253&amp;""))),"Rejected",IF(ISNUMBER(SEARCH("Docs Pending",W253&amp;"")),"Documents Pending",IF(AND(LOWER(H253)="yes",LOWER(V253)="ongoing"),"Processing",IF(AND(LOWER(H253)="yes",Q253&gt;0,OR(V253="",LOWER(V253)="not even started")),"Vendor Assigned",IF(AND(LOWER(H253)="yes",LOWER(V253)="not even started"),"Need Loan",IF(LOWER(H253)="yes","Loan Started",IF(LOWER(H253)="not sure","Interested",IF(OR(LOWER(H253)="no",LOWER(V253)="not required"),"Not Required","Unclassified")))))))))))))</f>
        <v/>
      </c>
      <c r="Y253">
        <f>IF(A253="","",IF(OR(X253="Sanctioned",X253="Disbursed",X253="Approved"),"Approved",IF(X253="Rejected","Rejected",IF(OR(X253="Processing",X253="Documents Pending",X253="Vendor Assigned"),"In Progress",IF(X253="Need Loan","Pending Start","—"))))</f>
        <v/>
      </c>
      <c r="Z253">
        <f>IF(A253="","",IF(X253="Disbursed","Disbursed",IF(X253="Sanctioned","Sanctioned - Awaiting Disbursement","Not Disbursed")))</f>
        <v/>
      </c>
      <c r="AA253">
        <f>IF(A253="","",IF(LOWER(TRIM('01_Master_Data'!AI253&amp;""))="yes","Need FLDG",IF(LOWER(TRIM('01_Master_Data'!AK253&amp;""))="yes","Need Vidyalakshmi",IF(LOWER(TRIM('01_Master_Data'!AJ253&amp;""))="yes","Need Review",IF(LOWER(J253)="critical","Critical",IF(LOWER(U253)="risk","Risk Case",IF(X253="Refund","Refund","Normal")))))))</f>
        <v/>
      </c>
      <c r="AB253">
        <f>IF(A253="","",IF(OR(LOWER(J253)="critical",LOWER(TRIM('01_Master_Data'!AI253&amp;""))="yes",LOWER(TRIM('01_Master_Data'!AK253&amp;""))="yes",LOWER(U253)="risk"),"Yes","No"))</f>
        <v/>
      </c>
      <c r="AC253">
        <f>IF(A253="","",IF(LOWER(TRIM('01_Master_Data'!AI253&amp;""))="yes","Yes","No"))</f>
        <v/>
      </c>
      <c r="AD253">
        <f>IF(A253="","",IF(LOWER(TRIM('01_Master_Data'!AK253&amp;""))="yes","Yes","No"))</f>
        <v/>
      </c>
      <c r="AE253">
        <f>IF(A253="","",IF(LOWER(TRIM('01_Master_Data'!AJ253&amp;""))="yes","Yes","No"))</f>
        <v/>
      </c>
      <c r="AF253">
        <f>IF(A253="","",TRIM('01_Master_Data'!AL253&amp;""))</f>
        <v/>
      </c>
      <c r="AG253">
        <f>IF(A253="","",IF(AF253="","—",IF(ISNUMBER(SEARCH("DNP",AF253)),"Unreachable / DNP",IF(ISNUMBER(SEARCH("interest",LOWER(AF253))),"High Interest / Terms",IF(OR(ISNUMBER(SEARCH("eligib",LOWER(AF253))),ISNUMBER(SEARCH("income",LOWER(AF253)))),"Eligibility / Income",IF(OR(ISNUMBER(SEARCH("start",LOWER(AF253))),ISNUMBER(SEARCH("Newer",AF253)),ISNUMBER(SEARCH("Will start",AF253))),"Process Yet to Start",IF(ISNUMBER(SEARCH("sure",LOWER(AF253))),"Undecided",IF(OR(ISNUMBER(SEARCH("reject",LOWER(AF253))),ISNUMBER(SEARCH("SBI",AF253))),"Rejected Elsewhere",IF(ISNUMBER(SEARCH("call",LOWER(AF253))),"Bank Communication",IF(OR(ISNUMBER(SEARCH("father",LOWER(AF253))),ISNUMBER(SEARCH("sister",LOWER(AF253)))),"Family / Dependency","Other"))))))))))</f>
        <v/>
      </c>
      <c r="AH253">
        <f>IF(A253="","",'01_Master_Data'!AC253)</f>
        <v/>
      </c>
      <c r="AI253">
        <f>IF(A253="","",IF(OR(AH253="",NOT(ISNUMBER(AH253))),"",MAX(0,'02_Configuration'!$B$82-AH253)))</f>
        <v/>
      </c>
      <c r="AJ253">
        <f>IF(A253="","",IF(AI253="","Unknown",IF(AI253&lt;=3,"0–3 Days",IF(AI253&lt;=7,"4–7 Days",IF(AI253&lt;=15,"8–15 Days",IF(AI253&lt;=30,"16–30 Days","30+ Days"))))))</f>
        <v/>
      </c>
      <c r="AK253">
        <f>IF(A253="","",IF(LOWER(H253)="yes","Yes","No"))</f>
        <v/>
      </c>
      <c r="AL253">
        <f>IF(A253="","",'01_Master_Data'!T253)</f>
        <v/>
      </c>
      <c r="AM253">
        <f>IF(A253="","",'01_Master_Data'!S253)</f>
        <v/>
      </c>
      <c r="AN253">
        <f>IF(A253="","",'01_Master_Data'!I253)</f>
        <v/>
      </c>
      <c r="AO253">
        <f>IF(A253="","",'01_Master_Data'!M253)</f>
        <v/>
      </c>
      <c r="AP253">
        <f>IF(A253="","",IF(ISNUMBER(SEARCH("Icici",W253&amp;"")),1,0))</f>
        <v/>
      </c>
      <c r="AQ253">
        <f>IF(A253="","",IF(ISNUMBER(SEARCH("Propelld",W253&amp;"")),1,0))</f>
        <v/>
      </c>
      <c r="AR253">
        <f>IF(A253="","",IF(ISNUMBER(SEARCH("GyanDhan",W253&amp;"")),1,0))</f>
        <v/>
      </c>
      <c r="AS253">
        <f>IF(A253="","",IF(ISNUMBER(SEARCH("vidyalakshmi",LOWER(W253&amp;""))),1,0))</f>
        <v/>
      </c>
      <c r="AT253">
        <f>IF(A253="","",IF(ISNUMBER(SEARCH("other bank",LOWER(W253&amp;""))),1,0))</f>
        <v/>
      </c>
      <c r="AU253">
        <f>IF(A253="","",IF(ISNUMBER(SEARCH("sanctioned",LOWER(W253&amp;""))),1,0))</f>
        <v/>
      </c>
      <c r="AV253">
        <f>IF(A253="","",IF(ISNUMBER(SEARCH("Docs Pending",W253&amp;"")),1,0))</f>
        <v/>
      </c>
      <c r="AW253">
        <f>IF(A253="","",IF(OR(X253="Rejected",ISNUMBER(SEARCH("Not eligbile",W253&amp;""))),1,0))</f>
        <v/>
      </c>
    </row>
    <row r="254">
      <c r="A254">
        <f>IF('01_Master_Data'!B254="","",253)</f>
        <v/>
      </c>
      <c r="B254">
        <f>IF('01_Master_Data'!B254="","",IF('01_Master_Data'!C254&lt;&gt;"","MOB|"&amp;TEXT('01_Master_Data'!C254,"0"),IF('01_Master_Data'!D254&lt;&gt;"","PID|"&amp;TRIM('01_Master_Data'!D254&amp;""),"")))</f>
        <v/>
      </c>
      <c r="C254">
        <f>IF('01_Master_Data'!B254="","",'01_Master_Data'!B254)</f>
        <v/>
      </c>
      <c r="D254">
        <f>IF('01_Master_Data'!B254="","",'01_Master_Data'!C254)</f>
        <v/>
      </c>
      <c r="E254">
        <f>IF('01_Master_Data'!B254="","",'01_Master_Data'!D254)</f>
        <v/>
      </c>
      <c r="F254">
        <f>IF('01_Master_Data'!B254="","",'01_Master_Data'!E254)</f>
        <v/>
      </c>
      <c r="G254">
        <f>IF('01_Master_Data'!B254="","",IFERROR(VLOOKUP(TRIM('01_Master_Data'!E254&amp;""),'02_Configuration'!$A$40:$B$44,2,FALSE),UPPER(TRIM('01_Master_Data'!E254&amp;""))))</f>
        <v/>
      </c>
      <c r="H254">
        <f>IF('01_Master_Data'!B254="","",IF('01_Master_Data'!U254="","",TRIM('01_Master_Data'!U254&amp;"")))</f>
        <v/>
      </c>
      <c r="I254">
        <f>IF('01_Master_Data'!B254="","",TRIM('01_Master_Data'!F254&amp;""))</f>
        <v/>
      </c>
      <c r="J254">
        <f>IF('01_Master_Data'!B254="","",TRIM('01_Master_Data'!G254&amp;""))</f>
        <v/>
      </c>
      <c r="K254">
        <f>IF('01_Master_Data'!B254="","",'01_Master_Data'!H254)</f>
        <v/>
      </c>
      <c r="L254">
        <f>IF('01_Master_Data'!B254="","",IF(LOWER(TRIM('01_Master_Data'!V254&amp;""))="yes",1,0))</f>
        <v/>
      </c>
      <c r="M254">
        <f>IF('01_Master_Data'!B254="","",IF(LOWER(TRIM('01_Master_Data'!W254&amp;""))="yes",1,0))</f>
        <v/>
      </c>
      <c r="N254">
        <f>IF('01_Master_Data'!B254="","",IF(LOWER(TRIM('01_Master_Data'!X254&amp;""))="yes",1,0))</f>
        <v/>
      </c>
      <c r="O254">
        <f>IF('01_Master_Data'!B254="","",IF(LOWER(TRIM('01_Master_Data'!Y254&amp;""))="yes",1,0))</f>
        <v/>
      </c>
      <c r="P254">
        <f>IF('01_Master_Data'!B254="","",IF(LOWER(TRIM('01_Master_Data'!Z254&amp;""))="yes",1,0))</f>
        <v/>
      </c>
      <c r="Q254">
        <f>IF(A254="","",L254+M254+N254+O254+P254)</f>
        <v/>
      </c>
      <c r="R254">
        <f>IF(A254="","",IF(Q254&gt;1,"Yes","No"))</f>
        <v/>
      </c>
      <c r="S254">
        <f>IF(A254="","",TEXTJOIN(", ",TRUE,IF(L254=1,"ICICI",""),IF(M254=1,"Propelld",""),IF(N254=1,"Study4Buddy",""),IF(O254=1,"Poonawala Fincorp",""),IF(P254=1,"GyanDhan","")))</f>
        <v/>
      </c>
      <c r="T254">
        <f>IF(A254="","",IF(L254=1,"ICICI",IF(M254=1,"Propelld",IF(P254=1,"GyanDhan",IF(N254=1,"Study4Buddy",IF(O254=1,"Poonawala Fincorp",IF(ISNUMBER(SEARCH("GyanDhan",W254&amp;"")),"GyanDhan",IF(ISNUMBER(SEARCH("Icici",W254&amp;"")),"ICICI",IF(ISNUMBER(SEARCH("Propelld",W254&amp;"")),"Propelld",IF(ISNUMBER(SEARCH("vidyalakshmi",LOWER(W254&amp;"")),"PM Vidyalakshmi","—"))))))))))</f>
        <v/>
      </c>
      <c r="U254">
        <f>IF(A254="","",TRIM('01_Master_Data'!AA254&amp;""))</f>
        <v/>
      </c>
      <c r="V254">
        <f>IF(A254="","",TRIM('01_Master_Data'!AG254&amp;""))</f>
        <v/>
      </c>
      <c r="W254">
        <f>IF(A254="","",TRIM('01_Master_Data'!AH254&amp;""))</f>
        <v/>
      </c>
      <c r="X254">
        <f>IF(A254="","",IF(OR(LOWER(H254)="refund",LOWER(U254)="refund case"),"Refund",IF(OR(LOWER(H254)="dnp",LOWER(U254)="dnp"),"DNP",IF(OR(LOWER(V254)="disbursed",ISNUMBER(SEARCH("Disbursed",W254&amp;""))),"Disbursed",IF(OR(LOWER(V254)="loan proccessed/accepted",ISNUMBER(SEARCH("sanctioned",LOWER(W254&amp;"")))),"Sanctioned",IF(OR(LOWER(V254)="rejected",ISNUMBER(SEARCH("Not eligbile",W254&amp;"")),ISNUMBER(SEARCH("Not eligible",W254&amp;""))),"Rejected",IF(ISNUMBER(SEARCH("Docs Pending",W254&amp;"")),"Documents Pending",IF(AND(LOWER(H254)="yes",LOWER(V254)="ongoing"),"Processing",IF(AND(LOWER(H254)="yes",Q254&gt;0,OR(V254="",LOWER(V254)="not even started")),"Vendor Assigned",IF(AND(LOWER(H254)="yes",LOWER(V254)="not even started"),"Need Loan",IF(LOWER(H254)="yes","Loan Started",IF(LOWER(H254)="not sure","Interested",IF(OR(LOWER(H254)="no",LOWER(V254)="not required"),"Not Required","Unclassified")))))))))))))</f>
        <v/>
      </c>
      <c r="Y254">
        <f>IF(A254="","",IF(OR(X254="Sanctioned",X254="Disbursed",X254="Approved"),"Approved",IF(X254="Rejected","Rejected",IF(OR(X254="Processing",X254="Documents Pending",X254="Vendor Assigned"),"In Progress",IF(X254="Need Loan","Pending Start","—"))))</f>
        <v/>
      </c>
      <c r="Z254">
        <f>IF(A254="","",IF(X254="Disbursed","Disbursed",IF(X254="Sanctioned","Sanctioned - Awaiting Disbursement","Not Disbursed")))</f>
        <v/>
      </c>
      <c r="AA254">
        <f>IF(A254="","",IF(LOWER(TRIM('01_Master_Data'!AI254&amp;""))="yes","Need FLDG",IF(LOWER(TRIM('01_Master_Data'!AK254&amp;""))="yes","Need Vidyalakshmi",IF(LOWER(TRIM('01_Master_Data'!AJ254&amp;""))="yes","Need Review",IF(LOWER(J254)="critical","Critical",IF(LOWER(U254)="risk","Risk Case",IF(X254="Refund","Refund","Normal")))))))</f>
        <v/>
      </c>
      <c r="AB254">
        <f>IF(A254="","",IF(OR(LOWER(J254)="critical",LOWER(TRIM('01_Master_Data'!AI254&amp;""))="yes",LOWER(TRIM('01_Master_Data'!AK254&amp;""))="yes",LOWER(U254)="risk"),"Yes","No"))</f>
        <v/>
      </c>
      <c r="AC254">
        <f>IF(A254="","",IF(LOWER(TRIM('01_Master_Data'!AI254&amp;""))="yes","Yes","No"))</f>
        <v/>
      </c>
      <c r="AD254">
        <f>IF(A254="","",IF(LOWER(TRIM('01_Master_Data'!AK254&amp;""))="yes","Yes","No"))</f>
        <v/>
      </c>
      <c r="AE254">
        <f>IF(A254="","",IF(LOWER(TRIM('01_Master_Data'!AJ254&amp;""))="yes","Yes","No"))</f>
        <v/>
      </c>
      <c r="AF254">
        <f>IF(A254="","",TRIM('01_Master_Data'!AL254&amp;""))</f>
        <v/>
      </c>
      <c r="AG254">
        <f>IF(A254="","",IF(AF254="","—",IF(ISNUMBER(SEARCH("DNP",AF254)),"Unreachable / DNP",IF(ISNUMBER(SEARCH("interest",LOWER(AF254))),"High Interest / Terms",IF(OR(ISNUMBER(SEARCH("eligib",LOWER(AF254))),ISNUMBER(SEARCH("income",LOWER(AF254)))),"Eligibility / Income",IF(OR(ISNUMBER(SEARCH("start",LOWER(AF254))),ISNUMBER(SEARCH("Newer",AF254)),ISNUMBER(SEARCH("Will start",AF254))),"Process Yet to Start",IF(ISNUMBER(SEARCH("sure",LOWER(AF254))),"Undecided",IF(OR(ISNUMBER(SEARCH("reject",LOWER(AF254))),ISNUMBER(SEARCH("SBI",AF254))),"Rejected Elsewhere",IF(ISNUMBER(SEARCH("call",LOWER(AF254))),"Bank Communication",IF(OR(ISNUMBER(SEARCH("father",LOWER(AF254))),ISNUMBER(SEARCH("sister",LOWER(AF254)))),"Family / Dependency","Other"))))))))))</f>
        <v/>
      </c>
      <c r="AH254">
        <f>IF(A254="","",'01_Master_Data'!AC254)</f>
        <v/>
      </c>
      <c r="AI254">
        <f>IF(A254="","",IF(OR(AH254="",NOT(ISNUMBER(AH254))),"",MAX(0,'02_Configuration'!$B$82-AH254)))</f>
        <v/>
      </c>
      <c r="AJ254">
        <f>IF(A254="","",IF(AI254="","Unknown",IF(AI254&lt;=3,"0–3 Days",IF(AI254&lt;=7,"4–7 Days",IF(AI254&lt;=15,"8–15 Days",IF(AI254&lt;=30,"16–30 Days","30+ Days"))))))</f>
        <v/>
      </c>
      <c r="AK254">
        <f>IF(A254="","",IF(LOWER(H254)="yes","Yes","No"))</f>
        <v/>
      </c>
      <c r="AL254">
        <f>IF(A254="","",'01_Master_Data'!T254)</f>
        <v/>
      </c>
      <c r="AM254">
        <f>IF(A254="","",'01_Master_Data'!S254)</f>
        <v/>
      </c>
      <c r="AN254">
        <f>IF(A254="","",'01_Master_Data'!I254)</f>
        <v/>
      </c>
      <c r="AO254">
        <f>IF(A254="","",'01_Master_Data'!M254)</f>
        <v/>
      </c>
      <c r="AP254">
        <f>IF(A254="","",IF(ISNUMBER(SEARCH("Icici",W254&amp;"")),1,0))</f>
        <v/>
      </c>
      <c r="AQ254">
        <f>IF(A254="","",IF(ISNUMBER(SEARCH("Propelld",W254&amp;"")),1,0))</f>
        <v/>
      </c>
      <c r="AR254">
        <f>IF(A254="","",IF(ISNUMBER(SEARCH("GyanDhan",W254&amp;"")),1,0))</f>
        <v/>
      </c>
      <c r="AS254">
        <f>IF(A254="","",IF(ISNUMBER(SEARCH("vidyalakshmi",LOWER(W254&amp;""))),1,0))</f>
        <v/>
      </c>
      <c r="AT254">
        <f>IF(A254="","",IF(ISNUMBER(SEARCH("other bank",LOWER(W254&amp;""))),1,0))</f>
        <v/>
      </c>
      <c r="AU254">
        <f>IF(A254="","",IF(ISNUMBER(SEARCH("sanctioned",LOWER(W254&amp;""))),1,0))</f>
        <v/>
      </c>
      <c r="AV254">
        <f>IF(A254="","",IF(ISNUMBER(SEARCH("Docs Pending",W254&amp;"")),1,0))</f>
        <v/>
      </c>
      <c r="AW254">
        <f>IF(A254="","",IF(OR(X254="Rejected",ISNUMBER(SEARCH("Not eligbile",W254&amp;""))),1,0))</f>
        <v/>
      </c>
    </row>
    <row r="255">
      <c r="A255">
        <f>IF('01_Master_Data'!B255="","",254)</f>
        <v/>
      </c>
      <c r="B255">
        <f>IF('01_Master_Data'!B255="","",IF('01_Master_Data'!C255&lt;&gt;"","MOB|"&amp;TEXT('01_Master_Data'!C255,"0"),IF('01_Master_Data'!D255&lt;&gt;"","PID|"&amp;TRIM('01_Master_Data'!D255&amp;""),"")))</f>
        <v/>
      </c>
      <c r="C255">
        <f>IF('01_Master_Data'!B255="","",'01_Master_Data'!B255)</f>
        <v/>
      </c>
      <c r="D255">
        <f>IF('01_Master_Data'!B255="","",'01_Master_Data'!C255)</f>
        <v/>
      </c>
      <c r="E255">
        <f>IF('01_Master_Data'!B255="","",'01_Master_Data'!D255)</f>
        <v/>
      </c>
      <c r="F255">
        <f>IF('01_Master_Data'!B255="","",'01_Master_Data'!E255)</f>
        <v/>
      </c>
      <c r="G255">
        <f>IF('01_Master_Data'!B255="","",IFERROR(VLOOKUP(TRIM('01_Master_Data'!E255&amp;""),'02_Configuration'!$A$40:$B$44,2,FALSE),UPPER(TRIM('01_Master_Data'!E255&amp;""))))</f>
        <v/>
      </c>
      <c r="H255">
        <f>IF('01_Master_Data'!B255="","",IF('01_Master_Data'!U255="","",TRIM('01_Master_Data'!U255&amp;"")))</f>
        <v/>
      </c>
      <c r="I255">
        <f>IF('01_Master_Data'!B255="","",TRIM('01_Master_Data'!F255&amp;""))</f>
        <v/>
      </c>
      <c r="J255">
        <f>IF('01_Master_Data'!B255="","",TRIM('01_Master_Data'!G255&amp;""))</f>
        <v/>
      </c>
      <c r="K255">
        <f>IF('01_Master_Data'!B255="","",'01_Master_Data'!H255)</f>
        <v/>
      </c>
      <c r="L255">
        <f>IF('01_Master_Data'!B255="","",IF(LOWER(TRIM('01_Master_Data'!V255&amp;""))="yes",1,0))</f>
        <v/>
      </c>
      <c r="M255">
        <f>IF('01_Master_Data'!B255="","",IF(LOWER(TRIM('01_Master_Data'!W255&amp;""))="yes",1,0))</f>
        <v/>
      </c>
      <c r="N255">
        <f>IF('01_Master_Data'!B255="","",IF(LOWER(TRIM('01_Master_Data'!X255&amp;""))="yes",1,0))</f>
        <v/>
      </c>
      <c r="O255">
        <f>IF('01_Master_Data'!B255="","",IF(LOWER(TRIM('01_Master_Data'!Y255&amp;""))="yes",1,0))</f>
        <v/>
      </c>
      <c r="P255">
        <f>IF('01_Master_Data'!B255="","",IF(LOWER(TRIM('01_Master_Data'!Z255&amp;""))="yes",1,0))</f>
        <v/>
      </c>
      <c r="Q255">
        <f>IF(A255="","",L255+M255+N255+O255+P255)</f>
        <v/>
      </c>
      <c r="R255">
        <f>IF(A255="","",IF(Q255&gt;1,"Yes","No"))</f>
        <v/>
      </c>
      <c r="S255">
        <f>IF(A255="","",TEXTJOIN(", ",TRUE,IF(L255=1,"ICICI",""),IF(M255=1,"Propelld",""),IF(N255=1,"Study4Buddy",""),IF(O255=1,"Poonawala Fincorp",""),IF(P255=1,"GyanDhan","")))</f>
        <v/>
      </c>
      <c r="T255">
        <f>IF(A255="","",IF(L255=1,"ICICI",IF(M255=1,"Propelld",IF(P255=1,"GyanDhan",IF(N255=1,"Study4Buddy",IF(O255=1,"Poonawala Fincorp",IF(ISNUMBER(SEARCH("GyanDhan",W255&amp;"")),"GyanDhan",IF(ISNUMBER(SEARCH("Icici",W255&amp;"")),"ICICI",IF(ISNUMBER(SEARCH("Propelld",W255&amp;"")),"Propelld",IF(ISNUMBER(SEARCH("vidyalakshmi",LOWER(W255&amp;"")),"PM Vidyalakshmi","—"))))))))))</f>
        <v/>
      </c>
      <c r="U255">
        <f>IF(A255="","",TRIM('01_Master_Data'!AA255&amp;""))</f>
        <v/>
      </c>
      <c r="V255">
        <f>IF(A255="","",TRIM('01_Master_Data'!AG255&amp;""))</f>
        <v/>
      </c>
      <c r="W255">
        <f>IF(A255="","",TRIM('01_Master_Data'!AH255&amp;""))</f>
        <v/>
      </c>
      <c r="X255">
        <f>IF(A255="","",IF(OR(LOWER(H255)="refund",LOWER(U255)="refund case"),"Refund",IF(OR(LOWER(H255)="dnp",LOWER(U255)="dnp"),"DNP",IF(OR(LOWER(V255)="disbursed",ISNUMBER(SEARCH("Disbursed",W255&amp;""))),"Disbursed",IF(OR(LOWER(V255)="loan proccessed/accepted",ISNUMBER(SEARCH("sanctioned",LOWER(W255&amp;"")))),"Sanctioned",IF(OR(LOWER(V255)="rejected",ISNUMBER(SEARCH("Not eligbile",W255&amp;"")),ISNUMBER(SEARCH("Not eligible",W255&amp;""))),"Rejected",IF(ISNUMBER(SEARCH("Docs Pending",W255&amp;"")),"Documents Pending",IF(AND(LOWER(H255)="yes",LOWER(V255)="ongoing"),"Processing",IF(AND(LOWER(H255)="yes",Q255&gt;0,OR(V255="",LOWER(V255)="not even started")),"Vendor Assigned",IF(AND(LOWER(H255)="yes",LOWER(V255)="not even started"),"Need Loan",IF(LOWER(H255)="yes","Loan Started",IF(LOWER(H255)="not sure","Interested",IF(OR(LOWER(H255)="no",LOWER(V255)="not required"),"Not Required","Unclassified")))))))))))))</f>
        <v/>
      </c>
      <c r="Y255">
        <f>IF(A255="","",IF(OR(X255="Sanctioned",X255="Disbursed",X255="Approved"),"Approved",IF(X255="Rejected","Rejected",IF(OR(X255="Processing",X255="Documents Pending",X255="Vendor Assigned"),"In Progress",IF(X255="Need Loan","Pending Start","—"))))</f>
        <v/>
      </c>
      <c r="Z255">
        <f>IF(A255="","",IF(X255="Disbursed","Disbursed",IF(X255="Sanctioned","Sanctioned - Awaiting Disbursement","Not Disbursed")))</f>
        <v/>
      </c>
      <c r="AA255">
        <f>IF(A255="","",IF(LOWER(TRIM('01_Master_Data'!AI255&amp;""))="yes","Need FLDG",IF(LOWER(TRIM('01_Master_Data'!AK255&amp;""))="yes","Need Vidyalakshmi",IF(LOWER(TRIM('01_Master_Data'!AJ255&amp;""))="yes","Need Review",IF(LOWER(J255)="critical","Critical",IF(LOWER(U255)="risk","Risk Case",IF(X255="Refund","Refund","Normal")))))))</f>
        <v/>
      </c>
      <c r="AB255">
        <f>IF(A255="","",IF(OR(LOWER(J255)="critical",LOWER(TRIM('01_Master_Data'!AI255&amp;""))="yes",LOWER(TRIM('01_Master_Data'!AK255&amp;""))="yes",LOWER(U255)="risk"),"Yes","No"))</f>
        <v/>
      </c>
      <c r="AC255">
        <f>IF(A255="","",IF(LOWER(TRIM('01_Master_Data'!AI255&amp;""))="yes","Yes","No"))</f>
        <v/>
      </c>
      <c r="AD255">
        <f>IF(A255="","",IF(LOWER(TRIM('01_Master_Data'!AK255&amp;""))="yes","Yes","No"))</f>
        <v/>
      </c>
      <c r="AE255">
        <f>IF(A255="","",IF(LOWER(TRIM('01_Master_Data'!AJ255&amp;""))="yes","Yes","No"))</f>
        <v/>
      </c>
      <c r="AF255">
        <f>IF(A255="","",TRIM('01_Master_Data'!AL255&amp;""))</f>
        <v/>
      </c>
      <c r="AG255">
        <f>IF(A255="","",IF(AF255="","—",IF(ISNUMBER(SEARCH("DNP",AF255)),"Unreachable / DNP",IF(ISNUMBER(SEARCH("interest",LOWER(AF255))),"High Interest / Terms",IF(OR(ISNUMBER(SEARCH("eligib",LOWER(AF255))),ISNUMBER(SEARCH("income",LOWER(AF255)))),"Eligibility / Income",IF(OR(ISNUMBER(SEARCH("start",LOWER(AF255))),ISNUMBER(SEARCH("Newer",AF255)),ISNUMBER(SEARCH("Will start",AF255))),"Process Yet to Start",IF(ISNUMBER(SEARCH("sure",LOWER(AF255))),"Undecided",IF(OR(ISNUMBER(SEARCH("reject",LOWER(AF255))),ISNUMBER(SEARCH("SBI",AF255))),"Rejected Elsewhere",IF(ISNUMBER(SEARCH("call",LOWER(AF255))),"Bank Communication",IF(OR(ISNUMBER(SEARCH("father",LOWER(AF255))),ISNUMBER(SEARCH("sister",LOWER(AF255)))),"Family / Dependency","Other"))))))))))</f>
        <v/>
      </c>
      <c r="AH255">
        <f>IF(A255="","",'01_Master_Data'!AC255)</f>
        <v/>
      </c>
      <c r="AI255">
        <f>IF(A255="","",IF(OR(AH255="",NOT(ISNUMBER(AH255))),"",MAX(0,'02_Configuration'!$B$82-AH255)))</f>
        <v/>
      </c>
      <c r="AJ255">
        <f>IF(A255="","",IF(AI255="","Unknown",IF(AI255&lt;=3,"0–3 Days",IF(AI255&lt;=7,"4–7 Days",IF(AI255&lt;=15,"8–15 Days",IF(AI255&lt;=30,"16–30 Days","30+ Days"))))))</f>
        <v/>
      </c>
      <c r="AK255">
        <f>IF(A255="","",IF(LOWER(H255)="yes","Yes","No"))</f>
        <v/>
      </c>
      <c r="AL255">
        <f>IF(A255="","",'01_Master_Data'!T255)</f>
        <v/>
      </c>
      <c r="AM255">
        <f>IF(A255="","",'01_Master_Data'!S255)</f>
        <v/>
      </c>
      <c r="AN255">
        <f>IF(A255="","",'01_Master_Data'!I255)</f>
        <v/>
      </c>
      <c r="AO255">
        <f>IF(A255="","",'01_Master_Data'!M255)</f>
        <v/>
      </c>
      <c r="AP255">
        <f>IF(A255="","",IF(ISNUMBER(SEARCH("Icici",W255&amp;"")),1,0))</f>
        <v/>
      </c>
      <c r="AQ255">
        <f>IF(A255="","",IF(ISNUMBER(SEARCH("Propelld",W255&amp;"")),1,0))</f>
        <v/>
      </c>
      <c r="AR255">
        <f>IF(A255="","",IF(ISNUMBER(SEARCH("GyanDhan",W255&amp;"")),1,0))</f>
        <v/>
      </c>
      <c r="AS255">
        <f>IF(A255="","",IF(ISNUMBER(SEARCH("vidyalakshmi",LOWER(W255&amp;""))),1,0))</f>
        <v/>
      </c>
      <c r="AT255">
        <f>IF(A255="","",IF(ISNUMBER(SEARCH("other bank",LOWER(W255&amp;""))),1,0))</f>
        <v/>
      </c>
      <c r="AU255">
        <f>IF(A255="","",IF(ISNUMBER(SEARCH("sanctioned",LOWER(W255&amp;""))),1,0))</f>
        <v/>
      </c>
      <c r="AV255">
        <f>IF(A255="","",IF(ISNUMBER(SEARCH("Docs Pending",W255&amp;"")),1,0))</f>
        <v/>
      </c>
      <c r="AW255">
        <f>IF(A255="","",IF(OR(X255="Rejected",ISNUMBER(SEARCH("Not eligbile",W255&amp;""))),1,0))</f>
        <v/>
      </c>
    </row>
    <row r="256">
      <c r="A256">
        <f>IF('01_Master_Data'!B256="","",255)</f>
        <v/>
      </c>
      <c r="B256">
        <f>IF('01_Master_Data'!B256="","",IF('01_Master_Data'!C256&lt;&gt;"","MOB|"&amp;TEXT('01_Master_Data'!C256,"0"),IF('01_Master_Data'!D256&lt;&gt;"","PID|"&amp;TRIM('01_Master_Data'!D256&amp;""),"")))</f>
        <v/>
      </c>
      <c r="C256">
        <f>IF('01_Master_Data'!B256="","",'01_Master_Data'!B256)</f>
        <v/>
      </c>
      <c r="D256">
        <f>IF('01_Master_Data'!B256="","",'01_Master_Data'!C256)</f>
        <v/>
      </c>
      <c r="E256">
        <f>IF('01_Master_Data'!B256="","",'01_Master_Data'!D256)</f>
        <v/>
      </c>
      <c r="F256">
        <f>IF('01_Master_Data'!B256="","",'01_Master_Data'!E256)</f>
        <v/>
      </c>
      <c r="G256">
        <f>IF('01_Master_Data'!B256="","",IFERROR(VLOOKUP(TRIM('01_Master_Data'!E256&amp;""),'02_Configuration'!$A$40:$B$44,2,FALSE),UPPER(TRIM('01_Master_Data'!E256&amp;""))))</f>
        <v/>
      </c>
      <c r="H256">
        <f>IF('01_Master_Data'!B256="","",IF('01_Master_Data'!U256="","",TRIM('01_Master_Data'!U256&amp;"")))</f>
        <v/>
      </c>
      <c r="I256">
        <f>IF('01_Master_Data'!B256="","",TRIM('01_Master_Data'!F256&amp;""))</f>
        <v/>
      </c>
      <c r="J256">
        <f>IF('01_Master_Data'!B256="","",TRIM('01_Master_Data'!G256&amp;""))</f>
        <v/>
      </c>
      <c r="K256">
        <f>IF('01_Master_Data'!B256="","",'01_Master_Data'!H256)</f>
        <v/>
      </c>
      <c r="L256">
        <f>IF('01_Master_Data'!B256="","",IF(LOWER(TRIM('01_Master_Data'!V256&amp;""))="yes",1,0))</f>
        <v/>
      </c>
      <c r="M256">
        <f>IF('01_Master_Data'!B256="","",IF(LOWER(TRIM('01_Master_Data'!W256&amp;""))="yes",1,0))</f>
        <v/>
      </c>
      <c r="N256">
        <f>IF('01_Master_Data'!B256="","",IF(LOWER(TRIM('01_Master_Data'!X256&amp;""))="yes",1,0))</f>
        <v/>
      </c>
      <c r="O256">
        <f>IF('01_Master_Data'!B256="","",IF(LOWER(TRIM('01_Master_Data'!Y256&amp;""))="yes",1,0))</f>
        <v/>
      </c>
      <c r="P256">
        <f>IF('01_Master_Data'!B256="","",IF(LOWER(TRIM('01_Master_Data'!Z256&amp;""))="yes",1,0))</f>
        <v/>
      </c>
      <c r="Q256">
        <f>IF(A256="","",L256+M256+N256+O256+P256)</f>
        <v/>
      </c>
      <c r="R256">
        <f>IF(A256="","",IF(Q256&gt;1,"Yes","No"))</f>
        <v/>
      </c>
      <c r="S256">
        <f>IF(A256="","",TEXTJOIN(", ",TRUE,IF(L256=1,"ICICI",""),IF(M256=1,"Propelld",""),IF(N256=1,"Study4Buddy",""),IF(O256=1,"Poonawala Fincorp",""),IF(P256=1,"GyanDhan","")))</f>
        <v/>
      </c>
      <c r="T256">
        <f>IF(A256="","",IF(L256=1,"ICICI",IF(M256=1,"Propelld",IF(P256=1,"GyanDhan",IF(N256=1,"Study4Buddy",IF(O256=1,"Poonawala Fincorp",IF(ISNUMBER(SEARCH("GyanDhan",W256&amp;"")),"GyanDhan",IF(ISNUMBER(SEARCH("Icici",W256&amp;"")),"ICICI",IF(ISNUMBER(SEARCH("Propelld",W256&amp;"")),"Propelld",IF(ISNUMBER(SEARCH("vidyalakshmi",LOWER(W256&amp;"")),"PM Vidyalakshmi","—"))))))))))</f>
        <v/>
      </c>
      <c r="U256">
        <f>IF(A256="","",TRIM('01_Master_Data'!AA256&amp;""))</f>
        <v/>
      </c>
      <c r="V256">
        <f>IF(A256="","",TRIM('01_Master_Data'!AG256&amp;""))</f>
        <v/>
      </c>
      <c r="W256">
        <f>IF(A256="","",TRIM('01_Master_Data'!AH256&amp;""))</f>
        <v/>
      </c>
      <c r="X256">
        <f>IF(A256="","",IF(OR(LOWER(H256)="refund",LOWER(U256)="refund case"),"Refund",IF(OR(LOWER(H256)="dnp",LOWER(U256)="dnp"),"DNP",IF(OR(LOWER(V256)="disbursed",ISNUMBER(SEARCH("Disbursed",W256&amp;""))),"Disbursed",IF(OR(LOWER(V256)="loan proccessed/accepted",ISNUMBER(SEARCH("sanctioned",LOWER(W256&amp;"")))),"Sanctioned",IF(OR(LOWER(V256)="rejected",ISNUMBER(SEARCH("Not eligbile",W256&amp;"")),ISNUMBER(SEARCH("Not eligible",W256&amp;""))),"Rejected",IF(ISNUMBER(SEARCH("Docs Pending",W256&amp;"")),"Documents Pending",IF(AND(LOWER(H256)="yes",LOWER(V256)="ongoing"),"Processing",IF(AND(LOWER(H256)="yes",Q256&gt;0,OR(V256="",LOWER(V256)="not even started")),"Vendor Assigned",IF(AND(LOWER(H256)="yes",LOWER(V256)="not even started"),"Need Loan",IF(LOWER(H256)="yes","Loan Started",IF(LOWER(H256)="not sure","Interested",IF(OR(LOWER(H256)="no",LOWER(V256)="not required"),"Not Required","Unclassified")))))))))))))</f>
        <v/>
      </c>
      <c r="Y256">
        <f>IF(A256="","",IF(OR(X256="Sanctioned",X256="Disbursed",X256="Approved"),"Approved",IF(X256="Rejected","Rejected",IF(OR(X256="Processing",X256="Documents Pending",X256="Vendor Assigned"),"In Progress",IF(X256="Need Loan","Pending Start","—"))))</f>
        <v/>
      </c>
      <c r="Z256">
        <f>IF(A256="","",IF(X256="Disbursed","Disbursed",IF(X256="Sanctioned","Sanctioned - Awaiting Disbursement","Not Disbursed")))</f>
        <v/>
      </c>
      <c r="AA256">
        <f>IF(A256="","",IF(LOWER(TRIM('01_Master_Data'!AI256&amp;""))="yes","Need FLDG",IF(LOWER(TRIM('01_Master_Data'!AK256&amp;""))="yes","Need Vidyalakshmi",IF(LOWER(TRIM('01_Master_Data'!AJ256&amp;""))="yes","Need Review",IF(LOWER(J256)="critical","Critical",IF(LOWER(U256)="risk","Risk Case",IF(X256="Refund","Refund","Normal")))))))</f>
        <v/>
      </c>
      <c r="AB256">
        <f>IF(A256="","",IF(OR(LOWER(J256)="critical",LOWER(TRIM('01_Master_Data'!AI256&amp;""))="yes",LOWER(TRIM('01_Master_Data'!AK256&amp;""))="yes",LOWER(U256)="risk"),"Yes","No"))</f>
        <v/>
      </c>
      <c r="AC256">
        <f>IF(A256="","",IF(LOWER(TRIM('01_Master_Data'!AI256&amp;""))="yes","Yes","No"))</f>
        <v/>
      </c>
      <c r="AD256">
        <f>IF(A256="","",IF(LOWER(TRIM('01_Master_Data'!AK256&amp;""))="yes","Yes","No"))</f>
        <v/>
      </c>
      <c r="AE256">
        <f>IF(A256="","",IF(LOWER(TRIM('01_Master_Data'!AJ256&amp;""))="yes","Yes","No"))</f>
        <v/>
      </c>
      <c r="AF256">
        <f>IF(A256="","",TRIM('01_Master_Data'!AL256&amp;""))</f>
        <v/>
      </c>
      <c r="AG256">
        <f>IF(A256="","",IF(AF256="","—",IF(ISNUMBER(SEARCH("DNP",AF256)),"Unreachable / DNP",IF(ISNUMBER(SEARCH("interest",LOWER(AF256))),"High Interest / Terms",IF(OR(ISNUMBER(SEARCH("eligib",LOWER(AF256))),ISNUMBER(SEARCH("income",LOWER(AF256)))),"Eligibility / Income",IF(OR(ISNUMBER(SEARCH("start",LOWER(AF256))),ISNUMBER(SEARCH("Newer",AF256)),ISNUMBER(SEARCH("Will start",AF256))),"Process Yet to Start",IF(ISNUMBER(SEARCH("sure",LOWER(AF256))),"Undecided",IF(OR(ISNUMBER(SEARCH("reject",LOWER(AF256))),ISNUMBER(SEARCH("SBI",AF256))),"Rejected Elsewhere",IF(ISNUMBER(SEARCH("call",LOWER(AF256))),"Bank Communication",IF(OR(ISNUMBER(SEARCH("father",LOWER(AF256))),ISNUMBER(SEARCH("sister",LOWER(AF256)))),"Family / Dependency","Other"))))))))))</f>
        <v/>
      </c>
      <c r="AH256">
        <f>IF(A256="","",'01_Master_Data'!AC256)</f>
        <v/>
      </c>
      <c r="AI256">
        <f>IF(A256="","",IF(OR(AH256="",NOT(ISNUMBER(AH256))),"",MAX(0,'02_Configuration'!$B$82-AH256)))</f>
        <v/>
      </c>
      <c r="AJ256">
        <f>IF(A256="","",IF(AI256="","Unknown",IF(AI256&lt;=3,"0–3 Days",IF(AI256&lt;=7,"4–7 Days",IF(AI256&lt;=15,"8–15 Days",IF(AI256&lt;=30,"16–30 Days","30+ Days"))))))</f>
        <v/>
      </c>
      <c r="AK256">
        <f>IF(A256="","",IF(LOWER(H256)="yes","Yes","No"))</f>
        <v/>
      </c>
      <c r="AL256">
        <f>IF(A256="","",'01_Master_Data'!T256)</f>
        <v/>
      </c>
      <c r="AM256">
        <f>IF(A256="","",'01_Master_Data'!S256)</f>
        <v/>
      </c>
      <c r="AN256">
        <f>IF(A256="","",'01_Master_Data'!I256)</f>
        <v/>
      </c>
      <c r="AO256">
        <f>IF(A256="","",'01_Master_Data'!M256)</f>
        <v/>
      </c>
      <c r="AP256">
        <f>IF(A256="","",IF(ISNUMBER(SEARCH("Icici",W256&amp;"")),1,0))</f>
        <v/>
      </c>
      <c r="AQ256">
        <f>IF(A256="","",IF(ISNUMBER(SEARCH("Propelld",W256&amp;"")),1,0))</f>
        <v/>
      </c>
      <c r="AR256">
        <f>IF(A256="","",IF(ISNUMBER(SEARCH("GyanDhan",W256&amp;"")),1,0))</f>
        <v/>
      </c>
      <c r="AS256">
        <f>IF(A256="","",IF(ISNUMBER(SEARCH("vidyalakshmi",LOWER(W256&amp;""))),1,0))</f>
        <v/>
      </c>
      <c r="AT256">
        <f>IF(A256="","",IF(ISNUMBER(SEARCH("other bank",LOWER(W256&amp;""))),1,0))</f>
        <v/>
      </c>
      <c r="AU256">
        <f>IF(A256="","",IF(ISNUMBER(SEARCH("sanctioned",LOWER(W256&amp;""))),1,0))</f>
        <v/>
      </c>
      <c r="AV256">
        <f>IF(A256="","",IF(ISNUMBER(SEARCH("Docs Pending",W256&amp;"")),1,0))</f>
        <v/>
      </c>
      <c r="AW256">
        <f>IF(A256="","",IF(OR(X256="Rejected",ISNUMBER(SEARCH("Not eligbile",W256&amp;""))),1,0))</f>
        <v/>
      </c>
    </row>
    <row r="257">
      <c r="A257">
        <f>IF('01_Master_Data'!B257="","",256)</f>
        <v/>
      </c>
      <c r="B257">
        <f>IF('01_Master_Data'!B257="","",IF('01_Master_Data'!C257&lt;&gt;"","MOB|"&amp;TEXT('01_Master_Data'!C257,"0"),IF('01_Master_Data'!D257&lt;&gt;"","PID|"&amp;TRIM('01_Master_Data'!D257&amp;""),"")))</f>
        <v/>
      </c>
      <c r="C257">
        <f>IF('01_Master_Data'!B257="","",'01_Master_Data'!B257)</f>
        <v/>
      </c>
      <c r="D257">
        <f>IF('01_Master_Data'!B257="","",'01_Master_Data'!C257)</f>
        <v/>
      </c>
      <c r="E257">
        <f>IF('01_Master_Data'!B257="","",'01_Master_Data'!D257)</f>
        <v/>
      </c>
      <c r="F257">
        <f>IF('01_Master_Data'!B257="","",'01_Master_Data'!E257)</f>
        <v/>
      </c>
      <c r="G257">
        <f>IF('01_Master_Data'!B257="","",IFERROR(VLOOKUP(TRIM('01_Master_Data'!E257&amp;""),'02_Configuration'!$A$40:$B$44,2,FALSE),UPPER(TRIM('01_Master_Data'!E257&amp;""))))</f>
        <v/>
      </c>
      <c r="H257">
        <f>IF('01_Master_Data'!B257="","",IF('01_Master_Data'!U257="","",TRIM('01_Master_Data'!U257&amp;"")))</f>
        <v/>
      </c>
      <c r="I257">
        <f>IF('01_Master_Data'!B257="","",TRIM('01_Master_Data'!F257&amp;""))</f>
        <v/>
      </c>
      <c r="J257">
        <f>IF('01_Master_Data'!B257="","",TRIM('01_Master_Data'!G257&amp;""))</f>
        <v/>
      </c>
      <c r="K257">
        <f>IF('01_Master_Data'!B257="","",'01_Master_Data'!H257)</f>
        <v/>
      </c>
      <c r="L257">
        <f>IF('01_Master_Data'!B257="","",IF(LOWER(TRIM('01_Master_Data'!V257&amp;""))="yes",1,0))</f>
        <v/>
      </c>
      <c r="M257">
        <f>IF('01_Master_Data'!B257="","",IF(LOWER(TRIM('01_Master_Data'!W257&amp;""))="yes",1,0))</f>
        <v/>
      </c>
      <c r="N257">
        <f>IF('01_Master_Data'!B257="","",IF(LOWER(TRIM('01_Master_Data'!X257&amp;""))="yes",1,0))</f>
        <v/>
      </c>
      <c r="O257">
        <f>IF('01_Master_Data'!B257="","",IF(LOWER(TRIM('01_Master_Data'!Y257&amp;""))="yes",1,0))</f>
        <v/>
      </c>
      <c r="P257">
        <f>IF('01_Master_Data'!B257="","",IF(LOWER(TRIM('01_Master_Data'!Z257&amp;""))="yes",1,0))</f>
        <v/>
      </c>
      <c r="Q257">
        <f>IF(A257="","",L257+M257+N257+O257+P257)</f>
        <v/>
      </c>
      <c r="R257">
        <f>IF(A257="","",IF(Q257&gt;1,"Yes","No"))</f>
        <v/>
      </c>
      <c r="S257">
        <f>IF(A257="","",TEXTJOIN(", ",TRUE,IF(L257=1,"ICICI",""),IF(M257=1,"Propelld",""),IF(N257=1,"Study4Buddy",""),IF(O257=1,"Poonawala Fincorp",""),IF(P257=1,"GyanDhan","")))</f>
        <v/>
      </c>
      <c r="T257">
        <f>IF(A257="","",IF(L257=1,"ICICI",IF(M257=1,"Propelld",IF(P257=1,"GyanDhan",IF(N257=1,"Study4Buddy",IF(O257=1,"Poonawala Fincorp",IF(ISNUMBER(SEARCH("GyanDhan",W257&amp;"")),"GyanDhan",IF(ISNUMBER(SEARCH("Icici",W257&amp;"")),"ICICI",IF(ISNUMBER(SEARCH("Propelld",W257&amp;"")),"Propelld",IF(ISNUMBER(SEARCH("vidyalakshmi",LOWER(W257&amp;"")),"PM Vidyalakshmi","—"))))))))))</f>
        <v/>
      </c>
      <c r="U257">
        <f>IF(A257="","",TRIM('01_Master_Data'!AA257&amp;""))</f>
        <v/>
      </c>
      <c r="V257">
        <f>IF(A257="","",TRIM('01_Master_Data'!AG257&amp;""))</f>
        <v/>
      </c>
      <c r="W257">
        <f>IF(A257="","",TRIM('01_Master_Data'!AH257&amp;""))</f>
        <v/>
      </c>
      <c r="X257">
        <f>IF(A257="","",IF(OR(LOWER(H257)="refund",LOWER(U257)="refund case"),"Refund",IF(OR(LOWER(H257)="dnp",LOWER(U257)="dnp"),"DNP",IF(OR(LOWER(V257)="disbursed",ISNUMBER(SEARCH("Disbursed",W257&amp;""))),"Disbursed",IF(OR(LOWER(V257)="loan proccessed/accepted",ISNUMBER(SEARCH("sanctioned",LOWER(W257&amp;"")))),"Sanctioned",IF(OR(LOWER(V257)="rejected",ISNUMBER(SEARCH("Not eligbile",W257&amp;"")),ISNUMBER(SEARCH("Not eligible",W257&amp;""))),"Rejected",IF(ISNUMBER(SEARCH("Docs Pending",W257&amp;"")),"Documents Pending",IF(AND(LOWER(H257)="yes",LOWER(V257)="ongoing"),"Processing",IF(AND(LOWER(H257)="yes",Q257&gt;0,OR(V257="",LOWER(V257)="not even started")),"Vendor Assigned",IF(AND(LOWER(H257)="yes",LOWER(V257)="not even started"),"Need Loan",IF(LOWER(H257)="yes","Loan Started",IF(LOWER(H257)="not sure","Interested",IF(OR(LOWER(H257)="no",LOWER(V257)="not required"),"Not Required","Unclassified")))))))))))))</f>
        <v/>
      </c>
      <c r="Y257">
        <f>IF(A257="","",IF(OR(X257="Sanctioned",X257="Disbursed",X257="Approved"),"Approved",IF(X257="Rejected","Rejected",IF(OR(X257="Processing",X257="Documents Pending",X257="Vendor Assigned"),"In Progress",IF(X257="Need Loan","Pending Start","—"))))</f>
        <v/>
      </c>
      <c r="Z257">
        <f>IF(A257="","",IF(X257="Disbursed","Disbursed",IF(X257="Sanctioned","Sanctioned - Awaiting Disbursement","Not Disbursed")))</f>
        <v/>
      </c>
      <c r="AA257">
        <f>IF(A257="","",IF(LOWER(TRIM('01_Master_Data'!AI257&amp;""))="yes","Need FLDG",IF(LOWER(TRIM('01_Master_Data'!AK257&amp;""))="yes","Need Vidyalakshmi",IF(LOWER(TRIM('01_Master_Data'!AJ257&amp;""))="yes","Need Review",IF(LOWER(J257)="critical","Critical",IF(LOWER(U257)="risk","Risk Case",IF(X257="Refund","Refund","Normal")))))))</f>
        <v/>
      </c>
      <c r="AB257">
        <f>IF(A257="","",IF(OR(LOWER(J257)="critical",LOWER(TRIM('01_Master_Data'!AI257&amp;""))="yes",LOWER(TRIM('01_Master_Data'!AK257&amp;""))="yes",LOWER(U257)="risk"),"Yes","No"))</f>
        <v/>
      </c>
      <c r="AC257">
        <f>IF(A257="","",IF(LOWER(TRIM('01_Master_Data'!AI257&amp;""))="yes","Yes","No"))</f>
        <v/>
      </c>
      <c r="AD257">
        <f>IF(A257="","",IF(LOWER(TRIM('01_Master_Data'!AK257&amp;""))="yes","Yes","No"))</f>
        <v/>
      </c>
      <c r="AE257">
        <f>IF(A257="","",IF(LOWER(TRIM('01_Master_Data'!AJ257&amp;""))="yes","Yes","No"))</f>
        <v/>
      </c>
      <c r="AF257">
        <f>IF(A257="","",TRIM('01_Master_Data'!AL257&amp;""))</f>
        <v/>
      </c>
      <c r="AG257">
        <f>IF(A257="","",IF(AF257="","—",IF(ISNUMBER(SEARCH("DNP",AF257)),"Unreachable / DNP",IF(ISNUMBER(SEARCH("interest",LOWER(AF257))),"High Interest / Terms",IF(OR(ISNUMBER(SEARCH("eligib",LOWER(AF257))),ISNUMBER(SEARCH("income",LOWER(AF257)))),"Eligibility / Income",IF(OR(ISNUMBER(SEARCH("start",LOWER(AF257))),ISNUMBER(SEARCH("Newer",AF257)),ISNUMBER(SEARCH("Will start",AF257))),"Process Yet to Start",IF(ISNUMBER(SEARCH("sure",LOWER(AF257))),"Undecided",IF(OR(ISNUMBER(SEARCH("reject",LOWER(AF257))),ISNUMBER(SEARCH("SBI",AF257))),"Rejected Elsewhere",IF(ISNUMBER(SEARCH("call",LOWER(AF257))),"Bank Communication",IF(OR(ISNUMBER(SEARCH("father",LOWER(AF257))),ISNUMBER(SEARCH("sister",LOWER(AF257)))),"Family / Dependency","Other"))))))))))</f>
        <v/>
      </c>
      <c r="AH257">
        <f>IF(A257="","",'01_Master_Data'!AC257)</f>
        <v/>
      </c>
      <c r="AI257">
        <f>IF(A257="","",IF(OR(AH257="",NOT(ISNUMBER(AH257))),"",MAX(0,'02_Configuration'!$B$82-AH257)))</f>
        <v/>
      </c>
      <c r="AJ257">
        <f>IF(A257="","",IF(AI257="","Unknown",IF(AI257&lt;=3,"0–3 Days",IF(AI257&lt;=7,"4–7 Days",IF(AI257&lt;=15,"8–15 Days",IF(AI257&lt;=30,"16–30 Days","30+ Days"))))))</f>
        <v/>
      </c>
      <c r="AK257">
        <f>IF(A257="","",IF(LOWER(H257)="yes","Yes","No"))</f>
        <v/>
      </c>
      <c r="AL257">
        <f>IF(A257="","",'01_Master_Data'!T257)</f>
        <v/>
      </c>
      <c r="AM257">
        <f>IF(A257="","",'01_Master_Data'!S257)</f>
        <v/>
      </c>
      <c r="AN257">
        <f>IF(A257="","",'01_Master_Data'!I257)</f>
        <v/>
      </c>
      <c r="AO257">
        <f>IF(A257="","",'01_Master_Data'!M257)</f>
        <v/>
      </c>
      <c r="AP257">
        <f>IF(A257="","",IF(ISNUMBER(SEARCH("Icici",W257&amp;"")),1,0))</f>
        <v/>
      </c>
      <c r="AQ257">
        <f>IF(A257="","",IF(ISNUMBER(SEARCH("Propelld",W257&amp;"")),1,0))</f>
        <v/>
      </c>
      <c r="AR257">
        <f>IF(A257="","",IF(ISNUMBER(SEARCH("GyanDhan",W257&amp;"")),1,0))</f>
        <v/>
      </c>
      <c r="AS257">
        <f>IF(A257="","",IF(ISNUMBER(SEARCH("vidyalakshmi",LOWER(W257&amp;""))),1,0))</f>
        <v/>
      </c>
      <c r="AT257">
        <f>IF(A257="","",IF(ISNUMBER(SEARCH("other bank",LOWER(W257&amp;""))),1,0))</f>
        <v/>
      </c>
      <c r="AU257">
        <f>IF(A257="","",IF(ISNUMBER(SEARCH("sanctioned",LOWER(W257&amp;""))),1,0))</f>
        <v/>
      </c>
      <c r="AV257">
        <f>IF(A257="","",IF(ISNUMBER(SEARCH("Docs Pending",W257&amp;"")),1,0))</f>
        <v/>
      </c>
      <c r="AW257">
        <f>IF(A257="","",IF(OR(X257="Rejected",ISNUMBER(SEARCH("Not eligbile",W257&amp;""))),1,0))</f>
        <v/>
      </c>
    </row>
    <row r="258">
      <c r="A258">
        <f>IF('01_Master_Data'!B258="","",257)</f>
        <v/>
      </c>
      <c r="B258">
        <f>IF('01_Master_Data'!B258="","",IF('01_Master_Data'!C258&lt;&gt;"","MOB|"&amp;TEXT('01_Master_Data'!C258,"0"),IF('01_Master_Data'!D258&lt;&gt;"","PID|"&amp;TRIM('01_Master_Data'!D258&amp;""),"")))</f>
        <v/>
      </c>
      <c r="C258">
        <f>IF('01_Master_Data'!B258="","",'01_Master_Data'!B258)</f>
        <v/>
      </c>
      <c r="D258">
        <f>IF('01_Master_Data'!B258="","",'01_Master_Data'!C258)</f>
        <v/>
      </c>
      <c r="E258">
        <f>IF('01_Master_Data'!B258="","",'01_Master_Data'!D258)</f>
        <v/>
      </c>
      <c r="F258">
        <f>IF('01_Master_Data'!B258="","",'01_Master_Data'!E258)</f>
        <v/>
      </c>
      <c r="G258">
        <f>IF('01_Master_Data'!B258="","",IFERROR(VLOOKUP(TRIM('01_Master_Data'!E258&amp;""),'02_Configuration'!$A$40:$B$44,2,FALSE),UPPER(TRIM('01_Master_Data'!E258&amp;""))))</f>
        <v/>
      </c>
      <c r="H258">
        <f>IF('01_Master_Data'!B258="","",IF('01_Master_Data'!U258="","",TRIM('01_Master_Data'!U258&amp;"")))</f>
        <v/>
      </c>
      <c r="I258">
        <f>IF('01_Master_Data'!B258="","",TRIM('01_Master_Data'!F258&amp;""))</f>
        <v/>
      </c>
      <c r="J258">
        <f>IF('01_Master_Data'!B258="","",TRIM('01_Master_Data'!G258&amp;""))</f>
        <v/>
      </c>
      <c r="K258">
        <f>IF('01_Master_Data'!B258="","",'01_Master_Data'!H258)</f>
        <v/>
      </c>
      <c r="L258">
        <f>IF('01_Master_Data'!B258="","",IF(LOWER(TRIM('01_Master_Data'!V258&amp;""))="yes",1,0))</f>
        <v/>
      </c>
      <c r="M258">
        <f>IF('01_Master_Data'!B258="","",IF(LOWER(TRIM('01_Master_Data'!W258&amp;""))="yes",1,0))</f>
        <v/>
      </c>
      <c r="N258">
        <f>IF('01_Master_Data'!B258="","",IF(LOWER(TRIM('01_Master_Data'!X258&amp;""))="yes",1,0))</f>
        <v/>
      </c>
      <c r="O258">
        <f>IF('01_Master_Data'!B258="","",IF(LOWER(TRIM('01_Master_Data'!Y258&amp;""))="yes",1,0))</f>
        <v/>
      </c>
      <c r="P258">
        <f>IF('01_Master_Data'!B258="","",IF(LOWER(TRIM('01_Master_Data'!Z258&amp;""))="yes",1,0))</f>
        <v/>
      </c>
      <c r="Q258">
        <f>IF(A258="","",L258+M258+N258+O258+P258)</f>
        <v/>
      </c>
      <c r="R258">
        <f>IF(A258="","",IF(Q258&gt;1,"Yes","No"))</f>
        <v/>
      </c>
      <c r="S258">
        <f>IF(A258="","",TEXTJOIN(", ",TRUE,IF(L258=1,"ICICI",""),IF(M258=1,"Propelld",""),IF(N258=1,"Study4Buddy",""),IF(O258=1,"Poonawala Fincorp",""),IF(P258=1,"GyanDhan","")))</f>
        <v/>
      </c>
      <c r="T258">
        <f>IF(A258="","",IF(L258=1,"ICICI",IF(M258=1,"Propelld",IF(P258=1,"GyanDhan",IF(N258=1,"Study4Buddy",IF(O258=1,"Poonawala Fincorp",IF(ISNUMBER(SEARCH("GyanDhan",W258&amp;"")),"GyanDhan",IF(ISNUMBER(SEARCH("Icici",W258&amp;"")),"ICICI",IF(ISNUMBER(SEARCH("Propelld",W258&amp;"")),"Propelld",IF(ISNUMBER(SEARCH("vidyalakshmi",LOWER(W258&amp;"")),"PM Vidyalakshmi","—"))))))))))</f>
        <v/>
      </c>
      <c r="U258">
        <f>IF(A258="","",TRIM('01_Master_Data'!AA258&amp;""))</f>
        <v/>
      </c>
      <c r="V258">
        <f>IF(A258="","",TRIM('01_Master_Data'!AG258&amp;""))</f>
        <v/>
      </c>
      <c r="W258">
        <f>IF(A258="","",TRIM('01_Master_Data'!AH258&amp;""))</f>
        <v/>
      </c>
      <c r="X258">
        <f>IF(A258="","",IF(OR(LOWER(H258)="refund",LOWER(U258)="refund case"),"Refund",IF(OR(LOWER(H258)="dnp",LOWER(U258)="dnp"),"DNP",IF(OR(LOWER(V258)="disbursed",ISNUMBER(SEARCH("Disbursed",W258&amp;""))),"Disbursed",IF(OR(LOWER(V258)="loan proccessed/accepted",ISNUMBER(SEARCH("sanctioned",LOWER(W258&amp;"")))),"Sanctioned",IF(OR(LOWER(V258)="rejected",ISNUMBER(SEARCH("Not eligbile",W258&amp;"")),ISNUMBER(SEARCH("Not eligible",W258&amp;""))),"Rejected",IF(ISNUMBER(SEARCH("Docs Pending",W258&amp;"")),"Documents Pending",IF(AND(LOWER(H258)="yes",LOWER(V258)="ongoing"),"Processing",IF(AND(LOWER(H258)="yes",Q258&gt;0,OR(V258="",LOWER(V258)="not even started")),"Vendor Assigned",IF(AND(LOWER(H258)="yes",LOWER(V258)="not even started"),"Need Loan",IF(LOWER(H258)="yes","Loan Started",IF(LOWER(H258)="not sure","Interested",IF(OR(LOWER(H258)="no",LOWER(V258)="not required"),"Not Required","Unclassified")))))))))))))</f>
        <v/>
      </c>
      <c r="Y258">
        <f>IF(A258="","",IF(OR(X258="Sanctioned",X258="Disbursed",X258="Approved"),"Approved",IF(X258="Rejected","Rejected",IF(OR(X258="Processing",X258="Documents Pending",X258="Vendor Assigned"),"In Progress",IF(X258="Need Loan","Pending Start","—"))))</f>
        <v/>
      </c>
      <c r="Z258">
        <f>IF(A258="","",IF(X258="Disbursed","Disbursed",IF(X258="Sanctioned","Sanctioned - Awaiting Disbursement","Not Disbursed")))</f>
        <v/>
      </c>
      <c r="AA258">
        <f>IF(A258="","",IF(LOWER(TRIM('01_Master_Data'!AI258&amp;""))="yes","Need FLDG",IF(LOWER(TRIM('01_Master_Data'!AK258&amp;""))="yes","Need Vidyalakshmi",IF(LOWER(TRIM('01_Master_Data'!AJ258&amp;""))="yes","Need Review",IF(LOWER(J258)="critical","Critical",IF(LOWER(U258)="risk","Risk Case",IF(X258="Refund","Refund","Normal")))))))</f>
        <v/>
      </c>
      <c r="AB258">
        <f>IF(A258="","",IF(OR(LOWER(J258)="critical",LOWER(TRIM('01_Master_Data'!AI258&amp;""))="yes",LOWER(TRIM('01_Master_Data'!AK258&amp;""))="yes",LOWER(U258)="risk"),"Yes","No"))</f>
        <v/>
      </c>
      <c r="AC258">
        <f>IF(A258="","",IF(LOWER(TRIM('01_Master_Data'!AI258&amp;""))="yes","Yes","No"))</f>
        <v/>
      </c>
      <c r="AD258">
        <f>IF(A258="","",IF(LOWER(TRIM('01_Master_Data'!AK258&amp;""))="yes","Yes","No"))</f>
        <v/>
      </c>
      <c r="AE258">
        <f>IF(A258="","",IF(LOWER(TRIM('01_Master_Data'!AJ258&amp;""))="yes","Yes","No"))</f>
        <v/>
      </c>
      <c r="AF258">
        <f>IF(A258="","",TRIM('01_Master_Data'!AL258&amp;""))</f>
        <v/>
      </c>
      <c r="AG258">
        <f>IF(A258="","",IF(AF258="","—",IF(ISNUMBER(SEARCH("DNP",AF258)),"Unreachable / DNP",IF(ISNUMBER(SEARCH("interest",LOWER(AF258))),"High Interest / Terms",IF(OR(ISNUMBER(SEARCH("eligib",LOWER(AF258))),ISNUMBER(SEARCH("income",LOWER(AF258)))),"Eligibility / Income",IF(OR(ISNUMBER(SEARCH("start",LOWER(AF258))),ISNUMBER(SEARCH("Newer",AF258)),ISNUMBER(SEARCH("Will start",AF258))),"Process Yet to Start",IF(ISNUMBER(SEARCH("sure",LOWER(AF258))),"Undecided",IF(OR(ISNUMBER(SEARCH("reject",LOWER(AF258))),ISNUMBER(SEARCH("SBI",AF258))),"Rejected Elsewhere",IF(ISNUMBER(SEARCH("call",LOWER(AF258))),"Bank Communication",IF(OR(ISNUMBER(SEARCH("father",LOWER(AF258))),ISNUMBER(SEARCH("sister",LOWER(AF258)))),"Family / Dependency","Other"))))))))))</f>
        <v/>
      </c>
      <c r="AH258">
        <f>IF(A258="","",'01_Master_Data'!AC258)</f>
        <v/>
      </c>
      <c r="AI258">
        <f>IF(A258="","",IF(OR(AH258="",NOT(ISNUMBER(AH258))),"",MAX(0,'02_Configuration'!$B$82-AH258)))</f>
        <v/>
      </c>
      <c r="AJ258">
        <f>IF(A258="","",IF(AI258="","Unknown",IF(AI258&lt;=3,"0–3 Days",IF(AI258&lt;=7,"4–7 Days",IF(AI258&lt;=15,"8–15 Days",IF(AI258&lt;=30,"16–30 Days","30+ Days"))))))</f>
        <v/>
      </c>
      <c r="AK258">
        <f>IF(A258="","",IF(LOWER(H258)="yes","Yes","No"))</f>
        <v/>
      </c>
      <c r="AL258">
        <f>IF(A258="","",'01_Master_Data'!T258)</f>
        <v/>
      </c>
      <c r="AM258">
        <f>IF(A258="","",'01_Master_Data'!S258)</f>
        <v/>
      </c>
      <c r="AN258">
        <f>IF(A258="","",'01_Master_Data'!I258)</f>
        <v/>
      </c>
      <c r="AO258">
        <f>IF(A258="","",'01_Master_Data'!M258)</f>
        <v/>
      </c>
      <c r="AP258">
        <f>IF(A258="","",IF(ISNUMBER(SEARCH("Icici",W258&amp;"")),1,0))</f>
        <v/>
      </c>
      <c r="AQ258">
        <f>IF(A258="","",IF(ISNUMBER(SEARCH("Propelld",W258&amp;"")),1,0))</f>
        <v/>
      </c>
      <c r="AR258">
        <f>IF(A258="","",IF(ISNUMBER(SEARCH("GyanDhan",W258&amp;"")),1,0))</f>
        <v/>
      </c>
      <c r="AS258">
        <f>IF(A258="","",IF(ISNUMBER(SEARCH("vidyalakshmi",LOWER(W258&amp;""))),1,0))</f>
        <v/>
      </c>
      <c r="AT258">
        <f>IF(A258="","",IF(ISNUMBER(SEARCH("other bank",LOWER(W258&amp;""))),1,0))</f>
        <v/>
      </c>
      <c r="AU258">
        <f>IF(A258="","",IF(ISNUMBER(SEARCH("sanctioned",LOWER(W258&amp;""))),1,0))</f>
        <v/>
      </c>
      <c r="AV258">
        <f>IF(A258="","",IF(ISNUMBER(SEARCH("Docs Pending",W258&amp;"")),1,0))</f>
        <v/>
      </c>
      <c r="AW258">
        <f>IF(A258="","",IF(OR(X258="Rejected",ISNUMBER(SEARCH("Not eligbile",W258&amp;""))),1,0))</f>
        <v/>
      </c>
    </row>
    <row r="259">
      <c r="A259">
        <f>IF('01_Master_Data'!B259="","",258)</f>
        <v/>
      </c>
      <c r="B259">
        <f>IF('01_Master_Data'!B259="","",IF('01_Master_Data'!C259&lt;&gt;"","MOB|"&amp;TEXT('01_Master_Data'!C259,"0"),IF('01_Master_Data'!D259&lt;&gt;"","PID|"&amp;TRIM('01_Master_Data'!D259&amp;""),"")))</f>
        <v/>
      </c>
      <c r="C259">
        <f>IF('01_Master_Data'!B259="","",'01_Master_Data'!B259)</f>
        <v/>
      </c>
      <c r="D259">
        <f>IF('01_Master_Data'!B259="","",'01_Master_Data'!C259)</f>
        <v/>
      </c>
      <c r="E259">
        <f>IF('01_Master_Data'!B259="","",'01_Master_Data'!D259)</f>
        <v/>
      </c>
      <c r="F259">
        <f>IF('01_Master_Data'!B259="","",'01_Master_Data'!E259)</f>
        <v/>
      </c>
      <c r="G259">
        <f>IF('01_Master_Data'!B259="","",IFERROR(VLOOKUP(TRIM('01_Master_Data'!E259&amp;""),'02_Configuration'!$A$40:$B$44,2,FALSE),UPPER(TRIM('01_Master_Data'!E259&amp;""))))</f>
        <v/>
      </c>
      <c r="H259">
        <f>IF('01_Master_Data'!B259="","",IF('01_Master_Data'!U259="","",TRIM('01_Master_Data'!U259&amp;"")))</f>
        <v/>
      </c>
      <c r="I259">
        <f>IF('01_Master_Data'!B259="","",TRIM('01_Master_Data'!F259&amp;""))</f>
        <v/>
      </c>
      <c r="J259">
        <f>IF('01_Master_Data'!B259="","",TRIM('01_Master_Data'!G259&amp;""))</f>
        <v/>
      </c>
      <c r="K259">
        <f>IF('01_Master_Data'!B259="","",'01_Master_Data'!H259)</f>
        <v/>
      </c>
      <c r="L259">
        <f>IF('01_Master_Data'!B259="","",IF(LOWER(TRIM('01_Master_Data'!V259&amp;""))="yes",1,0))</f>
        <v/>
      </c>
      <c r="M259">
        <f>IF('01_Master_Data'!B259="","",IF(LOWER(TRIM('01_Master_Data'!W259&amp;""))="yes",1,0))</f>
        <v/>
      </c>
      <c r="N259">
        <f>IF('01_Master_Data'!B259="","",IF(LOWER(TRIM('01_Master_Data'!X259&amp;""))="yes",1,0))</f>
        <v/>
      </c>
      <c r="O259">
        <f>IF('01_Master_Data'!B259="","",IF(LOWER(TRIM('01_Master_Data'!Y259&amp;""))="yes",1,0))</f>
        <v/>
      </c>
      <c r="P259">
        <f>IF('01_Master_Data'!B259="","",IF(LOWER(TRIM('01_Master_Data'!Z259&amp;""))="yes",1,0))</f>
        <v/>
      </c>
      <c r="Q259">
        <f>IF(A259="","",L259+M259+N259+O259+P259)</f>
        <v/>
      </c>
      <c r="R259">
        <f>IF(A259="","",IF(Q259&gt;1,"Yes","No"))</f>
        <v/>
      </c>
      <c r="S259">
        <f>IF(A259="","",TEXTJOIN(", ",TRUE,IF(L259=1,"ICICI",""),IF(M259=1,"Propelld",""),IF(N259=1,"Study4Buddy",""),IF(O259=1,"Poonawala Fincorp",""),IF(P259=1,"GyanDhan","")))</f>
        <v/>
      </c>
      <c r="T259">
        <f>IF(A259="","",IF(L259=1,"ICICI",IF(M259=1,"Propelld",IF(P259=1,"GyanDhan",IF(N259=1,"Study4Buddy",IF(O259=1,"Poonawala Fincorp",IF(ISNUMBER(SEARCH("GyanDhan",W259&amp;"")),"GyanDhan",IF(ISNUMBER(SEARCH("Icici",W259&amp;"")),"ICICI",IF(ISNUMBER(SEARCH("Propelld",W259&amp;"")),"Propelld",IF(ISNUMBER(SEARCH("vidyalakshmi",LOWER(W259&amp;"")),"PM Vidyalakshmi","—"))))))))))</f>
        <v/>
      </c>
      <c r="U259">
        <f>IF(A259="","",TRIM('01_Master_Data'!AA259&amp;""))</f>
        <v/>
      </c>
      <c r="V259">
        <f>IF(A259="","",TRIM('01_Master_Data'!AG259&amp;""))</f>
        <v/>
      </c>
      <c r="W259">
        <f>IF(A259="","",TRIM('01_Master_Data'!AH259&amp;""))</f>
        <v/>
      </c>
      <c r="X259">
        <f>IF(A259="","",IF(OR(LOWER(H259)="refund",LOWER(U259)="refund case"),"Refund",IF(OR(LOWER(H259)="dnp",LOWER(U259)="dnp"),"DNP",IF(OR(LOWER(V259)="disbursed",ISNUMBER(SEARCH("Disbursed",W259&amp;""))),"Disbursed",IF(OR(LOWER(V259)="loan proccessed/accepted",ISNUMBER(SEARCH("sanctioned",LOWER(W259&amp;"")))),"Sanctioned",IF(OR(LOWER(V259)="rejected",ISNUMBER(SEARCH("Not eligbile",W259&amp;"")),ISNUMBER(SEARCH("Not eligible",W259&amp;""))),"Rejected",IF(ISNUMBER(SEARCH("Docs Pending",W259&amp;"")),"Documents Pending",IF(AND(LOWER(H259)="yes",LOWER(V259)="ongoing"),"Processing",IF(AND(LOWER(H259)="yes",Q259&gt;0,OR(V259="",LOWER(V259)="not even started")),"Vendor Assigned",IF(AND(LOWER(H259)="yes",LOWER(V259)="not even started"),"Need Loan",IF(LOWER(H259)="yes","Loan Started",IF(LOWER(H259)="not sure","Interested",IF(OR(LOWER(H259)="no",LOWER(V259)="not required"),"Not Required","Unclassified")))))))))))))</f>
        <v/>
      </c>
      <c r="Y259">
        <f>IF(A259="","",IF(OR(X259="Sanctioned",X259="Disbursed",X259="Approved"),"Approved",IF(X259="Rejected","Rejected",IF(OR(X259="Processing",X259="Documents Pending",X259="Vendor Assigned"),"In Progress",IF(X259="Need Loan","Pending Start","—"))))</f>
        <v/>
      </c>
      <c r="Z259">
        <f>IF(A259="","",IF(X259="Disbursed","Disbursed",IF(X259="Sanctioned","Sanctioned - Awaiting Disbursement","Not Disbursed")))</f>
        <v/>
      </c>
      <c r="AA259">
        <f>IF(A259="","",IF(LOWER(TRIM('01_Master_Data'!AI259&amp;""))="yes","Need FLDG",IF(LOWER(TRIM('01_Master_Data'!AK259&amp;""))="yes","Need Vidyalakshmi",IF(LOWER(TRIM('01_Master_Data'!AJ259&amp;""))="yes","Need Review",IF(LOWER(J259)="critical","Critical",IF(LOWER(U259)="risk","Risk Case",IF(X259="Refund","Refund","Normal")))))))</f>
        <v/>
      </c>
      <c r="AB259">
        <f>IF(A259="","",IF(OR(LOWER(J259)="critical",LOWER(TRIM('01_Master_Data'!AI259&amp;""))="yes",LOWER(TRIM('01_Master_Data'!AK259&amp;""))="yes",LOWER(U259)="risk"),"Yes","No"))</f>
        <v/>
      </c>
      <c r="AC259">
        <f>IF(A259="","",IF(LOWER(TRIM('01_Master_Data'!AI259&amp;""))="yes","Yes","No"))</f>
        <v/>
      </c>
      <c r="AD259">
        <f>IF(A259="","",IF(LOWER(TRIM('01_Master_Data'!AK259&amp;""))="yes","Yes","No"))</f>
        <v/>
      </c>
      <c r="AE259">
        <f>IF(A259="","",IF(LOWER(TRIM('01_Master_Data'!AJ259&amp;""))="yes","Yes","No"))</f>
        <v/>
      </c>
      <c r="AF259">
        <f>IF(A259="","",TRIM('01_Master_Data'!AL259&amp;""))</f>
        <v/>
      </c>
      <c r="AG259">
        <f>IF(A259="","",IF(AF259="","—",IF(ISNUMBER(SEARCH("DNP",AF259)),"Unreachable / DNP",IF(ISNUMBER(SEARCH("interest",LOWER(AF259))),"High Interest / Terms",IF(OR(ISNUMBER(SEARCH("eligib",LOWER(AF259))),ISNUMBER(SEARCH("income",LOWER(AF259)))),"Eligibility / Income",IF(OR(ISNUMBER(SEARCH("start",LOWER(AF259))),ISNUMBER(SEARCH("Newer",AF259)),ISNUMBER(SEARCH("Will start",AF259))),"Process Yet to Start",IF(ISNUMBER(SEARCH("sure",LOWER(AF259))),"Undecided",IF(OR(ISNUMBER(SEARCH("reject",LOWER(AF259))),ISNUMBER(SEARCH("SBI",AF259))),"Rejected Elsewhere",IF(ISNUMBER(SEARCH("call",LOWER(AF259))),"Bank Communication",IF(OR(ISNUMBER(SEARCH("father",LOWER(AF259))),ISNUMBER(SEARCH("sister",LOWER(AF259)))),"Family / Dependency","Other"))))))))))</f>
        <v/>
      </c>
      <c r="AH259">
        <f>IF(A259="","",'01_Master_Data'!AC259)</f>
        <v/>
      </c>
      <c r="AI259">
        <f>IF(A259="","",IF(OR(AH259="",NOT(ISNUMBER(AH259))),"",MAX(0,'02_Configuration'!$B$82-AH259)))</f>
        <v/>
      </c>
      <c r="AJ259">
        <f>IF(A259="","",IF(AI259="","Unknown",IF(AI259&lt;=3,"0–3 Days",IF(AI259&lt;=7,"4–7 Days",IF(AI259&lt;=15,"8–15 Days",IF(AI259&lt;=30,"16–30 Days","30+ Days"))))))</f>
        <v/>
      </c>
      <c r="AK259">
        <f>IF(A259="","",IF(LOWER(H259)="yes","Yes","No"))</f>
        <v/>
      </c>
      <c r="AL259">
        <f>IF(A259="","",'01_Master_Data'!T259)</f>
        <v/>
      </c>
      <c r="AM259">
        <f>IF(A259="","",'01_Master_Data'!S259)</f>
        <v/>
      </c>
      <c r="AN259">
        <f>IF(A259="","",'01_Master_Data'!I259)</f>
        <v/>
      </c>
      <c r="AO259">
        <f>IF(A259="","",'01_Master_Data'!M259)</f>
        <v/>
      </c>
      <c r="AP259">
        <f>IF(A259="","",IF(ISNUMBER(SEARCH("Icici",W259&amp;"")),1,0))</f>
        <v/>
      </c>
      <c r="AQ259">
        <f>IF(A259="","",IF(ISNUMBER(SEARCH("Propelld",W259&amp;"")),1,0))</f>
        <v/>
      </c>
      <c r="AR259">
        <f>IF(A259="","",IF(ISNUMBER(SEARCH("GyanDhan",W259&amp;"")),1,0))</f>
        <v/>
      </c>
      <c r="AS259">
        <f>IF(A259="","",IF(ISNUMBER(SEARCH("vidyalakshmi",LOWER(W259&amp;""))),1,0))</f>
        <v/>
      </c>
      <c r="AT259">
        <f>IF(A259="","",IF(ISNUMBER(SEARCH("other bank",LOWER(W259&amp;""))),1,0))</f>
        <v/>
      </c>
      <c r="AU259">
        <f>IF(A259="","",IF(ISNUMBER(SEARCH("sanctioned",LOWER(W259&amp;""))),1,0))</f>
        <v/>
      </c>
      <c r="AV259">
        <f>IF(A259="","",IF(ISNUMBER(SEARCH("Docs Pending",W259&amp;"")),1,0))</f>
        <v/>
      </c>
      <c r="AW259">
        <f>IF(A259="","",IF(OR(X259="Rejected",ISNUMBER(SEARCH("Not eligbile",W259&amp;""))),1,0))</f>
        <v/>
      </c>
    </row>
    <row r="260">
      <c r="A260">
        <f>IF('01_Master_Data'!B260="","",259)</f>
        <v/>
      </c>
      <c r="B260">
        <f>IF('01_Master_Data'!B260="","",IF('01_Master_Data'!C260&lt;&gt;"","MOB|"&amp;TEXT('01_Master_Data'!C260,"0"),IF('01_Master_Data'!D260&lt;&gt;"","PID|"&amp;TRIM('01_Master_Data'!D260&amp;""),"")))</f>
        <v/>
      </c>
      <c r="C260">
        <f>IF('01_Master_Data'!B260="","",'01_Master_Data'!B260)</f>
        <v/>
      </c>
      <c r="D260">
        <f>IF('01_Master_Data'!B260="","",'01_Master_Data'!C260)</f>
        <v/>
      </c>
      <c r="E260">
        <f>IF('01_Master_Data'!B260="","",'01_Master_Data'!D260)</f>
        <v/>
      </c>
      <c r="F260">
        <f>IF('01_Master_Data'!B260="","",'01_Master_Data'!E260)</f>
        <v/>
      </c>
      <c r="G260">
        <f>IF('01_Master_Data'!B260="","",IFERROR(VLOOKUP(TRIM('01_Master_Data'!E260&amp;""),'02_Configuration'!$A$40:$B$44,2,FALSE),UPPER(TRIM('01_Master_Data'!E260&amp;""))))</f>
        <v/>
      </c>
      <c r="H260">
        <f>IF('01_Master_Data'!B260="","",IF('01_Master_Data'!U260="","",TRIM('01_Master_Data'!U260&amp;"")))</f>
        <v/>
      </c>
      <c r="I260">
        <f>IF('01_Master_Data'!B260="","",TRIM('01_Master_Data'!F260&amp;""))</f>
        <v/>
      </c>
      <c r="J260">
        <f>IF('01_Master_Data'!B260="","",TRIM('01_Master_Data'!G260&amp;""))</f>
        <v/>
      </c>
      <c r="K260">
        <f>IF('01_Master_Data'!B260="","",'01_Master_Data'!H260)</f>
        <v/>
      </c>
      <c r="L260">
        <f>IF('01_Master_Data'!B260="","",IF(LOWER(TRIM('01_Master_Data'!V260&amp;""))="yes",1,0))</f>
        <v/>
      </c>
      <c r="M260">
        <f>IF('01_Master_Data'!B260="","",IF(LOWER(TRIM('01_Master_Data'!W260&amp;""))="yes",1,0))</f>
        <v/>
      </c>
      <c r="N260">
        <f>IF('01_Master_Data'!B260="","",IF(LOWER(TRIM('01_Master_Data'!X260&amp;""))="yes",1,0))</f>
        <v/>
      </c>
      <c r="O260">
        <f>IF('01_Master_Data'!B260="","",IF(LOWER(TRIM('01_Master_Data'!Y260&amp;""))="yes",1,0))</f>
        <v/>
      </c>
      <c r="P260">
        <f>IF('01_Master_Data'!B260="","",IF(LOWER(TRIM('01_Master_Data'!Z260&amp;""))="yes",1,0))</f>
        <v/>
      </c>
      <c r="Q260">
        <f>IF(A260="","",L260+M260+N260+O260+P260)</f>
        <v/>
      </c>
      <c r="R260">
        <f>IF(A260="","",IF(Q260&gt;1,"Yes","No"))</f>
        <v/>
      </c>
      <c r="S260">
        <f>IF(A260="","",TEXTJOIN(", ",TRUE,IF(L260=1,"ICICI",""),IF(M260=1,"Propelld",""),IF(N260=1,"Study4Buddy",""),IF(O260=1,"Poonawala Fincorp",""),IF(P260=1,"GyanDhan","")))</f>
        <v/>
      </c>
      <c r="T260">
        <f>IF(A260="","",IF(L260=1,"ICICI",IF(M260=1,"Propelld",IF(P260=1,"GyanDhan",IF(N260=1,"Study4Buddy",IF(O260=1,"Poonawala Fincorp",IF(ISNUMBER(SEARCH("GyanDhan",W260&amp;"")),"GyanDhan",IF(ISNUMBER(SEARCH("Icici",W260&amp;"")),"ICICI",IF(ISNUMBER(SEARCH("Propelld",W260&amp;"")),"Propelld",IF(ISNUMBER(SEARCH("vidyalakshmi",LOWER(W260&amp;"")),"PM Vidyalakshmi","—"))))))))))</f>
        <v/>
      </c>
      <c r="U260">
        <f>IF(A260="","",TRIM('01_Master_Data'!AA260&amp;""))</f>
        <v/>
      </c>
      <c r="V260">
        <f>IF(A260="","",TRIM('01_Master_Data'!AG260&amp;""))</f>
        <v/>
      </c>
      <c r="W260">
        <f>IF(A260="","",TRIM('01_Master_Data'!AH260&amp;""))</f>
        <v/>
      </c>
      <c r="X260">
        <f>IF(A260="","",IF(OR(LOWER(H260)="refund",LOWER(U260)="refund case"),"Refund",IF(OR(LOWER(H260)="dnp",LOWER(U260)="dnp"),"DNP",IF(OR(LOWER(V260)="disbursed",ISNUMBER(SEARCH("Disbursed",W260&amp;""))),"Disbursed",IF(OR(LOWER(V260)="loan proccessed/accepted",ISNUMBER(SEARCH("sanctioned",LOWER(W260&amp;"")))),"Sanctioned",IF(OR(LOWER(V260)="rejected",ISNUMBER(SEARCH("Not eligbile",W260&amp;"")),ISNUMBER(SEARCH("Not eligible",W260&amp;""))),"Rejected",IF(ISNUMBER(SEARCH("Docs Pending",W260&amp;"")),"Documents Pending",IF(AND(LOWER(H260)="yes",LOWER(V260)="ongoing"),"Processing",IF(AND(LOWER(H260)="yes",Q260&gt;0,OR(V260="",LOWER(V260)="not even started")),"Vendor Assigned",IF(AND(LOWER(H260)="yes",LOWER(V260)="not even started"),"Need Loan",IF(LOWER(H260)="yes","Loan Started",IF(LOWER(H260)="not sure","Interested",IF(OR(LOWER(H260)="no",LOWER(V260)="not required"),"Not Required","Unclassified")))))))))))))</f>
        <v/>
      </c>
      <c r="Y260">
        <f>IF(A260="","",IF(OR(X260="Sanctioned",X260="Disbursed",X260="Approved"),"Approved",IF(X260="Rejected","Rejected",IF(OR(X260="Processing",X260="Documents Pending",X260="Vendor Assigned"),"In Progress",IF(X260="Need Loan","Pending Start","—"))))</f>
        <v/>
      </c>
      <c r="Z260">
        <f>IF(A260="","",IF(X260="Disbursed","Disbursed",IF(X260="Sanctioned","Sanctioned - Awaiting Disbursement","Not Disbursed")))</f>
        <v/>
      </c>
      <c r="AA260">
        <f>IF(A260="","",IF(LOWER(TRIM('01_Master_Data'!AI260&amp;""))="yes","Need FLDG",IF(LOWER(TRIM('01_Master_Data'!AK260&amp;""))="yes","Need Vidyalakshmi",IF(LOWER(TRIM('01_Master_Data'!AJ260&amp;""))="yes","Need Review",IF(LOWER(J260)="critical","Critical",IF(LOWER(U260)="risk","Risk Case",IF(X260="Refund","Refund","Normal")))))))</f>
        <v/>
      </c>
      <c r="AB260">
        <f>IF(A260="","",IF(OR(LOWER(J260)="critical",LOWER(TRIM('01_Master_Data'!AI260&amp;""))="yes",LOWER(TRIM('01_Master_Data'!AK260&amp;""))="yes",LOWER(U260)="risk"),"Yes","No"))</f>
        <v/>
      </c>
      <c r="AC260">
        <f>IF(A260="","",IF(LOWER(TRIM('01_Master_Data'!AI260&amp;""))="yes","Yes","No"))</f>
        <v/>
      </c>
      <c r="AD260">
        <f>IF(A260="","",IF(LOWER(TRIM('01_Master_Data'!AK260&amp;""))="yes","Yes","No"))</f>
        <v/>
      </c>
      <c r="AE260">
        <f>IF(A260="","",IF(LOWER(TRIM('01_Master_Data'!AJ260&amp;""))="yes","Yes","No"))</f>
        <v/>
      </c>
      <c r="AF260">
        <f>IF(A260="","",TRIM('01_Master_Data'!AL260&amp;""))</f>
        <v/>
      </c>
      <c r="AG260">
        <f>IF(A260="","",IF(AF260="","—",IF(ISNUMBER(SEARCH("DNP",AF260)),"Unreachable / DNP",IF(ISNUMBER(SEARCH("interest",LOWER(AF260))),"High Interest / Terms",IF(OR(ISNUMBER(SEARCH("eligib",LOWER(AF260))),ISNUMBER(SEARCH("income",LOWER(AF260)))),"Eligibility / Income",IF(OR(ISNUMBER(SEARCH("start",LOWER(AF260))),ISNUMBER(SEARCH("Newer",AF260)),ISNUMBER(SEARCH("Will start",AF260))),"Process Yet to Start",IF(ISNUMBER(SEARCH("sure",LOWER(AF260))),"Undecided",IF(OR(ISNUMBER(SEARCH("reject",LOWER(AF260))),ISNUMBER(SEARCH("SBI",AF260))),"Rejected Elsewhere",IF(ISNUMBER(SEARCH("call",LOWER(AF260))),"Bank Communication",IF(OR(ISNUMBER(SEARCH("father",LOWER(AF260))),ISNUMBER(SEARCH("sister",LOWER(AF260)))),"Family / Dependency","Other"))))))))))</f>
        <v/>
      </c>
      <c r="AH260">
        <f>IF(A260="","",'01_Master_Data'!AC260)</f>
        <v/>
      </c>
      <c r="AI260">
        <f>IF(A260="","",IF(OR(AH260="",NOT(ISNUMBER(AH260))),"",MAX(0,'02_Configuration'!$B$82-AH260)))</f>
        <v/>
      </c>
      <c r="AJ260">
        <f>IF(A260="","",IF(AI260="","Unknown",IF(AI260&lt;=3,"0–3 Days",IF(AI260&lt;=7,"4–7 Days",IF(AI260&lt;=15,"8–15 Days",IF(AI260&lt;=30,"16–30 Days","30+ Days"))))))</f>
        <v/>
      </c>
      <c r="AK260">
        <f>IF(A260="","",IF(LOWER(H260)="yes","Yes","No"))</f>
        <v/>
      </c>
      <c r="AL260">
        <f>IF(A260="","",'01_Master_Data'!T260)</f>
        <v/>
      </c>
      <c r="AM260">
        <f>IF(A260="","",'01_Master_Data'!S260)</f>
        <v/>
      </c>
      <c r="AN260">
        <f>IF(A260="","",'01_Master_Data'!I260)</f>
        <v/>
      </c>
      <c r="AO260">
        <f>IF(A260="","",'01_Master_Data'!M260)</f>
        <v/>
      </c>
      <c r="AP260">
        <f>IF(A260="","",IF(ISNUMBER(SEARCH("Icici",W260&amp;"")),1,0))</f>
        <v/>
      </c>
      <c r="AQ260">
        <f>IF(A260="","",IF(ISNUMBER(SEARCH("Propelld",W260&amp;"")),1,0))</f>
        <v/>
      </c>
      <c r="AR260">
        <f>IF(A260="","",IF(ISNUMBER(SEARCH("GyanDhan",W260&amp;"")),1,0))</f>
        <v/>
      </c>
      <c r="AS260">
        <f>IF(A260="","",IF(ISNUMBER(SEARCH("vidyalakshmi",LOWER(W260&amp;""))),1,0))</f>
        <v/>
      </c>
      <c r="AT260">
        <f>IF(A260="","",IF(ISNUMBER(SEARCH("other bank",LOWER(W260&amp;""))),1,0))</f>
        <v/>
      </c>
      <c r="AU260">
        <f>IF(A260="","",IF(ISNUMBER(SEARCH("sanctioned",LOWER(W260&amp;""))),1,0))</f>
        <v/>
      </c>
      <c r="AV260">
        <f>IF(A260="","",IF(ISNUMBER(SEARCH("Docs Pending",W260&amp;"")),1,0))</f>
        <v/>
      </c>
      <c r="AW260">
        <f>IF(A260="","",IF(OR(X260="Rejected",ISNUMBER(SEARCH("Not eligbile",W260&amp;""))),1,0))</f>
        <v/>
      </c>
    </row>
    <row r="261">
      <c r="A261">
        <f>IF('01_Master_Data'!B261="","",260)</f>
        <v/>
      </c>
      <c r="B261">
        <f>IF('01_Master_Data'!B261="","",IF('01_Master_Data'!C261&lt;&gt;"","MOB|"&amp;TEXT('01_Master_Data'!C261,"0"),IF('01_Master_Data'!D261&lt;&gt;"","PID|"&amp;TRIM('01_Master_Data'!D261&amp;""),"")))</f>
        <v/>
      </c>
      <c r="C261">
        <f>IF('01_Master_Data'!B261="","",'01_Master_Data'!B261)</f>
        <v/>
      </c>
      <c r="D261">
        <f>IF('01_Master_Data'!B261="","",'01_Master_Data'!C261)</f>
        <v/>
      </c>
      <c r="E261">
        <f>IF('01_Master_Data'!B261="","",'01_Master_Data'!D261)</f>
        <v/>
      </c>
      <c r="F261">
        <f>IF('01_Master_Data'!B261="","",'01_Master_Data'!E261)</f>
        <v/>
      </c>
      <c r="G261">
        <f>IF('01_Master_Data'!B261="","",IFERROR(VLOOKUP(TRIM('01_Master_Data'!E261&amp;""),'02_Configuration'!$A$40:$B$44,2,FALSE),UPPER(TRIM('01_Master_Data'!E261&amp;""))))</f>
        <v/>
      </c>
      <c r="H261">
        <f>IF('01_Master_Data'!B261="","",IF('01_Master_Data'!U261="","",TRIM('01_Master_Data'!U261&amp;"")))</f>
        <v/>
      </c>
      <c r="I261">
        <f>IF('01_Master_Data'!B261="","",TRIM('01_Master_Data'!F261&amp;""))</f>
        <v/>
      </c>
      <c r="J261">
        <f>IF('01_Master_Data'!B261="","",TRIM('01_Master_Data'!G261&amp;""))</f>
        <v/>
      </c>
      <c r="K261">
        <f>IF('01_Master_Data'!B261="","",'01_Master_Data'!H261)</f>
        <v/>
      </c>
      <c r="L261">
        <f>IF('01_Master_Data'!B261="","",IF(LOWER(TRIM('01_Master_Data'!V261&amp;""))="yes",1,0))</f>
        <v/>
      </c>
      <c r="M261">
        <f>IF('01_Master_Data'!B261="","",IF(LOWER(TRIM('01_Master_Data'!W261&amp;""))="yes",1,0))</f>
        <v/>
      </c>
      <c r="N261">
        <f>IF('01_Master_Data'!B261="","",IF(LOWER(TRIM('01_Master_Data'!X261&amp;""))="yes",1,0))</f>
        <v/>
      </c>
      <c r="O261">
        <f>IF('01_Master_Data'!B261="","",IF(LOWER(TRIM('01_Master_Data'!Y261&amp;""))="yes",1,0))</f>
        <v/>
      </c>
      <c r="P261">
        <f>IF('01_Master_Data'!B261="","",IF(LOWER(TRIM('01_Master_Data'!Z261&amp;""))="yes",1,0))</f>
        <v/>
      </c>
      <c r="Q261">
        <f>IF(A261="","",L261+M261+N261+O261+P261)</f>
        <v/>
      </c>
      <c r="R261">
        <f>IF(A261="","",IF(Q261&gt;1,"Yes","No"))</f>
        <v/>
      </c>
      <c r="S261">
        <f>IF(A261="","",TEXTJOIN(", ",TRUE,IF(L261=1,"ICICI",""),IF(M261=1,"Propelld",""),IF(N261=1,"Study4Buddy",""),IF(O261=1,"Poonawala Fincorp",""),IF(P261=1,"GyanDhan","")))</f>
        <v/>
      </c>
      <c r="T261">
        <f>IF(A261="","",IF(L261=1,"ICICI",IF(M261=1,"Propelld",IF(P261=1,"GyanDhan",IF(N261=1,"Study4Buddy",IF(O261=1,"Poonawala Fincorp",IF(ISNUMBER(SEARCH("GyanDhan",W261&amp;"")),"GyanDhan",IF(ISNUMBER(SEARCH("Icici",W261&amp;"")),"ICICI",IF(ISNUMBER(SEARCH("Propelld",W261&amp;"")),"Propelld",IF(ISNUMBER(SEARCH("vidyalakshmi",LOWER(W261&amp;"")),"PM Vidyalakshmi","—"))))))))))</f>
        <v/>
      </c>
      <c r="U261">
        <f>IF(A261="","",TRIM('01_Master_Data'!AA261&amp;""))</f>
        <v/>
      </c>
      <c r="V261">
        <f>IF(A261="","",TRIM('01_Master_Data'!AG261&amp;""))</f>
        <v/>
      </c>
      <c r="W261">
        <f>IF(A261="","",TRIM('01_Master_Data'!AH261&amp;""))</f>
        <v/>
      </c>
      <c r="X261">
        <f>IF(A261="","",IF(OR(LOWER(H261)="refund",LOWER(U261)="refund case"),"Refund",IF(OR(LOWER(H261)="dnp",LOWER(U261)="dnp"),"DNP",IF(OR(LOWER(V261)="disbursed",ISNUMBER(SEARCH("Disbursed",W261&amp;""))),"Disbursed",IF(OR(LOWER(V261)="loan proccessed/accepted",ISNUMBER(SEARCH("sanctioned",LOWER(W261&amp;"")))),"Sanctioned",IF(OR(LOWER(V261)="rejected",ISNUMBER(SEARCH("Not eligbile",W261&amp;"")),ISNUMBER(SEARCH("Not eligible",W261&amp;""))),"Rejected",IF(ISNUMBER(SEARCH("Docs Pending",W261&amp;"")),"Documents Pending",IF(AND(LOWER(H261)="yes",LOWER(V261)="ongoing"),"Processing",IF(AND(LOWER(H261)="yes",Q261&gt;0,OR(V261="",LOWER(V261)="not even started")),"Vendor Assigned",IF(AND(LOWER(H261)="yes",LOWER(V261)="not even started"),"Need Loan",IF(LOWER(H261)="yes","Loan Started",IF(LOWER(H261)="not sure","Interested",IF(OR(LOWER(H261)="no",LOWER(V261)="not required"),"Not Required","Unclassified")))))))))))))</f>
        <v/>
      </c>
      <c r="Y261">
        <f>IF(A261="","",IF(OR(X261="Sanctioned",X261="Disbursed",X261="Approved"),"Approved",IF(X261="Rejected","Rejected",IF(OR(X261="Processing",X261="Documents Pending",X261="Vendor Assigned"),"In Progress",IF(X261="Need Loan","Pending Start","—"))))</f>
        <v/>
      </c>
      <c r="Z261">
        <f>IF(A261="","",IF(X261="Disbursed","Disbursed",IF(X261="Sanctioned","Sanctioned - Awaiting Disbursement","Not Disbursed")))</f>
        <v/>
      </c>
      <c r="AA261">
        <f>IF(A261="","",IF(LOWER(TRIM('01_Master_Data'!AI261&amp;""))="yes","Need FLDG",IF(LOWER(TRIM('01_Master_Data'!AK261&amp;""))="yes","Need Vidyalakshmi",IF(LOWER(TRIM('01_Master_Data'!AJ261&amp;""))="yes","Need Review",IF(LOWER(J261)="critical","Critical",IF(LOWER(U261)="risk","Risk Case",IF(X261="Refund","Refund","Normal")))))))</f>
        <v/>
      </c>
      <c r="AB261">
        <f>IF(A261="","",IF(OR(LOWER(J261)="critical",LOWER(TRIM('01_Master_Data'!AI261&amp;""))="yes",LOWER(TRIM('01_Master_Data'!AK261&amp;""))="yes",LOWER(U261)="risk"),"Yes","No"))</f>
        <v/>
      </c>
      <c r="AC261">
        <f>IF(A261="","",IF(LOWER(TRIM('01_Master_Data'!AI261&amp;""))="yes","Yes","No"))</f>
        <v/>
      </c>
      <c r="AD261">
        <f>IF(A261="","",IF(LOWER(TRIM('01_Master_Data'!AK261&amp;""))="yes","Yes","No"))</f>
        <v/>
      </c>
      <c r="AE261">
        <f>IF(A261="","",IF(LOWER(TRIM('01_Master_Data'!AJ261&amp;""))="yes","Yes","No"))</f>
        <v/>
      </c>
      <c r="AF261">
        <f>IF(A261="","",TRIM('01_Master_Data'!AL261&amp;""))</f>
        <v/>
      </c>
      <c r="AG261">
        <f>IF(A261="","",IF(AF261="","—",IF(ISNUMBER(SEARCH("DNP",AF261)),"Unreachable / DNP",IF(ISNUMBER(SEARCH("interest",LOWER(AF261))),"High Interest / Terms",IF(OR(ISNUMBER(SEARCH("eligib",LOWER(AF261))),ISNUMBER(SEARCH("income",LOWER(AF261)))),"Eligibility / Income",IF(OR(ISNUMBER(SEARCH("start",LOWER(AF261))),ISNUMBER(SEARCH("Newer",AF261)),ISNUMBER(SEARCH("Will start",AF261))),"Process Yet to Start",IF(ISNUMBER(SEARCH("sure",LOWER(AF261))),"Undecided",IF(OR(ISNUMBER(SEARCH("reject",LOWER(AF261))),ISNUMBER(SEARCH("SBI",AF261))),"Rejected Elsewhere",IF(ISNUMBER(SEARCH("call",LOWER(AF261))),"Bank Communication",IF(OR(ISNUMBER(SEARCH("father",LOWER(AF261))),ISNUMBER(SEARCH("sister",LOWER(AF261)))),"Family / Dependency","Other"))))))))))</f>
        <v/>
      </c>
      <c r="AH261">
        <f>IF(A261="","",'01_Master_Data'!AC261)</f>
        <v/>
      </c>
      <c r="AI261">
        <f>IF(A261="","",IF(OR(AH261="",NOT(ISNUMBER(AH261))),"",MAX(0,'02_Configuration'!$B$82-AH261)))</f>
        <v/>
      </c>
      <c r="AJ261">
        <f>IF(A261="","",IF(AI261="","Unknown",IF(AI261&lt;=3,"0–3 Days",IF(AI261&lt;=7,"4–7 Days",IF(AI261&lt;=15,"8–15 Days",IF(AI261&lt;=30,"16–30 Days","30+ Days"))))))</f>
        <v/>
      </c>
      <c r="AK261">
        <f>IF(A261="","",IF(LOWER(H261)="yes","Yes","No"))</f>
        <v/>
      </c>
      <c r="AL261">
        <f>IF(A261="","",'01_Master_Data'!T261)</f>
        <v/>
      </c>
      <c r="AM261">
        <f>IF(A261="","",'01_Master_Data'!S261)</f>
        <v/>
      </c>
      <c r="AN261">
        <f>IF(A261="","",'01_Master_Data'!I261)</f>
        <v/>
      </c>
      <c r="AO261">
        <f>IF(A261="","",'01_Master_Data'!M261)</f>
        <v/>
      </c>
      <c r="AP261">
        <f>IF(A261="","",IF(ISNUMBER(SEARCH("Icici",W261&amp;"")),1,0))</f>
        <v/>
      </c>
      <c r="AQ261">
        <f>IF(A261="","",IF(ISNUMBER(SEARCH("Propelld",W261&amp;"")),1,0))</f>
        <v/>
      </c>
      <c r="AR261">
        <f>IF(A261="","",IF(ISNUMBER(SEARCH("GyanDhan",W261&amp;"")),1,0))</f>
        <v/>
      </c>
      <c r="AS261">
        <f>IF(A261="","",IF(ISNUMBER(SEARCH("vidyalakshmi",LOWER(W261&amp;""))),1,0))</f>
        <v/>
      </c>
      <c r="AT261">
        <f>IF(A261="","",IF(ISNUMBER(SEARCH("other bank",LOWER(W261&amp;""))),1,0))</f>
        <v/>
      </c>
      <c r="AU261">
        <f>IF(A261="","",IF(ISNUMBER(SEARCH("sanctioned",LOWER(W261&amp;""))),1,0))</f>
        <v/>
      </c>
      <c r="AV261">
        <f>IF(A261="","",IF(ISNUMBER(SEARCH("Docs Pending",W261&amp;"")),1,0))</f>
        <v/>
      </c>
      <c r="AW261">
        <f>IF(A261="","",IF(OR(X261="Rejected",ISNUMBER(SEARCH("Not eligbile",W261&amp;""))),1,0))</f>
        <v/>
      </c>
    </row>
    <row r="262">
      <c r="A262">
        <f>IF('01_Master_Data'!B262="","",261)</f>
        <v/>
      </c>
      <c r="B262">
        <f>IF('01_Master_Data'!B262="","",IF('01_Master_Data'!C262&lt;&gt;"","MOB|"&amp;TEXT('01_Master_Data'!C262,"0"),IF('01_Master_Data'!D262&lt;&gt;"","PID|"&amp;TRIM('01_Master_Data'!D262&amp;""),"")))</f>
        <v/>
      </c>
      <c r="C262">
        <f>IF('01_Master_Data'!B262="","",'01_Master_Data'!B262)</f>
        <v/>
      </c>
      <c r="D262">
        <f>IF('01_Master_Data'!B262="","",'01_Master_Data'!C262)</f>
        <v/>
      </c>
      <c r="E262">
        <f>IF('01_Master_Data'!B262="","",'01_Master_Data'!D262)</f>
        <v/>
      </c>
      <c r="F262">
        <f>IF('01_Master_Data'!B262="","",'01_Master_Data'!E262)</f>
        <v/>
      </c>
      <c r="G262">
        <f>IF('01_Master_Data'!B262="","",IFERROR(VLOOKUP(TRIM('01_Master_Data'!E262&amp;""),'02_Configuration'!$A$40:$B$44,2,FALSE),UPPER(TRIM('01_Master_Data'!E262&amp;""))))</f>
        <v/>
      </c>
      <c r="H262">
        <f>IF('01_Master_Data'!B262="","",IF('01_Master_Data'!U262="","",TRIM('01_Master_Data'!U262&amp;"")))</f>
        <v/>
      </c>
      <c r="I262">
        <f>IF('01_Master_Data'!B262="","",TRIM('01_Master_Data'!F262&amp;""))</f>
        <v/>
      </c>
      <c r="J262">
        <f>IF('01_Master_Data'!B262="","",TRIM('01_Master_Data'!G262&amp;""))</f>
        <v/>
      </c>
      <c r="K262">
        <f>IF('01_Master_Data'!B262="","",'01_Master_Data'!H262)</f>
        <v/>
      </c>
      <c r="L262">
        <f>IF('01_Master_Data'!B262="","",IF(LOWER(TRIM('01_Master_Data'!V262&amp;""))="yes",1,0))</f>
        <v/>
      </c>
      <c r="M262">
        <f>IF('01_Master_Data'!B262="","",IF(LOWER(TRIM('01_Master_Data'!W262&amp;""))="yes",1,0))</f>
        <v/>
      </c>
      <c r="N262">
        <f>IF('01_Master_Data'!B262="","",IF(LOWER(TRIM('01_Master_Data'!X262&amp;""))="yes",1,0))</f>
        <v/>
      </c>
      <c r="O262">
        <f>IF('01_Master_Data'!B262="","",IF(LOWER(TRIM('01_Master_Data'!Y262&amp;""))="yes",1,0))</f>
        <v/>
      </c>
      <c r="P262">
        <f>IF('01_Master_Data'!B262="","",IF(LOWER(TRIM('01_Master_Data'!Z262&amp;""))="yes",1,0))</f>
        <v/>
      </c>
      <c r="Q262">
        <f>IF(A262="","",L262+M262+N262+O262+P262)</f>
        <v/>
      </c>
      <c r="R262">
        <f>IF(A262="","",IF(Q262&gt;1,"Yes","No"))</f>
        <v/>
      </c>
      <c r="S262">
        <f>IF(A262="","",TEXTJOIN(", ",TRUE,IF(L262=1,"ICICI",""),IF(M262=1,"Propelld",""),IF(N262=1,"Study4Buddy",""),IF(O262=1,"Poonawala Fincorp",""),IF(P262=1,"GyanDhan","")))</f>
        <v/>
      </c>
      <c r="T262">
        <f>IF(A262="","",IF(L262=1,"ICICI",IF(M262=1,"Propelld",IF(P262=1,"GyanDhan",IF(N262=1,"Study4Buddy",IF(O262=1,"Poonawala Fincorp",IF(ISNUMBER(SEARCH("GyanDhan",W262&amp;"")),"GyanDhan",IF(ISNUMBER(SEARCH("Icici",W262&amp;"")),"ICICI",IF(ISNUMBER(SEARCH("Propelld",W262&amp;"")),"Propelld",IF(ISNUMBER(SEARCH("vidyalakshmi",LOWER(W262&amp;"")),"PM Vidyalakshmi","—"))))))))))</f>
        <v/>
      </c>
      <c r="U262">
        <f>IF(A262="","",TRIM('01_Master_Data'!AA262&amp;""))</f>
        <v/>
      </c>
      <c r="V262">
        <f>IF(A262="","",TRIM('01_Master_Data'!AG262&amp;""))</f>
        <v/>
      </c>
      <c r="W262">
        <f>IF(A262="","",TRIM('01_Master_Data'!AH262&amp;""))</f>
        <v/>
      </c>
      <c r="X262">
        <f>IF(A262="","",IF(OR(LOWER(H262)="refund",LOWER(U262)="refund case"),"Refund",IF(OR(LOWER(H262)="dnp",LOWER(U262)="dnp"),"DNP",IF(OR(LOWER(V262)="disbursed",ISNUMBER(SEARCH("Disbursed",W262&amp;""))),"Disbursed",IF(OR(LOWER(V262)="loan proccessed/accepted",ISNUMBER(SEARCH("sanctioned",LOWER(W262&amp;"")))),"Sanctioned",IF(OR(LOWER(V262)="rejected",ISNUMBER(SEARCH("Not eligbile",W262&amp;"")),ISNUMBER(SEARCH("Not eligible",W262&amp;""))),"Rejected",IF(ISNUMBER(SEARCH("Docs Pending",W262&amp;"")),"Documents Pending",IF(AND(LOWER(H262)="yes",LOWER(V262)="ongoing"),"Processing",IF(AND(LOWER(H262)="yes",Q262&gt;0,OR(V262="",LOWER(V262)="not even started")),"Vendor Assigned",IF(AND(LOWER(H262)="yes",LOWER(V262)="not even started"),"Need Loan",IF(LOWER(H262)="yes","Loan Started",IF(LOWER(H262)="not sure","Interested",IF(OR(LOWER(H262)="no",LOWER(V262)="not required"),"Not Required","Unclassified")))))))))))))</f>
        <v/>
      </c>
      <c r="Y262">
        <f>IF(A262="","",IF(OR(X262="Sanctioned",X262="Disbursed",X262="Approved"),"Approved",IF(X262="Rejected","Rejected",IF(OR(X262="Processing",X262="Documents Pending",X262="Vendor Assigned"),"In Progress",IF(X262="Need Loan","Pending Start","—"))))</f>
        <v/>
      </c>
      <c r="Z262">
        <f>IF(A262="","",IF(X262="Disbursed","Disbursed",IF(X262="Sanctioned","Sanctioned - Awaiting Disbursement","Not Disbursed")))</f>
        <v/>
      </c>
      <c r="AA262">
        <f>IF(A262="","",IF(LOWER(TRIM('01_Master_Data'!AI262&amp;""))="yes","Need FLDG",IF(LOWER(TRIM('01_Master_Data'!AK262&amp;""))="yes","Need Vidyalakshmi",IF(LOWER(TRIM('01_Master_Data'!AJ262&amp;""))="yes","Need Review",IF(LOWER(J262)="critical","Critical",IF(LOWER(U262)="risk","Risk Case",IF(X262="Refund","Refund","Normal")))))))</f>
        <v/>
      </c>
      <c r="AB262">
        <f>IF(A262="","",IF(OR(LOWER(J262)="critical",LOWER(TRIM('01_Master_Data'!AI262&amp;""))="yes",LOWER(TRIM('01_Master_Data'!AK262&amp;""))="yes",LOWER(U262)="risk"),"Yes","No"))</f>
        <v/>
      </c>
      <c r="AC262">
        <f>IF(A262="","",IF(LOWER(TRIM('01_Master_Data'!AI262&amp;""))="yes","Yes","No"))</f>
        <v/>
      </c>
      <c r="AD262">
        <f>IF(A262="","",IF(LOWER(TRIM('01_Master_Data'!AK262&amp;""))="yes","Yes","No"))</f>
        <v/>
      </c>
      <c r="AE262">
        <f>IF(A262="","",IF(LOWER(TRIM('01_Master_Data'!AJ262&amp;""))="yes","Yes","No"))</f>
        <v/>
      </c>
      <c r="AF262">
        <f>IF(A262="","",TRIM('01_Master_Data'!AL262&amp;""))</f>
        <v/>
      </c>
      <c r="AG262">
        <f>IF(A262="","",IF(AF262="","—",IF(ISNUMBER(SEARCH("DNP",AF262)),"Unreachable / DNP",IF(ISNUMBER(SEARCH("interest",LOWER(AF262))),"High Interest / Terms",IF(OR(ISNUMBER(SEARCH("eligib",LOWER(AF262))),ISNUMBER(SEARCH("income",LOWER(AF262)))),"Eligibility / Income",IF(OR(ISNUMBER(SEARCH("start",LOWER(AF262))),ISNUMBER(SEARCH("Newer",AF262)),ISNUMBER(SEARCH("Will start",AF262))),"Process Yet to Start",IF(ISNUMBER(SEARCH("sure",LOWER(AF262))),"Undecided",IF(OR(ISNUMBER(SEARCH("reject",LOWER(AF262))),ISNUMBER(SEARCH("SBI",AF262))),"Rejected Elsewhere",IF(ISNUMBER(SEARCH("call",LOWER(AF262))),"Bank Communication",IF(OR(ISNUMBER(SEARCH("father",LOWER(AF262))),ISNUMBER(SEARCH("sister",LOWER(AF262)))),"Family / Dependency","Other"))))))))))</f>
        <v/>
      </c>
      <c r="AH262">
        <f>IF(A262="","",'01_Master_Data'!AC262)</f>
        <v/>
      </c>
      <c r="AI262">
        <f>IF(A262="","",IF(OR(AH262="",NOT(ISNUMBER(AH262))),"",MAX(0,'02_Configuration'!$B$82-AH262)))</f>
        <v/>
      </c>
      <c r="AJ262">
        <f>IF(A262="","",IF(AI262="","Unknown",IF(AI262&lt;=3,"0–3 Days",IF(AI262&lt;=7,"4–7 Days",IF(AI262&lt;=15,"8–15 Days",IF(AI262&lt;=30,"16–30 Days","30+ Days"))))))</f>
        <v/>
      </c>
      <c r="AK262">
        <f>IF(A262="","",IF(LOWER(H262)="yes","Yes","No"))</f>
        <v/>
      </c>
      <c r="AL262">
        <f>IF(A262="","",'01_Master_Data'!T262)</f>
        <v/>
      </c>
      <c r="AM262">
        <f>IF(A262="","",'01_Master_Data'!S262)</f>
        <v/>
      </c>
      <c r="AN262">
        <f>IF(A262="","",'01_Master_Data'!I262)</f>
        <v/>
      </c>
      <c r="AO262">
        <f>IF(A262="","",'01_Master_Data'!M262)</f>
        <v/>
      </c>
      <c r="AP262">
        <f>IF(A262="","",IF(ISNUMBER(SEARCH("Icici",W262&amp;"")),1,0))</f>
        <v/>
      </c>
      <c r="AQ262">
        <f>IF(A262="","",IF(ISNUMBER(SEARCH("Propelld",W262&amp;"")),1,0))</f>
        <v/>
      </c>
      <c r="AR262">
        <f>IF(A262="","",IF(ISNUMBER(SEARCH("GyanDhan",W262&amp;"")),1,0))</f>
        <v/>
      </c>
      <c r="AS262">
        <f>IF(A262="","",IF(ISNUMBER(SEARCH("vidyalakshmi",LOWER(W262&amp;""))),1,0))</f>
        <v/>
      </c>
      <c r="AT262">
        <f>IF(A262="","",IF(ISNUMBER(SEARCH("other bank",LOWER(W262&amp;""))),1,0))</f>
        <v/>
      </c>
      <c r="AU262">
        <f>IF(A262="","",IF(ISNUMBER(SEARCH("sanctioned",LOWER(W262&amp;""))),1,0))</f>
        <v/>
      </c>
      <c r="AV262">
        <f>IF(A262="","",IF(ISNUMBER(SEARCH("Docs Pending",W262&amp;"")),1,0))</f>
        <v/>
      </c>
      <c r="AW262">
        <f>IF(A262="","",IF(OR(X262="Rejected",ISNUMBER(SEARCH("Not eligbile",W262&amp;""))),1,0))</f>
        <v/>
      </c>
    </row>
    <row r="263">
      <c r="A263">
        <f>IF('01_Master_Data'!B263="","",262)</f>
        <v/>
      </c>
      <c r="B263">
        <f>IF('01_Master_Data'!B263="","",IF('01_Master_Data'!C263&lt;&gt;"","MOB|"&amp;TEXT('01_Master_Data'!C263,"0"),IF('01_Master_Data'!D263&lt;&gt;"","PID|"&amp;TRIM('01_Master_Data'!D263&amp;""),"")))</f>
        <v/>
      </c>
      <c r="C263">
        <f>IF('01_Master_Data'!B263="","",'01_Master_Data'!B263)</f>
        <v/>
      </c>
      <c r="D263">
        <f>IF('01_Master_Data'!B263="","",'01_Master_Data'!C263)</f>
        <v/>
      </c>
      <c r="E263">
        <f>IF('01_Master_Data'!B263="","",'01_Master_Data'!D263)</f>
        <v/>
      </c>
      <c r="F263">
        <f>IF('01_Master_Data'!B263="","",'01_Master_Data'!E263)</f>
        <v/>
      </c>
      <c r="G263">
        <f>IF('01_Master_Data'!B263="","",IFERROR(VLOOKUP(TRIM('01_Master_Data'!E263&amp;""),'02_Configuration'!$A$40:$B$44,2,FALSE),UPPER(TRIM('01_Master_Data'!E263&amp;""))))</f>
        <v/>
      </c>
      <c r="H263">
        <f>IF('01_Master_Data'!B263="","",IF('01_Master_Data'!U263="","",TRIM('01_Master_Data'!U263&amp;"")))</f>
        <v/>
      </c>
      <c r="I263">
        <f>IF('01_Master_Data'!B263="","",TRIM('01_Master_Data'!F263&amp;""))</f>
        <v/>
      </c>
      <c r="J263">
        <f>IF('01_Master_Data'!B263="","",TRIM('01_Master_Data'!G263&amp;""))</f>
        <v/>
      </c>
      <c r="K263">
        <f>IF('01_Master_Data'!B263="","",'01_Master_Data'!H263)</f>
        <v/>
      </c>
      <c r="L263">
        <f>IF('01_Master_Data'!B263="","",IF(LOWER(TRIM('01_Master_Data'!V263&amp;""))="yes",1,0))</f>
        <v/>
      </c>
      <c r="M263">
        <f>IF('01_Master_Data'!B263="","",IF(LOWER(TRIM('01_Master_Data'!W263&amp;""))="yes",1,0))</f>
        <v/>
      </c>
      <c r="N263">
        <f>IF('01_Master_Data'!B263="","",IF(LOWER(TRIM('01_Master_Data'!X263&amp;""))="yes",1,0))</f>
        <v/>
      </c>
      <c r="O263">
        <f>IF('01_Master_Data'!B263="","",IF(LOWER(TRIM('01_Master_Data'!Y263&amp;""))="yes",1,0))</f>
        <v/>
      </c>
      <c r="P263">
        <f>IF('01_Master_Data'!B263="","",IF(LOWER(TRIM('01_Master_Data'!Z263&amp;""))="yes",1,0))</f>
        <v/>
      </c>
      <c r="Q263">
        <f>IF(A263="","",L263+M263+N263+O263+P263)</f>
        <v/>
      </c>
      <c r="R263">
        <f>IF(A263="","",IF(Q263&gt;1,"Yes","No"))</f>
        <v/>
      </c>
      <c r="S263">
        <f>IF(A263="","",TEXTJOIN(", ",TRUE,IF(L263=1,"ICICI",""),IF(M263=1,"Propelld",""),IF(N263=1,"Study4Buddy",""),IF(O263=1,"Poonawala Fincorp",""),IF(P263=1,"GyanDhan","")))</f>
        <v/>
      </c>
      <c r="T263">
        <f>IF(A263="","",IF(L263=1,"ICICI",IF(M263=1,"Propelld",IF(P263=1,"GyanDhan",IF(N263=1,"Study4Buddy",IF(O263=1,"Poonawala Fincorp",IF(ISNUMBER(SEARCH("GyanDhan",W263&amp;"")),"GyanDhan",IF(ISNUMBER(SEARCH("Icici",W263&amp;"")),"ICICI",IF(ISNUMBER(SEARCH("Propelld",W263&amp;"")),"Propelld",IF(ISNUMBER(SEARCH("vidyalakshmi",LOWER(W263&amp;"")),"PM Vidyalakshmi","—"))))))))))</f>
        <v/>
      </c>
      <c r="U263">
        <f>IF(A263="","",TRIM('01_Master_Data'!AA263&amp;""))</f>
        <v/>
      </c>
      <c r="V263">
        <f>IF(A263="","",TRIM('01_Master_Data'!AG263&amp;""))</f>
        <v/>
      </c>
      <c r="W263">
        <f>IF(A263="","",TRIM('01_Master_Data'!AH263&amp;""))</f>
        <v/>
      </c>
      <c r="X263">
        <f>IF(A263="","",IF(OR(LOWER(H263)="refund",LOWER(U263)="refund case"),"Refund",IF(OR(LOWER(H263)="dnp",LOWER(U263)="dnp"),"DNP",IF(OR(LOWER(V263)="disbursed",ISNUMBER(SEARCH("Disbursed",W263&amp;""))),"Disbursed",IF(OR(LOWER(V263)="loan proccessed/accepted",ISNUMBER(SEARCH("sanctioned",LOWER(W263&amp;"")))),"Sanctioned",IF(OR(LOWER(V263)="rejected",ISNUMBER(SEARCH("Not eligbile",W263&amp;"")),ISNUMBER(SEARCH("Not eligible",W263&amp;""))),"Rejected",IF(ISNUMBER(SEARCH("Docs Pending",W263&amp;"")),"Documents Pending",IF(AND(LOWER(H263)="yes",LOWER(V263)="ongoing"),"Processing",IF(AND(LOWER(H263)="yes",Q263&gt;0,OR(V263="",LOWER(V263)="not even started")),"Vendor Assigned",IF(AND(LOWER(H263)="yes",LOWER(V263)="not even started"),"Need Loan",IF(LOWER(H263)="yes","Loan Started",IF(LOWER(H263)="not sure","Interested",IF(OR(LOWER(H263)="no",LOWER(V263)="not required"),"Not Required","Unclassified")))))))))))))</f>
        <v/>
      </c>
      <c r="Y263">
        <f>IF(A263="","",IF(OR(X263="Sanctioned",X263="Disbursed",X263="Approved"),"Approved",IF(X263="Rejected","Rejected",IF(OR(X263="Processing",X263="Documents Pending",X263="Vendor Assigned"),"In Progress",IF(X263="Need Loan","Pending Start","—"))))</f>
        <v/>
      </c>
      <c r="Z263">
        <f>IF(A263="","",IF(X263="Disbursed","Disbursed",IF(X263="Sanctioned","Sanctioned - Awaiting Disbursement","Not Disbursed")))</f>
        <v/>
      </c>
      <c r="AA263">
        <f>IF(A263="","",IF(LOWER(TRIM('01_Master_Data'!AI263&amp;""))="yes","Need FLDG",IF(LOWER(TRIM('01_Master_Data'!AK263&amp;""))="yes","Need Vidyalakshmi",IF(LOWER(TRIM('01_Master_Data'!AJ263&amp;""))="yes","Need Review",IF(LOWER(J263)="critical","Critical",IF(LOWER(U263)="risk","Risk Case",IF(X263="Refund","Refund","Normal")))))))</f>
        <v/>
      </c>
      <c r="AB263">
        <f>IF(A263="","",IF(OR(LOWER(J263)="critical",LOWER(TRIM('01_Master_Data'!AI263&amp;""))="yes",LOWER(TRIM('01_Master_Data'!AK263&amp;""))="yes",LOWER(U263)="risk"),"Yes","No"))</f>
        <v/>
      </c>
      <c r="AC263">
        <f>IF(A263="","",IF(LOWER(TRIM('01_Master_Data'!AI263&amp;""))="yes","Yes","No"))</f>
        <v/>
      </c>
      <c r="AD263">
        <f>IF(A263="","",IF(LOWER(TRIM('01_Master_Data'!AK263&amp;""))="yes","Yes","No"))</f>
        <v/>
      </c>
      <c r="AE263">
        <f>IF(A263="","",IF(LOWER(TRIM('01_Master_Data'!AJ263&amp;""))="yes","Yes","No"))</f>
        <v/>
      </c>
      <c r="AF263">
        <f>IF(A263="","",TRIM('01_Master_Data'!AL263&amp;""))</f>
        <v/>
      </c>
      <c r="AG263">
        <f>IF(A263="","",IF(AF263="","—",IF(ISNUMBER(SEARCH("DNP",AF263)),"Unreachable / DNP",IF(ISNUMBER(SEARCH("interest",LOWER(AF263))),"High Interest / Terms",IF(OR(ISNUMBER(SEARCH("eligib",LOWER(AF263))),ISNUMBER(SEARCH("income",LOWER(AF263)))),"Eligibility / Income",IF(OR(ISNUMBER(SEARCH("start",LOWER(AF263))),ISNUMBER(SEARCH("Newer",AF263)),ISNUMBER(SEARCH("Will start",AF263))),"Process Yet to Start",IF(ISNUMBER(SEARCH("sure",LOWER(AF263))),"Undecided",IF(OR(ISNUMBER(SEARCH("reject",LOWER(AF263))),ISNUMBER(SEARCH("SBI",AF263))),"Rejected Elsewhere",IF(ISNUMBER(SEARCH("call",LOWER(AF263))),"Bank Communication",IF(OR(ISNUMBER(SEARCH("father",LOWER(AF263))),ISNUMBER(SEARCH("sister",LOWER(AF263)))),"Family / Dependency","Other"))))))))))</f>
        <v/>
      </c>
      <c r="AH263">
        <f>IF(A263="","",'01_Master_Data'!AC263)</f>
        <v/>
      </c>
      <c r="AI263">
        <f>IF(A263="","",IF(OR(AH263="",NOT(ISNUMBER(AH263))),"",MAX(0,'02_Configuration'!$B$82-AH263)))</f>
        <v/>
      </c>
      <c r="AJ263">
        <f>IF(A263="","",IF(AI263="","Unknown",IF(AI263&lt;=3,"0–3 Days",IF(AI263&lt;=7,"4–7 Days",IF(AI263&lt;=15,"8–15 Days",IF(AI263&lt;=30,"16–30 Days","30+ Days"))))))</f>
        <v/>
      </c>
      <c r="AK263">
        <f>IF(A263="","",IF(LOWER(H263)="yes","Yes","No"))</f>
        <v/>
      </c>
      <c r="AL263">
        <f>IF(A263="","",'01_Master_Data'!T263)</f>
        <v/>
      </c>
      <c r="AM263">
        <f>IF(A263="","",'01_Master_Data'!S263)</f>
        <v/>
      </c>
      <c r="AN263">
        <f>IF(A263="","",'01_Master_Data'!I263)</f>
        <v/>
      </c>
      <c r="AO263">
        <f>IF(A263="","",'01_Master_Data'!M263)</f>
        <v/>
      </c>
      <c r="AP263">
        <f>IF(A263="","",IF(ISNUMBER(SEARCH("Icici",W263&amp;"")),1,0))</f>
        <v/>
      </c>
      <c r="AQ263">
        <f>IF(A263="","",IF(ISNUMBER(SEARCH("Propelld",W263&amp;"")),1,0))</f>
        <v/>
      </c>
      <c r="AR263">
        <f>IF(A263="","",IF(ISNUMBER(SEARCH("GyanDhan",W263&amp;"")),1,0))</f>
        <v/>
      </c>
      <c r="AS263">
        <f>IF(A263="","",IF(ISNUMBER(SEARCH("vidyalakshmi",LOWER(W263&amp;""))),1,0))</f>
        <v/>
      </c>
      <c r="AT263">
        <f>IF(A263="","",IF(ISNUMBER(SEARCH("other bank",LOWER(W263&amp;""))),1,0))</f>
        <v/>
      </c>
      <c r="AU263">
        <f>IF(A263="","",IF(ISNUMBER(SEARCH("sanctioned",LOWER(W263&amp;""))),1,0))</f>
        <v/>
      </c>
      <c r="AV263">
        <f>IF(A263="","",IF(ISNUMBER(SEARCH("Docs Pending",W263&amp;"")),1,0))</f>
        <v/>
      </c>
      <c r="AW263">
        <f>IF(A263="","",IF(OR(X263="Rejected",ISNUMBER(SEARCH("Not eligbile",W263&amp;""))),1,0))</f>
        <v/>
      </c>
    </row>
    <row r="264">
      <c r="A264">
        <f>IF('01_Master_Data'!B264="","",263)</f>
        <v/>
      </c>
      <c r="B264">
        <f>IF('01_Master_Data'!B264="","",IF('01_Master_Data'!C264&lt;&gt;"","MOB|"&amp;TEXT('01_Master_Data'!C264,"0"),IF('01_Master_Data'!D264&lt;&gt;"","PID|"&amp;TRIM('01_Master_Data'!D264&amp;""),"")))</f>
        <v/>
      </c>
      <c r="C264">
        <f>IF('01_Master_Data'!B264="","",'01_Master_Data'!B264)</f>
        <v/>
      </c>
      <c r="D264">
        <f>IF('01_Master_Data'!B264="","",'01_Master_Data'!C264)</f>
        <v/>
      </c>
      <c r="E264">
        <f>IF('01_Master_Data'!B264="","",'01_Master_Data'!D264)</f>
        <v/>
      </c>
      <c r="F264">
        <f>IF('01_Master_Data'!B264="","",'01_Master_Data'!E264)</f>
        <v/>
      </c>
      <c r="G264">
        <f>IF('01_Master_Data'!B264="","",IFERROR(VLOOKUP(TRIM('01_Master_Data'!E264&amp;""),'02_Configuration'!$A$40:$B$44,2,FALSE),UPPER(TRIM('01_Master_Data'!E264&amp;""))))</f>
        <v/>
      </c>
      <c r="H264">
        <f>IF('01_Master_Data'!B264="","",IF('01_Master_Data'!U264="","",TRIM('01_Master_Data'!U264&amp;"")))</f>
        <v/>
      </c>
      <c r="I264">
        <f>IF('01_Master_Data'!B264="","",TRIM('01_Master_Data'!F264&amp;""))</f>
        <v/>
      </c>
      <c r="J264">
        <f>IF('01_Master_Data'!B264="","",TRIM('01_Master_Data'!G264&amp;""))</f>
        <v/>
      </c>
      <c r="K264">
        <f>IF('01_Master_Data'!B264="","",'01_Master_Data'!H264)</f>
        <v/>
      </c>
      <c r="L264">
        <f>IF('01_Master_Data'!B264="","",IF(LOWER(TRIM('01_Master_Data'!V264&amp;""))="yes",1,0))</f>
        <v/>
      </c>
      <c r="M264">
        <f>IF('01_Master_Data'!B264="","",IF(LOWER(TRIM('01_Master_Data'!W264&amp;""))="yes",1,0))</f>
        <v/>
      </c>
      <c r="N264">
        <f>IF('01_Master_Data'!B264="","",IF(LOWER(TRIM('01_Master_Data'!X264&amp;""))="yes",1,0))</f>
        <v/>
      </c>
      <c r="O264">
        <f>IF('01_Master_Data'!B264="","",IF(LOWER(TRIM('01_Master_Data'!Y264&amp;""))="yes",1,0))</f>
        <v/>
      </c>
      <c r="P264">
        <f>IF('01_Master_Data'!B264="","",IF(LOWER(TRIM('01_Master_Data'!Z264&amp;""))="yes",1,0))</f>
        <v/>
      </c>
      <c r="Q264">
        <f>IF(A264="","",L264+M264+N264+O264+P264)</f>
        <v/>
      </c>
      <c r="R264">
        <f>IF(A264="","",IF(Q264&gt;1,"Yes","No"))</f>
        <v/>
      </c>
      <c r="S264">
        <f>IF(A264="","",TEXTJOIN(", ",TRUE,IF(L264=1,"ICICI",""),IF(M264=1,"Propelld",""),IF(N264=1,"Study4Buddy",""),IF(O264=1,"Poonawala Fincorp",""),IF(P264=1,"GyanDhan","")))</f>
        <v/>
      </c>
      <c r="T264">
        <f>IF(A264="","",IF(L264=1,"ICICI",IF(M264=1,"Propelld",IF(P264=1,"GyanDhan",IF(N264=1,"Study4Buddy",IF(O264=1,"Poonawala Fincorp",IF(ISNUMBER(SEARCH("GyanDhan",W264&amp;"")),"GyanDhan",IF(ISNUMBER(SEARCH("Icici",W264&amp;"")),"ICICI",IF(ISNUMBER(SEARCH("Propelld",W264&amp;"")),"Propelld",IF(ISNUMBER(SEARCH("vidyalakshmi",LOWER(W264&amp;"")),"PM Vidyalakshmi","—"))))))))))</f>
        <v/>
      </c>
      <c r="U264">
        <f>IF(A264="","",TRIM('01_Master_Data'!AA264&amp;""))</f>
        <v/>
      </c>
      <c r="V264">
        <f>IF(A264="","",TRIM('01_Master_Data'!AG264&amp;""))</f>
        <v/>
      </c>
      <c r="W264">
        <f>IF(A264="","",TRIM('01_Master_Data'!AH264&amp;""))</f>
        <v/>
      </c>
      <c r="X264">
        <f>IF(A264="","",IF(OR(LOWER(H264)="refund",LOWER(U264)="refund case"),"Refund",IF(OR(LOWER(H264)="dnp",LOWER(U264)="dnp"),"DNP",IF(OR(LOWER(V264)="disbursed",ISNUMBER(SEARCH("Disbursed",W264&amp;""))),"Disbursed",IF(OR(LOWER(V264)="loan proccessed/accepted",ISNUMBER(SEARCH("sanctioned",LOWER(W264&amp;"")))),"Sanctioned",IF(OR(LOWER(V264)="rejected",ISNUMBER(SEARCH("Not eligbile",W264&amp;"")),ISNUMBER(SEARCH("Not eligible",W264&amp;""))),"Rejected",IF(ISNUMBER(SEARCH("Docs Pending",W264&amp;"")),"Documents Pending",IF(AND(LOWER(H264)="yes",LOWER(V264)="ongoing"),"Processing",IF(AND(LOWER(H264)="yes",Q264&gt;0,OR(V264="",LOWER(V264)="not even started")),"Vendor Assigned",IF(AND(LOWER(H264)="yes",LOWER(V264)="not even started"),"Need Loan",IF(LOWER(H264)="yes","Loan Started",IF(LOWER(H264)="not sure","Interested",IF(OR(LOWER(H264)="no",LOWER(V264)="not required"),"Not Required","Unclassified")))))))))))))</f>
        <v/>
      </c>
      <c r="Y264">
        <f>IF(A264="","",IF(OR(X264="Sanctioned",X264="Disbursed",X264="Approved"),"Approved",IF(X264="Rejected","Rejected",IF(OR(X264="Processing",X264="Documents Pending",X264="Vendor Assigned"),"In Progress",IF(X264="Need Loan","Pending Start","—"))))</f>
        <v/>
      </c>
      <c r="Z264">
        <f>IF(A264="","",IF(X264="Disbursed","Disbursed",IF(X264="Sanctioned","Sanctioned - Awaiting Disbursement","Not Disbursed")))</f>
        <v/>
      </c>
      <c r="AA264">
        <f>IF(A264="","",IF(LOWER(TRIM('01_Master_Data'!AI264&amp;""))="yes","Need FLDG",IF(LOWER(TRIM('01_Master_Data'!AK264&amp;""))="yes","Need Vidyalakshmi",IF(LOWER(TRIM('01_Master_Data'!AJ264&amp;""))="yes","Need Review",IF(LOWER(J264)="critical","Critical",IF(LOWER(U264)="risk","Risk Case",IF(X264="Refund","Refund","Normal")))))))</f>
        <v/>
      </c>
      <c r="AB264">
        <f>IF(A264="","",IF(OR(LOWER(J264)="critical",LOWER(TRIM('01_Master_Data'!AI264&amp;""))="yes",LOWER(TRIM('01_Master_Data'!AK264&amp;""))="yes",LOWER(U264)="risk"),"Yes","No"))</f>
        <v/>
      </c>
      <c r="AC264">
        <f>IF(A264="","",IF(LOWER(TRIM('01_Master_Data'!AI264&amp;""))="yes","Yes","No"))</f>
        <v/>
      </c>
      <c r="AD264">
        <f>IF(A264="","",IF(LOWER(TRIM('01_Master_Data'!AK264&amp;""))="yes","Yes","No"))</f>
        <v/>
      </c>
      <c r="AE264">
        <f>IF(A264="","",IF(LOWER(TRIM('01_Master_Data'!AJ264&amp;""))="yes","Yes","No"))</f>
        <v/>
      </c>
      <c r="AF264">
        <f>IF(A264="","",TRIM('01_Master_Data'!AL264&amp;""))</f>
        <v/>
      </c>
      <c r="AG264">
        <f>IF(A264="","",IF(AF264="","—",IF(ISNUMBER(SEARCH("DNP",AF264)),"Unreachable / DNP",IF(ISNUMBER(SEARCH("interest",LOWER(AF264))),"High Interest / Terms",IF(OR(ISNUMBER(SEARCH("eligib",LOWER(AF264))),ISNUMBER(SEARCH("income",LOWER(AF264)))),"Eligibility / Income",IF(OR(ISNUMBER(SEARCH("start",LOWER(AF264))),ISNUMBER(SEARCH("Newer",AF264)),ISNUMBER(SEARCH("Will start",AF264))),"Process Yet to Start",IF(ISNUMBER(SEARCH("sure",LOWER(AF264))),"Undecided",IF(OR(ISNUMBER(SEARCH("reject",LOWER(AF264))),ISNUMBER(SEARCH("SBI",AF264))),"Rejected Elsewhere",IF(ISNUMBER(SEARCH("call",LOWER(AF264))),"Bank Communication",IF(OR(ISNUMBER(SEARCH("father",LOWER(AF264))),ISNUMBER(SEARCH("sister",LOWER(AF264)))),"Family / Dependency","Other"))))))))))</f>
        <v/>
      </c>
      <c r="AH264">
        <f>IF(A264="","",'01_Master_Data'!AC264)</f>
        <v/>
      </c>
      <c r="AI264">
        <f>IF(A264="","",IF(OR(AH264="",NOT(ISNUMBER(AH264))),"",MAX(0,'02_Configuration'!$B$82-AH264)))</f>
        <v/>
      </c>
      <c r="AJ264">
        <f>IF(A264="","",IF(AI264="","Unknown",IF(AI264&lt;=3,"0–3 Days",IF(AI264&lt;=7,"4–7 Days",IF(AI264&lt;=15,"8–15 Days",IF(AI264&lt;=30,"16–30 Days","30+ Days"))))))</f>
        <v/>
      </c>
      <c r="AK264">
        <f>IF(A264="","",IF(LOWER(H264)="yes","Yes","No"))</f>
        <v/>
      </c>
      <c r="AL264">
        <f>IF(A264="","",'01_Master_Data'!T264)</f>
        <v/>
      </c>
      <c r="AM264">
        <f>IF(A264="","",'01_Master_Data'!S264)</f>
        <v/>
      </c>
      <c r="AN264">
        <f>IF(A264="","",'01_Master_Data'!I264)</f>
        <v/>
      </c>
      <c r="AO264">
        <f>IF(A264="","",'01_Master_Data'!M264)</f>
        <v/>
      </c>
      <c r="AP264">
        <f>IF(A264="","",IF(ISNUMBER(SEARCH("Icici",W264&amp;"")),1,0))</f>
        <v/>
      </c>
      <c r="AQ264">
        <f>IF(A264="","",IF(ISNUMBER(SEARCH("Propelld",W264&amp;"")),1,0))</f>
        <v/>
      </c>
      <c r="AR264">
        <f>IF(A264="","",IF(ISNUMBER(SEARCH("GyanDhan",W264&amp;"")),1,0))</f>
        <v/>
      </c>
      <c r="AS264">
        <f>IF(A264="","",IF(ISNUMBER(SEARCH("vidyalakshmi",LOWER(W264&amp;""))),1,0))</f>
        <v/>
      </c>
      <c r="AT264">
        <f>IF(A264="","",IF(ISNUMBER(SEARCH("other bank",LOWER(W264&amp;""))),1,0))</f>
        <v/>
      </c>
      <c r="AU264">
        <f>IF(A264="","",IF(ISNUMBER(SEARCH("sanctioned",LOWER(W264&amp;""))),1,0))</f>
        <v/>
      </c>
      <c r="AV264">
        <f>IF(A264="","",IF(ISNUMBER(SEARCH("Docs Pending",W264&amp;"")),1,0))</f>
        <v/>
      </c>
      <c r="AW264">
        <f>IF(A264="","",IF(OR(X264="Rejected",ISNUMBER(SEARCH("Not eligbile",W264&amp;""))),1,0))</f>
        <v/>
      </c>
    </row>
    <row r="265">
      <c r="A265">
        <f>IF('01_Master_Data'!B265="","",264)</f>
        <v/>
      </c>
      <c r="B265">
        <f>IF('01_Master_Data'!B265="","",IF('01_Master_Data'!C265&lt;&gt;"","MOB|"&amp;TEXT('01_Master_Data'!C265,"0"),IF('01_Master_Data'!D265&lt;&gt;"","PID|"&amp;TRIM('01_Master_Data'!D265&amp;""),"")))</f>
        <v/>
      </c>
      <c r="C265">
        <f>IF('01_Master_Data'!B265="","",'01_Master_Data'!B265)</f>
        <v/>
      </c>
      <c r="D265">
        <f>IF('01_Master_Data'!B265="","",'01_Master_Data'!C265)</f>
        <v/>
      </c>
      <c r="E265">
        <f>IF('01_Master_Data'!B265="","",'01_Master_Data'!D265)</f>
        <v/>
      </c>
      <c r="F265">
        <f>IF('01_Master_Data'!B265="","",'01_Master_Data'!E265)</f>
        <v/>
      </c>
      <c r="G265">
        <f>IF('01_Master_Data'!B265="","",IFERROR(VLOOKUP(TRIM('01_Master_Data'!E265&amp;""),'02_Configuration'!$A$40:$B$44,2,FALSE),UPPER(TRIM('01_Master_Data'!E265&amp;""))))</f>
        <v/>
      </c>
      <c r="H265">
        <f>IF('01_Master_Data'!B265="","",IF('01_Master_Data'!U265="","",TRIM('01_Master_Data'!U265&amp;"")))</f>
        <v/>
      </c>
      <c r="I265">
        <f>IF('01_Master_Data'!B265="","",TRIM('01_Master_Data'!F265&amp;""))</f>
        <v/>
      </c>
      <c r="J265">
        <f>IF('01_Master_Data'!B265="","",TRIM('01_Master_Data'!G265&amp;""))</f>
        <v/>
      </c>
      <c r="K265">
        <f>IF('01_Master_Data'!B265="","",'01_Master_Data'!H265)</f>
        <v/>
      </c>
      <c r="L265">
        <f>IF('01_Master_Data'!B265="","",IF(LOWER(TRIM('01_Master_Data'!V265&amp;""))="yes",1,0))</f>
        <v/>
      </c>
      <c r="M265">
        <f>IF('01_Master_Data'!B265="","",IF(LOWER(TRIM('01_Master_Data'!W265&amp;""))="yes",1,0))</f>
        <v/>
      </c>
      <c r="N265">
        <f>IF('01_Master_Data'!B265="","",IF(LOWER(TRIM('01_Master_Data'!X265&amp;""))="yes",1,0))</f>
        <v/>
      </c>
      <c r="O265">
        <f>IF('01_Master_Data'!B265="","",IF(LOWER(TRIM('01_Master_Data'!Y265&amp;""))="yes",1,0))</f>
        <v/>
      </c>
      <c r="P265">
        <f>IF('01_Master_Data'!B265="","",IF(LOWER(TRIM('01_Master_Data'!Z265&amp;""))="yes",1,0))</f>
        <v/>
      </c>
      <c r="Q265">
        <f>IF(A265="","",L265+M265+N265+O265+P265)</f>
        <v/>
      </c>
      <c r="R265">
        <f>IF(A265="","",IF(Q265&gt;1,"Yes","No"))</f>
        <v/>
      </c>
      <c r="S265">
        <f>IF(A265="","",TEXTJOIN(", ",TRUE,IF(L265=1,"ICICI",""),IF(M265=1,"Propelld",""),IF(N265=1,"Study4Buddy",""),IF(O265=1,"Poonawala Fincorp",""),IF(P265=1,"GyanDhan","")))</f>
        <v/>
      </c>
      <c r="T265">
        <f>IF(A265="","",IF(L265=1,"ICICI",IF(M265=1,"Propelld",IF(P265=1,"GyanDhan",IF(N265=1,"Study4Buddy",IF(O265=1,"Poonawala Fincorp",IF(ISNUMBER(SEARCH("GyanDhan",W265&amp;"")),"GyanDhan",IF(ISNUMBER(SEARCH("Icici",W265&amp;"")),"ICICI",IF(ISNUMBER(SEARCH("Propelld",W265&amp;"")),"Propelld",IF(ISNUMBER(SEARCH("vidyalakshmi",LOWER(W265&amp;"")),"PM Vidyalakshmi","—"))))))))))</f>
        <v/>
      </c>
      <c r="U265">
        <f>IF(A265="","",TRIM('01_Master_Data'!AA265&amp;""))</f>
        <v/>
      </c>
      <c r="V265">
        <f>IF(A265="","",TRIM('01_Master_Data'!AG265&amp;""))</f>
        <v/>
      </c>
      <c r="W265">
        <f>IF(A265="","",TRIM('01_Master_Data'!AH265&amp;""))</f>
        <v/>
      </c>
      <c r="X265">
        <f>IF(A265="","",IF(OR(LOWER(H265)="refund",LOWER(U265)="refund case"),"Refund",IF(OR(LOWER(H265)="dnp",LOWER(U265)="dnp"),"DNP",IF(OR(LOWER(V265)="disbursed",ISNUMBER(SEARCH("Disbursed",W265&amp;""))),"Disbursed",IF(OR(LOWER(V265)="loan proccessed/accepted",ISNUMBER(SEARCH("sanctioned",LOWER(W265&amp;"")))),"Sanctioned",IF(OR(LOWER(V265)="rejected",ISNUMBER(SEARCH("Not eligbile",W265&amp;"")),ISNUMBER(SEARCH("Not eligible",W265&amp;""))),"Rejected",IF(ISNUMBER(SEARCH("Docs Pending",W265&amp;"")),"Documents Pending",IF(AND(LOWER(H265)="yes",LOWER(V265)="ongoing"),"Processing",IF(AND(LOWER(H265)="yes",Q265&gt;0,OR(V265="",LOWER(V265)="not even started")),"Vendor Assigned",IF(AND(LOWER(H265)="yes",LOWER(V265)="not even started"),"Need Loan",IF(LOWER(H265)="yes","Loan Started",IF(LOWER(H265)="not sure","Interested",IF(OR(LOWER(H265)="no",LOWER(V265)="not required"),"Not Required","Unclassified")))))))))))))</f>
        <v/>
      </c>
      <c r="Y265">
        <f>IF(A265="","",IF(OR(X265="Sanctioned",X265="Disbursed",X265="Approved"),"Approved",IF(X265="Rejected","Rejected",IF(OR(X265="Processing",X265="Documents Pending",X265="Vendor Assigned"),"In Progress",IF(X265="Need Loan","Pending Start","—"))))</f>
        <v/>
      </c>
      <c r="Z265">
        <f>IF(A265="","",IF(X265="Disbursed","Disbursed",IF(X265="Sanctioned","Sanctioned - Awaiting Disbursement","Not Disbursed")))</f>
        <v/>
      </c>
      <c r="AA265">
        <f>IF(A265="","",IF(LOWER(TRIM('01_Master_Data'!AI265&amp;""))="yes","Need FLDG",IF(LOWER(TRIM('01_Master_Data'!AK265&amp;""))="yes","Need Vidyalakshmi",IF(LOWER(TRIM('01_Master_Data'!AJ265&amp;""))="yes","Need Review",IF(LOWER(J265)="critical","Critical",IF(LOWER(U265)="risk","Risk Case",IF(X265="Refund","Refund","Normal")))))))</f>
        <v/>
      </c>
      <c r="AB265">
        <f>IF(A265="","",IF(OR(LOWER(J265)="critical",LOWER(TRIM('01_Master_Data'!AI265&amp;""))="yes",LOWER(TRIM('01_Master_Data'!AK265&amp;""))="yes",LOWER(U265)="risk"),"Yes","No"))</f>
        <v/>
      </c>
      <c r="AC265">
        <f>IF(A265="","",IF(LOWER(TRIM('01_Master_Data'!AI265&amp;""))="yes","Yes","No"))</f>
        <v/>
      </c>
      <c r="AD265">
        <f>IF(A265="","",IF(LOWER(TRIM('01_Master_Data'!AK265&amp;""))="yes","Yes","No"))</f>
        <v/>
      </c>
      <c r="AE265">
        <f>IF(A265="","",IF(LOWER(TRIM('01_Master_Data'!AJ265&amp;""))="yes","Yes","No"))</f>
        <v/>
      </c>
      <c r="AF265">
        <f>IF(A265="","",TRIM('01_Master_Data'!AL265&amp;""))</f>
        <v/>
      </c>
      <c r="AG265">
        <f>IF(A265="","",IF(AF265="","—",IF(ISNUMBER(SEARCH("DNP",AF265)),"Unreachable / DNP",IF(ISNUMBER(SEARCH("interest",LOWER(AF265))),"High Interest / Terms",IF(OR(ISNUMBER(SEARCH("eligib",LOWER(AF265))),ISNUMBER(SEARCH("income",LOWER(AF265)))),"Eligibility / Income",IF(OR(ISNUMBER(SEARCH("start",LOWER(AF265))),ISNUMBER(SEARCH("Newer",AF265)),ISNUMBER(SEARCH("Will start",AF265))),"Process Yet to Start",IF(ISNUMBER(SEARCH("sure",LOWER(AF265))),"Undecided",IF(OR(ISNUMBER(SEARCH("reject",LOWER(AF265))),ISNUMBER(SEARCH("SBI",AF265))),"Rejected Elsewhere",IF(ISNUMBER(SEARCH("call",LOWER(AF265))),"Bank Communication",IF(OR(ISNUMBER(SEARCH("father",LOWER(AF265))),ISNUMBER(SEARCH("sister",LOWER(AF265)))),"Family / Dependency","Other"))))))))))</f>
        <v/>
      </c>
      <c r="AH265">
        <f>IF(A265="","",'01_Master_Data'!AC265)</f>
        <v/>
      </c>
      <c r="AI265">
        <f>IF(A265="","",IF(OR(AH265="",NOT(ISNUMBER(AH265))),"",MAX(0,'02_Configuration'!$B$82-AH265)))</f>
        <v/>
      </c>
      <c r="AJ265">
        <f>IF(A265="","",IF(AI265="","Unknown",IF(AI265&lt;=3,"0–3 Days",IF(AI265&lt;=7,"4–7 Days",IF(AI265&lt;=15,"8–15 Days",IF(AI265&lt;=30,"16–30 Days","30+ Days"))))))</f>
        <v/>
      </c>
      <c r="AK265">
        <f>IF(A265="","",IF(LOWER(H265)="yes","Yes","No"))</f>
        <v/>
      </c>
      <c r="AL265">
        <f>IF(A265="","",'01_Master_Data'!T265)</f>
        <v/>
      </c>
      <c r="AM265">
        <f>IF(A265="","",'01_Master_Data'!S265)</f>
        <v/>
      </c>
      <c r="AN265">
        <f>IF(A265="","",'01_Master_Data'!I265)</f>
        <v/>
      </c>
      <c r="AO265">
        <f>IF(A265="","",'01_Master_Data'!M265)</f>
        <v/>
      </c>
      <c r="AP265">
        <f>IF(A265="","",IF(ISNUMBER(SEARCH("Icici",W265&amp;"")),1,0))</f>
        <v/>
      </c>
      <c r="AQ265">
        <f>IF(A265="","",IF(ISNUMBER(SEARCH("Propelld",W265&amp;"")),1,0))</f>
        <v/>
      </c>
      <c r="AR265">
        <f>IF(A265="","",IF(ISNUMBER(SEARCH("GyanDhan",W265&amp;"")),1,0))</f>
        <v/>
      </c>
      <c r="AS265">
        <f>IF(A265="","",IF(ISNUMBER(SEARCH("vidyalakshmi",LOWER(W265&amp;""))),1,0))</f>
        <v/>
      </c>
      <c r="AT265">
        <f>IF(A265="","",IF(ISNUMBER(SEARCH("other bank",LOWER(W265&amp;""))),1,0))</f>
        <v/>
      </c>
      <c r="AU265">
        <f>IF(A265="","",IF(ISNUMBER(SEARCH("sanctioned",LOWER(W265&amp;""))),1,0))</f>
        <v/>
      </c>
      <c r="AV265">
        <f>IF(A265="","",IF(ISNUMBER(SEARCH("Docs Pending",W265&amp;"")),1,0))</f>
        <v/>
      </c>
      <c r="AW265">
        <f>IF(A265="","",IF(OR(X265="Rejected",ISNUMBER(SEARCH("Not eligbile",W265&amp;""))),1,0))</f>
        <v/>
      </c>
    </row>
    <row r="266">
      <c r="A266">
        <f>IF('01_Master_Data'!B266="","",265)</f>
        <v/>
      </c>
      <c r="B266">
        <f>IF('01_Master_Data'!B266="","",IF('01_Master_Data'!C266&lt;&gt;"","MOB|"&amp;TEXT('01_Master_Data'!C266,"0"),IF('01_Master_Data'!D266&lt;&gt;"","PID|"&amp;TRIM('01_Master_Data'!D266&amp;""),"")))</f>
        <v/>
      </c>
      <c r="C266">
        <f>IF('01_Master_Data'!B266="","",'01_Master_Data'!B266)</f>
        <v/>
      </c>
      <c r="D266">
        <f>IF('01_Master_Data'!B266="","",'01_Master_Data'!C266)</f>
        <v/>
      </c>
      <c r="E266">
        <f>IF('01_Master_Data'!B266="","",'01_Master_Data'!D266)</f>
        <v/>
      </c>
      <c r="F266">
        <f>IF('01_Master_Data'!B266="","",'01_Master_Data'!E266)</f>
        <v/>
      </c>
      <c r="G266">
        <f>IF('01_Master_Data'!B266="","",IFERROR(VLOOKUP(TRIM('01_Master_Data'!E266&amp;""),'02_Configuration'!$A$40:$B$44,2,FALSE),UPPER(TRIM('01_Master_Data'!E266&amp;""))))</f>
        <v/>
      </c>
      <c r="H266">
        <f>IF('01_Master_Data'!B266="","",IF('01_Master_Data'!U266="","",TRIM('01_Master_Data'!U266&amp;"")))</f>
        <v/>
      </c>
      <c r="I266">
        <f>IF('01_Master_Data'!B266="","",TRIM('01_Master_Data'!F266&amp;""))</f>
        <v/>
      </c>
      <c r="J266">
        <f>IF('01_Master_Data'!B266="","",TRIM('01_Master_Data'!G266&amp;""))</f>
        <v/>
      </c>
      <c r="K266">
        <f>IF('01_Master_Data'!B266="","",'01_Master_Data'!H266)</f>
        <v/>
      </c>
      <c r="L266">
        <f>IF('01_Master_Data'!B266="","",IF(LOWER(TRIM('01_Master_Data'!V266&amp;""))="yes",1,0))</f>
        <v/>
      </c>
      <c r="M266">
        <f>IF('01_Master_Data'!B266="","",IF(LOWER(TRIM('01_Master_Data'!W266&amp;""))="yes",1,0))</f>
        <v/>
      </c>
      <c r="N266">
        <f>IF('01_Master_Data'!B266="","",IF(LOWER(TRIM('01_Master_Data'!X266&amp;""))="yes",1,0))</f>
        <v/>
      </c>
      <c r="O266">
        <f>IF('01_Master_Data'!B266="","",IF(LOWER(TRIM('01_Master_Data'!Y266&amp;""))="yes",1,0))</f>
        <v/>
      </c>
      <c r="P266">
        <f>IF('01_Master_Data'!B266="","",IF(LOWER(TRIM('01_Master_Data'!Z266&amp;""))="yes",1,0))</f>
        <v/>
      </c>
      <c r="Q266">
        <f>IF(A266="","",L266+M266+N266+O266+P266)</f>
        <v/>
      </c>
      <c r="R266">
        <f>IF(A266="","",IF(Q266&gt;1,"Yes","No"))</f>
        <v/>
      </c>
      <c r="S266">
        <f>IF(A266="","",TEXTJOIN(", ",TRUE,IF(L266=1,"ICICI",""),IF(M266=1,"Propelld",""),IF(N266=1,"Study4Buddy",""),IF(O266=1,"Poonawala Fincorp",""),IF(P266=1,"GyanDhan","")))</f>
        <v/>
      </c>
      <c r="T266">
        <f>IF(A266="","",IF(L266=1,"ICICI",IF(M266=1,"Propelld",IF(P266=1,"GyanDhan",IF(N266=1,"Study4Buddy",IF(O266=1,"Poonawala Fincorp",IF(ISNUMBER(SEARCH("GyanDhan",W266&amp;"")),"GyanDhan",IF(ISNUMBER(SEARCH("Icici",W266&amp;"")),"ICICI",IF(ISNUMBER(SEARCH("Propelld",W266&amp;"")),"Propelld",IF(ISNUMBER(SEARCH("vidyalakshmi",LOWER(W266&amp;"")),"PM Vidyalakshmi","—"))))))))))</f>
        <v/>
      </c>
      <c r="U266">
        <f>IF(A266="","",TRIM('01_Master_Data'!AA266&amp;""))</f>
        <v/>
      </c>
      <c r="V266">
        <f>IF(A266="","",TRIM('01_Master_Data'!AG266&amp;""))</f>
        <v/>
      </c>
      <c r="W266">
        <f>IF(A266="","",TRIM('01_Master_Data'!AH266&amp;""))</f>
        <v/>
      </c>
      <c r="X266">
        <f>IF(A266="","",IF(OR(LOWER(H266)="refund",LOWER(U266)="refund case"),"Refund",IF(OR(LOWER(H266)="dnp",LOWER(U266)="dnp"),"DNP",IF(OR(LOWER(V266)="disbursed",ISNUMBER(SEARCH("Disbursed",W266&amp;""))),"Disbursed",IF(OR(LOWER(V266)="loan proccessed/accepted",ISNUMBER(SEARCH("sanctioned",LOWER(W266&amp;"")))),"Sanctioned",IF(OR(LOWER(V266)="rejected",ISNUMBER(SEARCH("Not eligbile",W266&amp;"")),ISNUMBER(SEARCH("Not eligible",W266&amp;""))),"Rejected",IF(ISNUMBER(SEARCH("Docs Pending",W266&amp;"")),"Documents Pending",IF(AND(LOWER(H266)="yes",LOWER(V266)="ongoing"),"Processing",IF(AND(LOWER(H266)="yes",Q266&gt;0,OR(V266="",LOWER(V266)="not even started")),"Vendor Assigned",IF(AND(LOWER(H266)="yes",LOWER(V266)="not even started"),"Need Loan",IF(LOWER(H266)="yes","Loan Started",IF(LOWER(H266)="not sure","Interested",IF(OR(LOWER(H266)="no",LOWER(V266)="not required"),"Not Required","Unclassified")))))))))))))</f>
        <v/>
      </c>
      <c r="Y266">
        <f>IF(A266="","",IF(OR(X266="Sanctioned",X266="Disbursed",X266="Approved"),"Approved",IF(X266="Rejected","Rejected",IF(OR(X266="Processing",X266="Documents Pending",X266="Vendor Assigned"),"In Progress",IF(X266="Need Loan","Pending Start","—"))))</f>
        <v/>
      </c>
      <c r="Z266">
        <f>IF(A266="","",IF(X266="Disbursed","Disbursed",IF(X266="Sanctioned","Sanctioned - Awaiting Disbursement","Not Disbursed")))</f>
        <v/>
      </c>
      <c r="AA266">
        <f>IF(A266="","",IF(LOWER(TRIM('01_Master_Data'!AI266&amp;""))="yes","Need FLDG",IF(LOWER(TRIM('01_Master_Data'!AK266&amp;""))="yes","Need Vidyalakshmi",IF(LOWER(TRIM('01_Master_Data'!AJ266&amp;""))="yes","Need Review",IF(LOWER(J266)="critical","Critical",IF(LOWER(U266)="risk","Risk Case",IF(X266="Refund","Refund","Normal")))))))</f>
        <v/>
      </c>
      <c r="AB266">
        <f>IF(A266="","",IF(OR(LOWER(J266)="critical",LOWER(TRIM('01_Master_Data'!AI266&amp;""))="yes",LOWER(TRIM('01_Master_Data'!AK266&amp;""))="yes",LOWER(U266)="risk"),"Yes","No"))</f>
        <v/>
      </c>
      <c r="AC266">
        <f>IF(A266="","",IF(LOWER(TRIM('01_Master_Data'!AI266&amp;""))="yes","Yes","No"))</f>
        <v/>
      </c>
      <c r="AD266">
        <f>IF(A266="","",IF(LOWER(TRIM('01_Master_Data'!AK266&amp;""))="yes","Yes","No"))</f>
        <v/>
      </c>
      <c r="AE266">
        <f>IF(A266="","",IF(LOWER(TRIM('01_Master_Data'!AJ266&amp;""))="yes","Yes","No"))</f>
        <v/>
      </c>
      <c r="AF266">
        <f>IF(A266="","",TRIM('01_Master_Data'!AL266&amp;""))</f>
        <v/>
      </c>
      <c r="AG266">
        <f>IF(A266="","",IF(AF266="","—",IF(ISNUMBER(SEARCH("DNP",AF266)),"Unreachable / DNP",IF(ISNUMBER(SEARCH("interest",LOWER(AF266))),"High Interest / Terms",IF(OR(ISNUMBER(SEARCH("eligib",LOWER(AF266))),ISNUMBER(SEARCH("income",LOWER(AF266)))),"Eligibility / Income",IF(OR(ISNUMBER(SEARCH("start",LOWER(AF266))),ISNUMBER(SEARCH("Newer",AF266)),ISNUMBER(SEARCH("Will start",AF266))),"Process Yet to Start",IF(ISNUMBER(SEARCH("sure",LOWER(AF266))),"Undecided",IF(OR(ISNUMBER(SEARCH("reject",LOWER(AF266))),ISNUMBER(SEARCH("SBI",AF266))),"Rejected Elsewhere",IF(ISNUMBER(SEARCH("call",LOWER(AF266))),"Bank Communication",IF(OR(ISNUMBER(SEARCH("father",LOWER(AF266))),ISNUMBER(SEARCH("sister",LOWER(AF266)))),"Family / Dependency","Other"))))))))))</f>
        <v/>
      </c>
      <c r="AH266">
        <f>IF(A266="","",'01_Master_Data'!AC266)</f>
        <v/>
      </c>
      <c r="AI266">
        <f>IF(A266="","",IF(OR(AH266="",NOT(ISNUMBER(AH266))),"",MAX(0,'02_Configuration'!$B$82-AH266)))</f>
        <v/>
      </c>
      <c r="AJ266">
        <f>IF(A266="","",IF(AI266="","Unknown",IF(AI266&lt;=3,"0–3 Days",IF(AI266&lt;=7,"4–7 Days",IF(AI266&lt;=15,"8–15 Days",IF(AI266&lt;=30,"16–30 Days","30+ Days"))))))</f>
        <v/>
      </c>
      <c r="AK266">
        <f>IF(A266="","",IF(LOWER(H266)="yes","Yes","No"))</f>
        <v/>
      </c>
      <c r="AL266">
        <f>IF(A266="","",'01_Master_Data'!T266)</f>
        <v/>
      </c>
      <c r="AM266">
        <f>IF(A266="","",'01_Master_Data'!S266)</f>
        <v/>
      </c>
      <c r="AN266">
        <f>IF(A266="","",'01_Master_Data'!I266)</f>
        <v/>
      </c>
      <c r="AO266">
        <f>IF(A266="","",'01_Master_Data'!M266)</f>
        <v/>
      </c>
      <c r="AP266">
        <f>IF(A266="","",IF(ISNUMBER(SEARCH("Icici",W266&amp;"")),1,0))</f>
        <v/>
      </c>
      <c r="AQ266">
        <f>IF(A266="","",IF(ISNUMBER(SEARCH("Propelld",W266&amp;"")),1,0))</f>
        <v/>
      </c>
      <c r="AR266">
        <f>IF(A266="","",IF(ISNUMBER(SEARCH("GyanDhan",W266&amp;"")),1,0))</f>
        <v/>
      </c>
      <c r="AS266">
        <f>IF(A266="","",IF(ISNUMBER(SEARCH("vidyalakshmi",LOWER(W266&amp;""))),1,0))</f>
        <v/>
      </c>
      <c r="AT266">
        <f>IF(A266="","",IF(ISNUMBER(SEARCH("other bank",LOWER(W266&amp;""))),1,0))</f>
        <v/>
      </c>
      <c r="AU266">
        <f>IF(A266="","",IF(ISNUMBER(SEARCH("sanctioned",LOWER(W266&amp;""))),1,0))</f>
        <v/>
      </c>
      <c r="AV266">
        <f>IF(A266="","",IF(ISNUMBER(SEARCH("Docs Pending",W266&amp;"")),1,0))</f>
        <v/>
      </c>
      <c r="AW266">
        <f>IF(A266="","",IF(OR(X266="Rejected",ISNUMBER(SEARCH("Not eligbile",W266&amp;""))),1,0))</f>
        <v/>
      </c>
    </row>
    <row r="267">
      <c r="A267">
        <f>IF('01_Master_Data'!B267="","",266)</f>
        <v/>
      </c>
      <c r="B267">
        <f>IF('01_Master_Data'!B267="","",IF('01_Master_Data'!C267&lt;&gt;"","MOB|"&amp;TEXT('01_Master_Data'!C267,"0"),IF('01_Master_Data'!D267&lt;&gt;"","PID|"&amp;TRIM('01_Master_Data'!D267&amp;""),"")))</f>
        <v/>
      </c>
      <c r="C267">
        <f>IF('01_Master_Data'!B267="","",'01_Master_Data'!B267)</f>
        <v/>
      </c>
      <c r="D267">
        <f>IF('01_Master_Data'!B267="","",'01_Master_Data'!C267)</f>
        <v/>
      </c>
      <c r="E267">
        <f>IF('01_Master_Data'!B267="","",'01_Master_Data'!D267)</f>
        <v/>
      </c>
      <c r="F267">
        <f>IF('01_Master_Data'!B267="","",'01_Master_Data'!E267)</f>
        <v/>
      </c>
      <c r="G267">
        <f>IF('01_Master_Data'!B267="","",IFERROR(VLOOKUP(TRIM('01_Master_Data'!E267&amp;""),'02_Configuration'!$A$40:$B$44,2,FALSE),UPPER(TRIM('01_Master_Data'!E267&amp;""))))</f>
        <v/>
      </c>
      <c r="H267">
        <f>IF('01_Master_Data'!B267="","",IF('01_Master_Data'!U267="","",TRIM('01_Master_Data'!U267&amp;"")))</f>
        <v/>
      </c>
      <c r="I267">
        <f>IF('01_Master_Data'!B267="","",TRIM('01_Master_Data'!F267&amp;""))</f>
        <v/>
      </c>
      <c r="J267">
        <f>IF('01_Master_Data'!B267="","",TRIM('01_Master_Data'!G267&amp;""))</f>
        <v/>
      </c>
      <c r="K267">
        <f>IF('01_Master_Data'!B267="","",'01_Master_Data'!H267)</f>
        <v/>
      </c>
      <c r="L267">
        <f>IF('01_Master_Data'!B267="","",IF(LOWER(TRIM('01_Master_Data'!V267&amp;""))="yes",1,0))</f>
        <v/>
      </c>
      <c r="M267">
        <f>IF('01_Master_Data'!B267="","",IF(LOWER(TRIM('01_Master_Data'!W267&amp;""))="yes",1,0))</f>
        <v/>
      </c>
      <c r="N267">
        <f>IF('01_Master_Data'!B267="","",IF(LOWER(TRIM('01_Master_Data'!X267&amp;""))="yes",1,0))</f>
        <v/>
      </c>
      <c r="O267">
        <f>IF('01_Master_Data'!B267="","",IF(LOWER(TRIM('01_Master_Data'!Y267&amp;""))="yes",1,0))</f>
        <v/>
      </c>
      <c r="P267">
        <f>IF('01_Master_Data'!B267="","",IF(LOWER(TRIM('01_Master_Data'!Z267&amp;""))="yes",1,0))</f>
        <v/>
      </c>
      <c r="Q267">
        <f>IF(A267="","",L267+M267+N267+O267+P267)</f>
        <v/>
      </c>
      <c r="R267">
        <f>IF(A267="","",IF(Q267&gt;1,"Yes","No"))</f>
        <v/>
      </c>
      <c r="S267">
        <f>IF(A267="","",TEXTJOIN(", ",TRUE,IF(L267=1,"ICICI",""),IF(M267=1,"Propelld",""),IF(N267=1,"Study4Buddy",""),IF(O267=1,"Poonawala Fincorp",""),IF(P267=1,"GyanDhan","")))</f>
        <v/>
      </c>
      <c r="T267">
        <f>IF(A267="","",IF(L267=1,"ICICI",IF(M267=1,"Propelld",IF(P267=1,"GyanDhan",IF(N267=1,"Study4Buddy",IF(O267=1,"Poonawala Fincorp",IF(ISNUMBER(SEARCH("GyanDhan",W267&amp;"")),"GyanDhan",IF(ISNUMBER(SEARCH("Icici",W267&amp;"")),"ICICI",IF(ISNUMBER(SEARCH("Propelld",W267&amp;"")),"Propelld",IF(ISNUMBER(SEARCH("vidyalakshmi",LOWER(W267&amp;"")),"PM Vidyalakshmi","—"))))))))))</f>
        <v/>
      </c>
      <c r="U267">
        <f>IF(A267="","",TRIM('01_Master_Data'!AA267&amp;""))</f>
        <v/>
      </c>
      <c r="V267">
        <f>IF(A267="","",TRIM('01_Master_Data'!AG267&amp;""))</f>
        <v/>
      </c>
      <c r="W267">
        <f>IF(A267="","",TRIM('01_Master_Data'!AH267&amp;""))</f>
        <v/>
      </c>
      <c r="X267">
        <f>IF(A267="","",IF(OR(LOWER(H267)="refund",LOWER(U267)="refund case"),"Refund",IF(OR(LOWER(H267)="dnp",LOWER(U267)="dnp"),"DNP",IF(OR(LOWER(V267)="disbursed",ISNUMBER(SEARCH("Disbursed",W267&amp;""))),"Disbursed",IF(OR(LOWER(V267)="loan proccessed/accepted",ISNUMBER(SEARCH("sanctioned",LOWER(W267&amp;"")))),"Sanctioned",IF(OR(LOWER(V267)="rejected",ISNUMBER(SEARCH("Not eligbile",W267&amp;"")),ISNUMBER(SEARCH("Not eligible",W267&amp;""))),"Rejected",IF(ISNUMBER(SEARCH("Docs Pending",W267&amp;"")),"Documents Pending",IF(AND(LOWER(H267)="yes",LOWER(V267)="ongoing"),"Processing",IF(AND(LOWER(H267)="yes",Q267&gt;0,OR(V267="",LOWER(V267)="not even started")),"Vendor Assigned",IF(AND(LOWER(H267)="yes",LOWER(V267)="not even started"),"Need Loan",IF(LOWER(H267)="yes","Loan Started",IF(LOWER(H267)="not sure","Interested",IF(OR(LOWER(H267)="no",LOWER(V267)="not required"),"Not Required","Unclassified")))))))))))))</f>
        <v/>
      </c>
      <c r="Y267">
        <f>IF(A267="","",IF(OR(X267="Sanctioned",X267="Disbursed",X267="Approved"),"Approved",IF(X267="Rejected","Rejected",IF(OR(X267="Processing",X267="Documents Pending",X267="Vendor Assigned"),"In Progress",IF(X267="Need Loan","Pending Start","—"))))</f>
        <v/>
      </c>
      <c r="Z267">
        <f>IF(A267="","",IF(X267="Disbursed","Disbursed",IF(X267="Sanctioned","Sanctioned - Awaiting Disbursement","Not Disbursed")))</f>
        <v/>
      </c>
      <c r="AA267">
        <f>IF(A267="","",IF(LOWER(TRIM('01_Master_Data'!AI267&amp;""))="yes","Need FLDG",IF(LOWER(TRIM('01_Master_Data'!AK267&amp;""))="yes","Need Vidyalakshmi",IF(LOWER(TRIM('01_Master_Data'!AJ267&amp;""))="yes","Need Review",IF(LOWER(J267)="critical","Critical",IF(LOWER(U267)="risk","Risk Case",IF(X267="Refund","Refund","Normal")))))))</f>
        <v/>
      </c>
      <c r="AB267">
        <f>IF(A267="","",IF(OR(LOWER(J267)="critical",LOWER(TRIM('01_Master_Data'!AI267&amp;""))="yes",LOWER(TRIM('01_Master_Data'!AK267&amp;""))="yes",LOWER(U267)="risk"),"Yes","No"))</f>
        <v/>
      </c>
      <c r="AC267">
        <f>IF(A267="","",IF(LOWER(TRIM('01_Master_Data'!AI267&amp;""))="yes","Yes","No"))</f>
        <v/>
      </c>
      <c r="AD267">
        <f>IF(A267="","",IF(LOWER(TRIM('01_Master_Data'!AK267&amp;""))="yes","Yes","No"))</f>
        <v/>
      </c>
      <c r="AE267">
        <f>IF(A267="","",IF(LOWER(TRIM('01_Master_Data'!AJ267&amp;""))="yes","Yes","No"))</f>
        <v/>
      </c>
      <c r="AF267">
        <f>IF(A267="","",TRIM('01_Master_Data'!AL267&amp;""))</f>
        <v/>
      </c>
      <c r="AG267">
        <f>IF(A267="","",IF(AF267="","—",IF(ISNUMBER(SEARCH("DNP",AF267)),"Unreachable / DNP",IF(ISNUMBER(SEARCH("interest",LOWER(AF267))),"High Interest / Terms",IF(OR(ISNUMBER(SEARCH("eligib",LOWER(AF267))),ISNUMBER(SEARCH("income",LOWER(AF267)))),"Eligibility / Income",IF(OR(ISNUMBER(SEARCH("start",LOWER(AF267))),ISNUMBER(SEARCH("Newer",AF267)),ISNUMBER(SEARCH("Will start",AF267))),"Process Yet to Start",IF(ISNUMBER(SEARCH("sure",LOWER(AF267))),"Undecided",IF(OR(ISNUMBER(SEARCH("reject",LOWER(AF267))),ISNUMBER(SEARCH("SBI",AF267))),"Rejected Elsewhere",IF(ISNUMBER(SEARCH("call",LOWER(AF267))),"Bank Communication",IF(OR(ISNUMBER(SEARCH("father",LOWER(AF267))),ISNUMBER(SEARCH("sister",LOWER(AF267)))),"Family / Dependency","Other"))))))))))</f>
        <v/>
      </c>
      <c r="AH267">
        <f>IF(A267="","",'01_Master_Data'!AC267)</f>
        <v/>
      </c>
      <c r="AI267">
        <f>IF(A267="","",IF(OR(AH267="",NOT(ISNUMBER(AH267))),"",MAX(0,'02_Configuration'!$B$82-AH267)))</f>
        <v/>
      </c>
      <c r="AJ267">
        <f>IF(A267="","",IF(AI267="","Unknown",IF(AI267&lt;=3,"0–3 Days",IF(AI267&lt;=7,"4–7 Days",IF(AI267&lt;=15,"8–15 Days",IF(AI267&lt;=30,"16–30 Days","30+ Days"))))))</f>
        <v/>
      </c>
      <c r="AK267">
        <f>IF(A267="","",IF(LOWER(H267)="yes","Yes","No"))</f>
        <v/>
      </c>
      <c r="AL267">
        <f>IF(A267="","",'01_Master_Data'!T267)</f>
        <v/>
      </c>
      <c r="AM267">
        <f>IF(A267="","",'01_Master_Data'!S267)</f>
        <v/>
      </c>
      <c r="AN267">
        <f>IF(A267="","",'01_Master_Data'!I267)</f>
        <v/>
      </c>
      <c r="AO267">
        <f>IF(A267="","",'01_Master_Data'!M267)</f>
        <v/>
      </c>
      <c r="AP267">
        <f>IF(A267="","",IF(ISNUMBER(SEARCH("Icici",W267&amp;"")),1,0))</f>
        <v/>
      </c>
      <c r="AQ267">
        <f>IF(A267="","",IF(ISNUMBER(SEARCH("Propelld",W267&amp;"")),1,0))</f>
        <v/>
      </c>
      <c r="AR267">
        <f>IF(A267="","",IF(ISNUMBER(SEARCH("GyanDhan",W267&amp;"")),1,0))</f>
        <v/>
      </c>
      <c r="AS267">
        <f>IF(A267="","",IF(ISNUMBER(SEARCH("vidyalakshmi",LOWER(W267&amp;""))),1,0))</f>
        <v/>
      </c>
      <c r="AT267">
        <f>IF(A267="","",IF(ISNUMBER(SEARCH("other bank",LOWER(W267&amp;""))),1,0))</f>
        <v/>
      </c>
      <c r="AU267">
        <f>IF(A267="","",IF(ISNUMBER(SEARCH("sanctioned",LOWER(W267&amp;""))),1,0))</f>
        <v/>
      </c>
      <c r="AV267">
        <f>IF(A267="","",IF(ISNUMBER(SEARCH("Docs Pending",W267&amp;"")),1,0))</f>
        <v/>
      </c>
      <c r="AW267">
        <f>IF(A267="","",IF(OR(X267="Rejected",ISNUMBER(SEARCH("Not eligbile",W267&amp;""))),1,0))</f>
        <v/>
      </c>
    </row>
    <row r="268">
      <c r="A268">
        <f>IF('01_Master_Data'!B268="","",267)</f>
        <v/>
      </c>
      <c r="B268">
        <f>IF('01_Master_Data'!B268="","",IF('01_Master_Data'!C268&lt;&gt;"","MOB|"&amp;TEXT('01_Master_Data'!C268,"0"),IF('01_Master_Data'!D268&lt;&gt;"","PID|"&amp;TRIM('01_Master_Data'!D268&amp;""),"")))</f>
        <v/>
      </c>
      <c r="C268">
        <f>IF('01_Master_Data'!B268="","",'01_Master_Data'!B268)</f>
        <v/>
      </c>
      <c r="D268">
        <f>IF('01_Master_Data'!B268="","",'01_Master_Data'!C268)</f>
        <v/>
      </c>
      <c r="E268">
        <f>IF('01_Master_Data'!B268="","",'01_Master_Data'!D268)</f>
        <v/>
      </c>
      <c r="F268">
        <f>IF('01_Master_Data'!B268="","",'01_Master_Data'!E268)</f>
        <v/>
      </c>
      <c r="G268">
        <f>IF('01_Master_Data'!B268="","",IFERROR(VLOOKUP(TRIM('01_Master_Data'!E268&amp;""),'02_Configuration'!$A$40:$B$44,2,FALSE),UPPER(TRIM('01_Master_Data'!E268&amp;""))))</f>
        <v/>
      </c>
      <c r="H268">
        <f>IF('01_Master_Data'!B268="","",IF('01_Master_Data'!U268="","",TRIM('01_Master_Data'!U268&amp;"")))</f>
        <v/>
      </c>
      <c r="I268">
        <f>IF('01_Master_Data'!B268="","",TRIM('01_Master_Data'!F268&amp;""))</f>
        <v/>
      </c>
      <c r="J268">
        <f>IF('01_Master_Data'!B268="","",TRIM('01_Master_Data'!G268&amp;""))</f>
        <v/>
      </c>
      <c r="K268">
        <f>IF('01_Master_Data'!B268="","",'01_Master_Data'!H268)</f>
        <v/>
      </c>
      <c r="L268">
        <f>IF('01_Master_Data'!B268="","",IF(LOWER(TRIM('01_Master_Data'!V268&amp;""))="yes",1,0))</f>
        <v/>
      </c>
      <c r="M268">
        <f>IF('01_Master_Data'!B268="","",IF(LOWER(TRIM('01_Master_Data'!W268&amp;""))="yes",1,0))</f>
        <v/>
      </c>
      <c r="N268">
        <f>IF('01_Master_Data'!B268="","",IF(LOWER(TRIM('01_Master_Data'!X268&amp;""))="yes",1,0))</f>
        <v/>
      </c>
      <c r="O268">
        <f>IF('01_Master_Data'!B268="","",IF(LOWER(TRIM('01_Master_Data'!Y268&amp;""))="yes",1,0))</f>
        <v/>
      </c>
      <c r="P268">
        <f>IF('01_Master_Data'!B268="","",IF(LOWER(TRIM('01_Master_Data'!Z268&amp;""))="yes",1,0))</f>
        <v/>
      </c>
      <c r="Q268">
        <f>IF(A268="","",L268+M268+N268+O268+P268)</f>
        <v/>
      </c>
      <c r="R268">
        <f>IF(A268="","",IF(Q268&gt;1,"Yes","No"))</f>
        <v/>
      </c>
      <c r="S268">
        <f>IF(A268="","",TEXTJOIN(", ",TRUE,IF(L268=1,"ICICI",""),IF(M268=1,"Propelld",""),IF(N268=1,"Study4Buddy",""),IF(O268=1,"Poonawala Fincorp",""),IF(P268=1,"GyanDhan","")))</f>
        <v/>
      </c>
      <c r="T268">
        <f>IF(A268="","",IF(L268=1,"ICICI",IF(M268=1,"Propelld",IF(P268=1,"GyanDhan",IF(N268=1,"Study4Buddy",IF(O268=1,"Poonawala Fincorp",IF(ISNUMBER(SEARCH("GyanDhan",W268&amp;"")),"GyanDhan",IF(ISNUMBER(SEARCH("Icici",W268&amp;"")),"ICICI",IF(ISNUMBER(SEARCH("Propelld",W268&amp;"")),"Propelld",IF(ISNUMBER(SEARCH("vidyalakshmi",LOWER(W268&amp;"")),"PM Vidyalakshmi","—"))))))))))</f>
        <v/>
      </c>
      <c r="U268">
        <f>IF(A268="","",TRIM('01_Master_Data'!AA268&amp;""))</f>
        <v/>
      </c>
      <c r="V268">
        <f>IF(A268="","",TRIM('01_Master_Data'!AG268&amp;""))</f>
        <v/>
      </c>
      <c r="W268">
        <f>IF(A268="","",TRIM('01_Master_Data'!AH268&amp;""))</f>
        <v/>
      </c>
      <c r="X268">
        <f>IF(A268="","",IF(OR(LOWER(H268)="refund",LOWER(U268)="refund case"),"Refund",IF(OR(LOWER(H268)="dnp",LOWER(U268)="dnp"),"DNP",IF(OR(LOWER(V268)="disbursed",ISNUMBER(SEARCH("Disbursed",W268&amp;""))),"Disbursed",IF(OR(LOWER(V268)="loan proccessed/accepted",ISNUMBER(SEARCH("sanctioned",LOWER(W268&amp;"")))),"Sanctioned",IF(OR(LOWER(V268)="rejected",ISNUMBER(SEARCH("Not eligbile",W268&amp;"")),ISNUMBER(SEARCH("Not eligible",W268&amp;""))),"Rejected",IF(ISNUMBER(SEARCH("Docs Pending",W268&amp;"")),"Documents Pending",IF(AND(LOWER(H268)="yes",LOWER(V268)="ongoing"),"Processing",IF(AND(LOWER(H268)="yes",Q268&gt;0,OR(V268="",LOWER(V268)="not even started")),"Vendor Assigned",IF(AND(LOWER(H268)="yes",LOWER(V268)="not even started"),"Need Loan",IF(LOWER(H268)="yes","Loan Started",IF(LOWER(H268)="not sure","Interested",IF(OR(LOWER(H268)="no",LOWER(V268)="not required"),"Not Required","Unclassified")))))))))))))</f>
        <v/>
      </c>
      <c r="Y268">
        <f>IF(A268="","",IF(OR(X268="Sanctioned",X268="Disbursed",X268="Approved"),"Approved",IF(X268="Rejected","Rejected",IF(OR(X268="Processing",X268="Documents Pending",X268="Vendor Assigned"),"In Progress",IF(X268="Need Loan","Pending Start","—"))))</f>
        <v/>
      </c>
      <c r="Z268">
        <f>IF(A268="","",IF(X268="Disbursed","Disbursed",IF(X268="Sanctioned","Sanctioned - Awaiting Disbursement","Not Disbursed")))</f>
        <v/>
      </c>
      <c r="AA268">
        <f>IF(A268="","",IF(LOWER(TRIM('01_Master_Data'!AI268&amp;""))="yes","Need FLDG",IF(LOWER(TRIM('01_Master_Data'!AK268&amp;""))="yes","Need Vidyalakshmi",IF(LOWER(TRIM('01_Master_Data'!AJ268&amp;""))="yes","Need Review",IF(LOWER(J268)="critical","Critical",IF(LOWER(U268)="risk","Risk Case",IF(X268="Refund","Refund","Normal")))))))</f>
        <v/>
      </c>
      <c r="AB268">
        <f>IF(A268="","",IF(OR(LOWER(J268)="critical",LOWER(TRIM('01_Master_Data'!AI268&amp;""))="yes",LOWER(TRIM('01_Master_Data'!AK268&amp;""))="yes",LOWER(U268)="risk"),"Yes","No"))</f>
        <v/>
      </c>
      <c r="AC268">
        <f>IF(A268="","",IF(LOWER(TRIM('01_Master_Data'!AI268&amp;""))="yes","Yes","No"))</f>
        <v/>
      </c>
      <c r="AD268">
        <f>IF(A268="","",IF(LOWER(TRIM('01_Master_Data'!AK268&amp;""))="yes","Yes","No"))</f>
        <v/>
      </c>
      <c r="AE268">
        <f>IF(A268="","",IF(LOWER(TRIM('01_Master_Data'!AJ268&amp;""))="yes","Yes","No"))</f>
        <v/>
      </c>
      <c r="AF268">
        <f>IF(A268="","",TRIM('01_Master_Data'!AL268&amp;""))</f>
        <v/>
      </c>
      <c r="AG268">
        <f>IF(A268="","",IF(AF268="","—",IF(ISNUMBER(SEARCH("DNP",AF268)),"Unreachable / DNP",IF(ISNUMBER(SEARCH("interest",LOWER(AF268))),"High Interest / Terms",IF(OR(ISNUMBER(SEARCH("eligib",LOWER(AF268))),ISNUMBER(SEARCH("income",LOWER(AF268)))),"Eligibility / Income",IF(OR(ISNUMBER(SEARCH("start",LOWER(AF268))),ISNUMBER(SEARCH("Newer",AF268)),ISNUMBER(SEARCH("Will start",AF268))),"Process Yet to Start",IF(ISNUMBER(SEARCH("sure",LOWER(AF268))),"Undecided",IF(OR(ISNUMBER(SEARCH("reject",LOWER(AF268))),ISNUMBER(SEARCH("SBI",AF268))),"Rejected Elsewhere",IF(ISNUMBER(SEARCH("call",LOWER(AF268))),"Bank Communication",IF(OR(ISNUMBER(SEARCH("father",LOWER(AF268))),ISNUMBER(SEARCH("sister",LOWER(AF268)))),"Family / Dependency","Other"))))))))))</f>
        <v/>
      </c>
      <c r="AH268">
        <f>IF(A268="","",'01_Master_Data'!AC268)</f>
        <v/>
      </c>
      <c r="AI268">
        <f>IF(A268="","",IF(OR(AH268="",NOT(ISNUMBER(AH268))),"",MAX(0,'02_Configuration'!$B$82-AH268)))</f>
        <v/>
      </c>
      <c r="AJ268">
        <f>IF(A268="","",IF(AI268="","Unknown",IF(AI268&lt;=3,"0–3 Days",IF(AI268&lt;=7,"4–7 Days",IF(AI268&lt;=15,"8–15 Days",IF(AI268&lt;=30,"16–30 Days","30+ Days"))))))</f>
        <v/>
      </c>
      <c r="AK268">
        <f>IF(A268="","",IF(LOWER(H268)="yes","Yes","No"))</f>
        <v/>
      </c>
      <c r="AL268">
        <f>IF(A268="","",'01_Master_Data'!T268)</f>
        <v/>
      </c>
      <c r="AM268">
        <f>IF(A268="","",'01_Master_Data'!S268)</f>
        <v/>
      </c>
      <c r="AN268">
        <f>IF(A268="","",'01_Master_Data'!I268)</f>
        <v/>
      </c>
      <c r="AO268">
        <f>IF(A268="","",'01_Master_Data'!M268)</f>
        <v/>
      </c>
      <c r="AP268">
        <f>IF(A268="","",IF(ISNUMBER(SEARCH("Icici",W268&amp;"")),1,0))</f>
        <v/>
      </c>
      <c r="AQ268">
        <f>IF(A268="","",IF(ISNUMBER(SEARCH("Propelld",W268&amp;"")),1,0))</f>
        <v/>
      </c>
      <c r="AR268">
        <f>IF(A268="","",IF(ISNUMBER(SEARCH("GyanDhan",W268&amp;"")),1,0))</f>
        <v/>
      </c>
      <c r="AS268">
        <f>IF(A268="","",IF(ISNUMBER(SEARCH("vidyalakshmi",LOWER(W268&amp;""))),1,0))</f>
        <v/>
      </c>
      <c r="AT268">
        <f>IF(A268="","",IF(ISNUMBER(SEARCH("other bank",LOWER(W268&amp;""))),1,0))</f>
        <v/>
      </c>
      <c r="AU268">
        <f>IF(A268="","",IF(ISNUMBER(SEARCH("sanctioned",LOWER(W268&amp;""))),1,0))</f>
        <v/>
      </c>
      <c r="AV268">
        <f>IF(A268="","",IF(ISNUMBER(SEARCH("Docs Pending",W268&amp;"")),1,0))</f>
        <v/>
      </c>
      <c r="AW268">
        <f>IF(A268="","",IF(OR(X268="Rejected",ISNUMBER(SEARCH("Not eligbile",W268&amp;""))),1,0))</f>
        <v/>
      </c>
    </row>
    <row r="269">
      <c r="A269">
        <f>IF('01_Master_Data'!B269="","",268)</f>
        <v/>
      </c>
      <c r="B269">
        <f>IF('01_Master_Data'!B269="","",IF('01_Master_Data'!C269&lt;&gt;"","MOB|"&amp;TEXT('01_Master_Data'!C269,"0"),IF('01_Master_Data'!D269&lt;&gt;"","PID|"&amp;TRIM('01_Master_Data'!D269&amp;""),"")))</f>
        <v/>
      </c>
      <c r="C269">
        <f>IF('01_Master_Data'!B269="","",'01_Master_Data'!B269)</f>
        <v/>
      </c>
      <c r="D269">
        <f>IF('01_Master_Data'!B269="","",'01_Master_Data'!C269)</f>
        <v/>
      </c>
      <c r="E269">
        <f>IF('01_Master_Data'!B269="","",'01_Master_Data'!D269)</f>
        <v/>
      </c>
      <c r="F269">
        <f>IF('01_Master_Data'!B269="","",'01_Master_Data'!E269)</f>
        <v/>
      </c>
      <c r="G269">
        <f>IF('01_Master_Data'!B269="","",IFERROR(VLOOKUP(TRIM('01_Master_Data'!E269&amp;""),'02_Configuration'!$A$40:$B$44,2,FALSE),UPPER(TRIM('01_Master_Data'!E269&amp;""))))</f>
        <v/>
      </c>
      <c r="H269">
        <f>IF('01_Master_Data'!B269="","",IF('01_Master_Data'!U269="","",TRIM('01_Master_Data'!U269&amp;"")))</f>
        <v/>
      </c>
      <c r="I269">
        <f>IF('01_Master_Data'!B269="","",TRIM('01_Master_Data'!F269&amp;""))</f>
        <v/>
      </c>
      <c r="J269">
        <f>IF('01_Master_Data'!B269="","",TRIM('01_Master_Data'!G269&amp;""))</f>
        <v/>
      </c>
      <c r="K269">
        <f>IF('01_Master_Data'!B269="","",'01_Master_Data'!H269)</f>
        <v/>
      </c>
      <c r="L269">
        <f>IF('01_Master_Data'!B269="","",IF(LOWER(TRIM('01_Master_Data'!V269&amp;""))="yes",1,0))</f>
        <v/>
      </c>
      <c r="M269">
        <f>IF('01_Master_Data'!B269="","",IF(LOWER(TRIM('01_Master_Data'!W269&amp;""))="yes",1,0))</f>
        <v/>
      </c>
      <c r="N269">
        <f>IF('01_Master_Data'!B269="","",IF(LOWER(TRIM('01_Master_Data'!X269&amp;""))="yes",1,0))</f>
        <v/>
      </c>
      <c r="O269">
        <f>IF('01_Master_Data'!B269="","",IF(LOWER(TRIM('01_Master_Data'!Y269&amp;""))="yes",1,0))</f>
        <v/>
      </c>
      <c r="P269">
        <f>IF('01_Master_Data'!B269="","",IF(LOWER(TRIM('01_Master_Data'!Z269&amp;""))="yes",1,0))</f>
        <v/>
      </c>
      <c r="Q269">
        <f>IF(A269="","",L269+M269+N269+O269+P269)</f>
        <v/>
      </c>
      <c r="R269">
        <f>IF(A269="","",IF(Q269&gt;1,"Yes","No"))</f>
        <v/>
      </c>
      <c r="S269">
        <f>IF(A269="","",TEXTJOIN(", ",TRUE,IF(L269=1,"ICICI",""),IF(M269=1,"Propelld",""),IF(N269=1,"Study4Buddy",""),IF(O269=1,"Poonawala Fincorp",""),IF(P269=1,"GyanDhan","")))</f>
        <v/>
      </c>
      <c r="T269">
        <f>IF(A269="","",IF(L269=1,"ICICI",IF(M269=1,"Propelld",IF(P269=1,"GyanDhan",IF(N269=1,"Study4Buddy",IF(O269=1,"Poonawala Fincorp",IF(ISNUMBER(SEARCH("GyanDhan",W269&amp;"")),"GyanDhan",IF(ISNUMBER(SEARCH("Icici",W269&amp;"")),"ICICI",IF(ISNUMBER(SEARCH("Propelld",W269&amp;"")),"Propelld",IF(ISNUMBER(SEARCH("vidyalakshmi",LOWER(W269&amp;"")),"PM Vidyalakshmi","—"))))))))))</f>
        <v/>
      </c>
      <c r="U269">
        <f>IF(A269="","",TRIM('01_Master_Data'!AA269&amp;""))</f>
        <v/>
      </c>
      <c r="V269">
        <f>IF(A269="","",TRIM('01_Master_Data'!AG269&amp;""))</f>
        <v/>
      </c>
      <c r="W269">
        <f>IF(A269="","",TRIM('01_Master_Data'!AH269&amp;""))</f>
        <v/>
      </c>
      <c r="X269">
        <f>IF(A269="","",IF(OR(LOWER(H269)="refund",LOWER(U269)="refund case"),"Refund",IF(OR(LOWER(H269)="dnp",LOWER(U269)="dnp"),"DNP",IF(OR(LOWER(V269)="disbursed",ISNUMBER(SEARCH("Disbursed",W269&amp;""))),"Disbursed",IF(OR(LOWER(V269)="loan proccessed/accepted",ISNUMBER(SEARCH("sanctioned",LOWER(W269&amp;"")))),"Sanctioned",IF(OR(LOWER(V269)="rejected",ISNUMBER(SEARCH("Not eligbile",W269&amp;"")),ISNUMBER(SEARCH("Not eligible",W269&amp;""))),"Rejected",IF(ISNUMBER(SEARCH("Docs Pending",W269&amp;"")),"Documents Pending",IF(AND(LOWER(H269)="yes",LOWER(V269)="ongoing"),"Processing",IF(AND(LOWER(H269)="yes",Q269&gt;0,OR(V269="",LOWER(V269)="not even started")),"Vendor Assigned",IF(AND(LOWER(H269)="yes",LOWER(V269)="not even started"),"Need Loan",IF(LOWER(H269)="yes","Loan Started",IF(LOWER(H269)="not sure","Interested",IF(OR(LOWER(H269)="no",LOWER(V269)="not required"),"Not Required","Unclassified")))))))))))))</f>
        <v/>
      </c>
      <c r="Y269">
        <f>IF(A269="","",IF(OR(X269="Sanctioned",X269="Disbursed",X269="Approved"),"Approved",IF(X269="Rejected","Rejected",IF(OR(X269="Processing",X269="Documents Pending",X269="Vendor Assigned"),"In Progress",IF(X269="Need Loan","Pending Start","—"))))</f>
        <v/>
      </c>
      <c r="Z269">
        <f>IF(A269="","",IF(X269="Disbursed","Disbursed",IF(X269="Sanctioned","Sanctioned - Awaiting Disbursement","Not Disbursed")))</f>
        <v/>
      </c>
      <c r="AA269">
        <f>IF(A269="","",IF(LOWER(TRIM('01_Master_Data'!AI269&amp;""))="yes","Need FLDG",IF(LOWER(TRIM('01_Master_Data'!AK269&amp;""))="yes","Need Vidyalakshmi",IF(LOWER(TRIM('01_Master_Data'!AJ269&amp;""))="yes","Need Review",IF(LOWER(J269)="critical","Critical",IF(LOWER(U269)="risk","Risk Case",IF(X269="Refund","Refund","Normal")))))))</f>
        <v/>
      </c>
      <c r="AB269">
        <f>IF(A269="","",IF(OR(LOWER(J269)="critical",LOWER(TRIM('01_Master_Data'!AI269&amp;""))="yes",LOWER(TRIM('01_Master_Data'!AK269&amp;""))="yes",LOWER(U269)="risk"),"Yes","No"))</f>
        <v/>
      </c>
      <c r="AC269">
        <f>IF(A269="","",IF(LOWER(TRIM('01_Master_Data'!AI269&amp;""))="yes","Yes","No"))</f>
        <v/>
      </c>
      <c r="AD269">
        <f>IF(A269="","",IF(LOWER(TRIM('01_Master_Data'!AK269&amp;""))="yes","Yes","No"))</f>
        <v/>
      </c>
      <c r="AE269">
        <f>IF(A269="","",IF(LOWER(TRIM('01_Master_Data'!AJ269&amp;""))="yes","Yes","No"))</f>
        <v/>
      </c>
      <c r="AF269">
        <f>IF(A269="","",TRIM('01_Master_Data'!AL269&amp;""))</f>
        <v/>
      </c>
      <c r="AG269">
        <f>IF(A269="","",IF(AF269="","—",IF(ISNUMBER(SEARCH("DNP",AF269)),"Unreachable / DNP",IF(ISNUMBER(SEARCH("interest",LOWER(AF269))),"High Interest / Terms",IF(OR(ISNUMBER(SEARCH("eligib",LOWER(AF269))),ISNUMBER(SEARCH("income",LOWER(AF269)))),"Eligibility / Income",IF(OR(ISNUMBER(SEARCH("start",LOWER(AF269))),ISNUMBER(SEARCH("Newer",AF269)),ISNUMBER(SEARCH("Will start",AF269))),"Process Yet to Start",IF(ISNUMBER(SEARCH("sure",LOWER(AF269))),"Undecided",IF(OR(ISNUMBER(SEARCH("reject",LOWER(AF269))),ISNUMBER(SEARCH("SBI",AF269))),"Rejected Elsewhere",IF(ISNUMBER(SEARCH("call",LOWER(AF269))),"Bank Communication",IF(OR(ISNUMBER(SEARCH("father",LOWER(AF269))),ISNUMBER(SEARCH("sister",LOWER(AF269)))),"Family / Dependency","Other"))))))))))</f>
        <v/>
      </c>
      <c r="AH269">
        <f>IF(A269="","",'01_Master_Data'!AC269)</f>
        <v/>
      </c>
      <c r="AI269">
        <f>IF(A269="","",IF(OR(AH269="",NOT(ISNUMBER(AH269))),"",MAX(0,'02_Configuration'!$B$82-AH269)))</f>
        <v/>
      </c>
      <c r="AJ269">
        <f>IF(A269="","",IF(AI269="","Unknown",IF(AI269&lt;=3,"0–3 Days",IF(AI269&lt;=7,"4–7 Days",IF(AI269&lt;=15,"8–15 Days",IF(AI269&lt;=30,"16–30 Days","30+ Days"))))))</f>
        <v/>
      </c>
      <c r="AK269">
        <f>IF(A269="","",IF(LOWER(H269)="yes","Yes","No"))</f>
        <v/>
      </c>
      <c r="AL269">
        <f>IF(A269="","",'01_Master_Data'!T269)</f>
        <v/>
      </c>
      <c r="AM269">
        <f>IF(A269="","",'01_Master_Data'!S269)</f>
        <v/>
      </c>
      <c r="AN269">
        <f>IF(A269="","",'01_Master_Data'!I269)</f>
        <v/>
      </c>
      <c r="AO269">
        <f>IF(A269="","",'01_Master_Data'!M269)</f>
        <v/>
      </c>
      <c r="AP269">
        <f>IF(A269="","",IF(ISNUMBER(SEARCH("Icici",W269&amp;"")),1,0))</f>
        <v/>
      </c>
      <c r="AQ269">
        <f>IF(A269="","",IF(ISNUMBER(SEARCH("Propelld",W269&amp;"")),1,0))</f>
        <v/>
      </c>
      <c r="AR269">
        <f>IF(A269="","",IF(ISNUMBER(SEARCH("GyanDhan",W269&amp;"")),1,0))</f>
        <v/>
      </c>
      <c r="AS269">
        <f>IF(A269="","",IF(ISNUMBER(SEARCH("vidyalakshmi",LOWER(W269&amp;""))),1,0))</f>
        <v/>
      </c>
      <c r="AT269">
        <f>IF(A269="","",IF(ISNUMBER(SEARCH("other bank",LOWER(W269&amp;""))),1,0))</f>
        <v/>
      </c>
      <c r="AU269">
        <f>IF(A269="","",IF(ISNUMBER(SEARCH("sanctioned",LOWER(W269&amp;""))),1,0))</f>
        <v/>
      </c>
      <c r="AV269">
        <f>IF(A269="","",IF(ISNUMBER(SEARCH("Docs Pending",W269&amp;"")),1,0))</f>
        <v/>
      </c>
      <c r="AW269">
        <f>IF(A269="","",IF(OR(X269="Rejected",ISNUMBER(SEARCH("Not eligbile",W269&amp;""))),1,0))</f>
        <v/>
      </c>
    </row>
    <row r="270">
      <c r="A270">
        <f>IF('01_Master_Data'!B270="","",269)</f>
        <v/>
      </c>
      <c r="B270">
        <f>IF('01_Master_Data'!B270="","",IF('01_Master_Data'!C270&lt;&gt;"","MOB|"&amp;TEXT('01_Master_Data'!C270,"0"),IF('01_Master_Data'!D270&lt;&gt;"","PID|"&amp;TRIM('01_Master_Data'!D270&amp;""),"")))</f>
        <v/>
      </c>
      <c r="C270">
        <f>IF('01_Master_Data'!B270="","",'01_Master_Data'!B270)</f>
        <v/>
      </c>
      <c r="D270">
        <f>IF('01_Master_Data'!B270="","",'01_Master_Data'!C270)</f>
        <v/>
      </c>
      <c r="E270">
        <f>IF('01_Master_Data'!B270="","",'01_Master_Data'!D270)</f>
        <v/>
      </c>
      <c r="F270">
        <f>IF('01_Master_Data'!B270="","",'01_Master_Data'!E270)</f>
        <v/>
      </c>
      <c r="G270">
        <f>IF('01_Master_Data'!B270="","",IFERROR(VLOOKUP(TRIM('01_Master_Data'!E270&amp;""),'02_Configuration'!$A$40:$B$44,2,FALSE),UPPER(TRIM('01_Master_Data'!E270&amp;""))))</f>
        <v/>
      </c>
      <c r="H270">
        <f>IF('01_Master_Data'!B270="","",IF('01_Master_Data'!U270="","",TRIM('01_Master_Data'!U270&amp;"")))</f>
        <v/>
      </c>
      <c r="I270">
        <f>IF('01_Master_Data'!B270="","",TRIM('01_Master_Data'!F270&amp;""))</f>
        <v/>
      </c>
      <c r="J270">
        <f>IF('01_Master_Data'!B270="","",TRIM('01_Master_Data'!G270&amp;""))</f>
        <v/>
      </c>
      <c r="K270">
        <f>IF('01_Master_Data'!B270="","",'01_Master_Data'!H270)</f>
        <v/>
      </c>
      <c r="L270">
        <f>IF('01_Master_Data'!B270="","",IF(LOWER(TRIM('01_Master_Data'!V270&amp;""))="yes",1,0))</f>
        <v/>
      </c>
      <c r="M270">
        <f>IF('01_Master_Data'!B270="","",IF(LOWER(TRIM('01_Master_Data'!W270&amp;""))="yes",1,0))</f>
        <v/>
      </c>
      <c r="N270">
        <f>IF('01_Master_Data'!B270="","",IF(LOWER(TRIM('01_Master_Data'!X270&amp;""))="yes",1,0))</f>
        <v/>
      </c>
      <c r="O270">
        <f>IF('01_Master_Data'!B270="","",IF(LOWER(TRIM('01_Master_Data'!Y270&amp;""))="yes",1,0))</f>
        <v/>
      </c>
      <c r="P270">
        <f>IF('01_Master_Data'!B270="","",IF(LOWER(TRIM('01_Master_Data'!Z270&amp;""))="yes",1,0))</f>
        <v/>
      </c>
      <c r="Q270">
        <f>IF(A270="","",L270+M270+N270+O270+P270)</f>
        <v/>
      </c>
      <c r="R270">
        <f>IF(A270="","",IF(Q270&gt;1,"Yes","No"))</f>
        <v/>
      </c>
      <c r="S270">
        <f>IF(A270="","",TEXTJOIN(", ",TRUE,IF(L270=1,"ICICI",""),IF(M270=1,"Propelld",""),IF(N270=1,"Study4Buddy",""),IF(O270=1,"Poonawala Fincorp",""),IF(P270=1,"GyanDhan","")))</f>
        <v/>
      </c>
      <c r="T270">
        <f>IF(A270="","",IF(L270=1,"ICICI",IF(M270=1,"Propelld",IF(P270=1,"GyanDhan",IF(N270=1,"Study4Buddy",IF(O270=1,"Poonawala Fincorp",IF(ISNUMBER(SEARCH("GyanDhan",W270&amp;"")),"GyanDhan",IF(ISNUMBER(SEARCH("Icici",W270&amp;"")),"ICICI",IF(ISNUMBER(SEARCH("Propelld",W270&amp;"")),"Propelld",IF(ISNUMBER(SEARCH("vidyalakshmi",LOWER(W270&amp;"")),"PM Vidyalakshmi","—"))))))))))</f>
        <v/>
      </c>
      <c r="U270">
        <f>IF(A270="","",TRIM('01_Master_Data'!AA270&amp;""))</f>
        <v/>
      </c>
      <c r="V270">
        <f>IF(A270="","",TRIM('01_Master_Data'!AG270&amp;""))</f>
        <v/>
      </c>
      <c r="W270">
        <f>IF(A270="","",TRIM('01_Master_Data'!AH270&amp;""))</f>
        <v/>
      </c>
      <c r="X270">
        <f>IF(A270="","",IF(OR(LOWER(H270)="refund",LOWER(U270)="refund case"),"Refund",IF(OR(LOWER(H270)="dnp",LOWER(U270)="dnp"),"DNP",IF(OR(LOWER(V270)="disbursed",ISNUMBER(SEARCH("Disbursed",W270&amp;""))),"Disbursed",IF(OR(LOWER(V270)="loan proccessed/accepted",ISNUMBER(SEARCH("sanctioned",LOWER(W270&amp;"")))),"Sanctioned",IF(OR(LOWER(V270)="rejected",ISNUMBER(SEARCH("Not eligbile",W270&amp;"")),ISNUMBER(SEARCH("Not eligible",W270&amp;""))),"Rejected",IF(ISNUMBER(SEARCH("Docs Pending",W270&amp;"")),"Documents Pending",IF(AND(LOWER(H270)="yes",LOWER(V270)="ongoing"),"Processing",IF(AND(LOWER(H270)="yes",Q270&gt;0,OR(V270="",LOWER(V270)="not even started")),"Vendor Assigned",IF(AND(LOWER(H270)="yes",LOWER(V270)="not even started"),"Need Loan",IF(LOWER(H270)="yes","Loan Started",IF(LOWER(H270)="not sure","Interested",IF(OR(LOWER(H270)="no",LOWER(V270)="not required"),"Not Required","Unclassified")))))))))))))</f>
        <v/>
      </c>
      <c r="Y270">
        <f>IF(A270="","",IF(OR(X270="Sanctioned",X270="Disbursed",X270="Approved"),"Approved",IF(X270="Rejected","Rejected",IF(OR(X270="Processing",X270="Documents Pending",X270="Vendor Assigned"),"In Progress",IF(X270="Need Loan","Pending Start","—"))))</f>
        <v/>
      </c>
      <c r="Z270">
        <f>IF(A270="","",IF(X270="Disbursed","Disbursed",IF(X270="Sanctioned","Sanctioned - Awaiting Disbursement","Not Disbursed")))</f>
        <v/>
      </c>
      <c r="AA270">
        <f>IF(A270="","",IF(LOWER(TRIM('01_Master_Data'!AI270&amp;""))="yes","Need FLDG",IF(LOWER(TRIM('01_Master_Data'!AK270&amp;""))="yes","Need Vidyalakshmi",IF(LOWER(TRIM('01_Master_Data'!AJ270&amp;""))="yes","Need Review",IF(LOWER(J270)="critical","Critical",IF(LOWER(U270)="risk","Risk Case",IF(X270="Refund","Refund","Normal")))))))</f>
        <v/>
      </c>
      <c r="AB270">
        <f>IF(A270="","",IF(OR(LOWER(J270)="critical",LOWER(TRIM('01_Master_Data'!AI270&amp;""))="yes",LOWER(TRIM('01_Master_Data'!AK270&amp;""))="yes",LOWER(U270)="risk"),"Yes","No"))</f>
        <v/>
      </c>
      <c r="AC270">
        <f>IF(A270="","",IF(LOWER(TRIM('01_Master_Data'!AI270&amp;""))="yes","Yes","No"))</f>
        <v/>
      </c>
      <c r="AD270">
        <f>IF(A270="","",IF(LOWER(TRIM('01_Master_Data'!AK270&amp;""))="yes","Yes","No"))</f>
        <v/>
      </c>
      <c r="AE270">
        <f>IF(A270="","",IF(LOWER(TRIM('01_Master_Data'!AJ270&amp;""))="yes","Yes","No"))</f>
        <v/>
      </c>
      <c r="AF270">
        <f>IF(A270="","",TRIM('01_Master_Data'!AL270&amp;""))</f>
        <v/>
      </c>
      <c r="AG270">
        <f>IF(A270="","",IF(AF270="","—",IF(ISNUMBER(SEARCH("DNP",AF270)),"Unreachable / DNP",IF(ISNUMBER(SEARCH("interest",LOWER(AF270))),"High Interest / Terms",IF(OR(ISNUMBER(SEARCH("eligib",LOWER(AF270))),ISNUMBER(SEARCH("income",LOWER(AF270)))),"Eligibility / Income",IF(OR(ISNUMBER(SEARCH("start",LOWER(AF270))),ISNUMBER(SEARCH("Newer",AF270)),ISNUMBER(SEARCH("Will start",AF270))),"Process Yet to Start",IF(ISNUMBER(SEARCH("sure",LOWER(AF270))),"Undecided",IF(OR(ISNUMBER(SEARCH("reject",LOWER(AF270))),ISNUMBER(SEARCH("SBI",AF270))),"Rejected Elsewhere",IF(ISNUMBER(SEARCH("call",LOWER(AF270))),"Bank Communication",IF(OR(ISNUMBER(SEARCH("father",LOWER(AF270))),ISNUMBER(SEARCH("sister",LOWER(AF270)))),"Family / Dependency","Other"))))))))))</f>
        <v/>
      </c>
      <c r="AH270">
        <f>IF(A270="","",'01_Master_Data'!AC270)</f>
        <v/>
      </c>
      <c r="AI270">
        <f>IF(A270="","",IF(OR(AH270="",NOT(ISNUMBER(AH270))),"",MAX(0,'02_Configuration'!$B$82-AH270)))</f>
        <v/>
      </c>
      <c r="AJ270">
        <f>IF(A270="","",IF(AI270="","Unknown",IF(AI270&lt;=3,"0–3 Days",IF(AI270&lt;=7,"4–7 Days",IF(AI270&lt;=15,"8–15 Days",IF(AI270&lt;=30,"16–30 Days","30+ Days"))))))</f>
        <v/>
      </c>
      <c r="AK270">
        <f>IF(A270="","",IF(LOWER(H270)="yes","Yes","No"))</f>
        <v/>
      </c>
      <c r="AL270">
        <f>IF(A270="","",'01_Master_Data'!T270)</f>
        <v/>
      </c>
      <c r="AM270">
        <f>IF(A270="","",'01_Master_Data'!S270)</f>
        <v/>
      </c>
      <c r="AN270">
        <f>IF(A270="","",'01_Master_Data'!I270)</f>
        <v/>
      </c>
      <c r="AO270">
        <f>IF(A270="","",'01_Master_Data'!M270)</f>
        <v/>
      </c>
      <c r="AP270">
        <f>IF(A270="","",IF(ISNUMBER(SEARCH("Icici",W270&amp;"")),1,0))</f>
        <v/>
      </c>
      <c r="AQ270">
        <f>IF(A270="","",IF(ISNUMBER(SEARCH("Propelld",W270&amp;"")),1,0))</f>
        <v/>
      </c>
      <c r="AR270">
        <f>IF(A270="","",IF(ISNUMBER(SEARCH("GyanDhan",W270&amp;"")),1,0))</f>
        <v/>
      </c>
      <c r="AS270">
        <f>IF(A270="","",IF(ISNUMBER(SEARCH("vidyalakshmi",LOWER(W270&amp;""))),1,0))</f>
        <v/>
      </c>
      <c r="AT270">
        <f>IF(A270="","",IF(ISNUMBER(SEARCH("other bank",LOWER(W270&amp;""))),1,0))</f>
        <v/>
      </c>
      <c r="AU270">
        <f>IF(A270="","",IF(ISNUMBER(SEARCH("sanctioned",LOWER(W270&amp;""))),1,0))</f>
        <v/>
      </c>
      <c r="AV270">
        <f>IF(A270="","",IF(ISNUMBER(SEARCH("Docs Pending",W270&amp;"")),1,0))</f>
        <v/>
      </c>
      <c r="AW270">
        <f>IF(A270="","",IF(OR(X270="Rejected",ISNUMBER(SEARCH("Not eligbile",W270&amp;""))),1,0))</f>
        <v/>
      </c>
    </row>
    <row r="271">
      <c r="A271">
        <f>IF('01_Master_Data'!B271="","",270)</f>
        <v/>
      </c>
      <c r="B271">
        <f>IF('01_Master_Data'!B271="","",IF('01_Master_Data'!C271&lt;&gt;"","MOB|"&amp;TEXT('01_Master_Data'!C271,"0"),IF('01_Master_Data'!D271&lt;&gt;"","PID|"&amp;TRIM('01_Master_Data'!D271&amp;""),"")))</f>
        <v/>
      </c>
      <c r="C271">
        <f>IF('01_Master_Data'!B271="","",'01_Master_Data'!B271)</f>
        <v/>
      </c>
      <c r="D271">
        <f>IF('01_Master_Data'!B271="","",'01_Master_Data'!C271)</f>
        <v/>
      </c>
      <c r="E271">
        <f>IF('01_Master_Data'!B271="","",'01_Master_Data'!D271)</f>
        <v/>
      </c>
      <c r="F271">
        <f>IF('01_Master_Data'!B271="","",'01_Master_Data'!E271)</f>
        <v/>
      </c>
      <c r="G271">
        <f>IF('01_Master_Data'!B271="","",IFERROR(VLOOKUP(TRIM('01_Master_Data'!E271&amp;""),'02_Configuration'!$A$40:$B$44,2,FALSE),UPPER(TRIM('01_Master_Data'!E271&amp;""))))</f>
        <v/>
      </c>
      <c r="H271">
        <f>IF('01_Master_Data'!B271="","",IF('01_Master_Data'!U271="","",TRIM('01_Master_Data'!U271&amp;"")))</f>
        <v/>
      </c>
      <c r="I271">
        <f>IF('01_Master_Data'!B271="","",TRIM('01_Master_Data'!F271&amp;""))</f>
        <v/>
      </c>
      <c r="J271">
        <f>IF('01_Master_Data'!B271="","",TRIM('01_Master_Data'!G271&amp;""))</f>
        <v/>
      </c>
      <c r="K271">
        <f>IF('01_Master_Data'!B271="","",'01_Master_Data'!H271)</f>
        <v/>
      </c>
      <c r="L271">
        <f>IF('01_Master_Data'!B271="","",IF(LOWER(TRIM('01_Master_Data'!V271&amp;""))="yes",1,0))</f>
        <v/>
      </c>
      <c r="M271">
        <f>IF('01_Master_Data'!B271="","",IF(LOWER(TRIM('01_Master_Data'!W271&amp;""))="yes",1,0))</f>
        <v/>
      </c>
      <c r="N271">
        <f>IF('01_Master_Data'!B271="","",IF(LOWER(TRIM('01_Master_Data'!X271&amp;""))="yes",1,0))</f>
        <v/>
      </c>
      <c r="O271">
        <f>IF('01_Master_Data'!B271="","",IF(LOWER(TRIM('01_Master_Data'!Y271&amp;""))="yes",1,0))</f>
        <v/>
      </c>
      <c r="P271">
        <f>IF('01_Master_Data'!B271="","",IF(LOWER(TRIM('01_Master_Data'!Z271&amp;""))="yes",1,0))</f>
        <v/>
      </c>
      <c r="Q271">
        <f>IF(A271="","",L271+M271+N271+O271+P271)</f>
        <v/>
      </c>
      <c r="R271">
        <f>IF(A271="","",IF(Q271&gt;1,"Yes","No"))</f>
        <v/>
      </c>
      <c r="S271">
        <f>IF(A271="","",TEXTJOIN(", ",TRUE,IF(L271=1,"ICICI",""),IF(M271=1,"Propelld",""),IF(N271=1,"Study4Buddy",""),IF(O271=1,"Poonawala Fincorp",""),IF(P271=1,"GyanDhan","")))</f>
        <v/>
      </c>
      <c r="T271">
        <f>IF(A271="","",IF(L271=1,"ICICI",IF(M271=1,"Propelld",IF(P271=1,"GyanDhan",IF(N271=1,"Study4Buddy",IF(O271=1,"Poonawala Fincorp",IF(ISNUMBER(SEARCH("GyanDhan",W271&amp;"")),"GyanDhan",IF(ISNUMBER(SEARCH("Icici",W271&amp;"")),"ICICI",IF(ISNUMBER(SEARCH("Propelld",W271&amp;"")),"Propelld",IF(ISNUMBER(SEARCH("vidyalakshmi",LOWER(W271&amp;"")),"PM Vidyalakshmi","—"))))))))))</f>
        <v/>
      </c>
      <c r="U271">
        <f>IF(A271="","",TRIM('01_Master_Data'!AA271&amp;""))</f>
        <v/>
      </c>
      <c r="V271">
        <f>IF(A271="","",TRIM('01_Master_Data'!AG271&amp;""))</f>
        <v/>
      </c>
      <c r="W271">
        <f>IF(A271="","",TRIM('01_Master_Data'!AH271&amp;""))</f>
        <v/>
      </c>
      <c r="X271">
        <f>IF(A271="","",IF(OR(LOWER(H271)="refund",LOWER(U271)="refund case"),"Refund",IF(OR(LOWER(H271)="dnp",LOWER(U271)="dnp"),"DNP",IF(OR(LOWER(V271)="disbursed",ISNUMBER(SEARCH("Disbursed",W271&amp;""))),"Disbursed",IF(OR(LOWER(V271)="loan proccessed/accepted",ISNUMBER(SEARCH("sanctioned",LOWER(W271&amp;"")))),"Sanctioned",IF(OR(LOWER(V271)="rejected",ISNUMBER(SEARCH("Not eligbile",W271&amp;"")),ISNUMBER(SEARCH("Not eligible",W271&amp;""))),"Rejected",IF(ISNUMBER(SEARCH("Docs Pending",W271&amp;"")),"Documents Pending",IF(AND(LOWER(H271)="yes",LOWER(V271)="ongoing"),"Processing",IF(AND(LOWER(H271)="yes",Q271&gt;0,OR(V271="",LOWER(V271)="not even started")),"Vendor Assigned",IF(AND(LOWER(H271)="yes",LOWER(V271)="not even started"),"Need Loan",IF(LOWER(H271)="yes","Loan Started",IF(LOWER(H271)="not sure","Interested",IF(OR(LOWER(H271)="no",LOWER(V271)="not required"),"Not Required","Unclassified")))))))))))))</f>
        <v/>
      </c>
      <c r="Y271">
        <f>IF(A271="","",IF(OR(X271="Sanctioned",X271="Disbursed",X271="Approved"),"Approved",IF(X271="Rejected","Rejected",IF(OR(X271="Processing",X271="Documents Pending",X271="Vendor Assigned"),"In Progress",IF(X271="Need Loan","Pending Start","—"))))</f>
        <v/>
      </c>
      <c r="Z271">
        <f>IF(A271="","",IF(X271="Disbursed","Disbursed",IF(X271="Sanctioned","Sanctioned - Awaiting Disbursement","Not Disbursed")))</f>
        <v/>
      </c>
      <c r="AA271">
        <f>IF(A271="","",IF(LOWER(TRIM('01_Master_Data'!AI271&amp;""))="yes","Need FLDG",IF(LOWER(TRIM('01_Master_Data'!AK271&amp;""))="yes","Need Vidyalakshmi",IF(LOWER(TRIM('01_Master_Data'!AJ271&amp;""))="yes","Need Review",IF(LOWER(J271)="critical","Critical",IF(LOWER(U271)="risk","Risk Case",IF(X271="Refund","Refund","Normal")))))))</f>
        <v/>
      </c>
      <c r="AB271">
        <f>IF(A271="","",IF(OR(LOWER(J271)="critical",LOWER(TRIM('01_Master_Data'!AI271&amp;""))="yes",LOWER(TRIM('01_Master_Data'!AK271&amp;""))="yes",LOWER(U271)="risk"),"Yes","No"))</f>
        <v/>
      </c>
      <c r="AC271">
        <f>IF(A271="","",IF(LOWER(TRIM('01_Master_Data'!AI271&amp;""))="yes","Yes","No"))</f>
        <v/>
      </c>
      <c r="AD271">
        <f>IF(A271="","",IF(LOWER(TRIM('01_Master_Data'!AK271&amp;""))="yes","Yes","No"))</f>
        <v/>
      </c>
      <c r="AE271">
        <f>IF(A271="","",IF(LOWER(TRIM('01_Master_Data'!AJ271&amp;""))="yes","Yes","No"))</f>
        <v/>
      </c>
      <c r="AF271">
        <f>IF(A271="","",TRIM('01_Master_Data'!AL271&amp;""))</f>
        <v/>
      </c>
      <c r="AG271">
        <f>IF(A271="","",IF(AF271="","—",IF(ISNUMBER(SEARCH("DNP",AF271)),"Unreachable / DNP",IF(ISNUMBER(SEARCH("interest",LOWER(AF271))),"High Interest / Terms",IF(OR(ISNUMBER(SEARCH("eligib",LOWER(AF271))),ISNUMBER(SEARCH("income",LOWER(AF271)))),"Eligibility / Income",IF(OR(ISNUMBER(SEARCH("start",LOWER(AF271))),ISNUMBER(SEARCH("Newer",AF271)),ISNUMBER(SEARCH("Will start",AF271))),"Process Yet to Start",IF(ISNUMBER(SEARCH("sure",LOWER(AF271))),"Undecided",IF(OR(ISNUMBER(SEARCH("reject",LOWER(AF271))),ISNUMBER(SEARCH("SBI",AF271))),"Rejected Elsewhere",IF(ISNUMBER(SEARCH("call",LOWER(AF271))),"Bank Communication",IF(OR(ISNUMBER(SEARCH("father",LOWER(AF271))),ISNUMBER(SEARCH("sister",LOWER(AF271)))),"Family / Dependency","Other"))))))))))</f>
        <v/>
      </c>
      <c r="AH271">
        <f>IF(A271="","",'01_Master_Data'!AC271)</f>
        <v/>
      </c>
      <c r="AI271">
        <f>IF(A271="","",IF(OR(AH271="",NOT(ISNUMBER(AH271))),"",MAX(0,'02_Configuration'!$B$82-AH271)))</f>
        <v/>
      </c>
      <c r="AJ271">
        <f>IF(A271="","",IF(AI271="","Unknown",IF(AI271&lt;=3,"0–3 Days",IF(AI271&lt;=7,"4–7 Days",IF(AI271&lt;=15,"8–15 Days",IF(AI271&lt;=30,"16–30 Days","30+ Days"))))))</f>
        <v/>
      </c>
      <c r="AK271">
        <f>IF(A271="","",IF(LOWER(H271)="yes","Yes","No"))</f>
        <v/>
      </c>
      <c r="AL271">
        <f>IF(A271="","",'01_Master_Data'!T271)</f>
        <v/>
      </c>
      <c r="AM271">
        <f>IF(A271="","",'01_Master_Data'!S271)</f>
        <v/>
      </c>
      <c r="AN271">
        <f>IF(A271="","",'01_Master_Data'!I271)</f>
        <v/>
      </c>
      <c r="AO271">
        <f>IF(A271="","",'01_Master_Data'!M271)</f>
        <v/>
      </c>
      <c r="AP271">
        <f>IF(A271="","",IF(ISNUMBER(SEARCH("Icici",W271&amp;"")),1,0))</f>
        <v/>
      </c>
      <c r="AQ271">
        <f>IF(A271="","",IF(ISNUMBER(SEARCH("Propelld",W271&amp;"")),1,0))</f>
        <v/>
      </c>
      <c r="AR271">
        <f>IF(A271="","",IF(ISNUMBER(SEARCH("GyanDhan",W271&amp;"")),1,0))</f>
        <v/>
      </c>
      <c r="AS271">
        <f>IF(A271="","",IF(ISNUMBER(SEARCH("vidyalakshmi",LOWER(W271&amp;""))),1,0))</f>
        <v/>
      </c>
      <c r="AT271">
        <f>IF(A271="","",IF(ISNUMBER(SEARCH("other bank",LOWER(W271&amp;""))),1,0))</f>
        <v/>
      </c>
      <c r="AU271">
        <f>IF(A271="","",IF(ISNUMBER(SEARCH("sanctioned",LOWER(W271&amp;""))),1,0))</f>
        <v/>
      </c>
      <c r="AV271">
        <f>IF(A271="","",IF(ISNUMBER(SEARCH("Docs Pending",W271&amp;"")),1,0))</f>
        <v/>
      </c>
      <c r="AW271">
        <f>IF(A271="","",IF(OR(X271="Rejected",ISNUMBER(SEARCH("Not eligbile",W271&amp;""))),1,0))</f>
        <v/>
      </c>
    </row>
    <row r="272">
      <c r="A272">
        <f>IF('01_Master_Data'!B272="","",271)</f>
        <v/>
      </c>
      <c r="B272">
        <f>IF('01_Master_Data'!B272="","",IF('01_Master_Data'!C272&lt;&gt;"","MOB|"&amp;TEXT('01_Master_Data'!C272,"0"),IF('01_Master_Data'!D272&lt;&gt;"","PID|"&amp;TRIM('01_Master_Data'!D272&amp;""),"")))</f>
        <v/>
      </c>
      <c r="C272">
        <f>IF('01_Master_Data'!B272="","",'01_Master_Data'!B272)</f>
        <v/>
      </c>
      <c r="D272">
        <f>IF('01_Master_Data'!B272="","",'01_Master_Data'!C272)</f>
        <v/>
      </c>
      <c r="E272">
        <f>IF('01_Master_Data'!B272="","",'01_Master_Data'!D272)</f>
        <v/>
      </c>
      <c r="F272">
        <f>IF('01_Master_Data'!B272="","",'01_Master_Data'!E272)</f>
        <v/>
      </c>
      <c r="G272">
        <f>IF('01_Master_Data'!B272="","",IFERROR(VLOOKUP(TRIM('01_Master_Data'!E272&amp;""),'02_Configuration'!$A$40:$B$44,2,FALSE),UPPER(TRIM('01_Master_Data'!E272&amp;""))))</f>
        <v/>
      </c>
      <c r="H272">
        <f>IF('01_Master_Data'!B272="","",IF('01_Master_Data'!U272="","",TRIM('01_Master_Data'!U272&amp;"")))</f>
        <v/>
      </c>
      <c r="I272">
        <f>IF('01_Master_Data'!B272="","",TRIM('01_Master_Data'!F272&amp;""))</f>
        <v/>
      </c>
      <c r="J272">
        <f>IF('01_Master_Data'!B272="","",TRIM('01_Master_Data'!G272&amp;""))</f>
        <v/>
      </c>
      <c r="K272">
        <f>IF('01_Master_Data'!B272="","",'01_Master_Data'!H272)</f>
        <v/>
      </c>
      <c r="L272">
        <f>IF('01_Master_Data'!B272="","",IF(LOWER(TRIM('01_Master_Data'!V272&amp;""))="yes",1,0))</f>
        <v/>
      </c>
      <c r="M272">
        <f>IF('01_Master_Data'!B272="","",IF(LOWER(TRIM('01_Master_Data'!W272&amp;""))="yes",1,0))</f>
        <v/>
      </c>
      <c r="N272">
        <f>IF('01_Master_Data'!B272="","",IF(LOWER(TRIM('01_Master_Data'!X272&amp;""))="yes",1,0))</f>
        <v/>
      </c>
      <c r="O272">
        <f>IF('01_Master_Data'!B272="","",IF(LOWER(TRIM('01_Master_Data'!Y272&amp;""))="yes",1,0))</f>
        <v/>
      </c>
      <c r="P272">
        <f>IF('01_Master_Data'!B272="","",IF(LOWER(TRIM('01_Master_Data'!Z272&amp;""))="yes",1,0))</f>
        <v/>
      </c>
      <c r="Q272">
        <f>IF(A272="","",L272+M272+N272+O272+P272)</f>
        <v/>
      </c>
      <c r="R272">
        <f>IF(A272="","",IF(Q272&gt;1,"Yes","No"))</f>
        <v/>
      </c>
      <c r="S272">
        <f>IF(A272="","",TEXTJOIN(", ",TRUE,IF(L272=1,"ICICI",""),IF(M272=1,"Propelld",""),IF(N272=1,"Study4Buddy",""),IF(O272=1,"Poonawala Fincorp",""),IF(P272=1,"GyanDhan","")))</f>
        <v/>
      </c>
      <c r="T272">
        <f>IF(A272="","",IF(L272=1,"ICICI",IF(M272=1,"Propelld",IF(P272=1,"GyanDhan",IF(N272=1,"Study4Buddy",IF(O272=1,"Poonawala Fincorp",IF(ISNUMBER(SEARCH("GyanDhan",W272&amp;"")),"GyanDhan",IF(ISNUMBER(SEARCH("Icici",W272&amp;"")),"ICICI",IF(ISNUMBER(SEARCH("Propelld",W272&amp;"")),"Propelld",IF(ISNUMBER(SEARCH("vidyalakshmi",LOWER(W272&amp;"")),"PM Vidyalakshmi","—"))))))))))</f>
        <v/>
      </c>
      <c r="U272">
        <f>IF(A272="","",TRIM('01_Master_Data'!AA272&amp;""))</f>
        <v/>
      </c>
      <c r="V272">
        <f>IF(A272="","",TRIM('01_Master_Data'!AG272&amp;""))</f>
        <v/>
      </c>
      <c r="W272">
        <f>IF(A272="","",TRIM('01_Master_Data'!AH272&amp;""))</f>
        <v/>
      </c>
      <c r="X272">
        <f>IF(A272="","",IF(OR(LOWER(H272)="refund",LOWER(U272)="refund case"),"Refund",IF(OR(LOWER(H272)="dnp",LOWER(U272)="dnp"),"DNP",IF(OR(LOWER(V272)="disbursed",ISNUMBER(SEARCH("Disbursed",W272&amp;""))),"Disbursed",IF(OR(LOWER(V272)="loan proccessed/accepted",ISNUMBER(SEARCH("sanctioned",LOWER(W272&amp;"")))),"Sanctioned",IF(OR(LOWER(V272)="rejected",ISNUMBER(SEARCH("Not eligbile",W272&amp;"")),ISNUMBER(SEARCH("Not eligible",W272&amp;""))),"Rejected",IF(ISNUMBER(SEARCH("Docs Pending",W272&amp;"")),"Documents Pending",IF(AND(LOWER(H272)="yes",LOWER(V272)="ongoing"),"Processing",IF(AND(LOWER(H272)="yes",Q272&gt;0,OR(V272="",LOWER(V272)="not even started")),"Vendor Assigned",IF(AND(LOWER(H272)="yes",LOWER(V272)="not even started"),"Need Loan",IF(LOWER(H272)="yes","Loan Started",IF(LOWER(H272)="not sure","Interested",IF(OR(LOWER(H272)="no",LOWER(V272)="not required"),"Not Required","Unclassified")))))))))))))</f>
        <v/>
      </c>
      <c r="Y272">
        <f>IF(A272="","",IF(OR(X272="Sanctioned",X272="Disbursed",X272="Approved"),"Approved",IF(X272="Rejected","Rejected",IF(OR(X272="Processing",X272="Documents Pending",X272="Vendor Assigned"),"In Progress",IF(X272="Need Loan","Pending Start","—"))))</f>
        <v/>
      </c>
      <c r="Z272">
        <f>IF(A272="","",IF(X272="Disbursed","Disbursed",IF(X272="Sanctioned","Sanctioned - Awaiting Disbursement","Not Disbursed")))</f>
        <v/>
      </c>
      <c r="AA272">
        <f>IF(A272="","",IF(LOWER(TRIM('01_Master_Data'!AI272&amp;""))="yes","Need FLDG",IF(LOWER(TRIM('01_Master_Data'!AK272&amp;""))="yes","Need Vidyalakshmi",IF(LOWER(TRIM('01_Master_Data'!AJ272&amp;""))="yes","Need Review",IF(LOWER(J272)="critical","Critical",IF(LOWER(U272)="risk","Risk Case",IF(X272="Refund","Refund","Normal")))))))</f>
        <v/>
      </c>
      <c r="AB272">
        <f>IF(A272="","",IF(OR(LOWER(J272)="critical",LOWER(TRIM('01_Master_Data'!AI272&amp;""))="yes",LOWER(TRIM('01_Master_Data'!AK272&amp;""))="yes",LOWER(U272)="risk"),"Yes","No"))</f>
        <v/>
      </c>
      <c r="AC272">
        <f>IF(A272="","",IF(LOWER(TRIM('01_Master_Data'!AI272&amp;""))="yes","Yes","No"))</f>
        <v/>
      </c>
      <c r="AD272">
        <f>IF(A272="","",IF(LOWER(TRIM('01_Master_Data'!AK272&amp;""))="yes","Yes","No"))</f>
        <v/>
      </c>
      <c r="AE272">
        <f>IF(A272="","",IF(LOWER(TRIM('01_Master_Data'!AJ272&amp;""))="yes","Yes","No"))</f>
        <v/>
      </c>
      <c r="AF272">
        <f>IF(A272="","",TRIM('01_Master_Data'!AL272&amp;""))</f>
        <v/>
      </c>
      <c r="AG272">
        <f>IF(A272="","",IF(AF272="","—",IF(ISNUMBER(SEARCH("DNP",AF272)),"Unreachable / DNP",IF(ISNUMBER(SEARCH("interest",LOWER(AF272))),"High Interest / Terms",IF(OR(ISNUMBER(SEARCH("eligib",LOWER(AF272))),ISNUMBER(SEARCH("income",LOWER(AF272)))),"Eligibility / Income",IF(OR(ISNUMBER(SEARCH("start",LOWER(AF272))),ISNUMBER(SEARCH("Newer",AF272)),ISNUMBER(SEARCH("Will start",AF272))),"Process Yet to Start",IF(ISNUMBER(SEARCH("sure",LOWER(AF272))),"Undecided",IF(OR(ISNUMBER(SEARCH("reject",LOWER(AF272))),ISNUMBER(SEARCH("SBI",AF272))),"Rejected Elsewhere",IF(ISNUMBER(SEARCH("call",LOWER(AF272))),"Bank Communication",IF(OR(ISNUMBER(SEARCH("father",LOWER(AF272))),ISNUMBER(SEARCH("sister",LOWER(AF272)))),"Family / Dependency","Other"))))))))))</f>
        <v/>
      </c>
      <c r="AH272">
        <f>IF(A272="","",'01_Master_Data'!AC272)</f>
        <v/>
      </c>
      <c r="AI272">
        <f>IF(A272="","",IF(OR(AH272="",NOT(ISNUMBER(AH272))),"",MAX(0,'02_Configuration'!$B$82-AH272)))</f>
        <v/>
      </c>
      <c r="AJ272">
        <f>IF(A272="","",IF(AI272="","Unknown",IF(AI272&lt;=3,"0–3 Days",IF(AI272&lt;=7,"4–7 Days",IF(AI272&lt;=15,"8–15 Days",IF(AI272&lt;=30,"16–30 Days","30+ Days"))))))</f>
        <v/>
      </c>
      <c r="AK272">
        <f>IF(A272="","",IF(LOWER(H272)="yes","Yes","No"))</f>
        <v/>
      </c>
      <c r="AL272">
        <f>IF(A272="","",'01_Master_Data'!T272)</f>
        <v/>
      </c>
      <c r="AM272">
        <f>IF(A272="","",'01_Master_Data'!S272)</f>
        <v/>
      </c>
      <c r="AN272">
        <f>IF(A272="","",'01_Master_Data'!I272)</f>
        <v/>
      </c>
      <c r="AO272">
        <f>IF(A272="","",'01_Master_Data'!M272)</f>
        <v/>
      </c>
      <c r="AP272">
        <f>IF(A272="","",IF(ISNUMBER(SEARCH("Icici",W272&amp;"")),1,0))</f>
        <v/>
      </c>
      <c r="AQ272">
        <f>IF(A272="","",IF(ISNUMBER(SEARCH("Propelld",W272&amp;"")),1,0))</f>
        <v/>
      </c>
      <c r="AR272">
        <f>IF(A272="","",IF(ISNUMBER(SEARCH("GyanDhan",W272&amp;"")),1,0))</f>
        <v/>
      </c>
      <c r="AS272">
        <f>IF(A272="","",IF(ISNUMBER(SEARCH("vidyalakshmi",LOWER(W272&amp;""))),1,0))</f>
        <v/>
      </c>
      <c r="AT272">
        <f>IF(A272="","",IF(ISNUMBER(SEARCH("other bank",LOWER(W272&amp;""))),1,0))</f>
        <v/>
      </c>
      <c r="AU272">
        <f>IF(A272="","",IF(ISNUMBER(SEARCH("sanctioned",LOWER(W272&amp;""))),1,0))</f>
        <v/>
      </c>
      <c r="AV272">
        <f>IF(A272="","",IF(ISNUMBER(SEARCH("Docs Pending",W272&amp;"")),1,0))</f>
        <v/>
      </c>
      <c r="AW272">
        <f>IF(A272="","",IF(OR(X272="Rejected",ISNUMBER(SEARCH("Not eligbile",W272&amp;""))),1,0))</f>
        <v/>
      </c>
    </row>
    <row r="273">
      <c r="A273">
        <f>IF('01_Master_Data'!B273="","",272)</f>
        <v/>
      </c>
      <c r="B273">
        <f>IF('01_Master_Data'!B273="","",IF('01_Master_Data'!C273&lt;&gt;"","MOB|"&amp;TEXT('01_Master_Data'!C273,"0"),IF('01_Master_Data'!D273&lt;&gt;"","PID|"&amp;TRIM('01_Master_Data'!D273&amp;""),"")))</f>
        <v/>
      </c>
      <c r="C273">
        <f>IF('01_Master_Data'!B273="","",'01_Master_Data'!B273)</f>
        <v/>
      </c>
      <c r="D273">
        <f>IF('01_Master_Data'!B273="","",'01_Master_Data'!C273)</f>
        <v/>
      </c>
      <c r="E273">
        <f>IF('01_Master_Data'!B273="","",'01_Master_Data'!D273)</f>
        <v/>
      </c>
      <c r="F273">
        <f>IF('01_Master_Data'!B273="","",'01_Master_Data'!E273)</f>
        <v/>
      </c>
      <c r="G273">
        <f>IF('01_Master_Data'!B273="","",IFERROR(VLOOKUP(TRIM('01_Master_Data'!E273&amp;""),'02_Configuration'!$A$40:$B$44,2,FALSE),UPPER(TRIM('01_Master_Data'!E273&amp;""))))</f>
        <v/>
      </c>
      <c r="H273">
        <f>IF('01_Master_Data'!B273="","",IF('01_Master_Data'!U273="","",TRIM('01_Master_Data'!U273&amp;"")))</f>
        <v/>
      </c>
      <c r="I273">
        <f>IF('01_Master_Data'!B273="","",TRIM('01_Master_Data'!F273&amp;""))</f>
        <v/>
      </c>
      <c r="J273">
        <f>IF('01_Master_Data'!B273="","",TRIM('01_Master_Data'!G273&amp;""))</f>
        <v/>
      </c>
      <c r="K273">
        <f>IF('01_Master_Data'!B273="","",'01_Master_Data'!H273)</f>
        <v/>
      </c>
      <c r="L273">
        <f>IF('01_Master_Data'!B273="","",IF(LOWER(TRIM('01_Master_Data'!V273&amp;""))="yes",1,0))</f>
        <v/>
      </c>
      <c r="M273">
        <f>IF('01_Master_Data'!B273="","",IF(LOWER(TRIM('01_Master_Data'!W273&amp;""))="yes",1,0))</f>
        <v/>
      </c>
      <c r="N273">
        <f>IF('01_Master_Data'!B273="","",IF(LOWER(TRIM('01_Master_Data'!X273&amp;""))="yes",1,0))</f>
        <v/>
      </c>
      <c r="O273">
        <f>IF('01_Master_Data'!B273="","",IF(LOWER(TRIM('01_Master_Data'!Y273&amp;""))="yes",1,0))</f>
        <v/>
      </c>
      <c r="P273">
        <f>IF('01_Master_Data'!B273="","",IF(LOWER(TRIM('01_Master_Data'!Z273&amp;""))="yes",1,0))</f>
        <v/>
      </c>
      <c r="Q273">
        <f>IF(A273="","",L273+M273+N273+O273+P273)</f>
        <v/>
      </c>
      <c r="R273">
        <f>IF(A273="","",IF(Q273&gt;1,"Yes","No"))</f>
        <v/>
      </c>
      <c r="S273">
        <f>IF(A273="","",TEXTJOIN(", ",TRUE,IF(L273=1,"ICICI",""),IF(M273=1,"Propelld",""),IF(N273=1,"Study4Buddy",""),IF(O273=1,"Poonawala Fincorp",""),IF(P273=1,"GyanDhan","")))</f>
        <v/>
      </c>
      <c r="T273">
        <f>IF(A273="","",IF(L273=1,"ICICI",IF(M273=1,"Propelld",IF(P273=1,"GyanDhan",IF(N273=1,"Study4Buddy",IF(O273=1,"Poonawala Fincorp",IF(ISNUMBER(SEARCH("GyanDhan",W273&amp;"")),"GyanDhan",IF(ISNUMBER(SEARCH("Icici",W273&amp;"")),"ICICI",IF(ISNUMBER(SEARCH("Propelld",W273&amp;"")),"Propelld",IF(ISNUMBER(SEARCH("vidyalakshmi",LOWER(W273&amp;"")),"PM Vidyalakshmi","—"))))))))))</f>
        <v/>
      </c>
      <c r="U273">
        <f>IF(A273="","",TRIM('01_Master_Data'!AA273&amp;""))</f>
        <v/>
      </c>
      <c r="V273">
        <f>IF(A273="","",TRIM('01_Master_Data'!AG273&amp;""))</f>
        <v/>
      </c>
      <c r="W273">
        <f>IF(A273="","",TRIM('01_Master_Data'!AH273&amp;""))</f>
        <v/>
      </c>
      <c r="X273">
        <f>IF(A273="","",IF(OR(LOWER(H273)="refund",LOWER(U273)="refund case"),"Refund",IF(OR(LOWER(H273)="dnp",LOWER(U273)="dnp"),"DNP",IF(OR(LOWER(V273)="disbursed",ISNUMBER(SEARCH("Disbursed",W273&amp;""))),"Disbursed",IF(OR(LOWER(V273)="loan proccessed/accepted",ISNUMBER(SEARCH("sanctioned",LOWER(W273&amp;"")))),"Sanctioned",IF(OR(LOWER(V273)="rejected",ISNUMBER(SEARCH("Not eligbile",W273&amp;"")),ISNUMBER(SEARCH("Not eligible",W273&amp;""))),"Rejected",IF(ISNUMBER(SEARCH("Docs Pending",W273&amp;"")),"Documents Pending",IF(AND(LOWER(H273)="yes",LOWER(V273)="ongoing"),"Processing",IF(AND(LOWER(H273)="yes",Q273&gt;0,OR(V273="",LOWER(V273)="not even started")),"Vendor Assigned",IF(AND(LOWER(H273)="yes",LOWER(V273)="not even started"),"Need Loan",IF(LOWER(H273)="yes","Loan Started",IF(LOWER(H273)="not sure","Interested",IF(OR(LOWER(H273)="no",LOWER(V273)="not required"),"Not Required","Unclassified")))))))))))))</f>
        <v/>
      </c>
      <c r="Y273">
        <f>IF(A273="","",IF(OR(X273="Sanctioned",X273="Disbursed",X273="Approved"),"Approved",IF(X273="Rejected","Rejected",IF(OR(X273="Processing",X273="Documents Pending",X273="Vendor Assigned"),"In Progress",IF(X273="Need Loan","Pending Start","—"))))</f>
        <v/>
      </c>
      <c r="Z273">
        <f>IF(A273="","",IF(X273="Disbursed","Disbursed",IF(X273="Sanctioned","Sanctioned - Awaiting Disbursement","Not Disbursed")))</f>
        <v/>
      </c>
      <c r="AA273">
        <f>IF(A273="","",IF(LOWER(TRIM('01_Master_Data'!AI273&amp;""))="yes","Need FLDG",IF(LOWER(TRIM('01_Master_Data'!AK273&amp;""))="yes","Need Vidyalakshmi",IF(LOWER(TRIM('01_Master_Data'!AJ273&amp;""))="yes","Need Review",IF(LOWER(J273)="critical","Critical",IF(LOWER(U273)="risk","Risk Case",IF(X273="Refund","Refund","Normal")))))))</f>
        <v/>
      </c>
      <c r="AB273">
        <f>IF(A273="","",IF(OR(LOWER(J273)="critical",LOWER(TRIM('01_Master_Data'!AI273&amp;""))="yes",LOWER(TRIM('01_Master_Data'!AK273&amp;""))="yes",LOWER(U273)="risk"),"Yes","No"))</f>
        <v/>
      </c>
      <c r="AC273">
        <f>IF(A273="","",IF(LOWER(TRIM('01_Master_Data'!AI273&amp;""))="yes","Yes","No"))</f>
        <v/>
      </c>
      <c r="AD273">
        <f>IF(A273="","",IF(LOWER(TRIM('01_Master_Data'!AK273&amp;""))="yes","Yes","No"))</f>
        <v/>
      </c>
      <c r="AE273">
        <f>IF(A273="","",IF(LOWER(TRIM('01_Master_Data'!AJ273&amp;""))="yes","Yes","No"))</f>
        <v/>
      </c>
      <c r="AF273">
        <f>IF(A273="","",TRIM('01_Master_Data'!AL273&amp;""))</f>
        <v/>
      </c>
      <c r="AG273">
        <f>IF(A273="","",IF(AF273="","—",IF(ISNUMBER(SEARCH("DNP",AF273)),"Unreachable / DNP",IF(ISNUMBER(SEARCH("interest",LOWER(AF273))),"High Interest / Terms",IF(OR(ISNUMBER(SEARCH("eligib",LOWER(AF273))),ISNUMBER(SEARCH("income",LOWER(AF273)))),"Eligibility / Income",IF(OR(ISNUMBER(SEARCH("start",LOWER(AF273))),ISNUMBER(SEARCH("Newer",AF273)),ISNUMBER(SEARCH("Will start",AF273))),"Process Yet to Start",IF(ISNUMBER(SEARCH("sure",LOWER(AF273))),"Undecided",IF(OR(ISNUMBER(SEARCH("reject",LOWER(AF273))),ISNUMBER(SEARCH("SBI",AF273))),"Rejected Elsewhere",IF(ISNUMBER(SEARCH("call",LOWER(AF273))),"Bank Communication",IF(OR(ISNUMBER(SEARCH("father",LOWER(AF273))),ISNUMBER(SEARCH("sister",LOWER(AF273)))),"Family / Dependency","Other"))))))))))</f>
        <v/>
      </c>
      <c r="AH273">
        <f>IF(A273="","",'01_Master_Data'!AC273)</f>
        <v/>
      </c>
      <c r="AI273">
        <f>IF(A273="","",IF(OR(AH273="",NOT(ISNUMBER(AH273))),"",MAX(0,'02_Configuration'!$B$82-AH273)))</f>
        <v/>
      </c>
      <c r="AJ273">
        <f>IF(A273="","",IF(AI273="","Unknown",IF(AI273&lt;=3,"0–3 Days",IF(AI273&lt;=7,"4–7 Days",IF(AI273&lt;=15,"8–15 Days",IF(AI273&lt;=30,"16–30 Days","30+ Days"))))))</f>
        <v/>
      </c>
      <c r="AK273">
        <f>IF(A273="","",IF(LOWER(H273)="yes","Yes","No"))</f>
        <v/>
      </c>
      <c r="AL273">
        <f>IF(A273="","",'01_Master_Data'!T273)</f>
        <v/>
      </c>
      <c r="AM273">
        <f>IF(A273="","",'01_Master_Data'!S273)</f>
        <v/>
      </c>
      <c r="AN273">
        <f>IF(A273="","",'01_Master_Data'!I273)</f>
        <v/>
      </c>
      <c r="AO273">
        <f>IF(A273="","",'01_Master_Data'!M273)</f>
        <v/>
      </c>
      <c r="AP273">
        <f>IF(A273="","",IF(ISNUMBER(SEARCH("Icici",W273&amp;"")),1,0))</f>
        <v/>
      </c>
      <c r="AQ273">
        <f>IF(A273="","",IF(ISNUMBER(SEARCH("Propelld",W273&amp;"")),1,0))</f>
        <v/>
      </c>
      <c r="AR273">
        <f>IF(A273="","",IF(ISNUMBER(SEARCH("GyanDhan",W273&amp;"")),1,0))</f>
        <v/>
      </c>
      <c r="AS273">
        <f>IF(A273="","",IF(ISNUMBER(SEARCH("vidyalakshmi",LOWER(W273&amp;""))),1,0))</f>
        <v/>
      </c>
      <c r="AT273">
        <f>IF(A273="","",IF(ISNUMBER(SEARCH("other bank",LOWER(W273&amp;""))),1,0))</f>
        <v/>
      </c>
      <c r="AU273">
        <f>IF(A273="","",IF(ISNUMBER(SEARCH("sanctioned",LOWER(W273&amp;""))),1,0))</f>
        <v/>
      </c>
      <c r="AV273">
        <f>IF(A273="","",IF(ISNUMBER(SEARCH("Docs Pending",W273&amp;"")),1,0))</f>
        <v/>
      </c>
      <c r="AW273">
        <f>IF(A273="","",IF(OR(X273="Rejected",ISNUMBER(SEARCH("Not eligbile",W273&amp;""))),1,0))</f>
        <v/>
      </c>
    </row>
    <row r="274">
      <c r="A274">
        <f>IF('01_Master_Data'!B274="","",273)</f>
        <v/>
      </c>
      <c r="B274">
        <f>IF('01_Master_Data'!B274="","",IF('01_Master_Data'!C274&lt;&gt;"","MOB|"&amp;TEXT('01_Master_Data'!C274,"0"),IF('01_Master_Data'!D274&lt;&gt;"","PID|"&amp;TRIM('01_Master_Data'!D274&amp;""),"")))</f>
        <v/>
      </c>
      <c r="C274">
        <f>IF('01_Master_Data'!B274="","",'01_Master_Data'!B274)</f>
        <v/>
      </c>
      <c r="D274">
        <f>IF('01_Master_Data'!B274="","",'01_Master_Data'!C274)</f>
        <v/>
      </c>
      <c r="E274">
        <f>IF('01_Master_Data'!B274="","",'01_Master_Data'!D274)</f>
        <v/>
      </c>
      <c r="F274">
        <f>IF('01_Master_Data'!B274="","",'01_Master_Data'!E274)</f>
        <v/>
      </c>
      <c r="G274">
        <f>IF('01_Master_Data'!B274="","",IFERROR(VLOOKUP(TRIM('01_Master_Data'!E274&amp;""),'02_Configuration'!$A$40:$B$44,2,FALSE),UPPER(TRIM('01_Master_Data'!E274&amp;""))))</f>
        <v/>
      </c>
      <c r="H274">
        <f>IF('01_Master_Data'!B274="","",IF('01_Master_Data'!U274="","",TRIM('01_Master_Data'!U274&amp;"")))</f>
        <v/>
      </c>
      <c r="I274">
        <f>IF('01_Master_Data'!B274="","",TRIM('01_Master_Data'!F274&amp;""))</f>
        <v/>
      </c>
      <c r="J274">
        <f>IF('01_Master_Data'!B274="","",TRIM('01_Master_Data'!G274&amp;""))</f>
        <v/>
      </c>
      <c r="K274">
        <f>IF('01_Master_Data'!B274="","",'01_Master_Data'!H274)</f>
        <v/>
      </c>
      <c r="L274">
        <f>IF('01_Master_Data'!B274="","",IF(LOWER(TRIM('01_Master_Data'!V274&amp;""))="yes",1,0))</f>
        <v/>
      </c>
      <c r="M274">
        <f>IF('01_Master_Data'!B274="","",IF(LOWER(TRIM('01_Master_Data'!W274&amp;""))="yes",1,0))</f>
        <v/>
      </c>
      <c r="N274">
        <f>IF('01_Master_Data'!B274="","",IF(LOWER(TRIM('01_Master_Data'!X274&amp;""))="yes",1,0))</f>
        <v/>
      </c>
      <c r="O274">
        <f>IF('01_Master_Data'!B274="","",IF(LOWER(TRIM('01_Master_Data'!Y274&amp;""))="yes",1,0))</f>
        <v/>
      </c>
      <c r="P274">
        <f>IF('01_Master_Data'!B274="","",IF(LOWER(TRIM('01_Master_Data'!Z274&amp;""))="yes",1,0))</f>
        <v/>
      </c>
      <c r="Q274">
        <f>IF(A274="","",L274+M274+N274+O274+P274)</f>
        <v/>
      </c>
      <c r="R274">
        <f>IF(A274="","",IF(Q274&gt;1,"Yes","No"))</f>
        <v/>
      </c>
      <c r="S274">
        <f>IF(A274="","",TEXTJOIN(", ",TRUE,IF(L274=1,"ICICI",""),IF(M274=1,"Propelld",""),IF(N274=1,"Study4Buddy",""),IF(O274=1,"Poonawala Fincorp",""),IF(P274=1,"GyanDhan","")))</f>
        <v/>
      </c>
      <c r="T274">
        <f>IF(A274="","",IF(L274=1,"ICICI",IF(M274=1,"Propelld",IF(P274=1,"GyanDhan",IF(N274=1,"Study4Buddy",IF(O274=1,"Poonawala Fincorp",IF(ISNUMBER(SEARCH("GyanDhan",W274&amp;"")),"GyanDhan",IF(ISNUMBER(SEARCH("Icici",W274&amp;"")),"ICICI",IF(ISNUMBER(SEARCH("Propelld",W274&amp;"")),"Propelld",IF(ISNUMBER(SEARCH("vidyalakshmi",LOWER(W274&amp;"")),"PM Vidyalakshmi","—"))))))))))</f>
        <v/>
      </c>
      <c r="U274">
        <f>IF(A274="","",TRIM('01_Master_Data'!AA274&amp;""))</f>
        <v/>
      </c>
      <c r="V274">
        <f>IF(A274="","",TRIM('01_Master_Data'!AG274&amp;""))</f>
        <v/>
      </c>
      <c r="W274">
        <f>IF(A274="","",TRIM('01_Master_Data'!AH274&amp;""))</f>
        <v/>
      </c>
      <c r="X274">
        <f>IF(A274="","",IF(OR(LOWER(H274)="refund",LOWER(U274)="refund case"),"Refund",IF(OR(LOWER(H274)="dnp",LOWER(U274)="dnp"),"DNP",IF(OR(LOWER(V274)="disbursed",ISNUMBER(SEARCH("Disbursed",W274&amp;""))),"Disbursed",IF(OR(LOWER(V274)="loan proccessed/accepted",ISNUMBER(SEARCH("sanctioned",LOWER(W274&amp;"")))),"Sanctioned",IF(OR(LOWER(V274)="rejected",ISNUMBER(SEARCH("Not eligbile",W274&amp;"")),ISNUMBER(SEARCH("Not eligible",W274&amp;""))),"Rejected",IF(ISNUMBER(SEARCH("Docs Pending",W274&amp;"")),"Documents Pending",IF(AND(LOWER(H274)="yes",LOWER(V274)="ongoing"),"Processing",IF(AND(LOWER(H274)="yes",Q274&gt;0,OR(V274="",LOWER(V274)="not even started")),"Vendor Assigned",IF(AND(LOWER(H274)="yes",LOWER(V274)="not even started"),"Need Loan",IF(LOWER(H274)="yes","Loan Started",IF(LOWER(H274)="not sure","Interested",IF(OR(LOWER(H274)="no",LOWER(V274)="not required"),"Not Required","Unclassified")))))))))))))</f>
        <v/>
      </c>
      <c r="Y274">
        <f>IF(A274="","",IF(OR(X274="Sanctioned",X274="Disbursed",X274="Approved"),"Approved",IF(X274="Rejected","Rejected",IF(OR(X274="Processing",X274="Documents Pending",X274="Vendor Assigned"),"In Progress",IF(X274="Need Loan","Pending Start","—"))))</f>
        <v/>
      </c>
      <c r="Z274">
        <f>IF(A274="","",IF(X274="Disbursed","Disbursed",IF(X274="Sanctioned","Sanctioned - Awaiting Disbursement","Not Disbursed")))</f>
        <v/>
      </c>
      <c r="AA274">
        <f>IF(A274="","",IF(LOWER(TRIM('01_Master_Data'!AI274&amp;""))="yes","Need FLDG",IF(LOWER(TRIM('01_Master_Data'!AK274&amp;""))="yes","Need Vidyalakshmi",IF(LOWER(TRIM('01_Master_Data'!AJ274&amp;""))="yes","Need Review",IF(LOWER(J274)="critical","Critical",IF(LOWER(U274)="risk","Risk Case",IF(X274="Refund","Refund","Normal")))))))</f>
        <v/>
      </c>
      <c r="AB274">
        <f>IF(A274="","",IF(OR(LOWER(J274)="critical",LOWER(TRIM('01_Master_Data'!AI274&amp;""))="yes",LOWER(TRIM('01_Master_Data'!AK274&amp;""))="yes",LOWER(U274)="risk"),"Yes","No"))</f>
        <v/>
      </c>
      <c r="AC274">
        <f>IF(A274="","",IF(LOWER(TRIM('01_Master_Data'!AI274&amp;""))="yes","Yes","No"))</f>
        <v/>
      </c>
      <c r="AD274">
        <f>IF(A274="","",IF(LOWER(TRIM('01_Master_Data'!AK274&amp;""))="yes","Yes","No"))</f>
        <v/>
      </c>
      <c r="AE274">
        <f>IF(A274="","",IF(LOWER(TRIM('01_Master_Data'!AJ274&amp;""))="yes","Yes","No"))</f>
        <v/>
      </c>
      <c r="AF274">
        <f>IF(A274="","",TRIM('01_Master_Data'!AL274&amp;""))</f>
        <v/>
      </c>
      <c r="AG274">
        <f>IF(A274="","",IF(AF274="","—",IF(ISNUMBER(SEARCH("DNP",AF274)),"Unreachable / DNP",IF(ISNUMBER(SEARCH("interest",LOWER(AF274))),"High Interest / Terms",IF(OR(ISNUMBER(SEARCH("eligib",LOWER(AF274))),ISNUMBER(SEARCH("income",LOWER(AF274)))),"Eligibility / Income",IF(OR(ISNUMBER(SEARCH("start",LOWER(AF274))),ISNUMBER(SEARCH("Newer",AF274)),ISNUMBER(SEARCH("Will start",AF274))),"Process Yet to Start",IF(ISNUMBER(SEARCH("sure",LOWER(AF274))),"Undecided",IF(OR(ISNUMBER(SEARCH("reject",LOWER(AF274))),ISNUMBER(SEARCH("SBI",AF274))),"Rejected Elsewhere",IF(ISNUMBER(SEARCH("call",LOWER(AF274))),"Bank Communication",IF(OR(ISNUMBER(SEARCH("father",LOWER(AF274))),ISNUMBER(SEARCH("sister",LOWER(AF274)))),"Family / Dependency","Other"))))))))))</f>
        <v/>
      </c>
      <c r="AH274">
        <f>IF(A274="","",'01_Master_Data'!AC274)</f>
        <v/>
      </c>
      <c r="AI274">
        <f>IF(A274="","",IF(OR(AH274="",NOT(ISNUMBER(AH274))),"",MAX(0,'02_Configuration'!$B$82-AH274)))</f>
        <v/>
      </c>
      <c r="AJ274">
        <f>IF(A274="","",IF(AI274="","Unknown",IF(AI274&lt;=3,"0–3 Days",IF(AI274&lt;=7,"4–7 Days",IF(AI274&lt;=15,"8–15 Days",IF(AI274&lt;=30,"16–30 Days","30+ Days"))))))</f>
        <v/>
      </c>
      <c r="AK274">
        <f>IF(A274="","",IF(LOWER(H274)="yes","Yes","No"))</f>
        <v/>
      </c>
      <c r="AL274">
        <f>IF(A274="","",'01_Master_Data'!T274)</f>
        <v/>
      </c>
      <c r="AM274">
        <f>IF(A274="","",'01_Master_Data'!S274)</f>
        <v/>
      </c>
      <c r="AN274">
        <f>IF(A274="","",'01_Master_Data'!I274)</f>
        <v/>
      </c>
      <c r="AO274">
        <f>IF(A274="","",'01_Master_Data'!M274)</f>
        <v/>
      </c>
      <c r="AP274">
        <f>IF(A274="","",IF(ISNUMBER(SEARCH("Icici",W274&amp;"")),1,0))</f>
        <v/>
      </c>
      <c r="AQ274">
        <f>IF(A274="","",IF(ISNUMBER(SEARCH("Propelld",W274&amp;"")),1,0))</f>
        <v/>
      </c>
      <c r="AR274">
        <f>IF(A274="","",IF(ISNUMBER(SEARCH("GyanDhan",W274&amp;"")),1,0))</f>
        <v/>
      </c>
      <c r="AS274">
        <f>IF(A274="","",IF(ISNUMBER(SEARCH("vidyalakshmi",LOWER(W274&amp;""))),1,0))</f>
        <v/>
      </c>
      <c r="AT274">
        <f>IF(A274="","",IF(ISNUMBER(SEARCH("other bank",LOWER(W274&amp;""))),1,0))</f>
        <v/>
      </c>
      <c r="AU274">
        <f>IF(A274="","",IF(ISNUMBER(SEARCH("sanctioned",LOWER(W274&amp;""))),1,0))</f>
        <v/>
      </c>
      <c r="AV274">
        <f>IF(A274="","",IF(ISNUMBER(SEARCH("Docs Pending",W274&amp;"")),1,0))</f>
        <v/>
      </c>
      <c r="AW274">
        <f>IF(A274="","",IF(OR(X274="Rejected",ISNUMBER(SEARCH("Not eligbile",W274&amp;""))),1,0))</f>
        <v/>
      </c>
    </row>
    <row r="275">
      <c r="A275">
        <f>IF('01_Master_Data'!B275="","",274)</f>
        <v/>
      </c>
      <c r="B275">
        <f>IF('01_Master_Data'!B275="","",IF('01_Master_Data'!C275&lt;&gt;"","MOB|"&amp;TEXT('01_Master_Data'!C275,"0"),IF('01_Master_Data'!D275&lt;&gt;"","PID|"&amp;TRIM('01_Master_Data'!D275&amp;""),"")))</f>
        <v/>
      </c>
      <c r="C275">
        <f>IF('01_Master_Data'!B275="","",'01_Master_Data'!B275)</f>
        <v/>
      </c>
      <c r="D275">
        <f>IF('01_Master_Data'!B275="","",'01_Master_Data'!C275)</f>
        <v/>
      </c>
      <c r="E275">
        <f>IF('01_Master_Data'!B275="","",'01_Master_Data'!D275)</f>
        <v/>
      </c>
      <c r="F275">
        <f>IF('01_Master_Data'!B275="","",'01_Master_Data'!E275)</f>
        <v/>
      </c>
      <c r="G275">
        <f>IF('01_Master_Data'!B275="","",IFERROR(VLOOKUP(TRIM('01_Master_Data'!E275&amp;""),'02_Configuration'!$A$40:$B$44,2,FALSE),UPPER(TRIM('01_Master_Data'!E275&amp;""))))</f>
        <v/>
      </c>
      <c r="H275">
        <f>IF('01_Master_Data'!B275="","",IF('01_Master_Data'!U275="","",TRIM('01_Master_Data'!U275&amp;"")))</f>
        <v/>
      </c>
      <c r="I275">
        <f>IF('01_Master_Data'!B275="","",TRIM('01_Master_Data'!F275&amp;""))</f>
        <v/>
      </c>
      <c r="J275">
        <f>IF('01_Master_Data'!B275="","",TRIM('01_Master_Data'!G275&amp;""))</f>
        <v/>
      </c>
      <c r="K275">
        <f>IF('01_Master_Data'!B275="","",'01_Master_Data'!H275)</f>
        <v/>
      </c>
      <c r="L275">
        <f>IF('01_Master_Data'!B275="","",IF(LOWER(TRIM('01_Master_Data'!V275&amp;""))="yes",1,0))</f>
        <v/>
      </c>
      <c r="M275">
        <f>IF('01_Master_Data'!B275="","",IF(LOWER(TRIM('01_Master_Data'!W275&amp;""))="yes",1,0))</f>
        <v/>
      </c>
      <c r="N275">
        <f>IF('01_Master_Data'!B275="","",IF(LOWER(TRIM('01_Master_Data'!X275&amp;""))="yes",1,0))</f>
        <v/>
      </c>
      <c r="O275">
        <f>IF('01_Master_Data'!B275="","",IF(LOWER(TRIM('01_Master_Data'!Y275&amp;""))="yes",1,0))</f>
        <v/>
      </c>
      <c r="P275">
        <f>IF('01_Master_Data'!B275="","",IF(LOWER(TRIM('01_Master_Data'!Z275&amp;""))="yes",1,0))</f>
        <v/>
      </c>
      <c r="Q275">
        <f>IF(A275="","",L275+M275+N275+O275+P275)</f>
        <v/>
      </c>
      <c r="R275">
        <f>IF(A275="","",IF(Q275&gt;1,"Yes","No"))</f>
        <v/>
      </c>
      <c r="S275">
        <f>IF(A275="","",TEXTJOIN(", ",TRUE,IF(L275=1,"ICICI",""),IF(M275=1,"Propelld",""),IF(N275=1,"Study4Buddy",""),IF(O275=1,"Poonawala Fincorp",""),IF(P275=1,"GyanDhan","")))</f>
        <v/>
      </c>
      <c r="T275">
        <f>IF(A275="","",IF(L275=1,"ICICI",IF(M275=1,"Propelld",IF(P275=1,"GyanDhan",IF(N275=1,"Study4Buddy",IF(O275=1,"Poonawala Fincorp",IF(ISNUMBER(SEARCH("GyanDhan",W275&amp;"")),"GyanDhan",IF(ISNUMBER(SEARCH("Icici",W275&amp;"")),"ICICI",IF(ISNUMBER(SEARCH("Propelld",W275&amp;"")),"Propelld",IF(ISNUMBER(SEARCH("vidyalakshmi",LOWER(W275&amp;"")),"PM Vidyalakshmi","—"))))))))))</f>
        <v/>
      </c>
      <c r="U275">
        <f>IF(A275="","",TRIM('01_Master_Data'!AA275&amp;""))</f>
        <v/>
      </c>
      <c r="V275">
        <f>IF(A275="","",TRIM('01_Master_Data'!AG275&amp;""))</f>
        <v/>
      </c>
      <c r="W275">
        <f>IF(A275="","",TRIM('01_Master_Data'!AH275&amp;""))</f>
        <v/>
      </c>
      <c r="X275">
        <f>IF(A275="","",IF(OR(LOWER(H275)="refund",LOWER(U275)="refund case"),"Refund",IF(OR(LOWER(H275)="dnp",LOWER(U275)="dnp"),"DNP",IF(OR(LOWER(V275)="disbursed",ISNUMBER(SEARCH("Disbursed",W275&amp;""))),"Disbursed",IF(OR(LOWER(V275)="loan proccessed/accepted",ISNUMBER(SEARCH("sanctioned",LOWER(W275&amp;"")))),"Sanctioned",IF(OR(LOWER(V275)="rejected",ISNUMBER(SEARCH("Not eligbile",W275&amp;"")),ISNUMBER(SEARCH("Not eligible",W275&amp;""))),"Rejected",IF(ISNUMBER(SEARCH("Docs Pending",W275&amp;"")),"Documents Pending",IF(AND(LOWER(H275)="yes",LOWER(V275)="ongoing"),"Processing",IF(AND(LOWER(H275)="yes",Q275&gt;0,OR(V275="",LOWER(V275)="not even started")),"Vendor Assigned",IF(AND(LOWER(H275)="yes",LOWER(V275)="not even started"),"Need Loan",IF(LOWER(H275)="yes","Loan Started",IF(LOWER(H275)="not sure","Interested",IF(OR(LOWER(H275)="no",LOWER(V275)="not required"),"Not Required","Unclassified")))))))))))))</f>
        <v/>
      </c>
      <c r="Y275">
        <f>IF(A275="","",IF(OR(X275="Sanctioned",X275="Disbursed",X275="Approved"),"Approved",IF(X275="Rejected","Rejected",IF(OR(X275="Processing",X275="Documents Pending",X275="Vendor Assigned"),"In Progress",IF(X275="Need Loan","Pending Start","—"))))</f>
        <v/>
      </c>
      <c r="Z275">
        <f>IF(A275="","",IF(X275="Disbursed","Disbursed",IF(X275="Sanctioned","Sanctioned - Awaiting Disbursement","Not Disbursed")))</f>
        <v/>
      </c>
      <c r="AA275">
        <f>IF(A275="","",IF(LOWER(TRIM('01_Master_Data'!AI275&amp;""))="yes","Need FLDG",IF(LOWER(TRIM('01_Master_Data'!AK275&amp;""))="yes","Need Vidyalakshmi",IF(LOWER(TRIM('01_Master_Data'!AJ275&amp;""))="yes","Need Review",IF(LOWER(J275)="critical","Critical",IF(LOWER(U275)="risk","Risk Case",IF(X275="Refund","Refund","Normal")))))))</f>
        <v/>
      </c>
      <c r="AB275">
        <f>IF(A275="","",IF(OR(LOWER(J275)="critical",LOWER(TRIM('01_Master_Data'!AI275&amp;""))="yes",LOWER(TRIM('01_Master_Data'!AK275&amp;""))="yes",LOWER(U275)="risk"),"Yes","No"))</f>
        <v/>
      </c>
      <c r="AC275">
        <f>IF(A275="","",IF(LOWER(TRIM('01_Master_Data'!AI275&amp;""))="yes","Yes","No"))</f>
        <v/>
      </c>
      <c r="AD275">
        <f>IF(A275="","",IF(LOWER(TRIM('01_Master_Data'!AK275&amp;""))="yes","Yes","No"))</f>
        <v/>
      </c>
      <c r="AE275">
        <f>IF(A275="","",IF(LOWER(TRIM('01_Master_Data'!AJ275&amp;""))="yes","Yes","No"))</f>
        <v/>
      </c>
      <c r="AF275">
        <f>IF(A275="","",TRIM('01_Master_Data'!AL275&amp;""))</f>
        <v/>
      </c>
      <c r="AG275">
        <f>IF(A275="","",IF(AF275="","—",IF(ISNUMBER(SEARCH("DNP",AF275)),"Unreachable / DNP",IF(ISNUMBER(SEARCH("interest",LOWER(AF275))),"High Interest / Terms",IF(OR(ISNUMBER(SEARCH("eligib",LOWER(AF275))),ISNUMBER(SEARCH("income",LOWER(AF275)))),"Eligibility / Income",IF(OR(ISNUMBER(SEARCH("start",LOWER(AF275))),ISNUMBER(SEARCH("Newer",AF275)),ISNUMBER(SEARCH("Will start",AF275))),"Process Yet to Start",IF(ISNUMBER(SEARCH("sure",LOWER(AF275))),"Undecided",IF(OR(ISNUMBER(SEARCH("reject",LOWER(AF275))),ISNUMBER(SEARCH("SBI",AF275))),"Rejected Elsewhere",IF(ISNUMBER(SEARCH("call",LOWER(AF275))),"Bank Communication",IF(OR(ISNUMBER(SEARCH("father",LOWER(AF275))),ISNUMBER(SEARCH("sister",LOWER(AF275)))),"Family / Dependency","Other"))))))))))</f>
        <v/>
      </c>
      <c r="AH275">
        <f>IF(A275="","",'01_Master_Data'!AC275)</f>
        <v/>
      </c>
      <c r="AI275">
        <f>IF(A275="","",IF(OR(AH275="",NOT(ISNUMBER(AH275))),"",MAX(0,'02_Configuration'!$B$82-AH275)))</f>
        <v/>
      </c>
      <c r="AJ275">
        <f>IF(A275="","",IF(AI275="","Unknown",IF(AI275&lt;=3,"0–3 Days",IF(AI275&lt;=7,"4–7 Days",IF(AI275&lt;=15,"8–15 Days",IF(AI275&lt;=30,"16–30 Days","30+ Days"))))))</f>
        <v/>
      </c>
      <c r="AK275">
        <f>IF(A275="","",IF(LOWER(H275)="yes","Yes","No"))</f>
        <v/>
      </c>
      <c r="AL275">
        <f>IF(A275="","",'01_Master_Data'!T275)</f>
        <v/>
      </c>
      <c r="AM275">
        <f>IF(A275="","",'01_Master_Data'!S275)</f>
        <v/>
      </c>
      <c r="AN275">
        <f>IF(A275="","",'01_Master_Data'!I275)</f>
        <v/>
      </c>
      <c r="AO275">
        <f>IF(A275="","",'01_Master_Data'!M275)</f>
        <v/>
      </c>
      <c r="AP275">
        <f>IF(A275="","",IF(ISNUMBER(SEARCH("Icici",W275&amp;"")),1,0))</f>
        <v/>
      </c>
      <c r="AQ275">
        <f>IF(A275="","",IF(ISNUMBER(SEARCH("Propelld",W275&amp;"")),1,0))</f>
        <v/>
      </c>
      <c r="AR275">
        <f>IF(A275="","",IF(ISNUMBER(SEARCH("GyanDhan",W275&amp;"")),1,0))</f>
        <v/>
      </c>
      <c r="AS275">
        <f>IF(A275="","",IF(ISNUMBER(SEARCH("vidyalakshmi",LOWER(W275&amp;""))),1,0))</f>
        <v/>
      </c>
      <c r="AT275">
        <f>IF(A275="","",IF(ISNUMBER(SEARCH("other bank",LOWER(W275&amp;""))),1,0))</f>
        <v/>
      </c>
      <c r="AU275">
        <f>IF(A275="","",IF(ISNUMBER(SEARCH("sanctioned",LOWER(W275&amp;""))),1,0))</f>
        <v/>
      </c>
      <c r="AV275">
        <f>IF(A275="","",IF(ISNUMBER(SEARCH("Docs Pending",W275&amp;"")),1,0))</f>
        <v/>
      </c>
      <c r="AW275">
        <f>IF(A275="","",IF(OR(X275="Rejected",ISNUMBER(SEARCH("Not eligbile",W275&amp;""))),1,0))</f>
        <v/>
      </c>
    </row>
    <row r="276">
      <c r="A276">
        <f>IF('01_Master_Data'!B276="","",275)</f>
        <v/>
      </c>
      <c r="B276">
        <f>IF('01_Master_Data'!B276="","",IF('01_Master_Data'!C276&lt;&gt;"","MOB|"&amp;TEXT('01_Master_Data'!C276,"0"),IF('01_Master_Data'!D276&lt;&gt;"","PID|"&amp;TRIM('01_Master_Data'!D276&amp;""),"")))</f>
        <v/>
      </c>
      <c r="C276">
        <f>IF('01_Master_Data'!B276="","",'01_Master_Data'!B276)</f>
        <v/>
      </c>
      <c r="D276">
        <f>IF('01_Master_Data'!B276="","",'01_Master_Data'!C276)</f>
        <v/>
      </c>
      <c r="E276">
        <f>IF('01_Master_Data'!B276="","",'01_Master_Data'!D276)</f>
        <v/>
      </c>
      <c r="F276">
        <f>IF('01_Master_Data'!B276="","",'01_Master_Data'!E276)</f>
        <v/>
      </c>
      <c r="G276">
        <f>IF('01_Master_Data'!B276="","",IFERROR(VLOOKUP(TRIM('01_Master_Data'!E276&amp;""),'02_Configuration'!$A$40:$B$44,2,FALSE),UPPER(TRIM('01_Master_Data'!E276&amp;""))))</f>
        <v/>
      </c>
      <c r="H276">
        <f>IF('01_Master_Data'!B276="","",IF('01_Master_Data'!U276="","",TRIM('01_Master_Data'!U276&amp;"")))</f>
        <v/>
      </c>
      <c r="I276">
        <f>IF('01_Master_Data'!B276="","",TRIM('01_Master_Data'!F276&amp;""))</f>
        <v/>
      </c>
      <c r="J276">
        <f>IF('01_Master_Data'!B276="","",TRIM('01_Master_Data'!G276&amp;""))</f>
        <v/>
      </c>
      <c r="K276">
        <f>IF('01_Master_Data'!B276="","",'01_Master_Data'!H276)</f>
        <v/>
      </c>
      <c r="L276">
        <f>IF('01_Master_Data'!B276="","",IF(LOWER(TRIM('01_Master_Data'!V276&amp;""))="yes",1,0))</f>
        <v/>
      </c>
      <c r="M276">
        <f>IF('01_Master_Data'!B276="","",IF(LOWER(TRIM('01_Master_Data'!W276&amp;""))="yes",1,0))</f>
        <v/>
      </c>
      <c r="N276">
        <f>IF('01_Master_Data'!B276="","",IF(LOWER(TRIM('01_Master_Data'!X276&amp;""))="yes",1,0))</f>
        <v/>
      </c>
      <c r="O276">
        <f>IF('01_Master_Data'!B276="","",IF(LOWER(TRIM('01_Master_Data'!Y276&amp;""))="yes",1,0))</f>
        <v/>
      </c>
      <c r="P276">
        <f>IF('01_Master_Data'!B276="","",IF(LOWER(TRIM('01_Master_Data'!Z276&amp;""))="yes",1,0))</f>
        <v/>
      </c>
      <c r="Q276">
        <f>IF(A276="","",L276+M276+N276+O276+P276)</f>
        <v/>
      </c>
      <c r="R276">
        <f>IF(A276="","",IF(Q276&gt;1,"Yes","No"))</f>
        <v/>
      </c>
      <c r="S276">
        <f>IF(A276="","",TEXTJOIN(", ",TRUE,IF(L276=1,"ICICI",""),IF(M276=1,"Propelld",""),IF(N276=1,"Study4Buddy",""),IF(O276=1,"Poonawala Fincorp",""),IF(P276=1,"GyanDhan","")))</f>
        <v/>
      </c>
      <c r="T276">
        <f>IF(A276="","",IF(L276=1,"ICICI",IF(M276=1,"Propelld",IF(P276=1,"GyanDhan",IF(N276=1,"Study4Buddy",IF(O276=1,"Poonawala Fincorp",IF(ISNUMBER(SEARCH("GyanDhan",W276&amp;"")),"GyanDhan",IF(ISNUMBER(SEARCH("Icici",W276&amp;"")),"ICICI",IF(ISNUMBER(SEARCH("Propelld",W276&amp;"")),"Propelld",IF(ISNUMBER(SEARCH("vidyalakshmi",LOWER(W276&amp;"")),"PM Vidyalakshmi","—"))))))))))</f>
        <v/>
      </c>
      <c r="U276">
        <f>IF(A276="","",TRIM('01_Master_Data'!AA276&amp;""))</f>
        <v/>
      </c>
      <c r="V276">
        <f>IF(A276="","",TRIM('01_Master_Data'!AG276&amp;""))</f>
        <v/>
      </c>
      <c r="W276">
        <f>IF(A276="","",TRIM('01_Master_Data'!AH276&amp;""))</f>
        <v/>
      </c>
      <c r="X276">
        <f>IF(A276="","",IF(OR(LOWER(H276)="refund",LOWER(U276)="refund case"),"Refund",IF(OR(LOWER(H276)="dnp",LOWER(U276)="dnp"),"DNP",IF(OR(LOWER(V276)="disbursed",ISNUMBER(SEARCH("Disbursed",W276&amp;""))),"Disbursed",IF(OR(LOWER(V276)="loan proccessed/accepted",ISNUMBER(SEARCH("sanctioned",LOWER(W276&amp;"")))),"Sanctioned",IF(OR(LOWER(V276)="rejected",ISNUMBER(SEARCH("Not eligbile",W276&amp;"")),ISNUMBER(SEARCH("Not eligible",W276&amp;""))),"Rejected",IF(ISNUMBER(SEARCH("Docs Pending",W276&amp;"")),"Documents Pending",IF(AND(LOWER(H276)="yes",LOWER(V276)="ongoing"),"Processing",IF(AND(LOWER(H276)="yes",Q276&gt;0,OR(V276="",LOWER(V276)="not even started")),"Vendor Assigned",IF(AND(LOWER(H276)="yes",LOWER(V276)="not even started"),"Need Loan",IF(LOWER(H276)="yes","Loan Started",IF(LOWER(H276)="not sure","Interested",IF(OR(LOWER(H276)="no",LOWER(V276)="not required"),"Not Required","Unclassified")))))))))))))</f>
        <v/>
      </c>
      <c r="Y276">
        <f>IF(A276="","",IF(OR(X276="Sanctioned",X276="Disbursed",X276="Approved"),"Approved",IF(X276="Rejected","Rejected",IF(OR(X276="Processing",X276="Documents Pending",X276="Vendor Assigned"),"In Progress",IF(X276="Need Loan","Pending Start","—"))))</f>
        <v/>
      </c>
      <c r="Z276">
        <f>IF(A276="","",IF(X276="Disbursed","Disbursed",IF(X276="Sanctioned","Sanctioned - Awaiting Disbursement","Not Disbursed")))</f>
        <v/>
      </c>
      <c r="AA276">
        <f>IF(A276="","",IF(LOWER(TRIM('01_Master_Data'!AI276&amp;""))="yes","Need FLDG",IF(LOWER(TRIM('01_Master_Data'!AK276&amp;""))="yes","Need Vidyalakshmi",IF(LOWER(TRIM('01_Master_Data'!AJ276&amp;""))="yes","Need Review",IF(LOWER(J276)="critical","Critical",IF(LOWER(U276)="risk","Risk Case",IF(X276="Refund","Refund","Normal")))))))</f>
        <v/>
      </c>
      <c r="AB276">
        <f>IF(A276="","",IF(OR(LOWER(J276)="critical",LOWER(TRIM('01_Master_Data'!AI276&amp;""))="yes",LOWER(TRIM('01_Master_Data'!AK276&amp;""))="yes",LOWER(U276)="risk"),"Yes","No"))</f>
        <v/>
      </c>
      <c r="AC276">
        <f>IF(A276="","",IF(LOWER(TRIM('01_Master_Data'!AI276&amp;""))="yes","Yes","No"))</f>
        <v/>
      </c>
      <c r="AD276">
        <f>IF(A276="","",IF(LOWER(TRIM('01_Master_Data'!AK276&amp;""))="yes","Yes","No"))</f>
        <v/>
      </c>
      <c r="AE276">
        <f>IF(A276="","",IF(LOWER(TRIM('01_Master_Data'!AJ276&amp;""))="yes","Yes","No"))</f>
        <v/>
      </c>
      <c r="AF276">
        <f>IF(A276="","",TRIM('01_Master_Data'!AL276&amp;""))</f>
        <v/>
      </c>
      <c r="AG276">
        <f>IF(A276="","",IF(AF276="","—",IF(ISNUMBER(SEARCH("DNP",AF276)),"Unreachable / DNP",IF(ISNUMBER(SEARCH("interest",LOWER(AF276))),"High Interest / Terms",IF(OR(ISNUMBER(SEARCH("eligib",LOWER(AF276))),ISNUMBER(SEARCH("income",LOWER(AF276)))),"Eligibility / Income",IF(OR(ISNUMBER(SEARCH("start",LOWER(AF276))),ISNUMBER(SEARCH("Newer",AF276)),ISNUMBER(SEARCH("Will start",AF276))),"Process Yet to Start",IF(ISNUMBER(SEARCH("sure",LOWER(AF276))),"Undecided",IF(OR(ISNUMBER(SEARCH("reject",LOWER(AF276))),ISNUMBER(SEARCH("SBI",AF276))),"Rejected Elsewhere",IF(ISNUMBER(SEARCH("call",LOWER(AF276))),"Bank Communication",IF(OR(ISNUMBER(SEARCH("father",LOWER(AF276))),ISNUMBER(SEARCH("sister",LOWER(AF276)))),"Family / Dependency","Other"))))))))))</f>
        <v/>
      </c>
      <c r="AH276">
        <f>IF(A276="","",'01_Master_Data'!AC276)</f>
        <v/>
      </c>
      <c r="AI276">
        <f>IF(A276="","",IF(OR(AH276="",NOT(ISNUMBER(AH276))),"",MAX(0,'02_Configuration'!$B$82-AH276)))</f>
        <v/>
      </c>
      <c r="AJ276">
        <f>IF(A276="","",IF(AI276="","Unknown",IF(AI276&lt;=3,"0–3 Days",IF(AI276&lt;=7,"4–7 Days",IF(AI276&lt;=15,"8–15 Days",IF(AI276&lt;=30,"16–30 Days","30+ Days"))))))</f>
        <v/>
      </c>
      <c r="AK276">
        <f>IF(A276="","",IF(LOWER(H276)="yes","Yes","No"))</f>
        <v/>
      </c>
      <c r="AL276">
        <f>IF(A276="","",'01_Master_Data'!T276)</f>
        <v/>
      </c>
      <c r="AM276">
        <f>IF(A276="","",'01_Master_Data'!S276)</f>
        <v/>
      </c>
      <c r="AN276">
        <f>IF(A276="","",'01_Master_Data'!I276)</f>
        <v/>
      </c>
      <c r="AO276">
        <f>IF(A276="","",'01_Master_Data'!M276)</f>
        <v/>
      </c>
      <c r="AP276">
        <f>IF(A276="","",IF(ISNUMBER(SEARCH("Icici",W276&amp;"")),1,0))</f>
        <v/>
      </c>
      <c r="AQ276">
        <f>IF(A276="","",IF(ISNUMBER(SEARCH("Propelld",W276&amp;"")),1,0))</f>
        <v/>
      </c>
      <c r="AR276">
        <f>IF(A276="","",IF(ISNUMBER(SEARCH("GyanDhan",W276&amp;"")),1,0))</f>
        <v/>
      </c>
      <c r="AS276">
        <f>IF(A276="","",IF(ISNUMBER(SEARCH("vidyalakshmi",LOWER(W276&amp;""))),1,0))</f>
        <v/>
      </c>
      <c r="AT276">
        <f>IF(A276="","",IF(ISNUMBER(SEARCH("other bank",LOWER(W276&amp;""))),1,0))</f>
        <v/>
      </c>
      <c r="AU276">
        <f>IF(A276="","",IF(ISNUMBER(SEARCH("sanctioned",LOWER(W276&amp;""))),1,0))</f>
        <v/>
      </c>
      <c r="AV276">
        <f>IF(A276="","",IF(ISNUMBER(SEARCH("Docs Pending",W276&amp;"")),1,0))</f>
        <v/>
      </c>
      <c r="AW276">
        <f>IF(A276="","",IF(OR(X276="Rejected",ISNUMBER(SEARCH("Not eligbile",W276&amp;""))),1,0))</f>
        <v/>
      </c>
    </row>
    <row r="277">
      <c r="A277">
        <f>IF('01_Master_Data'!B277="","",276)</f>
        <v/>
      </c>
      <c r="B277">
        <f>IF('01_Master_Data'!B277="","",IF('01_Master_Data'!C277&lt;&gt;"","MOB|"&amp;TEXT('01_Master_Data'!C277,"0"),IF('01_Master_Data'!D277&lt;&gt;"","PID|"&amp;TRIM('01_Master_Data'!D277&amp;""),"")))</f>
        <v/>
      </c>
      <c r="C277">
        <f>IF('01_Master_Data'!B277="","",'01_Master_Data'!B277)</f>
        <v/>
      </c>
      <c r="D277">
        <f>IF('01_Master_Data'!B277="","",'01_Master_Data'!C277)</f>
        <v/>
      </c>
      <c r="E277">
        <f>IF('01_Master_Data'!B277="","",'01_Master_Data'!D277)</f>
        <v/>
      </c>
      <c r="F277">
        <f>IF('01_Master_Data'!B277="","",'01_Master_Data'!E277)</f>
        <v/>
      </c>
      <c r="G277">
        <f>IF('01_Master_Data'!B277="","",IFERROR(VLOOKUP(TRIM('01_Master_Data'!E277&amp;""),'02_Configuration'!$A$40:$B$44,2,FALSE),UPPER(TRIM('01_Master_Data'!E277&amp;""))))</f>
        <v/>
      </c>
      <c r="H277">
        <f>IF('01_Master_Data'!B277="","",IF('01_Master_Data'!U277="","",TRIM('01_Master_Data'!U277&amp;"")))</f>
        <v/>
      </c>
      <c r="I277">
        <f>IF('01_Master_Data'!B277="","",TRIM('01_Master_Data'!F277&amp;""))</f>
        <v/>
      </c>
      <c r="J277">
        <f>IF('01_Master_Data'!B277="","",TRIM('01_Master_Data'!G277&amp;""))</f>
        <v/>
      </c>
      <c r="K277">
        <f>IF('01_Master_Data'!B277="","",'01_Master_Data'!H277)</f>
        <v/>
      </c>
      <c r="L277">
        <f>IF('01_Master_Data'!B277="","",IF(LOWER(TRIM('01_Master_Data'!V277&amp;""))="yes",1,0))</f>
        <v/>
      </c>
      <c r="M277">
        <f>IF('01_Master_Data'!B277="","",IF(LOWER(TRIM('01_Master_Data'!W277&amp;""))="yes",1,0))</f>
        <v/>
      </c>
      <c r="N277">
        <f>IF('01_Master_Data'!B277="","",IF(LOWER(TRIM('01_Master_Data'!X277&amp;""))="yes",1,0))</f>
        <v/>
      </c>
      <c r="O277">
        <f>IF('01_Master_Data'!B277="","",IF(LOWER(TRIM('01_Master_Data'!Y277&amp;""))="yes",1,0))</f>
        <v/>
      </c>
      <c r="P277">
        <f>IF('01_Master_Data'!B277="","",IF(LOWER(TRIM('01_Master_Data'!Z277&amp;""))="yes",1,0))</f>
        <v/>
      </c>
      <c r="Q277">
        <f>IF(A277="","",L277+M277+N277+O277+P277)</f>
        <v/>
      </c>
      <c r="R277">
        <f>IF(A277="","",IF(Q277&gt;1,"Yes","No"))</f>
        <v/>
      </c>
      <c r="S277">
        <f>IF(A277="","",TEXTJOIN(", ",TRUE,IF(L277=1,"ICICI",""),IF(M277=1,"Propelld",""),IF(N277=1,"Study4Buddy",""),IF(O277=1,"Poonawala Fincorp",""),IF(P277=1,"GyanDhan","")))</f>
        <v/>
      </c>
      <c r="T277">
        <f>IF(A277="","",IF(L277=1,"ICICI",IF(M277=1,"Propelld",IF(P277=1,"GyanDhan",IF(N277=1,"Study4Buddy",IF(O277=1,"Poonawala Fincorp",IF(ISNUMBER(SEARCH("GyanDhan",W277&amp;"")),"GyanDhan",IF(ISNUMBER(SEARCH("Icici",W277&amp;"")),"ICICI",IF(ISNUMBER(SEARCH("Propelld",W277&amp;"")),"Propelld",IF(ISNUMBER(SEARCH("vidyalakshmi",LOWER(W277&amp;"")),"PM Vidyalakshmi","—"))))))))))</f>
        <v/>
      </c>
      <c r="U277">
        <f>IF(A277="","",TRIM('01_Master_Data'!AA277&amp;""))</f>
        <v/>
      </c>
      <c r="V277">
        <f>IF(A277="","",TRIM('01_Master_Data'!AG277&amp;""))</f>
        <v/>
      </c>
      <c r="W277">
        <f>IF(A277="","",TRIM('01_Master_Data'!AH277&amp;""))</f>
        <v/>
      </c>
      <c r="X277">
        <f>IF(A277="","",IF(OR(LOWER(H277)="refund",LOWER(U277)="refund case"),"Refund",IF(OR(LOWER(H277)="dnp",LOWER(U277)="dnp"),"DNP",IF(OR(LOWER(V277)="disbursed",ISNUMBER(SEARCH("Disbursed",W277&amp;""))),"Disbursed",IF(OR(LOWER(V277)="loan proccessed/accepted",ISNUMBER(SEARCH("sanctioned",LOWER(W277&amp;"")))),"Sanctioned",IF(OR(LOWER(V277)="rejected",ISNUMBER(SEARCH("Not eligbile",W277&amp;"")),ISNUMBER(SEARCH("Not eligible",W277&amp;""))),"Rejected",IF(ISNUMBER(SEARCH("Docs Pending",W277&amp;"")),"Documents Pending",IF(AND(LOWER(H277)="yes",LOWER(V277)="ongoing"),"Processing",IF(AND(LOWER(H277)="yes",Q277&gt;0,OR(V277="",LOWER(V277)="not even started")),"Vendor Assigned",IF(AND(LOWER(H277)="yes",LOWER(V277)="not even started"),"Need Loan",IF(LOWER(H277)="yes","Loan Started",IF(LOWER(H277)="not sure","Interested",IF(OR(LOWER(H277)="no",LOWER(V277)="not required"),"Not Required","Unclassified")))))))))))))</f>
        <v/>
      </c>
      <c r="Y277">
        <f>IF(A277="","",IF(OR(X277="Sanctioned",X277="Disbursed",X277="Approved"),"Approved",IF(X277="Rejected","Rejected",IF(OR(X277="Processing",X277="Documents Pending",X277="Vendor Assigned"),"In Progress",IF(X277="Need Loan","Pending Start","—"))))</f>
        <v/>
      </c>
      <c r="Z277">
        <f>IF(A277="","",IF(X277="Disbursed","Disbursed",IF(X277="Sanctioned","Sanctioned - Awaiting Disbursement","Not Disbursed")))</f>
        <v/>
      </c>
      <c r="AA277">
        <f>IF(A277="","",IF(LOWER(TRIM('01_Master_Data'!AI277&amp;""))="yes","Need FLDG",IF(LOWER(TRIM('01_Master_Data'!AK277&amp;""))="yes","Need Vidyalakshmi",IF(LOWER(TRIM('01_Master_Data'!AJ277&amp;""))="yes","Need Review",IF(LOWER(J277)="critical","Critical",IF(LOWER(U277)="risk","Risk Case",IF(X277="Refund","Refund","Normal")))))))</f>
        <v/>
      </c>
      <c r="AB277">
        <f>IF(A277="","",IF(OR(LOWER(J277)="critical",LOWER(TRIM('01_Master_Data'!AI277&amp;""))="yes",LOWER(TRIM('01_Master_Data'!AK277&amp;""))="yes",LOWER(U277)="risk"),"Yes","No"))</f>
        <v/>
      </c>
      <c r="AC277">
        <f>IF(A277="","",IF(LOWER(TRIM('01_Master_Data'!AI277&amp;""))="yes","Yes","No"))</f>
        <v/>
      </c>
      <c r="AD277">
        <f>IF(A277="","",IF(LOWER(TRIM('01_Master_Data'!AK277&amp;""))="yes","Yes","No"))</f>
        <v/>
      </c>
      <c r="AE277">
        <f>IF(A277="","",IF(LOWER(TRIM('01_Master_Data'!AJ277&amp;""))="yes","Yes","No"))</f>
        <v/>
      </c>
      <c r="AF277">
        <f>IF(A277="","",TRIM('01_Master_Data'!AL277&amp;""))</f>
        <v/>
      </c>
      <c r="AG277">
        <f>IF(A277="","",IF(AF277="","—",IF(ISNUMBER(SEARCH("DNP",AF277)),"Unreachable / DNP",IF(ISNUMBER(SEARCH("interest",LOWER(AF277))),"High Interest / Terms",IF(OR(ISNUMBER(SEARCH("eligib",LOWER(AF277))),ISNUMBER(SEARCH("income",LOWER(AF277)))),"Eligibility / Income",IF(OR(ISNUMBER(SEARCH("start",LOWER(AF277))),ISNUMBER(SEARCH("Newer",AF277)),ISNUMBER(SEARCH("Will start",AF277))),"Process Yet to Start",IF(ISNUMBER(SEARCH("sure",LOWER(AF277))),"Undecided",IF(OR(ISNUMBER(SEARCH("reject",LOWER(AF277))),ISNUMBER(SEARCH("SBI",AF277))),"Rejected Elsewhere",IF(ISNUMBER(SEARCH("call",LOWER(AF277))),"Bank Communication",IF(OR(ISNUMBER(SEARCH("father",LOWER(AF277))),ISNUMBER(SEARCH("sister",LOWER(AF277)))),"Family / Dependency","Other"))))))))))</f>
        <v/>
      </c>
      <c r="AH277">
        <f>IF(A277="","",'01_Master_Data'!AC277)</f>
        <v/>
      </c>
      <c r="AI277">
        <f>IF(A277="","",IF(OR(AH277="",NOT(ISNUMBER(AH277))),"",MAX(0,'02_Configuration'!$B$82-AH277)))</f>
        <v/>
      </c>
      <c r="AJ277">
        <f>IF(A277="","",IF(AI277="","Unknown",IF(AI277&lt;=3,"0–3 Days",IF(AI277&lt;=7,"4–7 Days",IF(AI277&lt;=15,"8–15 Days",IF(AI277&lt;=30,"16–30 Days","30+ Days"))))))</f>
        <v/>
      </c>
      <c r="AK277">
        <f>IF(A277="","",IF(LOWER(H277)="yes","Yes","No"))</f>
        <v/>
      </c>
      <c r="AL277">
        <f>IF(A277="","",'01_Master_Data'!T277)</f>
        <v/>
      </c>
      <c r="AM277">
        <f>IF(A277="","",'01_Master_Data'!S277)</f>
        <v/>
      </c>
      <c r="AN277">
        <f>IF(A277="","",'01_Master_Data'!I277)</f>
        <v/>
      </c>
      <c r="AO277">
        <f>IF(A277="","",'01_Master_Data'!M277)</f>
        <v/>
      </c>
      <c r="AP277">
        <f>IF(A277="","",IF(ISNUMBER(SEARCH("Icici",W277&amp;"")),1,0))</f>
        <v/>
      </c>
      <c r="AQ277">
        <f>IF(A277="","",IF(ISNUMBER(SEARCH("Propelld",W277&amp;"")),1,0))</f>
        <v/>
      </c>
      <c r="AR277">
        <f>IF(A277="","",IF(ISNUMBER(SEARCH("GyanDhan",W277&amp;"")),1,0))</f>
        <v/>
      </c>
      <c r="AS277">
        <f>IF(A277="","",IF(ISNUMBER(SEARCH("vidyalakshmi",LOWER(W277&amp;""))),1,0))</f>
        <v/>
      </c>
      <c r="AT277">
        <f>IF(A277="","",IF(ISNUMBER(SEARCH("other bank",LOWER(W277&amp;""))),1,0))</f>
        <v/>
      </c>
      <c r="AU277">
        <f>IF(A277="","",IF(ISNUMBER(SEARCH("sanctioned",LOWER(W277&amp;""))),1,0))</f>
        <v/>
      </c>
      <c r="AV277">
        <f>IF(A277="","",IF(ISNUMBER(SEARCH("Docs Pending",W277&amp;"")),1,0))</f>
        <v/>
      </c>
      <c r="AW277">
        <f>IF(A277="","",IF(OR(X277="Rejected",ISNUMBER(SEARCH("Not eligbile",W277&amp;""))),1,0))</f>
        <v/>
      </c>
    </row>
    <row r="278">
      <c r="A278">
        <f>IF('01_Master_Data'!B278="","",277)</f>
        <v/>
      </c>
      <c r="B278">
        <f>IF('01_Master_Data'!B278="","",IF('01_Master_Data'!C278&lt;&gt;"","MOB|"&amp;TEXT('01_Master_Data'!C278,"0"),IF('01_Master_Data'!D278&lt;&gt;"","PID|"&amp;TRIM('01_Master_Data'!D278&amp;""),"")))</f>
        <v/>
      </c>
      <c r="C278">
        <f>IF('01_Master_Data'!B278="","",'01_Master_Data'!B278)</f>
        <v/>
      </c>
      <c r="D278">
        <f>IF('01_Master_Data'!B278="","",'01_Master_Data'!C278)</f>
        <v/>
      </c>
      <c r="E278">
        <f>IF('01_Master_Data'!B278="","",'01_Master_Data'!D278)</f>
        <v/>
      </c>
      <c r="F278">
        <f>IF('01_Master_Data'!B278="","",'01_Master_Data'!E278)</f>
        <v/>
      </c>
      <c r="G278">
        <f>IF('01_Master_Data'!B278="","",IFERROR(VLOOKUP(TRIM('01_Master_Data'!E278&amp;""),'02_Configuration'!$A$40:$B$44,2,FALSE),UPPER(TRIM('01_Master_Data'!E278&amp;""))))</f>
        <v/>
      </c>
      <c r="H278">
        <f>IF('01_Master_Data'!B278="","",IF('01_Master_Data'!U278="","",TRIM('01_Master_Data'!U278&amp;"")))</f>
        <v/>
      </c>
      <c r="I278">
        <f>IF('01_Master_Data'!B278="","",TRIM('01_Master_Data'!F278&amp;""))</f>
        <v/>
      </c>
      <c r="J278">
        <f>IF('01_Master_Data'!B278="","",TRIM('01_Master_Data'!G278&amp;""))</f>
        <v/>
      </c>
      <c r="K278">
        <f>IF('01_Master_Data'!B278="","",'01_Master_Data'!H278)</f>
        <v/>
      </c>
      <c r="L278">
        <f>IF('01_Master_Data'!B278="","",IF(LOWER(TRIM('01_Master_Data'!V278&amp;""))="yes",1,0))</f>
        <v/>
      </c>
      <c r="M278">
        <f>IF('01_Master_Data'!B278="","",IF(LOWER(TRIM('01_Master_Data'!W278&amp;""))="yes",1,0))</f>
        <v/>
      </c>
      <c r="N278">
        <f>IF('01_Master_Data'!B278="","",IF(LOWER(TRIM('01_Master_Data'!X278&amp;""))="yes",1,0))</f>
        <v/>
      </c>
      <c r="O278">
        <f>IF('01_Master_Data'!B278="","",IF(LOWER(TRIM('01_Master_Data'!Y278&amp;""))="yes",1,0))</f>
        <v/>
      </c>
      <c r="P278">
        <f>IF('01_Master_Data'!B278="","",IF(LOWER(TRIM('01_Master_Data'!Z278&amp;""))="yes",1,0))</f>
        <v/>
      </c>
      <c r="Q278">
        <f>IF(A278="","",L278+M278+N278+O278+P278)</f>
        <v/>
      </c>
      <c r="R278">
        <f>IF(A278="","",IF(Q278&gt;1,"Yes","No"))</f>
        <v/>
      </c>
      <c r="S278">
        <f>IF(A278="","",TEXTJOIN(", ",TRUE,IF(L278=1,"ICICI",""),IF(M278=1,"Propelld",""),IF(N278=1,"Study4Buddy",""),IF(O278=1,"Poonawala Fincorp",""),IF(P278=1,"GyanDhan","")))</f>
        <v/>
      </c>
      <c r="T278">
        <f>IF(A278="","",IF(L278=1,"ICICI",IF(M278=1,"Propelld",IF(P278=1,"GyanDhan",IF(N278=1,"Study4Buddy",IF(O278=1,"Poonawala Fincorp",IF(ISNUMBER(SEARCH("GyanDhan",W278&amp;"")),"GyanDhan",IF(ISNUMBER(SEARCH("Icici",W278&amp;"")),"ICICI",IF(ISNUMBER(SEARCH("Propelld",W278&amp;"")),"Propelld",IF(ISNUMBER(SEARCH("vidyalakshmi",LOWER(W278&amp;"")),"PM Vidyalakshmi","—"))))))))))</f>
        <v/>
      </c>
      <c r="U278">
        <f>IF(A278="","",TRIM('01_Master_Data'!AA278&amp;""))</f>
        <v/>
      </c>
      <c r="V278">
        <f>IF(A278="","",TRIM('01_Master_Data'!AG278&amp;""))</f>
        <v/>
      </c>
      <c r="W278">
        <f>IF(A278="","",TRIM('01_Master_Data'!AH278&amp;""))</f>
        <v/>
      </c>
      <c r="X278">
        <f>IF(A278="","",IF(OR(LOWER(H278)="refund",LOWER(U278)="refund case"),"Refund",IF(OR(LOWER(H278)="dnp",LOWER(U278)="dnp"),"DNP",IF(OR(LOWER(V278)="disbursed",ISNUMBER(SEARCH("Disbursed",W278&amp;""))),"Disbursed",IF(OR(LOWER(V278)="loan proccessed/accepted",ISNUMBER(SEARCH("sanctioned",LOWER(W278&amp;"")))),"Sanctioned",IF(OR(LOWER(V278)="rejected",ISNUMBER(SEARCH("Not eligbile",W278&amp;"")),ISNUMBER(SEARCH("Not eligible",W278&amp;""))),"Rejected",IF(ISNUMBER(SEARCH("Docs Pending",W278&amp;"")),"Documents Pending",IF(AND(LOWER(H278)="yes",LOWER(V278)="ongoing"),"Processing",IF(AND(LOWER(H278)="yes",Q278&gt;0,OR(V278="",LOWER(V278)="not even started")),"Vendor Assigned",IF(AND(LOWER(H278)="yes",LOWER(V278)="not even started"),"Need Loan",IF(LOWER(H278)="yes","Loan Started",IF(LOWER(H278)="not sure","Interested",IF(OR(LOWER(H278)="no",LOWER(V278)="not required"),"Not Required","Unclassified")))))))))))))</f>
        <v/>
      </c>
      <c r="Y278">
        <f>IF(A278="","",IF(OR(X278="Sanctioned",X278="Disbursed",X278="Approved"),"Approved",IF(X278="Rejected","Rejected",IF(OR(X278="Processing",X278="Documents Pending",X278="Vendor Assigned"),"In Progress",IF(X278="Need Loan","Pending Start","—"))))</f>
        <v/>
      </c>
      <c r="Z278">
        <f>IF(A278="","",IF(X278="Disbursed","Disbursed",IF(X278="Sanctioned","Sanctioned - Awaiting Disbursement","Not Disbursed")))</f>
        <v/>
      </c>
      <c r="AA278">
        <f>IF(A278="","",IF(LOWER(TRIM('01_Master_Data'!AI278&amp;""))="yes","Need FLDG",IF(LOWER(TRIM('01_Master_Data'!AK278&amp;""))="yes","Need Vidyalakshmi",IF(LOWER(TRIM('01_Master_Data'!AJ278&amp;""))="yes","Need Review",IF(LOWER(J278)="critical","Critical",IF(LOWER(U278)="risk","Risk Case",IF(X278="Refund","Refund","Normal")))))))</f>
        <v/>
      </c>
      <c r="AB278">
        <f>IF(A278="","",IF(OR(LOWER(J278)="critical",LOWER(TRIM('01_Master_Data'!AI278&amp;""))="yes",LOWER(TRIM('01_Master_Data'!AK278&amp;""))="yes",LOWER(U278)="risk"),"Yes","No"))</f>
        <v/>
      </c>
      <c r="AC278">
        <f>IF(A278="","",IF(LOWER(TRIM('01_Master_Data'!AI278&amp;""))="yes","Yes","No"))</f>
        <v/>
      </c>
      <c r="AD278">
        <f>IF(A278="","",IF(LOWER(TRIM('01_Master_Data'!AK278&amp;""))="yes","Yes","No"))</f>
        <v/>
      </c>
      <c r="AE278">
        <f>IF(A278="","",IF(LOWER(TRIM('01_Master_Data'!AJ278&amp;""))="yes","Yes","No"))</f>
        <v/>
      </c>
      <c r="AF278">
        <f>IF(A278="","",TRIM('01_Master_Data'!AL278&amp;""))</f>
        <v/>
      </c>
      <c r="AG278">
        <f>IF(A278="","",IF(AF278="","—",IF(ISNUMBER(SEARCH("DNP",AF278)),"Unreachable / DNP",IF(ISNUMBER(SEARCH("interest",LOWER(AF278))),"High Interest / Terms",IF(OR(ISNUMBER(SEARCH("eligib",LOWER(AF278))),ISNUMBER(SEARCH("income",LOWER(AF278)))),"Eligibility / Income",IF(OR(ISNUMBER(SEARCH("start",LOWER(AF278))),ISNUMBER(SEARCH("Newer",AF278)),ISNUMBER(SEARCH("Will start",AF278))),"Process Yet to Start",IF(ISNUMBER(SEARCH("sure",LOWER(AF278))),"Undecided",IF(OR(ISNUMBER(SEARCH("reject",LOWER(AF278))),ISNUMBER(SEARCH("SBI",AF278))),"Rejected Elsewhere",IF(ISNUMBER(SEARCH("call",LOWER(AF278))),"Bank Communication",IF(OR(ISNUMBER(SEARCH("father",LOWER(AF278))),ISNUMBER(SEARCH("sister",LOWER(AF278)))),"Family / Dependency","Other"))))))))))</f>
        <v/>
      </c>
      <c r="AH278">
        <f>IF(A278="","",'01_Master_Data'!AC278)</f>
        <v/>
      </c>
      <c r="AI278">
        <f>IF(A278="","",IF(OR(AH278="",NOT(ISNUMBER(AH278))),"",MAX(0,'02_Configuration'!$B$82-AH278)))</f>
        <v/>
      </c>
      <c r="AJ278">
        <f>IF(A278="","",IF(AI278="","Unknown",IF(AI278&lt;=3,"0–3 Days",IF(AI278&lt;=7,"4–7 Days",IF(AI278&lt;=15,"8–15 Days",IF(AI278&lt;=30,"16–30 Days","30+ Days"))))))</f>
        <v/>
      </c>
      <c r="AK278">
        <f>IF(A278="","",IF(LOWER(H278)="yes","Yes","No"))</f>
        <v/>
      </c>
      <c r="AL278">
        <f>IF(A278="","",'01_Master_Data'!T278)</f>
        <v/>
      </c>
      <c r="AM278">
        <f>IF(A278="","",'01_Master_Data'!S278)</f>
        <v/>
      </c>
      <c r="AN278">
        <f>IF(A278="","",'01_Master_Data'!I278)</f>
        <v/>
      </c>
      <c r="AO278">
        <f>IF(A278="","",'01_Master_Data'!M278)</f>
        <v/>
      </c>
      <c r="AP278">
        <f>IF(A278="","",IF(ISNUMBER(SEARCH("Icici",W278&amp;"")),1,0))</f>
        <v/>
      </c>
      <c r="AQ278">
        <f>IF(A278="","",IF(ISNUMBER(SEARCH("Propelld",W278&amp;"")),1,0))</f>
        <v/>
      </c>
      <c r="AR278">
        <f>IF(A278="","",IF(ISNUMBER(SEARCH("GyanDhan",W278&amp;"")),1,0))</f>
        <v/>
      </c>
      <c r="AS278">
        <f>IF(A278="","",IF(ISNUMBER(SEARCH("vidyalakshmi",LOWER(W278&amp;""))),1,0))</f>
        <v/>
      </c>
      <c r="AT278">
        <f>IF(A278="","",IF(ISNUMBER(SEARCH("other bank",LOWER(W278&amp;""))),1,0))</f>
        <v/>
      </c>
      <c r="AU278">
        <f>IF(A278="","",IF(ISNUMBER(SEARCH("sanctioned",LOWER(W278&amp;""))),1,0))</f>
        <v/>
      </c>
      <c r="AV278">
        <f>IF(A278="","",IF(ISNUMBER(SEARCH("Docs Pending",W278&amp;"")),1,0))</f>
        <v/>
      </c>
      <c r="AW278">
        <f>IF(A278="","",IF(OR(X278="Rejected",ISNUMBER(SEARCH("Not eligbile",W278&amp;""))),1,0))</f>
        <v/>
      </c>
    </row>
    <row r="279">
      <c r="A279">
        <f>IF('01_Master_Data'!B279="","",278)</f>
        <v/>
      </c>
      <c r="B279">
        <f>IF('01_Master_Data'!B279="","",IF('01_Master_Data'!C279&lt;&gt;"","MOB|"&amp;TEXT('01_Master_Data'!C279,"0"),IF('01_Master_Data'!D279&lt;&gt;"","PID|"&amp;TRIM('01_Master_Data'!D279&amp;""),"")))</f>
        <v/>
      </c>
      <c r="C279">
        <f>IF('01_Master_Data'!B279="","",'01_Master_Data'!B279)</f>
        <v/>
      </c>
      <c r="D279">
        <f>IF('01_Master_Data'!B279="","",'01_Master_Data'!C279)</f>
        <v/>
      </c>
      <c r="E279">
        <f>IF('01_Master_Data'!B279="","",'01_Master_Data'!D279)</f>
        <v/>
      </c>
      <c r="F279">
        <f>IF('01_Master_Data'!B279="","",'01_Master_Data'!E279)</f>
        <v/>
      </c>
      <c r="G279">
        <f>IF('01_Master_Data'!B279="","",IFERROR(VLOOKUP(TRIM('01_Master_Data'!E279&amp;""),'02_Configuration'!$A$40:$B$44,2,FALSE),UPPER(TRIM('01_Master_Data'!E279&amp;""))))</f>
        <v/>
      </c>
      <c r="H279">
        <f>IF('01_Master_Data'!B279="","",IF('01_Master_Data'!U279="","",TRIM('01_Master_Data'!U279&amp;"")))</f>
        <v/>
      </c>
      <c r="I279">
        <f>IF('01_Master_Data'!B279="","",TRIM('01_Master_Data'!F279&amp;""))</f>
        <v/>
      </c>
      <c r="J279">
        <f>IF('01_Master_Data'!B279="","",TRIM('01_Master_Data'!G279&amp;""))</f>
        <v/>
      </c>
      <c r="K279">
        <f>IF('01_Master_Data'!B279="","",'01_Master_Data'!H279)</f>
        <v/>
      </c>
      <c r="L279">
        <f>IF('01_Master_Data'!B279="","",IF(LOWER(TRIM('01_Master_Data'!V279&amp;""))="yes",1,0))</f>
        <v/>
      </c>
      <c r="M279">
        <f>IF('01_Master_Data'!B279="","",IF(LOWER(TRIM('01_Master_Data'!W279&amp;""))="yes",1,0))</f>
        <v/>
      </c>
      <c r="N279">
        <f>IF('01_Master_Data'!B279="","",IF(LOWER(TRIM('01_Master_Data'!X279&amp;""))="yes",1,0))</f>
        <v/>
      </c>
      <c r="O279">
        <f>IF('01_Master_Data'!B279="","",IF(LOWER(TRIM('01_Master_Data'!Y279&amp;""))="yes",1,0))</f>
        <v/>
      </c>
      <c r="P279">
        <f>IF('01_Master_Data'!B279="","",IF(LOWER(TRIM('01_Master_Data'!Z279&amp;""))="yes",1,0))</f>
        <v/>
      </c>
      <c r="Q279">
        <f>IF(A279="","",L279+M279+N279+O279+P279)</f>
        <v/>
      </c>
      <c r="R279">
        <f>IF(A279="","",IF(Q279&gt;1,"Yes","No"))</f>
        <v/>
      </c>
      <c r="S279">
        <f>IF(A279="","",TEXTJOIN(", ",TRUE,IF(L279=1,"ICICI",""),IF(M279=1,"Propelld",""),IF(N279=1,"Study4Buddy",""),IF(O279=1,"Poonawala Fincorp",""),IF(P279=1,"GyanDhan","")))</f>
        <v/>
      </c>
      <c r="T279">
        <f>IF(A279="","",IF(L279=1,"ICICI",IF(M279=1,"Propelld",IF(P279=1,"GyanDhan",IF(N279=1,"Study4Buddy",IF(O279=1,"Poonawala Fincorp",IF(ISNUMBER(SEARCH("GyanDhan",W279&amp;"")),"GyanDhan",IF(ISNUMBER(SEARCH("Icici",W279&amp;"")),"ICICI",IF(ISNUMBER(SEARCH("Propelld",W279&amp;"")),"Propelld",IF(ISNUMBER(SEARCH("vidyalakshmi",LOWER(W279&amp;"")),"PM Vidyalakshmi","—"))))))))))</f>
        <v/>
      </c>
      <c r="U279">
        <f>IF(A279="","",TRIM('01_Master_Data'!AA279&amp;""))</f>
        <v/>
      </c>
      <c r="V279">
        <f>IF(A279="","",TRIM('01_Master_Data'!AG279&amp;""))</f>
        <v/>
      </c>
      <c r="W279">
        <f>IF(A279="","",TRIM('01_Master_Data'!AH279&amp;""))</f>
        <v/>
      </c>
      <c r="X279">
        <f>IF(A279="","",IF(OR(LOWER(H279)="refund",LOWER(U279)="refund case"),"Refund",IF(OR(LOWER(H279)="dnp",LOWER(U279)="dnp"),"DNP",IF(OR(LOWER(V279)="disbursed",ISNUMBER(SEARCH("Disbursed",W279&amp;""))),"Disbursed",IF(OR(LOWER(V279)="loan proccessed/accepted",ISNUMBER(SEARCH("sanctioned",LOWER(W279&amp;"")))),"Sanctioned",IF(OR(LOWER(V279)="rejected",ISNUMBER(SEARCH("Not eligbile",W279&amp;"")),ISNUMBER(SEARCH("Not eligible",W279&amp;""))),"Rejected",IF(ISNUMBER(SEARCH("Docs Pending",W279&amp;"")),"Documents Pending",IF(AND(LOWER(H279)="yes",LOWER(V279)="ongoing"),"Processing",IF(AND(LOWER(H279)="yes",Q279&gt;0,OR(V279="",LOWER(V279)="not even started")),"Vendor Assigned",IF(AND(LOWER(H279)="yes",LOWER(V279)="not even started"),"Need Loan",IF(LOWER(H279)="yes","Loan Started",IF(LOWER(H279)="not sure","Interested",IF(OR(LOWER(H279)="no",LOWER(V279)="not required"),"Not Required","Unclassified")))))))))))))</f>
        <v/>
      </c>
      <c r="Y279">
        <f>IF(A279="","",IF(OR(X279="Sanctioned",X279="Disbursed",X279="Approved"),"Approved",IF(X279="Rejected","Rejected",IF(OR(X279="Processing",X279="Documents Pending",X279="Vendor Assigned"),"In Progress",IF(X279="Need Loan","Pending Start","—"))))</f>
        <v/>
      </c>
      <c r="Z279">
        <f>IF(A279="","",IF(X279="Disbursed","Disbursed",IF(X279="Sanctioned","Sanctioned - Awaiting Disbursement","Not Disbursed")))</f>
        <v/>
      </c>
      <c r="AA279">
        <f>IF(A279="","",IF(LOWER(TRIM('01_Master_Data'!AI279&amp;""))="yes","Need FLDG",IF(LOWER(TRIM('01_Master_Data'!AK279&amp;""))="yes","Need Vidyalakshmi",IF(LOWER(TRIM('01_Master_Data'!AJ279&amp;""))="yes","Need Review",IF(LOWER(J279)="critical","Critical",IF(LOWER(U279)="risk","Risk Case",IF(X279="Refund","Refund","Normal")))))))</f>
        <v/>
      </c>
      <c r="AB279">
        <f>IF(A279="","",IF(OR(LOWER(J279)="critical",LOWER(TRIM('01_Master_Data'!AI279&amp;""))="yes",LOWER(TRIM('01_Master_Data'!AK279&amp;""))="yes",LOWER(U279)="risk"),"Yes","No"))</f>
        <v/>
      </c>
      <c r="AC279">
        <f>IF(A279="","",IF(LOWER(TRIM('01_Master_Data'!AI279&amp;""))="yes","Yes","No"))</f>
        <v/>
      </c>
      <c r="AD279">
        <f>IF(A279="","",IF(LOWER(TRIM('01_Master_Data'!AK279&amp;""))="yes","Yes","No"))</f>
        <v/>
      </c>
      <c r="AE279">
        <f>IF(A279="","",IF(LOWER(TRIM('01_Master_Data'!AJ279&amp;""))="yes","Yes","No"))</f>
        <v/>
      </c>
      <c r="AF279">
        <f>IF(A279="","",TRIM('01_Master_Data'!AL279&amp;""))</f>
        <v/>
      </c>
      <c r="AG279">
        <f>IF(A279="","",IF(AF279="","—",IF(ISNUMBER(SEARCH("DNP",AF279)),"Unreachable / DNP",IF(ISNUMBER(SEARCH("interest",LOWER(AF279))),"High Interest / Terms",IF(OR(ISNUMBER(SEARCH("eligib",LOWER(AF279))),ISNUMBER(SEARCH("income",LOWER(AF279)))),"Eligibility / Income",IF(OR(ISNUMBER(SEARCH("start",LOWER(AF279))),ISNUMBER(SEARCH("Newer",AF279)),ISNUMBER(SEARCH("Will start",AF279))),"Process Yet to Start",IF(ISNUMBER(SEARCH("sure",LOWER(AF279))),"Undecided",IF(OR(ISNUMBER(SEARCH("reject",LOWER(AF279))),ISNUMBER(SEARCH("SBI",AF279))),"Rejected Elsewhere",IF(ISNUMBER(SEARCH("call",LOWER(AF279))),"Bank Communication",IF(OR(ISNUMBER(SEARCH("father",LOWER(AF279))),ISNUMBER(SEARCH("sister",LOWER(AF279)))),"Family / Dependency","Other"))))))))))</f>
        <v/>
      </c>
      <c r="AH279">
        <f>IF(A279="","",'01_Master_Data'!AC279)</f>
        <v/>
      </c>
      <c r="AI279">
        <f>IF(A279="","",IF(OR(AH279="",NOT(ISNUMBER(AH279))),"",MAX(0,'02_Configuration'!$B$82-AH279)))</f>
        <v/>
      </c>
      <c r="AJ279">
        <f>IF(A279="","",IF(AI279="","Unknown",IF(AI279&lt;=3,"0–3 Days",IF(AI279&lt;=7,"4–7 Days",IF(AI279&lt;=15,"8–15 Days",IF(AI279&lt;=30,"16–30 Days","30+ Days"))))))</f>
        <v/>
      </c>
      <c r="AK279">
        <f>IF(A279="","",IF(LOWER(H279)="yes","Yes","No"))</f>
        <v/>
      </c>
      <c r="AL279">
        <f>IF(A279="","",'01_Master_Data'!T279)</f>
        <v/>
      </c>
      <c r="AM279">
        <f>IF(A279="","",'01_Master_Data'!S279)</f>
        <v/>
      </c>
      <c r="AN279">
        <f>IF(A279="","",'01_Master_Data'!I279)</f>
        <v/>
      </c>
      <c r="AO279">
        <f>IF(A279="","",'01_Master_Data'!M279)</f>
        <v/>
      </c>
      <c r="AP279">
        <f>IF(A279="","",IF(ISNUMBER(SEARCH("Icici",W279&amp;"")),1,0))</f>
        <v/>
      </c>
      <c r="AQ279">
        <f>IF(A279="","",IF(ISNUMBER(SEARCH("Propelld",W279&amp;"")),1,0))</f>
        <v/>
      </c>
      <c r="AR279">
        <f>IF(A279="","",IF(ISNUMBER(SEARCH("GyanDhan",W279&amp;"")),1,0))</f>
        <v/>
      </c>
      <c r="AS279">
        <f>IF(A279="","",IF(ISNUMBER(SEARCH("vidyalakshmi",LOWER(W279&amp;""))),1,0))</f>
        <v/>
      </c>
      <c r="AT279">
        <f>IF(A279="","",IF(ISNUMBER(SEARCH("other bank",LOWER(W279&amp;""))),1,0))</f>
        <v/>
      </c>
      <c r="AU279">
        <f>IF(A279="","",IF(ISNUMBER(SEARCH("sanctioned",LOWER(W279&amp;""))),1,0))</f>
        <v/>
      </c>
      <c r="AV279">
        <f>IF(A279="","",IF(ISNUMBER(SEARCH("Docs Pending",W279&amp;"")),1,0))</f>
        <v/>
      </c>
      <c r="AW279">
        <f>IF(A279="","",IF(OR(X279="Rejected",ISNUMBER(SEARCH("Not eligbile",W279&amp;""))),1,0))</f>
        <v/>
      </c>
    </row>
    <row r="280">
      <c r="A280">
        <f>IF('01_Master_Data'!B280="","",279)</f>
        <v/>
      </c>
      <c r="B280">
        <f>IF('01_Master_Data'!B280="","",IF('01_Master_Data'!C280&lt;&gt;"","MOB|"&amp;TEXT('01_Master_Data'!C280,"0"),IF('01_Master_Data'!D280&lt;&gt;"","PID|"&amp;TRIM('01_Master_Data'!D280&amp;""),"")))</f>
        <v/>
      </c>
      <c r="C280">
        <f>IF('01_Master_Data'!B280="","",'01_Master_Data'!B280)</f>
        <v/>
      </c>
      <c r="D280">
        <f>IF('01_Master_Data'!B280="","",'01_Master_Data'!C280)</f>
        <v/>
      </c>
      <c r="E280">
        <f>IF('01_Master_Data'!B280="","",'01_Master_Data'!D280)</f>
        <v/>
      </c>
      <c r="F280">
        <f>IF('01_Master_Data'!B280="","",'01_Master_Data'!E280)</f>
        <v/>
      </c>
      <c r="G280">
        <f>IF('01_Master_Data'!B280="","",IFERROR(VLOOKUP(TRIM('01_Master_Data'!E280&amp;""),'02_Configuration'!$A$40:$B$44,2,FALSE),UPPER(TRIM('01_Master_Data'!E280&amp;""))))</f>
        <v/>
      </c>
      <c r="H280">
        <f>IF('01_Master_Data'!B280="","",IF('01_Master_Data'!U280="","",TRIM('01_Master_Data'!U280&amp;"")))</f>
        <v/>
      </c>
      <c r="I280">
        <f>IF('01_Master_Data'!B280="","",TRIM('01_Master_Data'!F280&amp;""))</f>
        <v/>
      </c>
      <c r="J280">
        <f>IF('01_Master_Data'!B280="","",TRIM('01_Master_Data'!G280&amp;""))</f>
        <v/>
      </c>
      <c r="K280">
        <f>IF('01_Master_Data'!B280="","",'01_Master_Data'!H280)</f>
        <v/>
      </c>
      <c r="L280">
        <f>IF('01_Master_Data'!B280="","",IF(LOWER(TRIM('01_Master_Data'!V280&amp;""))="yes",1,0))</f>
        <v/>
      </c>
      <c r="M280">
        <f>IF('01_Master_Data'!B280="","",IF(LOWER(TRIM('01_Master_Data'!W280&amp;""))="yes",1,0))</f>
        <v/>
      </c>
      <c r="N280">
        <f>IF('01_Master_Data'!B280="","",IF(LOWER(TRIM('01_Master_Data'!X280&amp;""))="yes",1,0))</f>
        <v/>
      </c>
      <c r="O280">
        <f>IF('01_Master_Data'!B280="","",IF(LOWER(TRIM('01_Master_Data'!Y280&amp;""))="yes",1,0))</f>
        <v/>
      </c>
      <c r="P280">
        <f>IF('01_Master_Data'!B280="","",IF(LOWER(TRIM('01_Master_Data'!Z280&amp;""))="yes",1,0))</f>
        <v/>
      </c>
      <c r="Q280">
        <f>IF(A280="","",L280+M280+N280+O280+P280)</f>
        <v/>
      </c>
      <c r="R280">
        <f>IF(A280="","",IF(Q280&gt;1,"Yes","No"))</f>
        <v/>
      </c>
      <c r="S280">
        <f>IF(A280="","",TEXTJOIN(", ",TRUE,IF(L280=1,"ICICI",""),IF(M280=1,"Propelld",""),IF(N280=1,"Study4Buddy",""),IF(O280=1,"Poonawala Fincorp",""),IF(P280=1,"GyanDhan","")))</f>
        <v/>
      </c>
      <c r="T280">
        <f>IF(A280="","",IF(L280=1,"ICICI",IF(M280=1,"Propelld",IF(P280=1,"GyanDhan",IF(N280=1,"Study4Buddy",IF(O280=1,"Poonawala Fincorp",IF(ISNUMBER(SEARCH("GyanDhan",W280&amp;"")),"GyanDhan",IF(ISNUMBER(SEARCH("Icici",W280&amp;"")),"ICICI",IF(ISNUMBER(SEARCH("Propelld",W280&amp;"")),"Propelld",IF(ISNUMBER(SEARCH("vidyalakshmi",LOWER(W280&amp;"")),"PM Vidyalakshmi","—"))))))))))</f>
        <v/>
      </c>
      <c r="U280">
        <f>IF(A280="","",TRIM('01_Master_Data'!AA280&amp;""))</f>
        <v/>
      </c>
      <c r="V280">
        <f>IF(A280="","",TRIM('01_Master_Data'!AG280&amp;""))</f>
        <v/>
      </c>
      <c r="W280">
        <f>IF(A280="","",TRIM('01_Master_Data'!AH280&amp;""))</f>
        <v/>
      </c>
      <c r="X280">
        <f>IF(A280="","",IF(OR(LOWER(H280)="refund",LOWER(U280)="refund case"),"Refund",IF(OR(LOWER(H280)="dnp",LOWER(U280)="dnp"),"DNP",IF(OR(LOWER(V280)="disbursed",ISNUMBER(SEARCH("Disbursed",W280&amp;""))),"Disbursed",IF(OR(LOWER(V280)="loan proccessed/accepted",ISNUMBER(SEARCH("sanctioned",LOWER(W280&amp;"")))),"Sanctioned",IF(OR(LOWER(V280)="rejected",ISNUMBER(SEARCH("Not eligbile",W280&amp;"")),ISNUMBER(SEARCH("Not eligible",W280&amp;""))),"Rejected",IF(ISNUMBER(SEARCH("Docs Pending",W280&amp;"")),"Documents Pending",IF(AND(LOWER(H280)="yes",LOWER(V280)="ongoing"),"Processing",IF(AND(LOWER(H280)="yes",Q280&gt;0,OR(V280="",LOWER(V280)="not even started")),"Vendor Assigned",IF(AND(LOWER(H280)="yes",LOWER(V280)="not even started"),"Need Loan",IF(LOWER(H280)="yes","Loan Started",IF(LOWER(H280)="not sure","Interested",IF(OR(LOWER(H280)="no",LOWER(V280)="not required"),"Not Required","Unclassified")))))))))))))</f>
        <v/>
      </c>
      <c r="Y280">
        <f>IF(A280="","",IF(OR(X280="Sanctioned",X280="Disbursed",X280="Approved"),"Approved",IF(X280="Rejected","Rejected",IF(OR(X280="Processing",X280="Documents Pending",X280="Vendor Assigned"),"In Progress",IF(X280="Need Loan","Pending Start","—"))))</f>
        <v/>
      </c>
      <c r="Z280">
        <f>IF(A280="","",IF(X280="Disbursed","Disbursed",IF(X280="Sanctioned","Sanctioned - Awaiting Disbursement","Not Disbursed")))</f>
        <v/>
      </c>
      <c r="AA280">
        <f>IF(A280="","",IF(LOWER(TRIM('01_Master_Data'!AI280&amp;""))="yes","Need FLDG",IF(LOWER(TRIM('01_Master_Data'!AK280&amp;""))="yes","Need Vidyalakshmi",IF(LOWER(TRIM('01_Master_Data'!AJ280&amp;""))="yes","Need Review",IF(LOWER(J280)="critical","Critical",IF(LOWER(U280)="risk","Risk Case",IF(X280="Refund","Refund","Normal")))))))</f>
        <v/>
      </c>
      <c r="AB280">
        <f>IF(A280="","",IF(OR(LOWER(J280)="critical",LOWER(TRIM('01_Master_Data'!AI280&amp;""))="yes",LOWER(TRIM('01_Master_Data'!AK280&amp;""))="yes",LOWER(U280)="risk"),"Yes","No"))</f>
        <v/>
      </c>
      <c r="AC280">
        <f>IF(A280="","",IF(LOWER(TRIM('01_Master_Data'!AI280&amp;""))="yes","Yes","No"))</f>
        <v/>
      </c>
      <c r="AD280">
        <f>IF(A280="","",IF(LOWER(TRIM('01_Master_Data'!AK280&amp;""))="yes","Yes","No"))</f>
        <v/>
      </c>
      <c r="AE280">
        <f>IF(A280="","",IF(LOWER(TRIM('01_Master_Data'!AJ280&amp;""))="yes","Yes","No"))</f>
        <v/>
      </c>
      <c r="AF280">
        <f>IF(A280="","",TRIM('01_Master_Data'!AL280&amp;""))</f>
        <v/>
      </c>
      <c r="AG280">
        <f>IF(A280="","",IF(AF280="","—",IF(ISNUMBER(SEARCH("DNP",AF280)),"Unreachable / DNP",IF(ISNUMBER(SEARCH("interest",LOWER(AF280))),"High Interest / Terms",IF(OR(ISNUMBER(SEARCH("eligib",LOWER(AF280))),ISNUMBER(SEARCH("income",LOWER(AF280)))),"Eligibility / Income",IF(OR(ISNUMBER(SEARCH("start",LOWER(AF280))),ISNUMBER(SEARCH("Newer",AF280)),ISNUMBER(SEARCH("Will start",AF280))),"Process Yet to Start",IF(ISNUMBER(SEARCH("sure",LOWER(AF280))),"Undecided",IF(OR(ISNUMBER(SEARCH("reject",LOWER(AF280))),ISNUMBER(SEARCH("SBI",AF280))),"Rejected Elsewhere",IF(ISNUMBER(SEARCH("call",LOWER(AF280))),"Bank Communication",IF(OR(ISNUMBER(SEARCH("father",LOWER(AF280))),ISNUMBER(SEARCH("sister",LOWER(AF280)))),"Family / Dependency","Other"))))))))))</f>
        <v/>
      </c>
      <c r="AH280">
        <f>IF(A280="","",'01_Master_Data'!AC280)</f>
        <v/>
      </c>
      <c r="AI280">
        <f>IF(A280="","",IF(OR(AH280="",NOT(ISNUMBER(AH280))),"",MAX(0,'02_Configuration'!$B$82-AH280)))</f>
        <v/>
      </c>
      <c r="AJ280">
        <f>IF(A280="","",IF(AI280="","Unknown",IF(AI280&lt;=3,"0–3 Days",IF(AI280&lt;=7,"4–7 Days",IF(AI280&lt;=15,"8–15 Days",IF(AI280&lt;=30,"16–30 Days","30+ Days"))))))</f>
        <v/>
      </c>
      <c r="AK280">
        <f>IF(A280="","",IF(LOWER(H280)="yes","Yes","No"))</f>
        <v/>
      </c>
      <c r="AL280">
        <f>IF(A280="","",'01_Master_Data'!T280)</f>
        <v/>
      </c>
      <c r="AM280">
        <f>IF(A280="","",'01_Master_Data'!S280)</f>
        <v/>
      </c>
      <c r="AN280">
        <f>IF(A280="","",'01_Master_Data'!I280)</f>
        <v/>
      </c>
      <c r="AO280">
        <f>IF(A280="","",'01_Master_Data'!M280)</f>
        <v/>
      </c>
      <c r="AP280">
        <f>IF(A280="","",IF(ISNUMBER(SEARCH("Icici",W280&amp;"")),1,0))</f>
        <v/>
      </c>
      <c r="AQ280">
        <f>IF(A280="","",IF(ISNUMBER(SEARCH("Propelld",W280&amp;"")),1,0))</f>
        <v/>
      </c>
      <c r="AR280">
        <f>IF(A280="","",IF(ISNUMBER(SEARCH("GyanDhan",W280&amp;"")),1,0))</f>
        <v/>
      </c>
      <c r="AS280">
        <f>IF(A280="","",IF(ISNUMBER(SEARCH("vidyalakshmi",LOWER(W280&amp;""))),1,0))</f>
        <v/>
      </c>
      <c r="AT280">
        <f>IF(A280="","",IF(ISNUMBER(SEARCH("other bank",LOWER(W280&amp;""))),1,0))</f>
        <v/>
      </c>
      <c r="AU280">
        <f>IF(A280="","",IF(ISNUMBER(SEARCH("sanctioned",LOWER(W280&amp;""))),1,0))</f>
        <v/>
      </c>
      <c r="AV280">
        <f>IF(A280="","",IF(ISNUMBER(SEARCH("Docs Pending",W280&amp;"")),1,0))</f>
        <v/>
      </c>
      <c r="AW280">
        <f>IF(A280="","",IF(OR(X280="Rejected",ISNUMBER(SEARCH("Not eligbile",W280&amp;""))),1,0))</f>
        <v/>
      </c>
    </row>
    <row r="281">
      <c r="A281">
        <f>IF('01_Master_Data'!B281="","",280)</f>
        <v/>
      </c>
      <c r="B281">
        <f>IF('01_Master_Data'!B281="","",IF('01_Master_Data'!C281&lt;&gt;"","MOB|"&amp;TEXT('01_Master_Data'!C281,"0"),IF('01_Master_Data'!D281&lt;&gt;"","PID|"&amp;TRIM('01_Master_Data'!D281&amp;""),"")))</f>
        <v/>
      </c>
      <c r="C281">
        <f>IF('01_Master_Data'!B281="","",'01_Master_Data'!B281)</f>
        <v/>
      </c>
      <c r="D281">
        <f>IF('01_Master_Data'!B281="","",'01_Master_Data'!C281)</f>
        <v/>
      </c>
      <c r="E281">
        <f>IF('01_Master_Data'!B281="","",'01_Master_Data'!D281)</f>
        <v/>
      </c>
      <c r="F281">
        <f>IF('01_Master_Data'!B281="","",'01_Master_Data'!E281)</f>
        <v/>
      </c>
      <c r="G281">
        <f>IF('01_Master_Data'!B281="","",IFERROR(VLOOKUP(TRIM('01_Master_Data'!E281&amp;""),'02_Configuration'!$A$40:$B$44,2,FALSE),UPPER(TRIM('01_Master_Data'!E281&amp;""))))</f>
        <v/>
      </c>
      <c r="H281">
        <f>IF('01_Master_Data'!B281="","",IF('01_Master_Data'!U281="","",TRIM('01_Master_Data'!U281&amp;"")))</f>
        <v/>
      </c>
      <c r="I281">
        <f>IF('01_Master_Data'!B281="","",TRIM('01_Master_Data'!F281&amp;""))</f>
        <v/>
      </c>
      <c r="J281">
        <f>IF('01_Master_Data'!B281="","",TRIM('01_Master_Data'!G281&amp;""))</f>
        <v/>
      </c>
      <c r="K281">
        <f>IF('01_Master_Data'!B281="","",'01_Master_Data'!H281)</f>
        <v/>
      </c>
      <c r="L281">
        <f>IF('01_Master_Data'!B281="","",IF(LOWER(TRIM('01_Master_Data'!V281&amp;""))="yes",1,0))</f>
        <v/>
      </c>
      <c r="M281">
        <f>IF('01_Master_Data'!B281="","",IF(LOWER(TRIM('01_Master_Data'!W281&amp;""))="yes",1,0))</f>
        <v/>
      </c>
      <c r="N281">
        <f>IF('01_Master_Data'!B281="","",IF(LOWER(TRIM('01_Master_Data'!X281&amp;""))="yes",1,0))</f>
        <v/>
      </c>
      <c r="O281">
        <f>IF('01_Master_Data'!B281="","",IF(LOWER(TRIM('01_Master_Data'!Y281&amp;""))="yes",1,0))</f>
        <v/>
      </c>
      <c r="P281">
        <f>IF('01_Master_Data'!B281="","",IF(LOWER(TRIM('01_Master_Data'!Z281&amp;""))="yes",1,0))</f>
        <v/>
      </c>
      <c r="Q281">
        <f>IF(A281="","",L281+M281+N281+O281+P281)</f>
        <v/>
      </c>
      <c r="R281">
        <f>IF(A281="","",IF(Q281&gt;1,"Yes","No"))</f>
        <v/>
      </c>
      <c r="S281">
        <f>IF(A281="","",TEXTJOIN(", ",TRUE,IF(L281=1,"ICICI",""),IF(M281=1,"Propelld",""),IF(N281=1,"Study4Buddy",""),IF(O281=1,"Poonawala Fincorp",""),IF(P281=1,"GyanDhan","")))</f>
        <v/>
      </c>
      <c r="T281">
        <f>IF(A281="","",IF(L281=1,"ICICI",IF(M281=1,"Propelld",IF(P281=1,"GyanDhan",IF(N281=1,"Study4Buddy",IF(O281=1,"Poonawala Fincorp",IF(ISNUMBER(SEARCH("GyanDhan",W281&amp;"")),"GyanDhan",IF(ISNUMBER(SEARCH("Icici",W281&amp;"")),"ICICI",IF(ISNUMBER(SEARCH("Propelld",W281&amp;"")),"Propelld",IF(ISNUMBER(SEARCH("vidyalakshmi",LOWER(W281&amp;"")),"PM Vidyalakshmi","—"))))))))))</f>
        <v/>
      </c>
      <c r="U281">
        <f>IF(A281="","",TRIM('01_Master_Data'!AA281&amp;""))</f>
        <v/>
      </c>
      <c r="V281">
        <f>IF(A281="","",TRIM('01_Master_Data'!AG281&amp;""))</f>
        <v/>
      </c>
      <c r="W281">
        <f>IF(A281="","",TRIM('01_Master_Data'!AH281&amp;""))</f>
        <v/>
      </c>
      <c r="X281">
        <f>IF(A281="","",IF(OR(LOWER(H281)="refund",LOWER(U281)="refund case"),"Refund",IF(OR(LOWER(H281)="dnp",LOWER(U281)="dnp"),"DNP",IF(OR(LOWER(V281)="disbursed",ISNUMBER(SEARCH("Disbursed",W281&amp;""))),"Disbursed",IF(OR(LOWER(V281)="loan proccessed/accepted",ISNUMBER(SEARCH("sanctioned",LOWER(W281&amp;"")))),"Sanctioned",IF(OR(LOWER(V281)="rejected",ISNUMBER(SEARCH("Not eligbile",W281&amp;"")),ISNUMBER(SEARCH("Not eligible",W281&amp;""))),"Rejected",IF(ISNUMBER(SEARCH("Docs Pending",W281&amp;"")),"Documents Pending",IF(AND(LOWER(H281)="yes",LOWER(V281)="ongoing"),"Processing",IF(AND(LOWER(H281)="yes",Q281&gt;0,OR(V281="",LOWER(V281)="not even started")),"Vendor Assigned",IF(AND(LOWER(H281)="yes",LOWER(V281)="not even started"),"Need Loan",IF(LOWER(H281)="yes","Loan Started",IF(LOWER(H281)="not sure","Interested",IF(OR(LOWER(H281)="no",LOWER(V281)="not required"),"Not Required","Unclassified")))))))))))))</f>
        <v/>
      </c>
      <c r="Y281">
        <f>IF(A281="","",IF(OR(X281="Sanctioned",X281="Disbursed",X281="Approved"),"Approved",IF(X281="Rejected","Rejected",IF(OR(X281="Processing",X281="Documents Pending",X281="Vendor Assigned"),"In Progress",IF(X281="Need Loan","Pending Start","—"))))</f>
        <v/>
      </c>
      <c r="Z281">
        <f>IF(A281="","",IF(X281="Disbursed","Disbursed",IF(X281="Sanctioned","Sanctioned - Awaiting Disbursement","Not Disbursed")))</f>
        <v/>
      </c>
      <c r="AA281">
        <f>IF(A281="","",IF(LOWER(TRIM('01_Master_Data'!AI281&amp;""))="yes","Need FLDG",IF(LOWER(TRIM('01_Master_Data'!AK281&amp;""))="yes","Need Vidyalakshmi",IF(LOWER(TRIM('01_Master_Data'!AJ281&amp;""))="yes","Need Review",IF(LOWER(J281)="critical","Critical",IF(LOWER(U281)="risk","Risk Case",IF(X281="Refund","Refund","Normal")))))))</f>
        <v/>
      </c>
      <c r="AB281">
        <f>IF(A281="","",IF(OR(LOWER(J281)="critical",LOWER(TRIM('01_Master_Data'!AI281&amp;""))="yes",LOWER(TRIM('01_Master_Data'!AK281&amp;""))="yes",LOWER(U281)="risk"),"Yes","No"))</f>
        <v/>
      </c>
      <c r="AC281">
        <f>IF(A281="","",IF(LOWER(TRIM('01_Master_Data'!AI281&amp;""))="yes","Yes","No"))</f>
        <v/>
      </c>
      <c r="AD281">
        <f>IF(A281="","",IF(LOWER(TRIM('01_Master_Data'!AK281&amp;""))="yes","Yes","No"))</f>
        <v/>
      </c>
      <c r="AE281">
        <f>IF(A281="","",IF(LOWER(TRIM('01_Master_Data'!AJ281&amp;""))="yes","Yes","No"))</f>
        <v/>
      </c>
      <c r="AF281">
        <f>IF(A281="","",TRIM('01_Master_Data'!AL281&amp;""))</f>
        <v/>
      </c>
      <c r="AG281">
        <f>IF(A281="","",IF(AF281="","—",IF(ISNUMBER(SEARCH("DNP",AF281)),"Unreachable / DNP",IF(ISNUMBER(SEARCH("interest",LOWER(AF281))),"High Interest / Terms",IF(OR(ISNUMBER(SEARCH("eligib",LOWER(AF281))),ISNUMBER(SEARCH("income",LOWER(AF281)))),"Eligibility / Income",IF(OR(ISNUMBER(SEARCH("start",LOWER(AF281))),ISNUMBER(SEARCH("Newer",AF281)),ISNUMBER(SEARCH("Will start",AF281))),"Process Yet to Start",IF(ISNUMBER(SEARCH("sure",LOWER(AF281))),"Undecided",IF(OR(ISNUMBER(SEARCH("reject",LOWER(AF281))),ISNUMBER(SEARCH("SBI",AF281))),"Rejected Elsewhere",IF(ISNUMBER(SEARCH("call",LOWER(AF281))),"Bank Communication",IF(OR(ISNUMBER(SEARCH("father",LOWER(AF281))),ISNUMBER(SEARCH("sister",LOWER(AF281)))),"Family / Dependency","Other"))))))))))</f>
        <v/>
      </c>
      <c r="AH281">
        <f>IF(A281="","",'01_Master_Data'!AC281)</f>
        <v/>
      </c>
      <c r="AI281">
        <f>IF(A281="","",IF(OR(AH281="",NOT(ISNUMBER(AH281))),"",MAX(0,'02_Configuration'!$B$82-AH281)))</f>
        <v/>
      </c>
      <c r="AJ281">
        <f>IF(A281="","",IF(AI281="","Unknown",IF(AI281&lt;=3,"0–3 Days",IF(AI281&lt;=7,"4–7 Days",IF(AI281&lt;=15,"8–15 Days",IF(AI281&lt;=30,"16–30 Days","30+ Days"))))))</f>
        <v/>
      </c>
      <c r="AK281">
        <f>IF(A281="","",IF(LOWER(H281)="yes","Yes","No"))</f>
        <v/>
      </c>
      <c r="AL281">
        <f>IF(A281="","",'01_Master_Data'!T281)</f>
        <v/>
      </c>
      <c r="AM281">
        <f>IF(A281="","",'01_Master_Data'!S281)</f>
        <v/>
      </c>
      <c r="AN281">
        <f>IF(A281="","",'01_Master_Data'!I281)</f>
        <v/>
      </c>
      <c r="AO281">
        <f>IF(A281="","",'01_Master_Data'!M281)</f>
        <v/>
      </c>
      <c r="AP281">
        <f>IF(A281="","",IF(ISNUMBER(SEARCH("Icici",W281&amp;"")),1,0))</f>
        <v/>
      </c>
      <c r="AQ281">
        <f>IF(A281="","",IF(ISNUMBER(SEARCH("Propelld",W281&amp;"")),1,0))</f>
        <v/>
      </c>
      <c r="AR281">
        <f>IF(A281="","",IF(ISNUMBER(SEARCH("GyanDhan",W281&amp;"")),1,0))</f>
        <v/>
      </c>
      <c r="AS281">
        <f>IF(A281="","",IF(ISNUMBER(SEARCH("vidyalakshmi",LOWER(W281&amp;""))),1,0))</f>
        <v/>
      </c>
      <c r="AT281">
        <f>IF(A281="","",IF(ISNUMBER(SEARCH("other bank",LOWER(W281&amp;""))),1,0))</f>
        <v/>
      </c>
      <c r="AU281">
        <f>IF(A281="","",IF(ISNUMBER(SEARCH("sanctioned",LOWER(W281&amp;""))),1,0))</f>
        <v/>
      </c>
      <c r="AV281">
        <f>IF(A281="","",IF(ISNUMBER(SEARCH("Docs Pending",W281&amp;"")),1,0))</f>
        <v/>
      </c>
      <c r="AW281">
        <f>IF(A281="","",IF(OR(X281="Rejected",ISNUMBER(SEARCH("Not eligbile",W281&amp;""))),1,0))</f>
        <v/>
      </c>
    </row>
    <row r="282">
      <c r="A282">
        <f>IF('01_Master_Data'!B282="","",281)</f>
        <v/>
      </c>
      <c r="B282">
        <f>IF('01_Master_Data'!B282="","",IF('01_Master_Data'!C282&lt;&gt;"","MOB|"&amp;TEXT('01_Master_Data'!C282,"0"),IF('01_Master_Data'!D282&lt;&gt;"","PID|"&amp;TRIM('01_Master_Data'!D282&amp;""),"")))</f>
        <v/>
      </c>
      <c r="C282">
        <f>IF('01_Master_Data'!B282="","",'01_Master_Data'!B282)</f>
        <v/>
      </c>
      <c r="D282">
        <f>IF('01_Master_Data'!B282="","",'01_Master_Data'!C282)</f>
        <v/>
      </c>
      <c r="E282">
        <f>IF('01_Master_Data'!B282="","",'01_Master_Data'!D282)</f>
        <v/>
      </c>
      <c r="F282">
        <f>IF('01_Master_Data'!B282="","",'01_Master_Data'!E282)</f>
        <v/>
      </c>
      <c r="G282">
        <f>IF('01_Master_Data'!B282="","",IFERROR(VLOOKUP(TRIM('01_Master_Data'!E282&amp;""),'02_Configuration'!$A$40:$B$44,2,FALSE),UPPER(TRIM('01_Master_Data'!E282&amp;""))))</f>
        <v/>
      </c>
      <c r="H282">
        <f>IF('01_Master_Data'!B282="","",IF('01_Master_Data'!U282="","",TRIM('01_Master_Data'!U282&amp;"")))</f>
        <v/>
      </c>
      <c r="I282">
        <f>IF('01_Master_Data'!B282="","",TRIM('01_Master_Data'!F282&amp;""))</f>
        <v/>
      </c>
      <c r="J282">
        <f>IF('01_Master_Data'!B282="","",TRIM('01_Master_Data'!G282&amp;""))</f>
        <v/>
      </c>
      <c r="K282">
        <f>IF('01_Master_Data'!B282="","",'01_Master_Data'!H282)</f>
        <v/>
      </c>
      <c r="L282">
        <f>IF('01_Master_Data'!B282="","",IF(LOWER(TRIM('01_Master_Data'!V282&amp;""))="yes",1,0))</f>
        <v/>
      </c>
      <c r="M282">
        <f>IF('01_Master_Data'!B282="","",IF(LOWER(TRIM('01_Master_Data'!W282&amp;""))="yes",1,0))</f>
        <v/>
      </c>
      <c r="N282">
        <f>IF('01_Master_Data'!B282="","",IF(LOWER(TRIM('01_Master_Data'!X282&amp;""))="yes",1,0))</f>
        <v/>
      </c>
      <c r="O282">
        <f>IF('01_Master_Data'!B282="","",IF(LOWER(TRIM('01_Master_Data'!Y282&amp;""))="yes",1,0))</f>
        <v/>
      </c>
      <c r="P282">
        <f>IF('01_Master_Data'!B282="","",IF(LOWER(TRIM('01_Master_Data'!Z282&amp;""))="yes",1,0))</f>
        <v/>
      </c>
      <c r="Q282">
        <f>IF(A282="","",L282+M282+N282+O282+P282)</f>
        <v/>
      </c>
      <c r="R282">
        <f>IF(A282="","",IF(Q282&gt;1,"Yes","No"))</f>
        <v/>
      </c>
      <c r="S282">
        <f>IF(A282="","",TEXTJOIN(", ",TRUE,IF(L282=1,"ICICI",""),IF(M282=1,"Propelld",""),IF(N282=1,"Study4Buddy",""),IF(O282=1,"Poonawala Fincorp",""),IF(P282=1,"GyanDhan","")))</f>
        <v/>
      </c>
      <c r="T282">
        <f>IF(A282="","",IF(L282=1,"ICICI",IF(M282=1,"Propelld",IF(P282=1,"GyanDhan",IF(N282=1,"Study4Buddy",IF(O282=1,"Poonawala Fincorp",IF(ISNUMBER(SEARCH("GyanDhan",W282&amp;"")),"GyanDhan",IF(ISNUMBER(SEARCH("Icici",W282&amp;"")),"ICICI",IF(ISNUMBER(SEARCH("Propelld",W282&amp;"")),"Propelld",IF(ISNUMBER(SEARCH("vidyalakshmi",LOWER(W282&amp;"")),"PM Vidyalakshmi","—"))))))))))</f>
        <v/>
      </c>
      <c r="U282">
        <f>IF(A282="","",TRIM('01_Master_Data'!AA282&amp;""))</f>
        <v/>
      </c>
      <c r="V282">
        <f>IF(A282="","",TRIM('01_Master_Data'!AG282&amp;""))</f>
        <v/>
      </c>
      <c r="W282">
        <f>IF(A282="","",TRIM('01_Master_Data'!AH282&amp;""))</f>
        <v/>
      </c>
      <c r="X282">
        <f>IF(A282="","",IF(OR(LOWER(H282)="refund",LOWER(U282)="refund case"),"Refund",IF(OR(LOWER(H282)="dnp",LOWER(U282)="dnp"),"DNP",IF(OR(LOWER(V282)="disbursed",ISNUMBER(SEARCH("Disbursed",W282&amp;""))),"Disbursed",IF(OR(LOWER(V282)="loan proccessed/accepted",ISNUMBER(SEARCH("sanctioned",LOWER(W282&amp;"")))),"Sanctioned",IF(OR(LOWER(V282)="rejected",ISNUMBER(SEARCH("Not eligbile",W282&amp;"")),ISNUMBER(SEARCH("Not eligible",W282&amp;""))),"Rejected",IF(ISNUMBER(SEARCH("Docs Pending",W282&amp;"")),"Documents Pending",IF(AND(LOWER(H282)="yes",LOWER(V282)="ongoing"),"Processing",IF(AND(LOWER(H282)="yes",Q282&gt;0,OR(V282="",LOWER(V282)="not even started")),"Vendor Assigned",IF(AND(LOWER(H282)="yes",LOWER(V282)="not even started"),"Need Loan",IF(LOWER(H282)="yes","Loan Started",IF(LOWER(H282)="not sure","Interested",IF(OR(LOWER(H282)="no",LOWER(V282)="not required"),"Not Required","Unclassified")))))))))))))</f>
        <v/>
      </c>
      <c r="Y282">
        <f>IF(A282="","",IF(OR(X282="Sanctioned",X282="Disbursed",X282="Approved"),"Approved",IF(X282="Rejected","Rejected",IF(OR(X282="Processing",X282="Documents Pending",X282="Vendor Assigned"),"In Progress",IF(X282="Need Loan","Pending Start","—"))))</f>
        <v/>
      </c>
      <c r="Z282">
        <f>IF(A282="","",IF(X282="Disbursed","Disbursed",IF(X282="Sanctioned","Sanctioned - Awaiting Disbursement","Not Disbursed")))</f>
        <v/>
      </c>
      <c r="AA282">
        <f>IF(A282="","",IF(LOWER(TRIM('01_Master_Data'!AI282&amp;""))="yes","Need FLDG",IF(LOWER(TRIM('01_Master_Data'!AK282&amp;""))="yes","Need Vidyalakshmi",IF(LOWER(TRIM('01_Master_Data'!AJ282&amp;""))="yes","Need Review",IF(LOWER(J282)="critical","Critical",IF(LOWER(U282)="risk","Risk Case",IF(X282="Refund","Refund","Normal")))))))</f>
        <v/>
      </c>
      <c r="AB282">
        <f>IF(A282="","",IF(OR(LOWER(J282)="critical",LOWER(TRIM('01_Master_Data'!AI282&amp;""))="yes",LOWER(TRIM('01_Master_Data'!AK282&amp;""))="yes",LOWER(U282)="risk"),"Yes","No"))</f>
        <v/>
      </c>
      <c r="AC282">
        <f>IF(A282="","",IF(LOWER(TRIM('01_Master_Data'!AI282&amp;""))="yes","Yes","No"))</f>
        <v/>
      </c>
      <c r="AD282">
        <f>IF(A282="","",IF(LOWER(TRIM('01_Master_Data'!AK282&amp;""))="yes","Yes","No"))</f>
        <v/>
      </c>
      <c r="AE282">
        <f>IF(A282="","",IF(LOWER(TRIM('01_Master_Data'!AJ282&amp;""))="yes","Yes","No"))</f>
        <v/>
      </c>
      <c r="AF282">
        <f>IF(A282="","",TRIM('01_Master_Data'!AL282&amp;""))</f>
        <v/>
      </c>
      <c r="AG282">
        <f>IF(A282="","",IF(AF282="","—",IF(ISNUMBER(SEARCH("DNP",AF282)),"Unreachable / DNP",IF(ISNUMBER(SEARCH("interest",LOWER(AF282))),"High Interest / Terms",IF(OR(ISNUMBER(SEARCH("eligib",LOWER(AF282))),ISNUMBER(SEARCH("income",LOWER(AF282)))),"Eligibility / Income",IF(OR(ISNUMBER(SEARCH("start",LOWER(AF282))),ISNUMBER(SEARCH("Newer",AF282)),ISNUMBER(SEARCH("Will start",AF282))),"Process Yet to Start",IF(ISNUMBER(SEARCH("sure",LOWER(AF282))),"Undecided",IF(OR(ISNUMBER(SEARCH("reject",LOWER(AF282))),ISNUMBER(SEARCH("SBI",AF282))),"Rejected Elsewhere",IF(ISNUMBER(SEARCH("call",LOWER(AF282))),"Bank Communication",IF(OR(ISNUMBER(SEARCH("father",LOWER(AF282))),ISNUMBER(SEARCH("sister",LOWER(AF282)))),"Family / Dependency","Other"))))))))))</f>
        <v/>
      </c>
      <c r="AH282">
        <f>IF(A282="","",'01_Master_Data'!AC282)</f>
        <v/>
      </c>
      <c r="AI282">
        <f>IF(A282="","",IF(OR(AH282="",NOT(ISNUMBER(AH282))),"",MAX(0,'02_Configuration'!$B$82-AH282)))</f>
        <v/>
      </c>
      <c r="AJ282">
        <f>IF(A282="","",IF(AI282="","Unknown",IF(AI282&lt;=3,"0–3 Days",IF(AI282&lt;=7,"4–7 Days",IF(AI282&lt;=15,"8–15 Days",IF(AI282&lt;=30,"16–30 Days","30+ Days"))))))</f>
        <v/>
      </c>
      <c r="AK282">
        <f>IF(A282="","",IF(LOWER(H282)="yes","Yes","No"))</f>
        <v/>
      </c>
      <c r="AL282">
        <f>IF(A282="","",'01_Master_Data'!T282)</f>
        <v/>
      </c>
      <c r="AM282">
        <f>IF(A282="","",'01_Master_Data'!S282)</f>
        <v/>
      </c>
      <c r="AN282">
        <f>IF(A282="","",'01_Master_Data'!I282)</f>
        <v/>
      </c>
      <c r="AO282">
        <f>IF(A282="","",'01_Master_Data'!M282)</f>
        <v/>
      </c>
      <c r="AP282">
        <f>IF(A282="","",IF(ISNUMBER(SEARCH("Icici",W282&amp;"")),1,0))</f>
        <v/>
      </c>
      <c r="AQ282">
        <f>IF(A282="","",IF(ISNUMBER(SEARCH("Propelld",W282&amp;"")),1,0))</f>
        <v/>
      </c>
      <c r="AR282">
        <f>IF(A282="","",IF(ISNUMBER(SEARCH("GyanDhan",W282&amp;"")),1,0))</f>
        <v/>
      </c>
      <c r="AS282">
        <f>IF(A282="","",IF(ISNUMBER(SEARCH("vidyalakshmi",LOWER(W282&amp;""))),1,0))</f>
        <v/>
      </c>
      <c r="AT282">
        <f>IF(A282="","",IF(ISNUMBER(SEARCH("other bank",LOWER(W282&amp;""))),1,0))</f>
        <v/>
      </c>
      <c r="AU282">
        <f>IF(A282="","",IF(ISNUMBER(SEARCH("sanctioned",LOWER(W282&amp;""))),1,0))</f>
        <v/>
      </c>
      <c r="AV282">
        <f>IF(A282="","",IF(ISNUMBER(SEARCH("Docs Pending",W282&amp;"")),1,0))</f>
        <v/>
      </c>
      <c r="AW282">
        <f>IF(A282="","",IF(OR(X282="Rejected",ISNUMBER(SEARCH("Not eligbile",W282&amp;""))),1,0))</f>
        <v/>
      </c>
    </row>
    <row r="283">
      <c r="A283">
        <f>IF('01_Master_Data'!B283="","",282)</f>
        <v/>
      </c>
      <c r="B283">
        <f>IF('01_Master_Data'!B283="","",IF('01_Master_Data'!C283&lt;&gt;"","MOB|"&amp;TEXT('01_Master_Data'!C283,"0"),IF('01_Master_Data'!D283&lt;&gt;"","PID|"&amp;TRIM('01_Master_Data'!D283&amp;""),"")))</f>
        <v/>
      </c>
      <c r="C283">
        <f>IF('01_Master_Data'!B283="","",'01_Master_Data'!B283)</f>
        <v/>
      </c>
      <c r="D283">
        <f>IF('01_Master_Data'!B283="","",'01_Master_Data'!C283)</f>
        <v/>
      </c>
      <c r="E283">
        <f>IF('01_Master_Data'!B283="","",'01_Master_Data'!D283)</f>
        <v/>
      </c>
      <c r="F283">
        <f>IF('01_Master_Data'!B283="","",'01_Master_Data'!E283)</f>
        <v/>
      </c>
      <c r="G283">
        <f>IF('01_Master_Data'!B283="","",IFERROR(VLOOKUP(TRIM('01_Master_Data'!E283&amp;""),'02_Configuration'!$A$40:$B$44,2,FALSE),UPPER(TRIM('01_Master_Data'!E283&amp;""))))</f>
        <v/>
      </c>
      <c r="H283">
        <f>IF('01_Master_Data'!B283="","",IF('01_Master_Data'!U283="","",TRIM('01_Master_Data'!U283&amp;"")))</f>
        <v/>
      </c>
      <c r="I283">
        <f>IF('01_Master_Data'!B283="","",TRIM('01_Master_Data'!F283&amp;""))</f>
        <v/>
      </c>
      <c r="J283">
        <f>IF('01_Master_Data'!B283="","",TRIM('01_Master_Data'!G283&amp;""))</f>
        <v/>
      </c>
      <c r="K283">
        <f>IF('01_Master_Data'!B283="","",'01_Master_Data'!H283)</f>
        <v/>
      </c>
      <c r="L283">
        <f>IF('01_Master_Data'!B283="","",IF(LOWER(TRIM('01_Master_Data'!V283&amp;""))="yes",1,0))</f>
        <v/>
      </c>
      <c r="M283">
        <f>IF('01_Master_Data'!B283="","",IF(LOWER(TRIM('01_Master_Data'!W283&amp;""))="yes",1,0))</f>
        <v/>
      </c>
      <c r="N283">
        <f>IF('01_Master_Data'!B283="","",IF(LOWER(TRIM('01_Master_Data'!X283&amp;""))="yes",1,0))</f>
        <v/>
      </c>
      <c r="O283">
        <f>IF('01_Master_Data'!B283="","",IF(LOWER(TRIM('01_Master_Data'!Y283&amp;""))="yes",1,0))</f>
        <v/>
      </c>
      <c r="P283">
        <f>IF('01_Master_Data'!B283="","",IF(LOWER(TRIM('01_Master_Data'!Z283&amp;""))="yes",1,0))</f>
        <v/>
      </c>
      <c r="Q283">
        <f>IF(A283="","",L283+M283+N283+O283+P283)</f>
        <v/>
      </c>
      <c r="R283">
        <f>IF(A283="","",IF(Q283&gt;1,"Yes","No"))</f>
        <v/>
      </c>
      <c r="S283">
        <f>IF(A283="","",TEXTJOIN(", ",TRUE,IF(L283=1,"ICICI",""),IF(M283=1,"Propelld",""),IF(N283=1,"Study4Buddy",""),IF(O283=1,"Poonawala Fincorp",""),IF(P283=1,"GyanDhan","")))</f>
        <v/>
      </c>
      <c r="T283">
        <f>IF(A283="","",IF(L283=1,"ICICI",IF(M283=1,"Propelld",IF(P283=1,"GyanDhan",IF(N283=1,"Study4Buddy",IF(O283=1,"Poonawala Fincorp",IF(ISNUMBER(SEARCH("GyanDhan",W283&amp;"")),"GyanDhan",IF(ISNUMBER(SEARCH("Icici",W283&amp;"")),"ICICI",IF(ISNUMBER(SEARCH("Propelld",W283&amp;"")),"Propelld",IF(ISNUMBER(SEARCH("vidyalakshmi",LOWER(W283&amp;"")),"PM Vidyalakshmi","—"))))))))))</f>
        <v/>
      </c>
      <c r="U283">
        <f>IF(A283="","",TRIM('01_Master_Data'!AA283&amp;""))</f>
        <v/>
      </c>
      <c r="V283">
        <f>IF(A283="","",TRIM('01_Master_Data'!AG283&amp;""))</f>
        <v/>
      </c>
      <c r="W283">
        <f>IF(A283="","",TRIM('01_Master_Data'!AH283&amp;""))</f>
        <v/>
      </c>
      <c r="X283">
        <f>IF(A283="","",IF(OR(LOWER(H283)="refund",LOWER(U283)="refund case"),"Refund",IF(OR(LOWER(H283)="dnp",LOWER(U283)="dnp"),"DNP",IF(OR(LOWER(V283)="disbursed",ISNUMBER(SEARCH("Disbursed",W283&amp;""))),"Disbursed",IF(OR(LOWER(V283)="loan proccessed/accepted",ISNUMBER(SEARCH("sanctioned",LOWER(W283&amp;"")))),"Sanctioned",IF(OR(LOWER(V283)="rejected",ISNUMBER(SEARCH("Not eligbile",W283&amp;"")),ISNUMBER(SEARCH("Not eligible",W283&amp;""))),"Rejected",IF(ISNUMBER(SEARCH("Docs Pending",W283&amp;"")),"Documents Pending",IF(AND(LOWER(H283)="yes",LOWER(V283)="ongoing"),"Processing",IF(AND(LOWER(H283)="yes",Q283&gt;0,OR(V283="",LOWER(V283)="not even started")),"Vendor Assigned",IF(AND(LOWER(H283)="yes",LOWER(V283)="not even started"),"Need Loan",IF(LOWER(H283)="yes","Loan Started",IF(LOWER(H283)="not sure","Interested",IF(OR(LOWER(H283)="no",LOWER(V283)="not required"),"Not Required","Unclassified")))))))))))))</f>
        <v/>
      </c>
      <c r="Y283">
        <f>IF(A283="","",IF(OR(X283="Sanctioned",X283="Disbursed",X283="Approved"),"Approved",IF(X283="Rejected","Rejected",IF(OR(X283="Processing",X283="Documents Pending",X283="Vendor Assigned"),"In Progress",IF(X283="Need Loan","Pending Start","—"))))</f>
        <v/>
      </c>
      <c r="Z283">
        <f>IF(A283="","",IF(X283="Disbursed","Disbursed",IF(X283="Sanctioned","Sanctioned - Awaiting Disbursement","Not Disbursed")))</f>
        <v/>
      </c>
      <c r="AA283">
        <f>IF(A283="","",IF(LOWER(TRIM('01_Master_Data'!AI283&amp;""))="yes","Need FLDG",IF(LOWER(TRIM('01_Master_Data'!AK283&amp;""))="yes","Need Vidyalakshmi",IF(LOWER(TRIM('01_Master_Data'!AJ283&amp;""))="yes","Need Review",IF(LOWER(J283)="critical","Critical",IF(LOWER(U283)="risk","Risk Case",IF(X283="Refund","Refund","Normal")))))))</f>
        <v/>
      </c>
      <c r="AB283">
        <f>IF(A283="","",IF(OR(LOWER(J283)="critical",LOWER(TRIM('01_Master_Data'!AI283&amp;""))="yes",LOWER(TRIM('01_Master_Data'!AK283&amp;""))="yes",LOWER(U283)="risk"),"Yes","No"))</f>
        <v/>
      </c>
      <c r="AC283">
        <f>IF(A283="","",IF(LOWER(TRIM('01_Master_Data'!AI283&amp;""))="yes","Yes","No"))</f>
        <v/>
      </c>
      <c r="AD283">
        <f>IF(A283="","",IF(LOWER(TRIM('01_Master_Data'!AK283&amp;""))="yes","Yes","No"))</f>
        <v/>
      </c>
      <c r="AE283">
        <f>IF(A283="","",IF(LOWER(TRIM('01_Master_Data'!AJ283&amp;""))="yes","Yes","No"))</f>
        <v/>
      </c>
      <c r="AF283">
        <f>IF(A283="","",TRIM('01_Master_Data'!AL283&amp;""))</f>
        <v/>
      </c>
      <c r="AG283">
        <f>IF(A283="","",IF(AF283="","—",IF(ISNUMBER(SEARCH("DNP",AF283)),"Unreachable / DNP",IF(ISNUMBER(SEARCH("interest",LOWER(AF283))),"High Interest / Terms",IF(OR(ISNUMBER(SEARCH("eligib",LOWER(AF283))),ISNUMBER(SEARCH("income",LOWER(AF283)))),"Eligibility / Income",IF(OR(ISNUMBER(SEARCH("start",LOWER(AF283))),ISNUMBER(SEARCH("Newer",AF283)),ISNUMBER(SEARCH("Will start",AF283))),"Process Yet to Start",IF(ISNUMBER(SEARCH("sure",LOWER(AF283))),"Undecided",IF(OR(ISNUMBER(SEARCH("reject",LOWER(AF283))),ISNUMBER(SEARCH("SBI",AF283))),"Rejected Elsewhere",IF(ISNUMBER(SEARCH("call",LOWER(AF283))),"Bank Communication",IF(OR(ISNUMBER(SEARCH("father",LOWER(AF283))),ISNUMBER(SEARCH("sister",LOWER(AF283)))),"Family / Dependency","Other"))))))))))</f>
        <v/>
      </c>
      <c r="AH283">
        <f>IF(A283="","",'01_Master_Data'!AC283)</f>
        <v/>
      </c>
      <c r="AI283">
        <f>IF(A283="","",IF(OR(AH283="",NOT(ISNUMBER(AH283))),"",MAX(0,'02_Configuration'!$B$82-AH283)))</f>
        <v/>
      </c>
      <c r="AJ283">
        <f>IF(A283="","",IF(AI283="","Unknown",IF(AI283&lt;=3,"0–3 Days",IF(AI283&lt;=7,"4–7 Days",IF(AI283&lt;=15,"8–15 Days",IF(AI283&lt;=30,"16–30 Days","30+ Days"))))))</f>
        <v/>
      </c>
      <c r="AK283">
        <f>IF(A283="","",IF(LOWER(H283)="yes","Yes","No"))</f>
        <v/>
      </c>
      <c r="AL283">
        <f>IF(A283="","",'01_Master_Data'!T283)</f>
        <v/>
      </c>
      <c r="AM283">
        <f>IF(A283="","",'01_Master_Data'!S283)</f>
        <v/>
      </c>
      <c r="AN283">
        <f>IF(A283="","",'01_Master_Data'!I283)</f>
        <v/>
      </c>
      <c r="AO283">
        <f>IF(A283="","",'01_Master_Data'!M283)</f>
        <v/>
      </c>
      <c r="AP283">
        <f>IF(A283="","",IF(ISNUMBER(SEARCH("Icici",W283&amp;"")),1,0))</f>
        <v/>
      </c>
      <c r="AQ283">
        <f>IF(A283="","",IF(ISNUMBER(SEARCH("Propelld",W283&amp;"")),1,0))</f>
        <v/>
      </c>
      <c r="AR283">
        <f>IF(A283="","",IF(ISNUMBER(SEARCH("GyanDhan",W283&amp;"")),1,0))</f>
        <v/>
      </c>
      <c r="AS283">
        <f>IF(A283="","",IF(ISNUMBER(SEARCH("vidyalakshmi",LOWER(W283&amp;""))),1,0))</f>
        <v/>
      </c>
      <c r="AT283">
        <f>IF(A283="","",IF(ISNUMBER(SEARCH("other bank",LOWER(W283&amp;""))),1,0))</f>
        <v/>
      </c>
      <c r="AU283">
        <f>IF(A283="","",IF(ISNUMBER(SEARCH("sanctioned",LOWER(W283&amp;""))),1,0))</f>
        <v/>
      </c>
      <c r="AV283">
        <f>IF(A283="","",IF(ISNUMBER(SEARCH("Docs Pending",W283&amp;"")),1,0))</f>
        <v/>
      </c>
      <c r="AW283">
        <f>IF(A283="","",IF(OR(X283="Rejected",ISNUMBER(SEARCH("Not eligbile",W283&amp;""))),1,0))</f>
        <v/>
      </c>
    </row>
    <row r="284">
      <c r="A284">
        <f>IF('01_Master_Data'!B284="","",283)</f>
        <v/>
      </c>
      <c r="B284">
        <f>IF('01_Master_Data'!B284="","",IF('01_Master_Data'!C284&lt;&gt;"","MOB|"&amp;TEXT('01_Master_Data'!C284,"0"),IF('01_Master_Data'!D284&lt;&gt;"","PID|"&amp;TRIM('01_Master_Data'!D284&amp;""),"")))</f>
        <v/>
      </c>
      <c r="C284">
        <f>IF('01_Master_Data'!B284="","",'01_Master_Data'!B284)</f>
        <v/>
      </c>
      <c r="D284">
        <f>IF('01_Master_Data'!B284="","",'01_Master_Data'!C284)</f>
        <v/>
      </c>
      <c r="E284">
        <f>IF('01_Master_Data'!B284="","",'01_Master_Data'!D284)</f>
        <v/>
      </c>
      <c r="F284">
        <f>IF('01_Master_Data'!B284="","",'01_Master_Data'!E284)</f>
        <v/>
      </c>
      <c r="G284">
        <f>IF('01_Master_Data'!B284="","",IFERROR(VLOOKUP(TRIM('01_Master_Data'!E284&amp;""),'02_Configuration'!$A$40:$B$44,2,FALSE),UPPER(TRIM('01_Master_Data'!E284&amp;""))))</f>
        <v/>
      </c>
      <c r="H284">
        <f>IF('01_Master_Data'!B284="","",IF('01_Master_Data'!U284="","",TRIM('01_Master_Data'!U284&amp;"")))</f>
        <v/>
      </c>
      <c r="I284">
        <f>IF('01_Master_Data'!B284="","",TRIM('01_Master_Data'!F284&amp;""))</f>
        <v/>
      </c>
      <c r="J284">
        <f>IF('01_Master_Data'!B284="","",TRIM('01_Master_Data'!G284&amp;""))</f>
        <v/>
      </c>
      <c r="K284">
        <f>IF('01_Master_Data'!B284="","",'01_Master_Data'!H284)</f>
        <v/>
      </c>
      <c r="L284">
        <f>IF('01_Master_Data'!B284="","",IF(LOWER(TRIM('01_Master_Data'!V284&amp;""))="yes",1,0))</f>
        <v/>
      </c>
      <c r="M284">
        <f>IF('01_Master_Data'!B284="","",IF(LOWER(TRIM('01_Master_Data'!W284&amp;""))="yes",1,0))</f>
        <v/>
      </c>
      <c r="N284">
        <f>IF('01_Master_Data'!B284="","",IF(LOWER(TRIM('01_Master_Data'!X284&amp;""))="yes",1,0))</f>
        <v/>
      </c>
      <c r="O284">
        <f>IF('01_Master_Data'!B284="","",IF(LOWER(TRIM('01_Master_Data'!Y284&amp;""))="yes",1,0))</f>
        <v/>
      </c>
      <c r="P284">
        <f>IF('01_Master_Data'!B284="","",IF(LOWER(TRIM('01_Master_Data'!Z284&amp;""))="yes",1,0))</f>
        <v/>
      </c>
      <c r="Q284">
        <f>IF(A284="","",L284+M284+N284+O284+P284)</f>
        <v/>
      </c>
      <c r="R284">
        <f>IF(A284="","",IF(Q284&gt;1,"Yes","No"))</f>
        <v/>
      </c>
      <c r="S284">
        <f>IF(A284="","",TEXTJOIN(", ",TRUE,IF(L284=1,"ICICI",""),IF(M284=1,"Propelld",""),IF(N284=1,"Study4Buddy",""),IF(O284=1,"Poonawala Fincorp",""),IF(P284=1,"GyanDhan","")))</f>
        <v/>
      </c>
      <c r="T284">
        <f>IF(A284="","",IF(L284=1,"ICICI",IF(M284=1,"Propelld",IF(P284=1,"GyanDhan",IF(N284=1,"Study4Buddy",IF(O284=1,"Poonawala Fincorp",IF(ISNUMBER(SEARCH("GyanDhan",W284&amp;"")),"GyanDhan",IF(ISNUMBER(SEARCH("Icici",W284&amp;"")),"ICICI",IF(ISNUMBER(SEARCH("Propelld",W284&amp;"")),"Propelld",IF(ISNUMBER(SEARCH("vidyalakshmi",LOWER(W284&amp;"")),"PM Vidyalakshmi","—"))))))))))</f>
        <v/>
      </c>
      <c r="U284">
        <f>IF(A284="","",TRIM('01_Master_Data'!AA284&amp;""))</f>
        <v/>
      </c>
      <c r="V284">
        <f>IF(A284="","",TRIM('01_Master_Data'!AG284&amp;""))</f>
        <v/>
      </c>
      <c r="W284">
        <f>IF(A284="","",TRIM('01_Master_Data'!AH284&amp;""))</f>
        <v/>
      </c>
      <c r="X284">
        <f>IF(A284="","",IF(OR(LOWER(H284)="refund",LOWER(U284)="refund case"),"Refund",IF(OR(LOWER(H284)="dnp",LOWER(U284)="dnp"),"DNP",IF(OR(LOWER(V284)="disbursed",ISNUMBER(SEARCH("Disbursed",W284&amp;""))),"Disbursed",IF(OR(LOWER(V284)="loan proccessed/accepted",ISNUMBER(SEARCH("sanctioned",LOWER(W284&amp;"")))),"Sanctioned",IF(OR(LOWER(V284)="rejected",ISNUMBER(SEARCH("Not eligbile",W284&amp;"")),ISNUMBER(SEARCH("Not eligible",W284&amp;""))),"Rejected",IF(ISNUMBER(SEARCH("Docs Pending",W284&amp;"")),"Documents Pending",IF(AND(LOWER(H284)="yes",LOWER(V284)="ongoing"),"Processing",IF(AND(LOWER(H284)="yes",Q284&gt;0,OR(V284="",LOWER(V284)="not even started")),"Vendor Assigned",IF(AND(LOWER(H284)="yes",LOWER(V284)="not even started"),"Need Loan",IF(LOWER(H284)="yes","Loan Started",IF(LOWER(H284)="not sure","Interested",IF(OR(LOWER(H284)="no",LOWER(V284)="not required"),"Not Required","Unclassified")))))))))))))</f>
        <v/>
      </c>
      <c r="Y284">
        <f>IF(A284="","",IF(OR(X284="Sanctioned",X284="Disbursed",X284="Approved"),"Approved",IF(X284="Rejected","Rejected",IF(OR(X284="Processing",X284="Documents Pending",X284="Vendor Assigned"),"In Progress",IF(X284="Need Loan","Pending Start","—"))))</f>
        <v/>
      </c>
      <c r="Z284">
        <f>IF(A284="","",IF(X284="Disbursed","Disbursed",IF(X284="Sanctioned","Sanctioned - Awaiting Disbursement","Not Disbursed")))</f>
        <v/>
      </c>
      <c r="AA284">
        <f>IF(A284="","",IF(LOWER(TRIM('01_Master_Data'!AI284&amp;""))="yes","Need FLDG",IF(LOWER(TRIM('01_Master_Data'!AK284&amp;""))="yes","Need Vidyalakshmi",IF(LOWER(TRIM('01_Master_Data'!AJ284&amp;""))="yes","Need Review",IF(LOWER(J284)="critical","Critical",IF(LOWER(U284)="risk","Risk Case",IF(X284="Refund","Refund","Normal")))))))</f>
        <v/>
      </c>
      <c r="AB284">
        <f>IF(A284="","",IF(OR(LOWER(J284)="critical",LOWER(TRIM('01_Master_Data'!AI284&amp;""))="yes",LOWER(TRIM('01_Master_Data'!AK284&amp;""))="yes",LOWER(U284)="risk"),"Yes","No"))</f>
        <v/>
      </c>
      <c r="AC284">
        <f>IF(A284="","",IF(LOWER(TRIM('01_Master_Data'!AI284&amp;""))="yes","Yes","No"))</f>
        <v/>
      </c>
      <c r="AD284">
        <f>IF(A284="","",IF(LOWER(TRIM('01_Master_Data'!AK284&amp;""))="yes","Yes","No"))</f>
        <v/>
      </c>
      <c r="AE284">
        <f>IF(A284="","",IF(LOWER(TRIM('01_Master_Data'!AJ284&amp;""))="yes","Yes","No"))</f>
        <v/>
      </c>
      <c r="AF284">
        <f>IF(A284="","",TRIM('01_Master_Data'!AL284&amp;""))</f>
        <v/>
      </c>
      <c r="AG284">
        <f>IF(A284="","",IF(AF284="","—",IF(ISNUMBER(SEARCH("DNP",AF284)),"Unreachable / DNP",IF(ISNUMBER(SEARCH("interest",LOWER(AF284))),"High Interest / Terms",IF(OR(ISNUMBER(SEARCH("eligib",LOWER(AF284))),ISNUMBER(SEARCH("income",LOWER(AF284)))),"Eligibility / Income",IF(OR(ISNUMBER(SEARCH("start",LOWER(AF284))),ISNUMBER(SEARCH("Newer",AF284)),ISNUMBER(SEARCH("Will start",AF284))),"Process Yet to Start",IF(ISNUMBER(SEARCH("sure",LOWER(AF284))),"Undecided",IF(OR(ISNUMBER(SEARCH("reject",LOWER(AF284))),ISNUMBER(SEARCH("SBI",AF284))),"Rejected Elsewhere",IF(ISNUMBER(SEARCH("call",LOWER(AF284))),"Bank Communication",IF(OR(ISNUMBER(SEARCH("father",LOWER(AF284))),ISNUMBER(SEARCH("sister",LOWER(AF284)))),"Family / Dependency","Other"))))))))))</f>
        <v/>
      </c>
      <c r="AH284">
        <f>IF(A284="","",'01_Master_Data'!AC284)</f>
        <v/>
      </c>
      <c r="AI284">
        <f>IF(A284="","",IF(OR(AH284="",NOT(ISNUMBER(AH284))),"",MAX(0,'02_Configuration'!$B$82-AH284)))</f>
        <v/>
      </c>
      <c r="AJ284">
        <f>IF(A284="","",IF(AI284="","Unknown",IF(AI284&lt;=3,"0–3 Days",IF(AI284&lt;=7,"4–7 Days",IF(AI284&lt;=15,"8–15 Days",IF(AI284&lt;=30,"16–30 Days","30+ Days"))))))</f>
        <v/>
      </c>
      <c r="AK284">
        <f>IF(A284="","",IF(LOWER(H284)="yes","Yes","No"))</f>
        <v/>
      </c>
      <c r="AL284">
        <f>IF(A284="","",'01_Master_Data'!T284)</f>
        <v/>
      </c>
      <c r="AM284">
        <f>IF(A284="","",'01_Master_Data'!S284)</f>
        <v/>
      </c>
      <c r="AN284">
        <f>IF(A284="","",'01_Master_Data'!I284)</f>
        <v/>
      </c>
      <c r="AO284">
        <f>IF(A284="","",'01_Master_Data'!M284)</f>
        <v/>
      </c>
      <c r="AP284">
        <f>IF(A284="","",IF(ISNUMBER(SEARCH("Icici",W284&amp;"")),1,0))</f>
        <v/>
      </c>
      <c r="AQ284">
        <f>IF(A284="","",IF(ISNUMBER(SEARCH("Propelld",W284&amp;"")),1,0))</f>
        <v/>
      </c>
      <c r="AR284">
        <f>IF(A284="","",IF(ISNUMBER(SEARCH("GyanDhan",W284&amp;"")),1,0))</f>
        <v/>
      </c>
      <c r="AS284">
        <f>IF(A284="","",IF(ISNUMBER(SEARCH("vidyalakshmi",LOWER(W284&amp;""))),1,0))</f>
        <v/>
      </c>
      <c r="AT284">
        <f>IF(A284="","",IF(ISNUMBER(SEARCH("other bank",LOWER(W284&amp;""))),1,0))</f>
        <v/>
      </c>
      <c r="AU284">
        <f>IF(A284="","",IF(ISNUMBER(SEARCH("sanctioned",LOWER(W284&amp;""))),1,0))</f>
        <v/>
      </c>
      <c r="AV284">
        <f>IF(A284="","",IF(ISNUMBER(SEARCH("Docs Pending",W284&amp;"")),1,0))</f>
        <v/>
      </c>
      <c r="AW284">
        <f>IF(A284="","",IF(OR(X284="Rejected",ISNUMBER(SEARCH("Not eligbile",W284&amp;""))),1,0))</f>
        <v/>
      </c>
    </row>
    <row r="285">
      <c r="A285">
        <f>IF('01_Master_Data'!B285="","",284)</f>
        <v/>
      </c>
      <c r="B285">
        <f>IF('01_Master_Data'!B285="","",IF('01_Master_Data'!C285&lt;&gt;"","MOB|"&amp;TEXT('01_Master_Data'!C285,"0"),IF('01_Master_Data'!D285&lt;&gt;"","PID|"&amp;TRIM('01_Master_Data'!D285&amp;""),"")))</f>
        <v/>
      </c>
      <c r="C285">
        <f>IF('01_Master_Data'!B285="","",'01_Master_Data'!B285)</f>
        <v/>
      </c>
      <c r="D285">
        <f>IF('01_Master_Data'!B285="","",'01_Master_Data'!C285)</f>
        <v/>
      </c>
      <c r="E285">
        <f>IF('01_Master_Data'!B285="","",'01_Master_Data'!D285)</f>
        <v/>
      </c>
      <c r="F285">
        <f>IF('01_Master_Data'!B285="","",'01_Master_Data'!E285)</f>
        <v/>
      </c>
      <c r="G285">
        <f>IF('01_Master_Data'!B285="","",IFERROR(VLOOKUP(TRIM('01_Master_Data'!E285&amp;""),'02_Configuration'!$A$40:$B$44,2,FALSE),UPPER(TRIM('01_Master_Data'!E285&amp;""))))</f>
        <v/>
      </c>
      <c r="H285">
        <f>IF('01_Master_Data'!B285="","",IF('01_Master_Data'!U285="","",TRIM('01_Master_Data'!U285&amp;"")))</f>
        <v/>
      </c>
      <c r="I285">
        <f>IF('01_Master_Data'!B285="","",TRIM('01_Master_Data'!F285&amp;""))</f>
        <v/>
      </c>
      <c r="J285">
        <f>IF('01_Master_Data'!B285="","",TRIM('01_Master_Data'!G285&amp;""))</f>
        <v/>
      </c>
      <c r="K285">
        <f>IF('01_Master_Data'!B285="","",'01_Master_Data'!H285)</f>
        <v/>
      </c>
      <c r="L285">
        <f>IF('01_Master_Data'!B285="","",IF(LOWER(TRIM('01_Master_Data'!V285&amp;""))="yes",1,0))</f>
        <v/>
      </c>
      <c r="M285">
        <f>IF('01_Master_Data'!B285="","",IF(LOWER(TRIM('01_Master_Data'!W285&amp;""))="yes",1,0))</f>
        <v/>
      </c>
      <c r="N285">
        <f>IF('01_Master_Data'!B285="","",IF(LOWER(TRIM('01_Master_Data'!X285&amp;""))="yes",1,0))</f>
        <v/>
      </c>
      <c r="O285">
        <f>IF('01_Master_Data'!B285="","",IF(LOWER(TRIM('01_Master_Data'!Y285&amp;""))="yes",1,0))</f>
        <v/>
      </c>
      <c r="P285">
        <f>IF('01_Master_Data'!B285="","",IF(LOWER(TRIM('01_Master_Data'!Z285&amp;""))="yes",1,0))</f>
        <v/>
      </c>
      <c r="Q285">
        <f>IF(A285="","",L285+M285+N285+O285+P285)</f>
        <v/>
      </c>
      <c r="R285">
        <f>IF(A285="","",IF(Q285&gt;1,"Yes","No"))</f>
        <v/>
      </c>
      <c r="S285">
        <f>IF(A285="","",TEXTJOIN(", ",TRUE,IF(L285=1,"ICICI",""),IF(M285=1,"Propelld",""),IF(N285=1,"Study4Buddy",""),IF(O285=1,"Poonawala Fincorp",""),IF(P285=1,"GyanDhan","")))</f>
        <v/>
      </c>
      <c r="T285">
        <f>IF(A285="","",IF(L285=1,"ICICI",IF(M285=1,"Propelld",IF(P285=1,"GyanDhan",IF(N285=1,"Study4Buddy",IF(O285=1,"Poonawala Fincorp",IF(ISNUMBER(SEARCH("GyanDhan",W285&amp;"")),"GyanDhan",IF(ISNUMBER(SEARCH("Icici",W285&amp;"")),"ICICI",IF(ISNUMBER(SEARCH("Propelld",W285&amp;"")),"Propelld",IF(ISNUMBER(SEARCH("vidyalakshmi",LOWER(W285&amp;"")),"PM Vidyalakshmi","—"))))))))))</f>
        <v/>
      </c>
      <c r="U285">
        <f>IF(A285="","",TRIM('01_Master_Data'!AA285&amp;""))</f>
        <v/>
      </c>
      <c r="V285">
        <f>IF(A285="","",TRIM('01_Master_Data'!AG285&amp;""))</f>
        <v/>
      </c>
      <c r="W285">
        <f>IF(A285="","",TRIM('01_Master_Data'!AH285&amp;""))</f>
        <v/>
      </c>
      <c r="X285">
        <f>IF(A285="","",IF(OR(LOWER(H285)="refund",LOWER(U285)="refund case"),"Refund",IF(OR(LOWER(H285)="dnp",LOWER(U285)="dnp"),"DNP",IF(OR(LOWER(V285)="disbursed",ISNUMBER(SEARCH("Disbursed",W285&amp;""))),"Disbursed",IF(OR(LOWER(V285)="loan proccessed/accepted",ISNUMBER(SEARCH("sanctioned",LOWER(W285&amp;"")))),"Sanctioned",IF(OR(LOWER(V285)="rejected",ISNUMBER(SEARCH("Not eligbile",W285&amp;"")),ISNUMBER(SEARCH("Not eligible",W285&amp;""))),"Rejected",IF(ISNUMBER(SEARCH("Docs Pending",W285&amp;"")),"Documents Pending",IF(AND(LOWER(H285)="yes",LOWER(V285)="ongoing"),"Processing",IF(AND(LOWER(H285)="yes",Q285&gt;0,OR(V285="",LOWER(V285)="not even started")),"Vendor Assigned",IF(AND(LOWER(H285)="yes",LOWER(V285)="not even started"),"Need Loan",IF(LOWER(H285)="yes","Loan Started",IF(LOWER(H285)="not sure","Interested",IF(OR(LOWER(H285)="no",LOWER(V285)="not required"),"Not Required","Unclassified")))))))))))))</f>
        <v/>
      </c>
      <c r="Y285">
        <f>IF(A285="","",IF(OR(X285="Sanctioned",X285="Disbursed",X285="Approved"),"Approved",IF(X285="Rejected","Rejected",IF(OR(X285="Processing",X285="Documents Pending",X285="Vendor Assigned"),"In Progress",IF(X285="Need Loan","Pending Start","—"))))</f>
        <v/>
      </c>
      <c r="Z285">
        <f>IF(A285="","",IF(X285="Disbursed","Disbursed",IF(X285="Sanctioned","Sanctioned - Awaiting Disbursement","Not Disbursed")))</f>
        <v/>
      </c>
      <c r="AA285">
        <f>IF(A285="","",IF(LOWER(TRIM('01_Master_Data'!AI285&amp;""))="yes","Need FLDG",IF(LOWER(TRIM('01_Master_Data'!AK285&amp;""))="yes","Need Vidyalakshmi",IF(LOWER(TRIM('01_Master_Data'!AJ285&amp;""))="yes","Need Review",IF(LOWER(J285)="critical","Critical",IF(LOWER(U285)="risk","Risk Case",IF(X285="Refund","Refund","Normal")))))))</f>
        <v/>
      </c>
      <c r="AB285">
        <f>IF(A285="","",IF(OR(LOWER(J285)="critical",LOWER(TRIM('01_Master_Data'!AI285&amp;""))="yes",LOWER(TRIM('01_Master_Data'!AK285&amp;""))="yes",LOWER(U285)="risk"),"Yes","No"))</f>
        <v/>
      </c>
      <c r="AC285">
        <f>IF(A285="","",IF(LOWER(TRIM('01_Master_Data'!AI285&amp;""))="yes","Yes","No"))</f>
        <v/>
      </c>
      <c r="AD285">
        <f>IF(A285="","",IF(LOWER(TRIM('01_Master_Data'!AK285&amp;""))="yes","Yes","No"))</f>
        <v/>
      </c>
      <c r="AE285">
        <f>IF(A285="","",IF(LOWER(TRIM('01_Master_Data'!AJ285&amp;""))="yes","Yes","No"))</f>
        <v/>
      </c>
      <c r="AF285">
        <f>IF(A285="","",TRIM('01_Master_Data'!AL285&amp;""))</f>
        <v/>
      </c>
      <c r="AG285">
        <f>IF(A285="","",IF(AF285="","—",IF(ISNUMBER(SEARCH("DNP",AF285)),"Unreachable / DNP",IF(ISNUMBER(SEARCH("interest",LOWER(AF285))),"High Interest / Terms",IF(OR(ISNUMBER(SEARCH("eligib",LOWER(AF285))),ISNUMBER(SEARCH("income",LOWER(AF285)))),"Eligibility / Income",IF(OR(ISNUMBER(SEARCH("start",LOWER(AF285))),ISNUMBER(SEARCH("Newer",AF285)),ISNUMBER(SEARCH("Will start",AF285))),"Process Yet to Start",IF(ISNUMBER(SEARCH("sure",LOWER(AF285))),"Undecided",IF(OR(ISNUMBER(SEARCH("reject",LOWER(AF285))),ISNUMBER(SEARCH("SBI",AF285))),"Rejected Elsewhere",IF(ISNUMBER(SEARCH("call",LOWER(AF285))),"Bank Communication",IF(OR(ISNUMBER(SEARCH("father",LOWER(AF285))),ISNUMBER(SEARCH("sister",LOWER(AF285)))),"Family / Dependency","Other"))))))))))</f>
        <v/>
      </c>
      <c r="AH285">
        <f>IF(A285="","",'01_Master_Data'!AC285)</f>
        <v/>
      </c>
      <c r="AI285">
        <f>IF(A285="","",IF(OR(AH285="",NOT(ISNUMBER(AH285))),"",MAX(0,'02_Configuration'!$B$82-AH285)))</f>
        <v/>
      </c>
      <c r="AJ285">
        <f>IF(A285="","",IF(AI285="","Unknown",IF(AI285&lt;=3,"0–3 Days",IF(AI285&lt;=7,"4–7 Days",IF(AI285&lt;=15,"8–15 Days",IF(AI285&lt;=30,"16–30 Days","30+ Days"))))))</f>
        <v/>
      </c>
      <c r="AK285">
        <f>IF(A285="","",IF(LOWER(H285)="yes","Yes","No"))</f>
        <v/>
      </c>
      <c r="AL285">
        <f>IF(A285="","",'01_Master_Data'!T285)</f>
        <v/>
      </c>
      <c r="AM285">
        <f>IF(A285="","",'01_Master_Data'!S285)</f>
        <v/>
      </c>
      <c r="AN285">
        <f>IF(A285="","",'01_Master_Data'!I285)</f>
        <v/>
      </c>
      <c r="AO285">
        <f>IF(A285="","",'01_Master_Data'!M285)</f>
        <v/>
      </c>
      <c r="AP285">
        <f>IF(A285="","",IF(ISNUMBER(SEARCH("Icici",W285&amp;"")),1,0))</f>
        <v/>
      </c>
      <c r="AQ285">
        <f>IF(A285="","",IF(ISNUMBER(SEARCH("Propelld",W285&amp;"")),1,0))</f>
        <v/>
      </c>
      <c r="AR285">
        <f>IF(A285="","",IF(ISNUMBER(SEARCH("GyanDhan",W285&amp;"")),1,0))</f>
        <v/>
      </c>
      <c r="AS285">
        <f>IF(A285="","",IF(ISNUMBER(SEARCH("vidyalakshmi",LOWER(W285&amp;""))),1,0))</f>
        <v/>
      </c>
      <c r="AT285">
        <f>IF(A285="","",IF(ISNUMBER(SEARCH("other bank",LOWER(W285&amp;""))),1,0))</f>
        <v/>
      </c>
      <c r="AU285">
        <f>IF(A285="","",IF(ISNUMBER(SEARCH("sanctioned",LOWER(W285&amp;""))),1,0))</f>
        <v/>
      </c>
      <c r="AV285">
        <f>IF(A285="","",IF(ISNUMBER(SEARCH("Docs Pending",W285&amp;"")),1,0))</f>
        <v/>
      </c>
      <c r="AW285">
        <f>IF(A285="","",IF(OR(X285="Rejected",ISNUMBER(SEARCH("Not eligbile",W285&amp;""))),1,0))</f>
        <v/>
      </c>
    </row>
    <row r="286">
      <c r="A286">
        <f>IF('01_Master_Data'!B286="","",285)</f>
        <v/>
      </c>
      <c r="B286">
        <f>IF('01_Master_Data'!B286="","",IF('01_Master_Data'!C286&lt;&gt;"","MOB|"&amp;TEXT('01_Master_Data'!C286,"0"),IF('01_Master_Data'!D286&lt;&gt;"","PID|"&amp;TRIM('01_Master_Data'!D286&amp;""),"")))</f>
        <v/>
      </c>
      <c r="C286">
        <f>IF('01_Master_Data'!B286="","",'01_Master_Data'!B286)</f>
        <v/>
      </c>
      <c r="D286">
        <f>IF('01_Master_Data'!B286="","",'01_Master_Data'!C286)</f>
        <v/>
      </c>
      <c r="E286">
        <f>IF('01_Master_Data'!B286="","",'01_Master_Data'!D286)</f>
        <v/>
      </c>
      <c r="F286">
        <f>IF('01_Master_Data'!B286="","",'01_Master_Data'!E286)</f>
        <v/>
      </c>
      <c r="G286">
        <f>IF('01_Master_Data'!B286="","",IFERROR(VLOOKUP(TRIM('01_Master_Data'!E286&amp;""),'02_Configuration'!$A$40:$B$44,2,FALSE),UPPER(TRIM('01_Master_Data'!E286&amp;""))))</f>
        <v/>
      </c>
      <c r="H286">
        <f>IF('01_Master_Data'!B286="","",IF('01_Master_Data'!U286="","",TRIM('01_Master_Data'!U286&amp;"")))</f>
        <v/>
      </c>
      <c r="I286">
        <f>IF('01_Master_Data'!B286="","",TRIM('01_Master_Data'!F286&amp;""))</f>
        <v/>
      </c>
      <c r="J286">
        <f>IF('01_Master_Data'!B286="","",TRIM('01_Master_Data'!G286&amp;""))</f>
        <v/>
      </c>
      <c r="K286">
        <f>IF('01_Master_Data'!B286="","",'01_Master_Data'!H286)</f>
        <v/>
      </c>
      <c r="L286">
        <f>IF('01_Master_Data'!B286="","",IF(LOWER(TRIM('01_Master_Data'!V286&amp;""))="yes",1,0))</f>
        <v/>
      </c>
      <c r="M286">
        <f>IF('01_Master_Data'!B286="","",IF(LOWER(TRIM('01_Master_Data'!W286&amp;""))="yes",1,0))</f>
        <v/>
      </c>
      <c r="N286">
        <f>IF('01_Master_Data'!B286="","",IF(LOWER(TRIM('01_Master_Data'!X286&amp;""))="yes",1,0))</f>
        <v/>
      </c>
      <c r="O286">
        <f>IF('01_Master_Data'!B286="","",IF(LOWER(TRIM('01_Master_Data'!Y286&amp;""))="yes",1,0))</f>
        <v/>
      </c>
      <c r="P286">
        <f>IF('01_Master_Data'!B286="","",IF(LOWER(TRIM('01_Master_Data'!Z286&amp;""))="yes",1,0))</f>
        <v/>
      </c>
      <c r="Q286">
        <f>IF(A286="","",L286+M286+N286+O286+P286)</f>
        <v/>
      </c>
      <c r="R286">
        <f>IF(A286="","",IF(Q286&gt;1,"Yes","No"))</f>
        <v/>
      </c>
      <c r="S286">
        <f>IF(A286="","",TEXTJOIN(", ",TRUE,IF(L286=1,"ICICI",""),IF(M286=1,"Propelld",""),IF(N286=1,"Study4Buddy",""),IF(O286=1,"Poonawala Fincorp",""),IF(P286=1,"GyanDhan","")))</f>
        <v/>
      </c>
      <c r="T286">
        <f>IF(A286="","",IF(L286=1,"ICICI",IF(M286=1,"Propelld",IF(P286=1,"GyanDhan",IF(N286=1,"Study4Buddy",IF(O286=1,"Poonawala Fincorp",IF(ISNUMBER(SEARCH("GyanDhan",W286&amp;"")),"GyanDhan",IF(ISNUMBER(SEARCH("Icici",W286&amp;"")),"ICICI",IF(ISNUMBER(SEARCH("Propelld",W286&amp;"")),"Propelld",IF(ISNUMBER(SEARCH("vidyalakshmi",LOWER(W286&amp;"")),"PM Vidyalakshmi","—"))))))))))</f>
        <v/>
      </c>
      <c r="U286">
        <f>IF(A286="","",TRIM('01_Master_Data'!AA286&amp;""))</f>
        <v/>
      </c>
      <c r="V286">
        <f>IF(A286="","",TRIM('01_Master_Data'!AG286&amp;""))</f>
        <v/>
      </c>
      <c r="W286">
        <f>IF(A286="","",TRIM('01_Master_Data'!AH286&amp;""))</f>
        <v/>
      </c>
      <c r="X286">
        <f>IF(A286="","",IF(OR(LOWER(H286)="refund",LOWER(U286)="refund case"),"Refund",IF(OR(LOWER(H286)="dnp",LOWER(U286)="dnp"),"DNP",IF(OR(LOWER(V286)="disbursed",ISNUMBER(SEARCH("Disbursed",W286&amp;""))),"Disbursed",IF(OR(LOWER(V286)="loan proccessed/accepted",ISNUMBER(SEARCH("sanctioned",LOWER(W286&amp;"")))),"Sanctioned",IF(OR(LOWER(V286)="rejected",ISNUMBER(SEARCH("Not eligbile",W286&amp;"")),ISNUMBER(SEARCH("Not eligible",W286&amp;""))),"Rejected",IF(ISNUMBER(SEARCH("Docs Pending",W286&amp;"")),"Documents Pending",IF(AND(LOWER(H286)="yes",LOWER(V286)="ongoing"),"Processing",IF(AND(LOWER(H286)="yes",Q286&gt;0,OR(V286="",LOWER(V286)="not even started")),"Vendor Assigned",IF(AND(LOWER(H286)="yes",LOWER(V286)="not even started"),"Need Loan",IF(LOWER(H286)="yes","Loan Started",IF(LOWER(H286)="not sure","Interested",IF(OR(LOWER(H286)="no",LOWER(V286)="not required"),"Not Required","Unclassified")))))))))))))</f>
        <v/>
      </c>
      <c r="Y286">
        <f>IF(A286="","",IF(OR(X286="Sanctioned",X286="Disbursed",X286="Approved"),"Approved",IF(X286="Rejected","Rejected",IF(OR(X286="Processing",X286="Documents Pending",X286="Vendor Assigned"),"In Progress",IF(X286="Need Loan","Pending Start","—"))))</f>
        <v/>
      </c>
      <c r="Z286">
        <f>IF(A286="","",IF(X286="Disbursed","Disbursed",IF(X286="Sanctioned","Sanctioned - Awaiting Disbursement","Not Disbursed")))</f>
        <v/>
      </c>
      <c r="AA286">
        <f>IF(A286="","",IF(LOWER(TRIM('01_Master_Data'!AI286&amp;""))="yes","Need FLDG",IF(LOWER(TRIM('01_Master_Data'!AK286&amp;""))="yes","Need Vidyalakshmi",IF(LOWER(TRIM('01_Master_Data'!AJ286&amp;""))="yes","Need Review",IF(LOWER(J286)="critical","Critical",IF(LOWER(U286)="risk","Risk Case",IF(X286="Refund","Refund","Normal")))))))</f>
        <v/>
      </c>
      <c r="AB286">
        <f>IF(A286="","",IF(OR(LOWER(J286)="critical",LOWER(TRIM('01_Master_Data'!AI286&amp;""))="yes",LOWER(TRIM('01_Master_Data'!AK286&amp;""))="yes",LOWER(U286)="risk"),"Yes","No"))</f>
        <v/>
      </c>
      <c r="AC286">
        <f>IF(A286="","",IF(LOWER(TRIM('01_Master_Data'!AI286&amp;""))="yes","Yes","No"))</f>
        <v/>
      </c>
      <c r="AD286">
        <f>IF(A286="","",IF(LOWER(TRIM('01_Master_Data'!AK286&amp;""))="yes","Yes","No"))</f>
        <v/>
      </c>
      <c r="AE286">
        <f>IF(A286="","",IF(LOWER(TRIM('01_Master_Data'!AJ286&amp;""))="yes","Yes","No"))</f>
        <v/>
      </c>
      <c r="AF286">
        <f>IF(A286="","",TRIM('01_Master_Data'!AL286&amp;""))</f>
        <v/>
      </c>
      <c r="AG286">
        <f>IF(A286="","",IF(AF286="","—",IF(ISNUMBER(SEARCH("DNP",AF286)),"Unreachable / DNP",IF(ISNUMBER(SEARCH("interest",LOWER(AF286))),"High Interest / Terms",IF(OR(ISNUMBER(SEARCH("eligib",LOWER(AF286))),ISNUMBER(SEARCH("income",LOWER(AF286)))),"Eligibility / Income",IF(OR(ISNUMBER(SEARCH("start",LOWER(AF286))),ISNUMBER(SEARCH("Newer",AF286)),ISNUMBER(SEARCH("Will start",AF286))),"Process Yet to Start",IF(ISNUMBER(SEARCH("sure",LOWER(AF286))),"Undecided",IF(OR(ISNUMBER(SEARCH("reject",LOWER(AF286))),ISNUMBER(SEARCH("SBI",AF286))),"Rejected Elsewhere",IF(ISNUMBER(SEARCH("call",LOWER(AF286))),"Bank Communication",IF(OR(ISNUMBER(SEARCH("father",LOWER(AF286))),ISNUMBER(SEARCH("sister",LOWER(AF286)))),"Family / Dependency","Other"))))))))))</f>
        <v/>
      </c>
      <c r="AH286">
        <f>IF(A286="","",'01_Master_Data'!AC286)</f>
        <v/>
      </c>
      <c r="AI286">
        <f>IF(A286="","",IF(OR(AH286="",NOT(ISNUMBER(AH286))),"",MAX(0,'02_Configuration'!$B$82-AH286)))</f>
        <v/>
      </c>
      <c r="AJ286">
        <f>IF(A286="","",IF(AI286="","Unknown",IF(AI286&lt;=3,"0–3 Days",IF(AI286&lt;=7,"4–7 Days",IF(AI286&lt;=15,"8–15 Days",IF(AI286&lt;=30,"16–30 Days","30+ Days"))))))</f>
        <v/>
      </c>
      <c r="AK286">
        <f>IF(A286="","",IF(LOWER(H286)="yes","Yes","No"))</f>
        <v/>
      </c>
      <c r="AL286">
        <f>IF(A286="","",'01_Master_Data'!T286)</f>
        <v/>
      </c>
      <c r="AM286">
        <f>IF(A286="","",'01_Master_Data'!S286)</f>
        <v/>
      </c>
      <c r="AN286">
        <f>IF(A286="","",'01_Master_Data'!I286)</f>
        <v/>
      </c>
      <c r="AO286">
        <f>IF(A286="","",'01_Master_Data'!M286)</f>
        <v/>
      </c>
      <c r="AP286">
        <f>IF(A286="","",IF(ISNUMBER(SEARCH("Icici",W286&amp;"")),1,0))</f>
        <v/>
      </c>
      <c r="AQ286">
        <f>IF(A286="","",IF(ISNUMBER(SEARCH("Propelld",W286&amp;"")),1,0))</f>
        <v/>
      </c>
      <c r="AR286">
        <f>IF(A286="","",IF(ISNUMBER(SEARCH("GyanDhan",W286&amp;"")),1,0))</f>
        <v/>
      </c>
      <c r="AS286">
        <f>IF(A286="","",IF(ISNUMBER(SEARCH("vidyalakshmi",LOWER(W286&amp;""))),1,0))</f>
        <v/>
      </c>
      <c r="AT286">
        <f>IF(A286="","",IF(ISNUMBER(SEARCH("other bank",LOWER(W286&amp;""))),1,0))</f>
        <v/>
      </c>
      <c r="AU286">
        <f>IF(A286="","",IF(ISNUMBER(SEARCH("sanctioned",LOWER(W286&amp;""))),1,0))</f>
        <v/>
      </c>
      <c r="AV286">
        <f>IF(A286="","",IF(ISNUMBER(SEARCH("Docs Pending",W286&amp;"")),1,0))</f>
        <v/>
      </c>
      <c r="AW286">
        <f>IF(A286="","",IF(OR(X286="Rejected",ISNUMBER(SEARCH("Not eligbile",W286&amp;""))),1,0))</f>
        <v/>
      </c>
    </row>
    <row r="287">
      <c r="A287">
        <f>IF('01_Master_Data'!B287="","",286)</f>
        <v/>
      </c>
      <c r="B287">
        <f>IF('01_Master_Data'!B287="","",IF('01_Master_Data'!C287&lt;&gt;"","MOB|"&amp;TEXT('01_Master_Data'!C287,"0"),IF('01_Master_Data'!D287&lt;&gt;"","PID|"&amp;TRIM('01_Master_Data'!D287&amp;""),"")))</f>
        <v/>
      </c>
      <c r="C287">
        <f>IF('01_Master_Data'!B287="","",'01_Master_Data'!B287)</f>
        <v/>
      </c>
      <c r="D287">
        <f>IF('01_Master_Data'!B287="","",'01_Master_Data'!C287)</f>
        <v/>
      </c>
      <c r="E287">
        <f>IF('01_Master_Data'!B287="","",'01_Master_Data'!D287)</f>
        <v/>
      </c>
      <c r="F287">
        <f>IF('01_Master_Data'!B287="","",'01_Master_Data'!E287)</f>
        <v/>
      </c>
      <c r="G287">
        <f>IF('01_Master_Data'!B287="","",IFERROR(VLOOKUP(TRIM('01_Master_Data'!E287&amp;""),'02_Configuration'!$A$40:$B$44,2,FALSE),UPPER(TRIM('01_Master_Data'!E287&amp;""))))</f>
        <v/>
      </c>
      <c r="H287">
        <f>IF('01_Master_Data'!B287="","",IF('01_Master_Data'!U287="","",TRIM('01_Master_Data'!U287&amp;"")))</f>
        <v/>
      </c>
      <c r="I287">
        <f>IF('01_Master_Data'!B287="","",TRIM('01_Master_Data'!F287&amp;""))</f>
        <v/>
      </c>
      <c r="J287">
        <f>IF('01_Master_Data'!B287="","",TRIM('01_Master_Data'!G287&amp;""))</f>
        <v/>
      </c>
      <c r="K287">
        <f>IF('01_Master_Data'!B287="","",'01_Master_Data'!H287)</f>
        <v/>
      </c>
      <c r="L287">
        <f>IF('01_Master_Data'!B287="","",IF(LOWER(TRIM('01_Master_Data'!V287&amp;""))="yes",1,0))</f>
        <v/>
      </c>
      <c r="M287">
        <f>IF('01_Master_Data'!B287="","",IF(LOWER(TRIM('01_Master_Data'!W287&amp;""))="yes",1,0))</f>
        <v/>
      </c>
      <c r="N287">
        <f>IF('01_Master_Data'!B287="","",IF(LOWER(TRIM('01_Master_Data'!X287&amp;""))="yes",1,0))</f>
        <v/>
      </c>
      <c r="O287">
        <f>IF('01_Master_Data'!B287="","",IF(LOWER(TRIM('01_Master_Data'!Y287&amp;""))="yes",1,0))</f>
        <v/>
      </c>
      <c r="P287">
        <f>IF('01_Master_Data'!B287="","",IF(LOWER(TRIM('01_Master_Data'!Z287&amp;""))="yes",1,0))</f>
        <v/>
      </c>
      <c r="Q287">
        <f>IF(A287="","",L287+M287+N287+O287+P287)</f>
        <v/>
      </c>
      <c r="R287">
        <f>IF(A287="","",IF(Q287&gt;1,"Yes","No"))</f>
        <v/>
      </c>
      <c r="S287">
        <f>IF(A287="","",TEXTJOIN(", ",TRUE,IF(L287=1,"ICICI",""),IF(M287=1,"Propelld",""),IF(N287=1,"Study4Buddy",""),IF(O287=1,"Poonawala Fincorp",""),IF(P287=1,"GyanDhan","")))</f>
        <v/>
      </c>
      <c r="T287">
        <f>IF(A287="","",IF(L287=1,"ICICI",IF(M287=1,"Propelld",IF(P287=1,"GyanDhan",IF(N287=1,"Study4Buddy",IF(O287=1,"Poonawala Fincorp",IF(ISNUMBER(SEARCH("GyanDhan",W287&amp;"")),"GyanDhan",IF(ISNUMBER(SEARCH("Icici",W287&amp;"")),"ICICI",IF(ISNUMBER(SEARCH("Propelld",W287&amp;"")),"Propelld",IF(ISNUMBER(SEARCH("vidyalakshmi",LOWER(W287&amp;"")),"PM Vidyalakshmi","—"))))))))))</f>
        <v/>
      </c>
      <c r="U287">
        <f>IF(A287="","",TRIM('01_Master_Data'!AA287&amp;""))</f>
        <v/>
      </c>
      <c r="V287">
        <f>IF(A287="","",TRIM('01_Master_Data'!AG287&amp;""))</f>
        <v/>
      </c>
      <c r="W287">
        <f>IF(A287="","",TRIM('01_Master_Data'!AH287&amp;""))</f>
        <v/>
      </c>
      <c r="X287">
        <f>IF(A287="","",IF(OR(LOWER(H287)="refund",LOWER(U287)="refund case"),"Refund",IF(OR(LOWER(H287)="dnp",LOWER(U287)="dnp"),"DNP",IF(OR(LOWER(V287)="disbursed",ISNUMBER(SEARCH("Disbursed",W287&amp;""))),"Disbursed",IF(OR(LOWER(V287)="loan proccessed/accepted",ISNUMBER(SEARCH("sanctioned",LOWER(W287&amp;"")))),"Sanctioned",IF(OR(LOWER(V287)="rejected",ISNUMBER(SEARCH("Not eligbile",W287&amp;"")),ISNUMBER(SEARCH("Not eligible",W287&amp;""))),"Rejected",IF(ISNUMBER(SEARCH("Docs Pending",W287&amp;"")),"Documents Pending",IF(AND(LOWER(H287)="yes",LOWER(V287)="ongoing"),"Processing",IF(AND(LOWER(H287)="yes",Q287&gt;0,OR(V287="",LOWER(V287)="not even started")),"Vendor Assigned",IF(AND(LOWER(H287)="yes",LOWER(V287)="not even started"),"Need Loan",IF(LOWER(H287)="yes","Loan Started",IF(LOWER(H287)="not sure","Interested",IF(OR(LOWER(H287)="no",LOWER(V287)="not required"),"Not Required","Unclassified")))))))))))))</f>
        <v/>
      </c>
      <c r="Y287">
        <f>IF(A287="","",IF(OR(X287="Sanctioned",X287="Disbursed",X287="Approved"),"Approved",IF(X287="Rejected","Rejected",IF(OR(X287="Processing",X287="Documents Pending",X287="Vendor Assigned"),"In Progress",IF(X287="Need Loan","Pending Start","—"))))</f>
        <v/>
      </c>
      <c r="Z287">
        <f>IF(A287="","",IF(X287="Disbursed","Disbursed",IF(X287="Sanctioned","Sanctioned - Awaiting Disbursement","Not Disbursed")))</f>
        <v/>
      </c>
      <c r="AA287">
        <f>IF(A287="","",IF(LOWER(TRIM('01_Master_Data'!AI287&amp;""))="yes","Need FLDG",IF(LOWER(TRIM('01_Master_Data'!AK287&amp;""))="yes","Need Vidyalakshmi",IF(LOWER(TRIM('01_Master_Data'!AJ287&amp;""))="yes","Need Review",IF(LOWER(J287)="critical","Critical",IF(LOWER(U287)="risk","Risk Case",IF(X287="Refund","Refund","Normal")))))))</f>
        <v/>
      </c>
      <c r="AB287">
        <f>IF(A287="","",IF(OR(LOWER(J287)="critical",LOWER(TRIM('01_Master_Data'!AI287&amp;""))="yes",LOWER(TRIM('01_Master_Data'!AK287&amp;""))="yes",LOWER(U287)="risk"),"Yes","No"))</f>
        <v/>
      </c>
      <c r="AC287">
        <f>IF(A287="","",IF(LOWER(TRIM('01_Master_Data'!AI287&amp;""))="yes","Yes","No"))</f>
        <v/>
      </c>
      <c r="AD287">
        <f>IF(A287="","",IF(LOWER(TRIM('01_Master_Data'!AK287&amp;""))="yes","Yes","No"))</f>
        <v/>
      </c>
      <c r="AE287">
        <f>IF(A287="","",IF(LOWER(TRIM('01_Master_Data'!AJ287&amp;""))="yes","Yes","No"))</f>
        <v/>
      </c>
      <c r="AF287">
        <f>IF(A287="","",TRIM('01_Master_Data'!AL287&amp;""))</f>
        <v/>
      </c>
      <c r="AG287">
        <f>IF(A287="","",IF(AF287="","—",IF(ISNUMBER(SEARCH("DNP",AF287)),"Unreachable / DNP",IF(ISNUMBER(SEARCH("interest",LOWER(AF287))),"High Interest / Terms",IF(OR(ISNUMBER(SEARCH("eligib",LOWER(AF287))),ISNUMBER(SEARCH("income",LOWER(AF287)))),"Eligibility / Income",IF(OR(ISNUMBER(SEARCH("start",LOWER(AF287))),ISNUMBER(SEARCH("Newer",AF287)),ISNUMBER(SEARCH("Will start",AF287))),"Process Yet to Start",IF(ISNUMBER(SEARCH("sure",LOWER(AF287))),"Undecided",IF(OR(ISNUMBER(SEARCH("reject",LOWER(AF287))),ISNUMBER(SEARCH("SBI",AF287))),"Rejected Elsewhere",IF(ISNUMBER(SEARCH("call",LOWER(AF287))),"Bank Communication",IF(OR(ISNUMBER(SEARCH("father",LOWER(AF287))),ISNUMBER(SEARCH("sister",LOWER(AF287)))),"Family / Dependency","Other"))))))))))</f>
        <v/>
      </c>
      <c r="AH287">
        <f>IF(A287="","",'01_Master_Data'!AC287)</f>
        <v/>
      </c>
      <c r="AI287">
        <f>IF(A287="","",IF(OR(AH287="",NOT(ISNUMBER(AH287))),"",MAX(0,'02_Configuration'!$B$82-AH287)))</f>
        <v/>
      </c>
      <c r="AJ287">
        <f>IF(A287="","",IF(AI287="","Unknown",IF(AI287&lt;=3,"0–3 Days",IF(AI287&lt;=7,"4–7 Days",IF(AI287&lt;=15,"8–15 Days",IF(AI287&lt;=30,"16–30 Days","30+ Days"))))))</f>
        <v/>
      </c>
      <c r="AK287">
        <f>IF(A287="","",IF(LOWER(H287)="yes","Yes","No"))</f>
        <v/>
      </c>
      <c r="AL287">
        <f>IF(A287="","",'01_Master_Data'!T287)</f>
        <v/>
      </c>
      <c r="AM287">
        <f>IF(A287="","",'01_Master_Data'!S287)</f>
        <v/>
      </c>
      <c r="AN287">
        <f>IF(A287="","",'01_Master_Data'!I287)</f>
        <v/>
      </c>
      <c r="AO287">
        <f>IF(A287="","",'01_Master_Data'!M287)</f>
        <v/>
      </c>
      <c r="AP287">
        <f>IF(A287="","",IF(ISNUMBER(SEARCH("Icici",W287&amp;"")),1,0))</f>
        <v/>
      </c>
      <c r="AQ287">
        <f>IF(A287="","",IF(ISNUMBER(SEARCH("Propelld",W287&amp;"")),1,0))</f>
        <v/>
      </c>
      <c r="AR287">
        <f>IF(A287="","",IF(ISNUMBER(SEARCH("GyanDhan",W287&amp;"")),1,0))</f>
        <v/>
      </c>
      <c r="AS287">
        <f>IF(A287="","",IF(ISNUMBER(SEARCH("vidyalakshmi",LOWER(W287&amp;""))),1,0))</f>
        <v/>
      </c>
      <c r="AT287">
        <f>IF(A287="","",IF(ISNUMBER(SEARCH("other bank",LOWER(W287&amp;""))),1,0))</f>
        <v/>
      </c>
      <c r="AU287">
        <f>IF(A287="","",IF(ISNUMBER(SEARCH("sanctioned",LOWER(W287&amp;""))),1,0))</f>
        <v/>
      </c>
      <c r="AV287">
        <f>IF(A287="","",IF(ISNUMBER(SEARCH("Docs Pending",W287&amp;"")),1,0))</f>
        <v/>
      </c>
      <c r="AW287">
        <f>IF(A287="","",IF(OR(X287="Rejected",ISNUMBER(SEARCH("Not eligbile",W287&amp;""))),1,0))</f>
        <v/>
      </c>
    </row>
    <row r="288">
      <c r="A288">
        <f>IF('01_Master_Data'!B288="","",287)</f>
        <v/>
      </c>
      <c r="B288">
        <f>IF('01_Master_Data'!B288="","",IF('01_Master_Data'!C288&lt;&gt;"","MOB|"&amp;TEXT('01_Master_Data'!C288,"0"),IF('01_Master_Data'!D288&lt;&gt;"","PID|"&amp;TRIM('01_Master_Data'!D288&amp;""),"")))</f>
        <v/>
      </c>
      <c r="C288">
        <f>IF('01_Master_Data'!B288="","",'01_Master_Data'!B288)</f>
        <v/>
      </c>
      <c r="D288">
        <f>IF('01_Master_Data'!B288="","",'01_Master_Data'!C288)</f>
        <v/>
      </c>
      <c r="E288">
        <f>IF('01_Master_Data'!B288="","",'01_Master_Data'!D288)</f>
        <v/>
      </c>
      <c r="F288">
        <f>IF('01_Master_Data'!B288="","",'01_Master_Data'!E288)</f>
        <v/>
      </c>
      <c r="G288">
        <f>IF('01_Master_Data'!B288="","",IFERROR(VLOOKUP(TRIM('01_Master_Data'!E288&amp;""),'02_Configuration'!$A$40:$B$44,2,FALSE),UPPER(TRIM('01_Master_Data'!E288&amp;""))))</f>
        <v/>
      </c>
      <c r="H288">
        <f>IF('01_Master_Data'!B288="","",IF('01_Master_Data'!U288="","",TRIM('01_Master_Data'!U288&amp;"")))</f>
        <v/>
      </c>
      <c r="I288">
        <f>IF('01_Master_Data'!B288="","",TRIM('01_Master_Data'!F288&amp;""))</f>
        <v/>
      </c>
      <c r="J288">
        <f>IF('01_Master_Data'!B288="","",TRIM('01_Master_Data'!G288&amp;""))</f>
        <v/>
      </c>
      <c r="K288">
        <f>IF('01_Master_Data'!B288="","",'01_Master_Data'!H288)</f>
        <v/>
      </c>
      <c r="L288">
        <f>IF('01_Master_Data'!B288="","",IF(LOWER(TRIM('01_Master_Data'!V288&amp;""))="yes",1,0))</f>
        <v/>
      </c>
      <c r="M288">
        <f>IF('01_Master_Data'!B288="","",IF(LOWER(TRIM('01_Master_Data'!W288&amp;""))="yes",1,0))</f>
        <v/>
      </c>
      <c r="N288">
        <f>IF('01_Master_Data'!B288="","",IF(LOWER(TRIM('01_Master_Data'!X288&amp;""))="yes",1,0))</f>
        <v/>
      </c>
      <c r="O288">
        <f>IF('01_Master_Data'!B288="","",IF(LOWER(TRIM('01_Master_Data'!Y288&amp;""))="yes",1,0))</f>
        <v/>
      </c>
      <c r="P288">
        <f>IF('01_Master_Data'!B288="","",IF(LOWER(TRIM('01_Master_Data'!Z288&amp;""))="yes",1,0))</f>
        <v/>
      </c>
      <c r="Q288">
        <f>IF(A288="","",L288+M288+N288+O288+P288)</f>
        <v/>
      </c>
      <c r="R288">
        <f>IF(A288="","",IF(Q288&gt;1,"Yes","No"))</f>
        <v/>
      </c>
      <c r="S288">
        <f>IF(A288="","",TEXTJOIN(", ",TRUE,IF(L288=1,"ICICI",""),IF(M288=1,"Propelld",""),IF(N288=1,"Study4Buddy",""),IF(O288=1,"Poonawala Fincorp",""),IF(P288=1,"GyanDhan","")))</f>
        <v/>
      </c>
      <c r="T288">
        <f>IF(A288="","",IF(L288=1,"ICICI",IF(M288=1,"Propelld",IF(P288=1,"GyanDhan",IF(N288=1,"Study4Buddy",IF(O288=1,"Poonawala Fincorp",IF(ISNUMBER(SEARCH("GyanDhan",W288&amp;"")),"GyanDhan",IF(ISNUMBER(SEARCH("Icici",W288&amp;"")),"ICICI",IF(ISNUMBER(SEARCH("Propelld",W288&amp;"")),"Propelld",IF(ISNUMBER(SEARCH("vidyalakshmi",LOWER(W288&amp;"")),"PM Vidyalakshmi","—"))))))))))</f>
        <v/>
      </c>
      <c r="U288">
        <f>IF(A288="","",TRIM('01_Master_Data'!AA288&amp;""))</f>
        <v/>
      </c>
      <c r="V288">
        <f>IF(A288="","",TRIM('01_Master_Data'!AG288&amp;""))</f>
        <v/>
      </c>
      <c r="W288">
        <f>IF(A288="","",TRIM('01_Master_Data'!AH288&amp;""))</f>
        <v/>
      </c>
      <c r="X288">
        <f>IF(A288="","",IF(OR(LOWER(H288)="refund",LOWER(U288)="refund case"),"Refund",IF(OR(LOWER(H288)="dnp",LOWER(U288)="dnp"),"DNP",IF(OR(LOWER(V288)="disbursed",ISNUMBER(SEARCH("Disbursed",W288&amp;""))),"Disbursed",IF(OR(LOWER(V288)="loan proccessed/accepted",ISNUMBER(SEARCH("sanctioned",LOWER(W288&amp;"")))),"Sanctioned",IF(OR(LOWER(V288)="rejected",ISNUMBER(SEARCH("Not eligbile",W288&amp;"")),ISNUMBER(SEARCH("Not eligible",W288&amp;""))),"Rejected",IF(ISNUMBER(SEARCH("Docs Pending",W288&amp;"")),"Documents Pending",IF(AND(LOWER(H288)="yes",LOWER(V288)="ongoing"),"Processing",IF(AND(LOWER(H288)="yes",Q288&gt;0,OR(V288="",LOWER(V288)="not even started")),"Vendor Assigned",IF(AND(LOWER(H288)="yes",LOWER(V288)="not even started"),"Need Loan",IF(LOWER(H288)="yes","Loan Started",IF(LOWER(H288)="not sure","Interested",IF(OR(LOWER(H288)="no",LOWER(V288)="not required"),"Not Required","Unclassified")))))))))))))</f>
        <v/>
      </c>
      <c r="Y288">
        <f>IF(A288="","",IF(OR(X288="Sanctioned",X288="Disbursed",X288="Approved"),"Approved",IF(X288="Rejected","Rejected",IF(OR(X288="Processing",X288="Documents Pending",X288="Vendor Assigned"),"In Progress",IF(X288="Need Loan","Pending Start","—"))))</f>
        <v/>
      </c>
      <c r="Z288">
        <f>IF(A288="","",IF(X288="Disbursed","Disbursed",IF(X288="Sanctioned","Sanctioned - Awaiting Disbursement","Not Disbursed")))</f>
        <v/>
      </c>
      <c r="AA288">
        <f>IF(A288="","",IF(LOWER(TRIM('01_Master_Data'!AI288&amp;""))="yes","Need FLDG",IF(LOWER(TRIM('01_Master_Data'!AK288&amp;""))="yes","Need Vidyalakshmi",IF(LOWER(TRIM('01_Master_Data'!AJ288&amp;""))="yes","Need Review",IF(LOWER(J288)="critical","Critical",IF(LOWER(U288)="risk","Risk Case",IF(X288="Refund","Refund","Normal")))))))</f>
        <v/>
      </c>
      <c r="AB288">
        <f>IF(A288="","",IF(OR(LOWER(J288)="critical",LOWER(TRIM('01_Master_Data'!AI288&amp;""))="yes",LOWER(TRIM('01_Master_Data'!AK288&amp;""))="yes",LOWER(U288)="risk"),"Yes","No"))</f>
        <v/>
      </c>
      <c r="AC288">
        <f>IF(A288="","",IF(LOWER(TRIM('01_Master_Data'!AI288&amp;""))="yes","Yes","No"))</f>
        <v/>
      </c>
      <c r="AD288">
        <f>IF(A288="","",IF(LOWER(TRIM('01_Master_Data'!AK288&amp;""))="yes","Yes","No"))</f>
        <v/>
      </c>
      <c r="AE288">
        <f>IF(A288="","",IF(LOWER(TRIM('01_Master_Data'!AJ288&amp;""))="yes","Yes","No"))</f>
        <v/>
      </c>
      <c r="AF288">
        <f>IF(A288="","",TRIM('01_Master_Data'!AL288&amp;""))</f>
        <v/>
      </c>
      <c r="AG288">
        <f>IF(A288="","",IF(AF288="","—",IF(ISNUMBER(SEARCH("DNP",AF288)),"Unreachable / DNP",IF(ISNUMBER(SEARCH("interest",LOWER(AF288))),"High Interest / Terms",IF(OR(ISNUMBER(SEARCH("eligib",LOWER(AF288))),ISNUMBER(SEARCH("income",LOWER(AF288)))),"Eligibility / Income",IF(OR(ISNUMBER(SEARCH("start",LOWER(AF288))),ISNUMBER(SEARCH("Newer",AF288)),ISNUMBER(SEARCH("Will start",AF288))),"Process Yet to Start",IF(ISNUMBER(SEARCH("sure",LOWER(AF288))),"Undecided",IF(OR(ISNUMBER(SEARCH("reject",LOWER(AF288))),ISNUMBER(SEARCH("SBI",AF288))),"Rejected Elsewhere",IF(ISNUMBER(SEARCH("call",LOWER(AF288))),"Bank Communication",IF(OR(ISNUMBER(SEARCH("father",LOWER(AF288))),ISNUMBER(SEARCH("sister",LOWER(AF288)))),"Family / Dependency","Other"))))))))))</f>
        <v/>
      </c>
      <c r="AH288">
        <f>IF(A288="","",'01_Master_Data'!AC288)</f>
        <v/>
      </c>
      <c r="AI288">
        <f>IF(A288="","",IF(OR(AH288="",NOT(ISNUMBER(AH288))),"",MAX(0,'02_Configuration'!$B$82-AH288)))</f>
        <v/>
      </c>
      <c r="AJ288">
        <f>IF(A288="","",IF(AI288="","Unknown",IF(AI288&lt;=3,"0–3 Days",IF(AI288&lt;=7,"4–7 Days",IF(AI288&lt;=15,"8–15 Days",IF(AI288&lt;=30,"16–30 Days","30+ Days"))))))</f>
        <v/>
      </c>
      <c r="AK288">
        <f>IF(A288="","",IF(LOWER(H288)="yes","Yes","No"))</f>
        <v/>
      </c>
      <c r="AL288">
        <f>IF(A288="","",'01_Master_Data'!T288)</f>
        <v/>
      </c>
      <c r="AM288">
        <f>IF(A288="","",'01_Master_Data'!S288)</f>
        <v/>
      </c>
      <c r="AN288">
        <f>IF(A288="","",'01_Master_Data'!I288)</f>
        <v/>
      </c>
      <c r="AO288">
        <f>IF(A288="","",'01_Master_Data'!M288)</f>
        <v/>
      </c>
      <c r="AP288">
        <f>IF(A288="","",IF(ISNUMBER(SEARCH("Icici",W288&amp;"")),1,0))</f>
        <v/>
      </c>
      <c r="AQ288">
        <f>IF(A288="","",IF(ISNUMBER(SEARCH("Propelld",W288&amp;"")),1,0))</f>
        <v/>
      </c>
      <c r="AR288">
        <f>IF(A288="","",IF(ISNUMBER(SEARCH("GyanDhan",W288&amp;"")),1,0))</f>
        <v/>
      </c>
      <c r="AS288">
        <f>IF(A288="","",IF(ISNUMBER(SEARCH("vidyalakshmi",LOWER(W288&amp;""))),1,0))</f>
        <v/>
      </c>
      <c r="AT288">
        <f>IF(A288="","",IF(ISNUMBER(SEARCH("other bank",LOWER(W288&amp;""))),1,0))</f>
        <v/>
      </c>
      <c r="AU288">
        <f>IF(A288="","",IF(ISNUMBER(SEARCH("sanctioned",LOWER(W288&amp;""))),1,0))</f>
        <v/>
      </c>
      <c r="AV288">
        <f>IF(A288="","",IF(ISNUMBER(SEARCH("Docs Pending",W288&amp;"")),1,0))</f>
        <v/>
      </c>
      <c r="AW288">
        <f>IF(A288="","",IF(OR(X288="Rejected",ISNUMBER(SEARCH("Not eligbile",W288&amp;""))),1,0))</f>
        <v/>
      </c>
    </row>
    <row r="289">
      <c r="A289">
        <f>IF('01_Master_Data'!B289="","",288)</f>
        <v/>
      </c>
      <c r="B289">
        <f>IF('01_Master_Data'!B289="","",IF('01_Master_Data'!C289&lt;&gt;"","MOB|"&amp;TEXT('01_Master_Data'!C289,"0"),IF('01_Master_Data'!D289&lt;&gt;"","PID|"&amp;TRIM('01_Master_Data'!D289&amp;""),"")))</f>
        <v/>
      </c>
      <c r="C289">
        <f>IF('01_Master_Data'!B289="","",'01_Master_Data'!B289)</f>
        <v/>
      </c>
      <c r="D289">
        <f>IF('01_Master_Data'!B289="","",'01_Master_Data'!C289)</f>
        <v/>
      </c>
      <c r="E289">
        <f>IF('01_Master_Data'!B289="","",'01_Master_Data'!D289)</f>
        <v/>
      </c>
      <c r="F289">
        <f>IF('01_Master_Data'!B289="","",'01_Master_Data'!E289)</f>
        <v/>
      </c>
      <c r="G289">
        <f>IF('01_Master_Data'!B289="","",IFERROR(VLOOKUP(TRIM('01_Master_Data'!E289&amp;""),'02_Configuration'!$A$40:$B$44,2,FALSE),UPPER(TRIM('01_Master_Data'!E289&amp;""))))</f>
        <v/>
      </c>
      <c r="H289">
        <f>IF('01_Master_Data'!B289="","",IF('01_Master_Data'!U289="","",TRIM('01_Master_Data'!U289&amp;"")))</f>
        <v/>
      </c>
      <c r="I289">
        <f>IF('01_Master_Data'!B289="","",TRIM('01_Master_Data'!F289&amp;""))</f>
        <v/>
      </c>
      <c r="J289">
        <f>IF('01_Master_Data'!B289="","",TRIM('01_Master_Data'!G289&amp;""))</f>
        <v/>
      </c>
      <c r="K289">
        <f>IF('01_Master_Data'!B289="","",'01_Master_Data'!H289)</f>
        <v/>
      </c>
      <c r="L289">
        <f>IF('01_Master_Data'!B289="","",IF(LOWER(TRIM('01_Master_Data'!V289&amp;""))="yes",1,0))</f>
        <v/>
      </c>
      <c r="M289">
        <f>IF('01_Master_Data'!B289="","",IF(LOWER(TRIM('01_Master_Data'!W289&amp;""))="yes",1,0))</f>
        <v/>
      </c>
      <c r="N289">
        <f>IF('01_Master_Data'!B289="","",IF(LOWER(TRIM('01_Master_Data'!X289&amp;""))="yes",1,0))</f>
        <v/>
      </c>
      <c r="O289">
        <f>IF('01_Master_Data'!B289="","",IF(LOWER(TRIM('01_Master_Data'!Y289&amp;""))="yes",1,0))</f>
        <v/>
      </c>
      <c r="P289">
        <f>IF('01_Master_Data'!B289="","",IF(LOWER(TRIM('01_Master_Data'!Z289&amp;""))="yes",1,0))</f>
        <v/>
      </c>
      <c r="Q289">
        <f>IF(A289="","",L289+M289+N289+O289+P289)</f>
        <v/>
      </c>
      <c r="R289">
        <f>IF(A289="","",IF(Q289&gt;1,"Yes","No"))</f>
        <v/>
      </c>
      <c r="S289">
        <f>IF(A289="","",TEXTJOIN(", ",TRUE,IF(L289=1,"ICICI",""),IF(M289=1,"Propelld",""),IF(N289=1,"Study4Buddy",""),IF(O289=1,"Poonawala Fincorp",""),IF(P289=1,"GyanDhan","")))</f>
        <v/>
      </c>
      <c r="T289">
        <f>IF(A289="","",IF(L289=1,"ICICI",IF(M289=1,"Propelld",IF(P289=1,"GyanDhan",IF(N289=1,"Study4Buddy",IF(O289=1,"Poonawala Fincorp",IF(ISNUMBER(SEARCH("GyanDhan",W289&amp;"")),"GyanDhan",IF(ISNUMBER(SEARCH("Icici",W289&amp;"")),"ICICI",IF(ISNUMBER(SEARCH("Propelld",W289&amp;"")),"Propelld",IF(ISNUMBER(SEARCH("vidyalakshmi",LOWER(W289&amp;"")),"PM Vidyalakshmi","—"))))))))))</f>
        <v/>
      </c>
      <c r="U289">
        <f>IF(A289="","",TRIM('01_Master_Data'!AA289&amp;""))</f>
        <v/>
      </c>
      <c r="V289">
        <f>IF(A289="","",TRIM('01_Master_Data'!AG289&amp;""))</f>
        <v/>
      </c>
      <c r="W289">
        <f>IF(A289="","",TRIM('01_Master_Data'!AH289&amp;""))</f>
        <v/>
      </c>
      <c r="X289">
        <f>IF(A289="","",IF(OR(LOWER(H289)="refund",LOWER(U289)="refund case"),"Refund",IF(OR(LOWER(H289)="dnp",LOWER(U289)="dnp"),"DNP",IF(OR(LOWER(V289)="disbursed",ISNUMBER(SEARCH("Disbursed",W289&amp;""))),"Disbursed",IF(OR(LOWER(V289)="loan proccessed/accepted",ISNUMBER(SEARCH("sanctioned",LOWER(W289&amp;"")))),"Sanctioned",IF(OR(LOWER(V289)="rejected",ISNUMBER(SEARCH("Not eligbile",W289&amp;"")),ISNUMBER(SEARCH("Not eligible",W289&amp;""))),"Rejected",IF(ISNUMBER(SEARCH("Docs Pending",W289&amp;"")),"Documents Pending",IF(AND(LOWER(H289)="yes",LOWER(V289)="ongoing"),"Processing",IF(AND(LOWER(H289)="yes",Q289&gt;0,OR(V289="",LOWER(V289)="not even started")),"Vendor Assigned",IF(AND(LOWER(H289)="yes",LOWER(V289)="not even started"),"Need Loan",IF(LOWER(H289)="yes","Loan Started",IF(LOWER(H289)="not sure","Interested",IF(OR(LOWER(H289)="no",LOWER(V289)="not required"),"Not Required","Unclassified")))))))))))))</f>
        <v/>
      </c>
      <c r="Y289">
        <f>IF(A289="","",IF(OR(X289="Sanctioned",X289="Disbursed",X289="Approved"),"Approved",IF(X289="Rejected","Rejected",IF(OR(X289="Processing",X289="Documents Pending",X289="Vendor Assigned"),"In Progress",IF(X289="Need Loan","Pending Start","—"))))</f>
        <v/>
      </c>
      <c r="Z289">
        <f>IF(A289="","",IF(X289="Disbursed","Disbursed",IF(X289="Sanctioned","Sanctioned - Awaiting Disbursement","Not Disbursed")))</f>
        <v/>
      </c>
      <c r="AA289">
        <f>IF(A289="","",IF(LOWER(TRIM('01_Master_Data'!AI289&amp;""))="yes","Need FLDG",IF(LOWER(TRIM('01_Master_Data'!AK289&amp;""))="yes","Need Vidyalakshmi",IF(LOWER(TRIM('01_Master_Data'!AJ289&amp;""))="yes","Need Review",IF(LOWER(J289)="critical","Critical",IF(LOWER(U289)="risk","Risk Case",IF(X289="Refund","Refund","Normal")))))))</f>
        <v/>
      </c>
      <c r="AB289">
        <f>IF(A289="","",IF(OR(LOWER(J289)="critical",LOWER(TRIM('01_Master_Data'!AI289&amp;""))="yes",LOWER(TRIM('01_Master_Data'!AK289&amp;""))="yes",LOWER(U289)="risk"),"Yes","No"))</f>
        <v/>
      </c>
      <c r="AC289">
        <f>IF(A289="","",IF(LOWER(TRIM('01_Master_Data'!AI289&amp;""))="yes","Yes","No"))</f>
        <v/>
      </c>
      <c r="AD289">
        <f>IF(A289="","",IF(LOWER(TRIM('01_Master_Data'!AK289&amp;""))="yes","Yes","No"))</f>
        <v/>
      </c>
      <c r="AE289">
        <f>IF(A289="","",IF(LOWER(TRIM('01_Master_Data'!AJ289&amp;""))="yes","Yes","No"))</f>
        <v/>
      </c>
      <c r="AF289">
        <f>IF(A289="","",TRIM('01_Master_Data'!AL289&amp;""))</f>
        <v/>
      </c>
      <c r="AG289">
        <f>IF(A289="","",IF(AF289="","—",IF(ISNUMBER(SEARCH("DNP",AF289)),"Unreachable / DNP",IF(ISNUMBER(SEARCH("interest",LOWER(AF289))),"High Interest / Terms",IF(OR(ISNUMBER(SEARCH("eligib",LOWER(AF289))),ISNUMBER(SEARCH("income",LOWER(AF289)))),"Eligibility / Income",IF(OR(ISNUMBER(SEARCH("start",LOWER(AF289))),ISNUMBER(SEARCH("Newer",AF289)),ISNUMBER(SEARCH("Will start",AF289))),"Process Yet to Start",IF(ISNUMBER(SEARCH("sure",LOWER(AF289))),"Undecided",IF(OR(ISNUMBER(SEARCH("reject",LOWER(AF289))),ISNUMBER(SEARCH("SBI",AF289))),"Rejected Elsewhere",IF(ISNUMBER(SEARCH("call",LOWER(AF289))),"Bank Communication",IF(OR(ISNUMBER(SEARCH("father",LOWER(AF289))),ISNUMBER(SEARCH("sister",LOWER(AF289)))),"Family / Dependency","Other"))))))))))</f>
        <v/>
      </c>
      <c r="AH289">
        <f>IF(A289="","",'01_Master_Data'!AC289)</f>
        <v/>
      </c>
      <c r="AI289">
        <f>IF(A289="","",IF(OR(AH289="",NOT(ISNUMBER(AH289))),"",MAX(0,'02_Configuration'!$B$82-AH289)))</f>
        <v/>
      </c>
      <c r="AJ289">
        <f>IF(A289="","",IF(AI289="","Unknown",IF(AI289&lt;=3,"0–3 Days",IF(AI289&lt;=7,"4–7 Days",IF(AI289&lt;=15,"8–15 Days",IF(AI289&lt;=30,"16–30 Days","30+ Days"))))))</f>
        <v/>
      </c>
      <c r="AK289">
        <f>IF(A289="","",IF(LOWER(H289)="yes","Yes","No"))</f>
        <v/>
      </c>
      <c r="AL289">
        <f>IF(A289="","",'01_Master_Data'!T289)</f>
        <v/>
      </c>
      <c r="AM289">
        <f>IF(A289="","",'01_Master_Data'!S289)</f>
        <v/>
      </c>
      <c r="AN289">
        <f>IF(A289="","",'01_Master_Data'!I289)</f>
        <v/>
      </c>
      <c r="AO289">
        <f>IF(A289="","",'01_Master_Data'!M289)</f>
        <v/>
      </c>
      <c r="AP289">
        <f>IF(A289="","",IF(ISNUMBER(SEARCH("Icici",W289&amp;"")),1,0))</f>
        <v/>
      </c>
      <c r="AQ289">
        <f>IF(A289="","",IF(ISNUMBER(SEARCH("Propelld",W289&amp;"")),1,0))</f>
        <v/>
      </c>
      <c r="AR289">
        <f>IF(A289="","",IF(ISNUMBER(SEARCH("GyanDhan",W289&amp;"")),1,0))</f>
        <v/>
      </c>
      <c r="AS289">
        <f>IF(A289="","",IF(ISNUMBER(SEARCH("vidyalakshmi",LOWER(W289&amp;""))),1,0))</f>
        <v/>
      </c>
      <c r="AT289">
        <f>IF(A289="","",IF(ISNUMBER(SEARCH("other bank",LOWER(W289&amp;""))),1,0))</f>
        <v/>
      </c>
      <c r="AU289">
        <f>IF(A289="","",IF(ISNUMBER(SEARCH("sanctioned",LOWER(W289&amp;""))),1,0))</f>
        <v/>
      </c>
      <c r="AV289">
        <f>IF(A289="","",IF(ISNUMBER(SEARCH("Docs Pending",W289&amp;"")),1,0))</f>
        <v/>
      </c>
      <c r="AW289">
        <f>IF(A289="","",IF(OR(X289="Rejected",ISNUMBER(SEARCH("Not eligbile",W289&amp;""))),1,0))</f>
        <v/>
      </c>
    </row>
    <row r="290">
      <c r="A290">
        <f>IF('01_Master_Data'!B290="","",289)</f>
        <v/>
      </c>
      <c r="B290">
        <f>IF('01_Master_Data'!B290="","",IF('01_Master_Data'!C290&lt;&gt;"","MOB|"&amp;TEXT('01_Master_Data'!C290,"0"),IF('01_Master_Data'!D290&lt;&gt;"","PID|"&amp;TRIM('01_Master_Data'!D290&amp;""),"")))</f>
        <v/>
      </c>
      <c r="C290">
        <f>IF('01_Master_Data'!B290="","",'01_Master_Data'!B290)</f>
        <v/>
      </c>
      <c r="D290">
        <f>IF('01_Master_Data'!B290="","",'01_Master_Data'!C290)</f>
        <v/>
      </c>
      <c r="E290">
        <f>IF('01_Master_Data'!B290="","",'01_Master_Data'!D290)</f>
        <v/>
      </c>
      <c r="F290">
        <f>IF('01_Master_Data'!B290="","",'01_Master_Data'!E290)</f>
        <v/>
      </c>
      <c r="G290">
        <f>IF('01_Master_Data'!B290="","",IFERROR(VLOOKUP(TRIM('01_Master_Data'!E290&amp;""),'02_Configuration'!$A$40:$B$44,2,FALSE),UPPER(TRIM('01_Master_Data'!E290&amp;""))))</f>
        <v/>
      </c>
      <c r="H290">
        <f>IF('01_Master_Data'!B290="","",IF('01_Master_Data'!U290="","",TRIM('01_Master_Data'!U290&amp;"")))</f>
        <v/>
      </c>
      <c r="I290">
        <f>IF('01_Master_Data'!B290="","",TRIM('01_Master_Data'!F290&amp;""))</f>
        <v/>
      </c>
      <c r="J290">
        <f>IF('01_Master_Data'!B290="","",TRIM('01_Master_Data'!G290&amp;""))</f>
        <v/>
      </c>
      <c r="K290">
        <f>IF('01_Master_Data'!B290="","",'01_Master_Data'!H290)</f>
        <v/>
      </c>
      <c r="L290">
        <f>IF('01_Master_Data'!B290="","",IF(LOWER(TRIM('01_Master_Data'!V290&amp;""))="yes",1,0))</f>
        <v/>
      </c>
      <c r="M290">
        <f>IF('01_Master_Data'!B290="","",IF(LOWER(TRIM('01_Master_Data'!W290&amp;""))="yes",1,0))</f>
        <v/>
      </c>
      <c r="N290">
        <f>IF('01_Master_Data'!B290="","",IF(LOWER(TRIM('01_Master_Data'!X290&amp;""))="yes",1,0))</f>
        <v/>
      </c>
      <c r="O290">
        <f>IF('01_Master_Data'!B290="","",IF(LOWER(TRIM('01_Master_Data'!Y290&amp;""))="yes",1,0))</f>
        <v/>
      </c>
      <c r="P290">
        <f>IF('01_Master_Data'!B290="","",IF(LOWER(TRIM('01_Master_Data'!Z290&amp;""))="yes",1,0))</f>
        <v/>
      </c>
      <c r="Q290">
        <f>IF(A290="","",L290+M290+N290+O290+P290)</f>
        <v/>
      </c>
      <c r="R290">
        <f>IF(A290="","",IF(Q290&gt;1,"Yes","No"))</f>
        <v/>
      </c>
      <c r="S290">
        <f>IF(A290="","",TEXTJOIN(", ",TRUE,IF(L290=1,"ICICI",""),IF(M290=1,"Propelld",""),IF(N290=1,"Study4Buddy",""),IF(O290=1,"Poonawala Fincorp",""),IF(P290=1,"GyanDhan","")))</f>
        <v/>
      </c>
      <c r="T290">
        <f>IF(A290="","",IF(L290=1,"ICICI",IF(M290=1,"Propelld",IF(P290=1,"GyanDhan",IF(N290=1,"Study4Buddy",IF(O290=1,"Poonawala Fincorp",IF(ISNUMBER(SEARCH("GyanDhan",W290&amp;"")),"GyanDhan",IF(ISNUMBER(SEARCH("Icici",W290&amp;"")),"ICICI",IF(ISNUMBER(SEARCH("Propelld",W290&amp;"")),"Propelld",IF(ISNUMBER(SEARCH("vidyalakshmi",LOWER(W290&amp;"")),"PM Vidyalakshmi","—"))))))))))</f>
        <v/>
      </c>
      <c r="U290">
        <f>IF(A290="","",TRIM('01_Master_Data'!AA290&amp;""))</f>
        <v/>
      </c>
      <c r="V290">
        <f>IF(A290="","",TRIM('01_Master_Data'!AG290&amp;""))</f>
        <v/>
      </c>
      <c r="W290">
        <f>IF(A290="","",TRIM('01_Master_Data'!AH290&amp;""))</f>
        <v/>
      </c>
      <c r="X290">
        <f>IF(A290="","",IF(OR(LOWER(H290)="refund",LOWER(U290)="refund case"),"Refund",IF(OR(LOWER(H290)="dnp",LOWER(U290)="dnp"),"DNP",IF(OR(LOWER(V290)="disbursed",ISNUMBER(SEARCH("Disbursed",W290&amp;""))),"Disbursed",IF(OR(LOWER(V290)="loan proccessed/accepted",ISNUMBER(SEARCH("sanctioned",LOWER(W290&amp;"")))),"Sanctioned",IF(OR(LOWER(V290)="rejected",ISNUMBER(SEARCH("Not eligbile",W290&amp;"")),ISNUMBER(SEARCH("Not eligible",W290&amp;""))),"Rejected",IF(ISNUMBER(SEARCH("Docs Pending",W290&amp;"")),"Documents Pending",IF(AND(LOWER(H290)="yes",LOWER(V290)="ongoing"),"Processing",IF(AND(LOWER(H290)="yes",Q290&gt;0,OR(V290="",LOWER(V290)="not even started")),"Vendor Assigned",IF(AND(LOWER(H290)="yes",LOWER(V290)="not even started"),"Need Loan",IF(LOWER(H290)="yes","Loan Started",IF(LOWER(H290)="not sure","Interested",IF(OR(LOWER(H290)="no",LOWER(V290)="not required"),"Not Required","Unclassified")))))))))))))</f>
        <v/>
      </c>
      <c r="Y290">
        <f>IF(A290="","",IF(OR(X290="Sanctioned",X290="Disbursed",X290="Approved"),"Approved",IF(X290="Rejected","Rejected",IF(OR(X290="Processing",X290="Documents Pending",X290="Vendor Assigned"),"In Progress",IF(X290="Need Loan","Pending Start","—"))))</f>
        <v/>
      </c>
      <c r="Z290">
        <f>IF(A290="","",IF(X290="Disbursed","Disbursed",IF(X290="Sanctioned","Sanctioned - Awaiting Disbursement","Not Disbursed")))</f>
        <v/>
      </c>
      <c r="AA290">
        <f>IF(A290="","",IF(LOWER(TRIM('01_Master_Data'!AI290&amp;""))="yes","Need FLDG",IF(LOWER(TRIM('01_Master_Data'!AK290&amp;""))="yes","Need Vidyalakshmi",IF(LOWER(TRIM('01_Master_Data'!AJ290&amp;""))="yes","Need Review",IF(LOWER(J290)="critical","Critical",IF(LOWER(U290)="risk","Risk Case",IF(X290="Refund","Refund","Normal")))))))</f>
        <v/>
      </c>
      <c r="AB290">
        <f>IF(A290="","",IF(OR(LOWER(J290)="critical",LOWER(TRIM('01_Master_Data'!AI290&amp;""))="yes",LOWER(TRIM('01_Master_Data'!AK290&amp;""))="yes",LOWER(U290)="risk"),"Yes","No"))</f>
        <v/>
      </c>
      <c r="AC290">
        <f>IF(A290="","",IF(LOWER(TRIM('01_Master_Data'!AI290&amp;""))="yes","Yes","No"))</f>
        <v/>
      </c>
      <c r="AD290">
        <f>IF(A290="","",IF(LOWER(TRIM('01_Master_Data'!AK290&amp;""))="yes","Yes","No"))</f>
        <v/>
      </c>
      <c r="AE290">
        <f>IF(A290="","",IF(LOWER(TRIM('01_Master_Data'!AJ290&amp;""))="yes","Yes","No"))</f>
        <v/>
      </c>
      <c r="AF290">
        <f>IF(A290="","",TRIM('01_Master_Data'!AL290&amp;""))</f>
        <v/>
      </c>
      <c r="AG290">
        <f>IF(A290="","",IF(AF290="","—",IF(ISNUMBER(SEARCH("DNP",AF290)),"Unreachable / DNP",IF(ISNUMBER(SEARCH("interest",LOWER(AF290))),"High Interest / Terms",IF(OR(ISNUMBER(SEARCH("eligib",LOWER(AF290))),ISNUMBER(SEARCH("income",LOWER(AF290)))),"Eligibility / Income",IF(OR(ISNUMBER(SEARCH("start",LOWER(AF290))),ISNUMBER(SEARCH("Newer",AF290)),ISNUMBER(SEARCH("Will start",AF290))),"Process Yet to Start",IF(ISNUMBER(SEARCH("sure",LOWER(AF290))),"Undecided",IF(OR(ISNUMBER(SEARCH("reject",LOWER(AF290))),ISNUMBER(SEARCH("SBI",AF290))),"Rejected Elsewhere",IF(ISNUMBER(SEARCH("call",LOWER(AF290))),"Bank Communication",IF(OR(ISNUMBER(SEARCH("father",LOWER(AF290))),ISNUMBER(SEARCH("sister",LOWER(AF290)))),"Family / Dependency","Other"))))))))))</f>
        <v/>
      </c>
      <c r="AH290">
        <f>IF(A290="","",'01_Master_Data'!AC290)</f>
        <v/>
      </c>
      <c r="AI290">
        <f>IF(A290="","",IF(OR(AH290="",NOT(ISNUMBER(AH290))),"",MAX(0,'02_Configuration'!$B$82-AH290)))</f>
        <v/>
      </c>
      <c r="AJ290">
        <f>IF(A290="","",IF(AI290="","Unknown",IF(AI290&lt;=3,"0–3 Days",IF(AI290&lt;=7,"4–7 Days",IF(AI290&lt;=15,"8–15 Days",IF(AI290&lt;=30,"16–30 Days","30+ Days"))))))</f>
        <v/>
      </c>
      <c r="AK290">
        <f>IF(A290="","",IF(LOWER(H290)="yes","Yes","No"))</f>
        <v/>
      </c>
      <c r="AL290">
        <f>IF(A290="","",'01_Master_Data'!T290)</f>
        <v/>
      </c>
      <c r="AM290">
        <f>IF(A290="","",'01_Master_Data'!S290)</f>
        <v/>
      </c>
      <c r="AN290">
        <f>IF(A290="","",'01_Master_Data'!I290)</f>
        <v/>
      </c>
      <c r="AO290">
        <f>IF(A290="","",'01_Master_Data'!M290)</f>
        <v/>
      </c>
      <c r="AP290">
        <f>IF(A290="","",IF(ISNUMBER(SEARCH("Icici",W290&amp;"")),1,0))</f>
        <v/>
      </c>
      <c r="AQ290">
        <f>IF(A290="","",IF(ISNUMBER(SEARCH("Propelld",W290&amp;"")),1,0))</f>
        <v/>
      </c>
      <c r="AR290">
        <f>IF(A290="","",IF(ISNUMBER(SEARCH("GyanDhan",W290&amp;"")),1,0))</f>
        <v/>
      </c>
      <c r="AS290">
        <f>IF(A290="","",IF(ISNUMBER(SEARCH("vidyalakshmi",LOWER(W290&amp;""))),1,0))</f>
        <v/>
      </c>
      <c r="AT290">
        <f>IF(A290="","",IF(ISNUMBER(SEARCH("other bank",LOWER(W290&amp;""))),1,0))</f>
        <v/>
      </c>
      <c r="AU290">
        <f>IF(A290="","",IF(ISNUMBER(SEARCH("sanctioned",LOWER(W290&amp;""))),1,0))</f>
        <v/>
      </c>
      <c r="AV290">
        <f>IF(A290="","",IF(ISNUMBER(SEARCH("Docs Pending",W290&amp;"")),1,0))</f>
        <v/>
      </c>
      <c r="AW290">
        <f>IF(A290="","",IF(OR(X290="Rejected",ISNUMBER(SEARCH("Not eligbile",W290&amp;""))),1,0))</f>
        <v/>
      </c>
    </row>
    <row r="291">
      <c r="A291">
        <f>IF('01_Master_Data'!B291="","",290)</f>
        <v/>
      </c>
      <c r="B291">
        <f>IF('01_Master_Data'!B291="","",IF('01_Master_Data'!C291&lt;&gt;"","MOB|"&amp;TEXT('01_Master_Data'!C291,"0"),IF('01_Master_Data'!D291&lt;&gt;"","PID|"&amp;TRIM('01_Master_Data'!D291&amp;""),"")))</f>
        <v/>
      </c>
      <c r="C291">
        <f>IF('01_Master_Data'!B291="","",'01_Master_Data'!B291)</f>
        <v/>
      </c>
      <c r="D291">
        <f>IF('01_Master_Data'!B291="","",'01_Master_Data'!C291)</f>
        <v/>
      </c>
      <c r="E291">
        <f>IF('01_Master_Data'!B291="","",'01_Master_Data'!D291)</f>
        <v/>
      </c>
      <c r="F291">
        <f>IF('01_Master_Data'!B291="","",'01_Master_Data'!E291)</f>
        <v/>
      </c>
      <c r="G291">
        <f>IF('01_Master_Data'!B291="","",IFERROR(VLOOKUP(TRIM('01_Master_Data'!E291&amp;""),'02_Configuration'!$A$40:$B$44,2,FALSE),UPPER(TRIM('01_Master_Data'!E291&amp;""))))</f>
        <v/>
      </c>
      <c r="H291">
        <f>IF('01_Master_Data'!B291="","",IF('01_Master_Data'!U291="","",TRIM('01_Master_Data'!U291&amp;"")))</f>
        <v/>
      </c>
      <c r="I291">
        <f>IF('01_Master_Data'!B291="","",TRIM('01_Master_Data'!F291&amp;""))</f>
        <v/>
      </c>
      <c r="J291">
        <f>IF('01_Master_Data'!B291="","",TRIM('01_Master_Data'!G291&amp;""))</f>
        <v/>
      </c>
      <c r="K291">
        <f>IF('01_Master_Data'!B291="","",'01_Master_Data'!H291)</f>
        <v/>
      </c>
      <c r="L291">
        <f>IF('01_Master_Data'!B291="","",IF(LOWER(TRIM('01_Master_Data'!V291&amp;""))="yes",1,0))</f>
        <v/>
      </c>
      <c r="M291">
        <f>IF('01_Master_Data'!B291="","",IF(LOWER(TRIM('01_Master_Data'!W291&amp;""))="yes",1,0))</f>
        <v/>
      </c>
      <c r="N291">
        <f>IF('01_Master_Data'!B291="","",IF(LOWER(TRIM('01_Master_Data'!X291&amp;""))="yes",1,0))</f>
        <v/>
      </c>
      <c r="O291">
        <f>IF('01_Master_Data'!B291="","",IF(LOWER(TRIM('01_Master_Data'!Y291&amp;""))="yes",1,0))</f>
        <v/>
      </c>
      <c r="P291">
        <f>IF('01_Master_Data'!B291="","",IF(LOWER(TRIM('01_Master_Data'!Z291&amp;""))="yes",1,0))</f>
        <v/>
      </c>
      <c r="Q291">
        <f>IF(A291="","",L291+M291+N291+O291+P291)</f>
        <v/>
      </c>
      <c r="R291">
        <f>IF(A291="","",IF(Q291&gt;1,"Yes","No"))</f>
        <v/>
      </c>
      <c r="S291">
        <f>IF(A291="","",TEXTJOIN(", ",TRUE,IF(L291=1,"ICICI",""),IF(M291=1,"Propelld",""),IF(N291=1,"Study4Buddy",""),IF(O291=1,"Poonawala Fincorp",""),IF(P291=1,"GyanDhan","")))</f>
        <v/>
      </c>
      <c r="T291">
        <f>IF(A291="","",IF(L291=1,"ICICI",IF(M291=1,"Propelld",IF(P291=1,"GyanDhan",IF(N291=1,"Study4Buddy",IF(O291=1,"Poonawala Fincorp",IF(ISNUMBER(SEARCH("GyanDhan",W291&amp;"")),"GyanDhan",IF(ISNUMBER(SEARCH("Icici",W291&amp;"")),"ICICI",IF(ISNUMBER(SEARCH("Propelld",W291&amp;"")),"Propelld",IF(ISNUMBER(SEARCH("vidyalakshmi",LOWER(W291&amp;"")),"PM Vidyalakshmi","—"))))))))))</f>
        <v/>
      </c>
      <c r="U291">
        <f>IF(A291="","",TRIM('01_Master_Data'!AA291&amp;""))</f>
        <v/>
      </c>
      <c r="V291">
        <f>IF(A291="","",TRIM('01_Master_Data'!AG291&amp;""))</f>
        <v/>
      </c>
      <c r="W291">
        <f>IF(A291="","",TRIM('01_Master_Data'!AH291&amp;""))</f>
        <v/>
      </c>
      <c r="X291">
        <f>IF(A291="","",IF(OR(LOWER(H291)="refund",LOWER(U291)="refund case"),"Refund",IF(OR(LOWER(H291)="dnp",LOWER(U291)="dnp"),"DNP",IF(OR(LOWER(V291)="disbursed",ISNUMBER(SEARCH("Disbursed",W291&amp;""))),"Disbursed",IF(OR(LOWER(V291)="loan proccessed/accepted",ISNUMBER(SEARCH("sanctioned",LOWER(W291&amp;"")))),"Sanctioned",IF(OR(LOWER(V291)="rejected",ISNUMBER(SEARCH("Not eligbile",W291&amp;"")),ISNUMBER(SEARCH("Not eligible",W291&amp;""))),"Rejected",IF(ISNUMBER(SEARCH("Docs Pending",W291&amp;"")),"Documents Pending",IF(AND(LOWER(H291)="yes",LOWER(V291)="ongoing"),"Processing",IF(AND(LOWER(H291)="yes",Q291&gt;0,OR(V291="",LOWER(V291)="not even started")),"Vendor Assigned",IF(AND(LOWER(H291)="yes",LOWER(V291)="not even started"),"Need Loan",IF(LOWER(H291)="yes","Loan Started",IF(LOWER(H291)="not sure","Interested",IF(OR(LOWER(H291)="no",LOWER(V291)="not required"),"Not Required","Unclassified")))))))))))))</f>
        <v/>
      </c>
      <c r="Y291">
        <f>IF(A291="","",IF(OR(X291="Sanctioned",X291="Disbursed",X291="Approved"),"Approved",IF(X291="Rejected","Rejected",IF(OR(X291="Processing",X291="Documents Pending",X291="Vendor Assigned"),"In Progress",IF(X291="Need Loan","Pending Start","—"))))</f>
        <v/>
      </c>
      <c r="Z291">
        <f>IF(A291="","",IF(X291="Disbursed","Disbursed",IF(X291="Sanctioned","Sanctioned - Awaiting Disbursement","Not Disbursed")))</f>
        <v/>
      </c>
      <c r="AA291">
        <f>IF(A291="","",IF(LOWER(TRIM('01_Master_Data'!AI291&amp;""))="yes","Need FLDG",IF(LOWER(TRIM('01_Master_Data'!AK291&amp;""))="yes","Need Vidyalakshmi",IF(LOWER(TRIM('01_Master_Data'!AJ291&amp;""))="yes","Need Review",IF(LOWER(J291)="critical","Critical",IF(LOWER(U291)="risk","Risk Case",IF(X291="Refund","Refund","Normal")))))))</f>
        <v/>
      </c>
      <c r="AB291">
        <f>IF(A291="","",IF(OR(LOWER(J291)="critical",LOWER(TRIM('01_Master_Data'!AI291&amp;""))="yes",LOWER(TRIM('01_Master_Data'!AK291&amp;""))="yes",LOWER(U291)="risk"),"Yes","No"))</f>
        <v/>
      </c>
      <c r="AC291">
        <f>IF(A291="","",IF(LOWER(TRIM('01_Master_Data'!AI291&amp;""))="yes","Yes","No"))</f>
        <v/>
      </c>
      <c r="AD291">
        <f>IF(A291="","",IF(LOWER(TRIM('01_Master_Data'!AK291&amp;""))="yes","Yes","No"))</f>
        <v/>
      </c>
      <c r="AE291">
        <f>IF(A291="","",IF(LOWER(TRIM('01_Master_Data'!AJ291&amp;""))="yes","Yes","No"))</f>
        <v/>
      </c>
      <c r="AF291">
        <f>IF(A291="","",TRIM('01_Master_Data'!AL291&amp;""))</f>
        <v/>
      </c>
      <c r="AG291">
        <f>IF(A291="","",IF(AF291="","—",IF(ISNUMBER(SEARCH("DNP",AF291)),"Unreachable / DNP",IF(ISNUMBER(SEARCH("interest",LOWER(AF291))),"High Interest / Terms",IF(OR(ISNUMBER(SEARCH("eligib",LOWER(AF291))),ISNUMBER(SEARCH("income",LOWER(AF291)))),"Eligibility / Income",IF(OR(ISNUMBER(SEARCH("start",LOWER(AF291))),ISNUMBER(SEARCH("Newer",AF291)),ISNUMBER(SEARCH("Will start",AF291))),"Process Yet to Start",IF(ISNUMBER(SEARCH("sure",LOWER(AF291))),"Undecided",IF(OR(ISNUMBER(SEARCH("reject",LOWER(AF291))),ISNUMBER(SEARCH("SBI",AF291))),"Rejected Elsewhere",IF(ISNUMBER(SEARCH("call",LOWER(AF291))),"Bank Communication",IF(OR(ISNUMBER(SEARCH("father",LOWER(AF291))),ISNUMBER(SEARCH("sister",LOWER(AF291)))),"Family / Dependency","Other"))))))))))</f>
        <v/>
      </c>
      <c r="AH291">
        <f>IF(A291="","",'01_Master_Data'!AC291)</f>
        <v/>
      </c>
      <c r="AI291">
        <f>IF(A291="","",IF(OR(AH291="",NOT(ISNUMBER(AH291))),"",MAX(0,'02_Configuration'!$B$82-AH291)))</f>
        <v/>
      </c>
      <c r="AJ291">
        <f>IF(A291="","",IF(AI291="","Unknown",IF(AI291&lt;=3,"0–3 Days",IF(AI291&lt;=7,"4–7 Days",IF(AI291&lt;=15,"8–15 Days",IF(AI291&lt;=30,"16–30 Days","30+ Days"))))))</f>
        <v/>
      </c>
      <c r="AK291">
        <f>IF(A291="","",IF(LOWER(H291)="yes","Yes","No"))</f>
        <v/>
      </c>
      <c r="AL291">
        <f>IF(A291="","",'01_Master_Data'!T291)</f>
        <v/>
      </c>
      <c r="AM291">
        <f>IF(A291="","",'01_Master_Data'!S291)</f>
        <v/>
      </c>
      <c r="AN291">
        <f>IF(A291="","",'01_Master_Data'!I291)</f>
        <v/>
      </c>
      <c r="AO291">
        <f>IF(A291="","",'01_Master_Data'!M291)</f>
        <v/>
      </c>
      <c r="AP291">
        <f>IF(A291="","",IF(ISNUMBER(SEARCH("Icici",W291&amp;"")),1,0))</f>
        <v/>
      </c>
      <c r="AQ291">
        <f>IF(A291="","",IF(ISNUMBER(SEARCH("Propelld",W291&amp;"")),1,0))</f>
        <v/>
      </c>
      <c r="AR291">
        <f>IF(A291="","",IF(ISNUMBER(SEARCH("GyanDhan",W291&amp;"")),1,0))</f>
        <v/>
      </c>
      <c r="AS291">
        <f>IF(A291="","",IF(ISNUMBER(SEARCH("vidyalakshmi",LOWER(W291&amp;""))),1,0))</f>
        <v/>
      </c>
      <c r="AT291">
        <f>IF(A291="","",IF(ISNUMBER(SEARCH("other bank",LOWER(W291&amp;""))),1,0))</f>
        <v/>
      </c>
      <c r="AU291">
        <f>IF(A291="","",IF(ISNUMBER(SEARCH("sanctioned",LOWER(W291&amp;""))),1,0))</f>
        <v/>
      </c>
      <c r="AV291">
        <f>IF(A291="","",IF(ISNUMBER(SEARCH("Docs Pending",W291&amp;"")),1,0))</f>
        <v/>
      </c>
      <c r="AW291">
        <f>IF(A291="","",IF(OR(X291="Rejected",ISNUMBER(SEARCH("Not eligbile",W291&amp;""))),1,0))</f>
        <v/>
      </c>
    </row>
    <row r="292">
      <c r="A292">
        <f>IF('01_Master_Data'!B292="","",291)</f>
        <v/>
      </c>
      <c r="B292">
        <f>IF('01_Master_Data'!B292="","",IF('01_Master_Data'!C292&lt;&gt;"","MOB|"&amp;TEXT('01_Master_Data'!C292,"0"),IF('01_Master_Data'!D292&lt;&gt;"","PID|"&amp;TRIM('01_Master_Data'!D292&amp;""),"")))</f>
        <v/>
      </c>
      <c r="C292">
        <f>IF('01_Master_Data'!B292="","",'01_Master_Data'!B292)</f>
        <v/>
      </c>
      <c r="D292">
        <f>IF('01_Master_Data'!B292="","",'01_Master_Data'!C292)</f>
        <v/>
      </c>
      <c r="E292">
        <f>IF('01_Master_Data'!B292="","",'01_Master_Data'!D292)</f>
        <v/>
      </c>
      <c r="F292">
        <f>IF('01_Master_Data'!B292="","",'01_Master_Data'!E292)</f>
        <v/>
      </c>
      <c r="G292">
        <f>IF('01_Master_Data'!B292="","",IFERROR(VLOOKUP(TRIM('01_Master_Data'!E292&amp;""),'02_Configuration'!$A$40:$B$44,2,FALSE),UPPER(TRIM('01_Master_Data'!E292&amp;""))))</f>
        <v/>
      </c>
      <c r="H292">
        <f>IF('01_Master_Data'!B292="","",IF('01_Master_Data'!U292="","",TRIM('01_Master_Data'!U292&amp;"")))</f>
        <v/>
      </c>
      <c r="I292">
        <f>IF('01_Master_Data'!B292="","",TRIM('01_Master_Data'!F292&amp;""))</f>
        <v/>
      </c>
      <c r="J292">
        <f>IF('01_Master_Data'!B292="","",TRIM('01_Master_Data'!G292&amp;""))</f>
        <v/>
      </c>
      <c r="K292">
        <f>IF('01_Master_Data'!B292="","",'01_Master_Data'!H292)</f>
        <v/>
      </c>
      <c r="L292">
        <f>IF('01_Master_Data'!B292="","",IF(LOWER(TRIM('01_Master_Data'!V292&amp;""))="yes",1,0))</f>
        <v/>
      </c>
      <c r="M292">
        <f>IF('01_Master_Data'!B292="","",IF(LOWER(TRIM('01_Master_Data'!W292&amp;""))="yes",1,0))</f>
        <v/>
      </c>
      <c r="N292">
        <f>IF('01_Master_Data'!B292="","",IF(LOWER(TRIM('01_Master_Data'!X292&amp;""))="yes",1,0))</f>
        <v/>
      </c>
      <c r="O292">
        <f>IF('01_Master_Data'!B292="","",IF(LOWER(TRIM('01_Master_Data'!Y292&amp;""))="yes",1,0))</f>
        <v/>
      </c>
      <c r="P292">
        <f>IF('01_Master_Data'!B292="","",IF(LOWER(TRIM('01_Master_Data'!Z292&amp;""))="yes",1,0))</f>
        <v/>
      </c>
      <c r="Q292">
        <f>IF(A292="","",L292+M292+N292+O292+P292)</f>
        <v/>
      </c>
      <c r="R292">
        <f>IF(A292="","",IF(Q292&gt;1,"Yes","No"))</f>
        <v/>
      </c>
      <c r="S292">
        <f>IF(A292="","",TEXTJOIN(", ",TRUE,IF(L292=1,"ICICI",""),IF(M292=1,"Propelld",""),IF(N292=1,"Study4Buddy",""),IF(O292=1,"Poonawala Fincorp",""),IF(P292=1,"GyanDhan","")))</f>
        <v/>
      </c>
      <c r="T292">
        <f>IF(A292="","",IF(L292=1,"ICICI",IF(M292=1,"Propelld",IF(P292=1,"GyanDhan",IF(N292=1,"Study4Buddy",IF(O292=1,"Poonawala Fincorp",IF(ISNUMBER(SEARCH("GyanDhan",W292&amp;"")),"GyanDhan",IF(ISNUMBER(SEARCH("Icici",W292&amp;"")),"ICICI",IF(ISNUMBER(SEARCH("Propelld",W292&amp;"")),"Propelld",IF(ISNUMBER(SEARCH("vidyalakshmi",LOWER(W292&amp;"")),"PM Vidyalakshmi","—"))))))))))</f>
        <v/>
      </c>
      <c r="U292">
        <f>IF(A292="","",TRIM('01_Master_Data'!AA292&amp;""))</f>
        <v/>
      </c>
      <c r="V292">
        <f>IF(A292="","",TRIM('01_Master_Data'!AG292&amp;""))</f>
        <v/>
      </c>
      <c r="W292">
        <f>IF(A292="","",TRIM('01_Master_Data'!AH292&amp;""))</f>
        <v/>
      </c>
      <c r="X292">
        <f>IF(A292="","",IF(OR(LOWER(H292)="refund",LOWER(U292)="refund case"),"Refund",IF(OR(LOWER(H292)="dnp",LOWER(U292)="dnp"),"DNP",IF(OR(LOWER(V292)="disbursed",ISNUMBER(SEARCH("Disbursed",W292&amp;""))),"Disbursed",IF(OR(LOWER(V292)="loan proccessed/accepted",ISNUMBER(SEARCH("sanctioned",LOWER(W292&amp;"")))),"Sanctioned",IF(OR(LOWER(V292)="rejected",ISNUMBER(SEARCH("Not eligbile",W292&amp;"")),ISNUMBER(SEARCH("Not eligible",W292&amp;""))),"Rejected",IF(ISNUMBER(SEARCH("Docs Pending",W292&amp;"")),"Documents Pending",IF(AND(LOWER(H292)="yes",LOWER(V292)="ongoing"),"Processing",IF(AND(LOWER(H292)="yes",Q292&gt;0,OR(V292="",LOWER(V292)="not even started")),"Vendor Assigned",IF(AND(LOWER(H292)="yes",LOWER(V292)="not even started"),"Need Loan",IF(LOWER(H292)="yes","Loan Started",IF(LOWER(H292)="not sure","Interested",IF(OR(LOWER(H292)="no",LOWER(V292)="not required"),"Not Required","Unclassified")))))))))))))</f>
        <v/>
      </c>
      <c r="Y292">
        <f>IF(A292="","",IF(OR(X292="Sanctioned",X292="Disbursed",X292="Approved"),"Approved",IF(X292="Rejected","Rejected",IF(OR(X292="Processing",X292="Documents Pending",X292="Vendor Assigned"),"In Progress",IF(X292="Need Loan","Pending Start","—"))))</f>
        <v/>
      </c>
      <c r="Z292">
        <f>IF(A292="","",IF(X292="Disbursed","Disbursed",IF(X292="Sanctioned","Sanctioned - Awaiting Disbursement","Not Disbursed")))</f>
        <v/>
      </c>
      <c r="AA292">
        <f>IF(A292="","",IF(LOWER(TRIM('01_Master_Data'!AI292&amp;""))="yes","Need FLDG",IF(LOWER(TRIM('01_Master_Data'!AK292&amp;""))="yes","Need Vidyalakshmi",IF(LOWER(TRIM('01_Master_Data'!AJ292&amp;""))="yes","Need Review",IF(LOWER(J292)="critical","Critical",IF(LOWER(U292)="risk","Risk Case",IF(X292="Refund","Refund","Normal")))))))</f>
        <v/>
      </c>
      <c r="AB292">
        <f>IF(A292="","",IF(OR(LOWER(J292)="critical",LOWER(TRIM('01_Master_Data'!AI292&amp;""))="yes",LOWER(TRIM('01_Master_Data'!AK292&amp;""))="yes",LOWER(U292)="risk"),"Yes","No"))</f>
        <v/>
      </c>
      <c r="AC292">
        <f>IF(A292="","",IF(LOWER(TRIM('01_Master_Data'!AI292&amp;""))="yes","Yes","No"))</f>
        <v/>
      </c>
      <c r="AD292">
        <f>IF(A292="","",IF(LOWER(TRIM('01_Master_Data'!AK292&amp;""))="yes","Yes","No"))</f>
        <v/>
      </c>
      <c r="AE292">
        <f>IF(A292="","",IF(LOWER(TRIM('01_Master_Data'!AJ292&amp;""))="yes","Yes","No"))</f>
        <v/>
      </c>
      <c r="AF292">
        <f>IF(A292="","",TRIM('01_Master_Data'!AL292&amp;""))</f>
        <v/>
      </c>
      <c r="AG292">
        <f>IF(A292="","",IF(AF292="","—",IF(ISNUMBER(SEARCH("DNP",AF292)),"Unreachable / DNP",IF(ISNUMBER(SEARCH("interest",LOWER(AF292))),"High Interest / Terms",IF(OR(ISNUMBER(SEARCH("eligib",LOWER(AF292))),ISNUMBER(SEARCH("income",LOWER(AF292)))),"Eligibility / Income",IF(OR(ISNUMBER(SEARCH("start",LOWER(AF292))),ISNUMBER(SEARCH("Newer",AF292)),ISNUMBER(SEARCH("Will start",AF292))),"Process Yet to Start",IF(ISNUMBER(SEARCH("sure",LOWER(AF292))),"Undecided",IF(OR(ISNUMBER(SEARCH("reject",LOWER(AF292))),ISNUMBER(SEARCH("SBI",AF292))),"Rejected Elsewhere",IF(ISNUMBER(SEARCH("call",LOWER(AF292))),"Bank Communication",IF(OR(ISNUMBER(SEARCH("father",LOWER(AF292))),ISNUMBER(SEARCH("sister",LOWER(AF292)))),"Family / Dependency","Other"))))))))))</f>
        <v/>
      </c>
      <c r="AH292">
        <f>IF(A292="","",'01_Master_Data'!AC292)</f>
        <v/>
      </c>
      <c r="AI292">
        <f>IF(A292="","",IF(OR(AH292="",NOT(ISNUMBER(AH292))),"",MAX(0,'02_Configuration'!$B$82-AH292)))</f>
        <v/>
      </c>
      <c r="AJ292">
        <f>IF(A292="","",IF(AI292="","Unknown",IF(AI292&lt;=3,"0–3 Days",IF(AI292&lt;=7,"4–7 Days",IF(AI292&lt;=15,"8–15 Days",IF(AI292&lt;=30,"16–30 Days","30+ Days"))))))</f>
        <v/>
      </c>
      <c r="AK292">
        <f>IF(A292="","",IF(LOWER(H292)="yes","Yes","No"))</f>
        <v/>
      </c>
      <c r="AL292">
        <f>IF(A292="","",'01_Master_Data'!T292)</f>
        <v/>
      </c>
      <c r="AM292">
        <f>IF(A292="","",'01_Master_Data'!S292)</f>
        <v/>
      </c>
      <c r="AN292">
        <f>IF(A292="","",'01_Master_Data'!I292)</f>
        <v/>
      </c>
      <c r="AO292">
        <f>IF(A292="","",'01_Master_Data'!M292)</f>
        <v/>
      </c>
      <c r="AP292">
        <f>IF(A292="","",IF(ISNUMBER(SEARCH("Icici",W292&amp;"")),1,0))</f>
        <v/>
      </c>
      <c r="AQ292">
        <f>IF(A292="","",IF(ISNUMBER(SEARCH("Propelld",W292&amp;"")),1,0))</f>
        <v/>
      </c>
      <c r="AR292">
        <f>IF(A292="","",IF(ISNUMBER(SEARCH("GyanDhan",W292&amp;"")),1,0))</f>
        <v/>
      </c>
      <c r="AS292">
        <f>IF(A292="","",IF(ISNUMBER(SEARCH("vidyalakshmi",LOWER(W292&amp;""))),1,0))</f>
        <v/>
      </c>
      <c r="AT292">
        <f>IF(A292="","",IF(ISNUMBER(SEARCH("other bank",LOWER(W292&amp;""))),1,0))</f>
        <v/>
      </c>
      <c r="AU292">
        <f>IF(A292="","",IF(ISNUMBER(SEARCH("sanctioned",LOWER(W292&amp;""))),1,0))</f>
        <v/>
      </c>
      <c r="AV292">
        <f>IF(A292="","",IF(ISNUMBER(SEARCH("Docs Pending",W292&amp;"")),1,0))</f>
        <v/>
      </c>
      <c r="AW292">
        <f>IF(A292="","",IF(OR(X292="Rejected",ISNUMBER(SEARCH("Not eligbile",W292&amp;""))),1,0))</f>
        <v/>
      </c>
    </row>
    <row r="293">
      <c r="A293">
        <f>IF('01_Master_Data'!B293="","",292)</f>
        <v/>
      </c>
      <c r="B293">
        <f>IF('01_Master_Data'!B293="","",IF('01_Master_Data'!C293&lt;&gt;"","MOB|"&amp;TEXT('01_Master_Data'!C293,"0"),IF('01_Master_Data'!D293&lt;&gt;"","PID|"&amp;TRIM('01_Master_Data'!D293&amp;""),"")))</f>
        <v/>
      </c>
      <c r="C293">
        <f>IF('01_Master_Data'!B293="","",'01_Master_Data'!B293)</f>
        <v/>
      </c>
      <c r="D293">
        <f>IF('01_Master_Data'!B293="","",'01_Master_Data'!C293)</f>
        <v/>
      </c>
      <c r="E293">
        <f>IF('01_Master_Data'!B293="","",'01_Master_Data'!D293)</f>
        <v/>
      </c>
      <c r="F293">
        <f>IF('01_Master_Data'!B293="","",'01_Master_Data'!E293)</f>
        <v/>
      </c>
      <c r="G293">
        <f>IF('01_Master_Data'!B293="","",IFERROR(VLOOKUP(TRIM('01_Master_Data'!E293&amp;""),'02_Configuration'!$A$40:$B$44,2,FALSE),UPPER(TRIM('01_Master_Data'!E293&amp;""))))</f>
        <v/>
      </c>
      <c r="H293">
        <f>IF('01_Master_Data'!B293="","",IF('01_Master_Data'!U293="","",TRIM('01_Master_Data'!U293&amp;"")))</f>
        <v/>
      </c>
      <c r="I293">
        <f>IF('01_Master_Data'!B293="","",TRIM('01_Master_Data'!F293&amp;""))</f>
        <v/>
      </c>
      <c r="J293">
        <f>IF('01_Master_Data'!B293="","",TRIM('01_Master_Data'!G293&amp;""))</f>
        <v/>
      </c>
      <c r="K293">
        <f>IF('01_Master_Data'!B293="","",'01_Master_Data'!H293)</f>
        <v/>
      </c>
      <c r="L293">
        <f>IF('01_Master_Data'!B293="","",IF(LOWER(TRIM('01_Master_Data'!V293&amp;""))="yes",1,0))</f>
        <v/>
      </c>
      <c r="M293">
        <f>IF('01_Master_Data'!B293="","",IF(LOWER(TRIM('01_Master_Data'!W293&amp;""))="yes",1,0))</f>
        <v/>
      </c>
      <c r="N293">
        <f>IF('01_Master_Data'!B293="","",IF(LOWER(TRIM('01_Master_Data'!X293&amp;""))="yes",1,0))</f>
        <v/>
      </c>
      <c r="O293">
        <f>IF('01_Master_Data'!B293="","",IF(LOWER(TRIM('01_Master_Data'!Y293&amp;""))="yes",1,0))</f>
        <v/>
      </c>
      <c r="P293">
        <f>IF('01_Master_Data'!B293="","",IF(LOWER(TRIM('01_Master_Data'!Z293&amp;""))="yes",1,0))</f>
        <v/>
      </c>
      <c r="Q293">
        <f>IF(A293="","",L293+M293+N293+O293+P293)</f>
        <v/>
      </c>
      <c r="R293">
        <f>IF(A293="","",IF(Q293&gt;1,"Yes","No"))</f>
        <v/>
      </c>
      <c r="S293">
        <f>IF(A293="","",TEXTJOIN(", ",TRUE,IF(L293=1,"ICICI",""),IF(M293=1,"Propelld",""),IF(N293=1,"Study4Buddy",""),IF(O293=1,"Poonawala Fincorp",""),IF(P293=1,"GyanDhan","")))</f>
        <v/>
      </c>
      <c r="T293">
        <f>IF(A293="","",IF(L293=1,"ICICI",IF(M293=1,"Propelld",IF(P293=1,"GyanDhan",IF(N293=1,"Study4Buddy",IF(O293=1,"Poonawala Fincorp",IF(ISNUMBER(SEARCH("GyanDhan",W293&amp;"")),"GyanDhan",IF(ISNUMBER(SEARCH("Icici",W293&amp;"")),"ICICI",IF(ISNUMBER(SEARCH("Propelld",W293&amp;"")),"Propelld",IF(ISNUMBER(SEARCH("vidyalakshmi",LOWER(W293&amp;"")),"PM Vidyalakshmi","—"))))))))))</f>
        <v/>
      </c>
      <c r="U293">
        <f>IF(A293="","",TRIM('01_Master_Data'!AA293&amp;""))</f>
        <v/>
      </c>
      <c r="V293">
        <f>IF(A293="","",TRIM('01_Master_Data'!AG293&amp;""))</f>
        <v/>
      </c>
      <c r="W293">
        <f>IF(A293="","",TRIM('01_Master_Data'!AH293&amp;""))</f>
        <v/>
      </c>
      <c r="X293">
        <f>IF(A293="","",IF(OR(LOWER(H293)="refund",LOWER(U293)="refund case"),"Refund",IF(OR(LOWER(H293)="dnp",LOWER(U293)="dnp"),"DNP",IF(OR(LOWER(V293)="disbursed",ISNUMBER(SEARCH("Disbursed",W293&amp;""))),"Disbursed",IF(OR(LOWER(V293)="loan proccessed/accepted",ISNUMBER(SEARCH("sanctioned",LOWER(W293&amp;"")))),"Sanctioned",IF(OR(LOWER(V293)="rejected",ISNUMBER(SEARCH("Not eligbile",W293&amp;"")),ISNUMBER(SEARCH("Not eligible",W293&amp;""))),"Rejected",IF(ISNUMBER(SEARCH("Docs Pending",W293&amp;"")),"Documents Pending",IF(AND(LOWER(H293)="yes",LOWER(V293)="ongoing"),"Processing",IF(AND(LOWER(H293)="yes",Q293&gt;0,OR(V293="",LOWER(V293)="not even started")),"Vendor Assigned",IF(AND(LOWER(H293)="yes",LOWER(V293)="not even started"),"Need Loan",IF(LOWER(H293)="yes","Loan Started",IF(LOWER(H293)="not sure","Interested",IF(OR(LOWER(H293)="no",LOWER(V293)="not required"),"Not Required","Unclassified")))))))))))))</f>
        <v/>
      </c>
      <c r="Y293">
        <f>IF(A293="","",IF(OR(X293="Sanctioned",X293="Disbursed",X293="Approved"),"Approved",IF(X293="Rejected","Rejected",IF(OR(X293="Processing",X293="Documents Pending",X293="Vendor Assigned"),"In Progress",IF(X293="Need Loan","Pending Start","—"))))</f>
        <v/>
      </c>
      <c r="Z293">
        <f>IF(A293="","",IF(X293="Disbursed","Disbursed",IF(X293="Sanctioned","Sanctioned - Awaiting Disbursement","Not Disbursed")))</f>
        <v/>
      </c>
      <c r="AA293">
        <f>IF(A293="","",IF(LOWER(TRIM('01_Master_Data'!AI293&amp;""))="yes","Need FLDG",IF(LOWER(TRIM('01_Master_Data'!AK293&amp;""))="yes","Need Vidyalakshmi",IF(LOWER(TRIM('01_Master_Data'!AJ293&amp;""))="yes","Need Review",IF(LOWER(J293)="critical","Critical",IF(LOWER(U293)="risk","Risk Case",IF(X293="Refund","Refund","Normal")))))))</f>
        <v/>
      </c>
      <c r="AB293">
        <f>IF(A293="","",IF(OR(LOWER(J293)="critical",LOWER(TRIM('01_Master_Data'!AI293&amp;""))="yes",LOWER(TRIM('01_Master_Data'!AK293&amp;""))="yes",LOWER(U293)="risk"),"Yes","No"))</f>
        <v/>
      </c>
      <c r="AC293">
        <f>IF(A293="","",IF(LOWER(TRIM('01_Master_Data'!AI293&amp;""))="yes","Yes","No"))</f>
        <v/>
      </c>
      <c r="AD293">
        <f>IF(A293="","",IF(LOWER(TRIM('01_Master_Data'!AK293&amp;""))="yes","Yes","No"))</f>
        <v/>
      </c>
      <c r="AE293">
        <f>IF(A293="","",IF(LOWER(TRIM('01_Master_Data'!AJ293&amp;""))="yes","Yes","No"))</f>
        <v/>
      </c>
      <c r="AF293">
        <f>IF(A293="","",TRIM('01_Master_Data'!AL293&amp;""))</f>
        <v/>
      </c>
      <c r="AG293">
        <f>IF(A293="","",IF(AF293="","—",IF(ISNUMBER(SEARCH("DNP",AF293)),"Unreachable / DNP",IF(ISNUMBER(SEARCH("interest",LOWER(AF293))),"High Interest / Terms",IF(OR(ISNUMBER(SEARCH("eligib",LOWER(AF293))),ISNUMBER(SEARCH("income",LOWER(AF293)))),"Eligibility / Income",IF(OR(ISNUMBER(SEARCH("start",LOWER(AF293))),ISNUMBER(SEARCH("Newer",AF293)),ISNUMBER(SEARCH("Will start",AF293))),"Process Yet to Start",IF(ISNUMBER(SEARCH("sure",LOWER(AF293))),"Undecided",IF(OR(ISNUMBER(SEARCH("reject",LOWER(AF293))),ISNUMBER(SEARCH("SBI",AF293))),"Rejected Elsewhere",IF(ISNUMBER(SEARCH("call",LOWER(AF293))),"Bank Communication",IF(OR(ISNUMBER(SEARCH("father",LOWER(AF293))),ISNUMBER(SEARCH("sister",LOWER(AF293)))),"Family / Dependency","Other"))))))))))</f>
        <v/>
      </c>
      <c r="AH293">
        <f>IF(A293="","",'01_Master_Data'!AC293)</f>
        <v/>
      </c>
      <c r="AI293">
        <f>IF(A293="","",IF(OR(AH293="",NOT(ISNUMBER(AH293))),"",MAX(0,'02_Configuration'!$B$82-AH293)))</f>
        <v/>
      </c>
      <c r="AJ293">
        <f>IF(A293="","",IF(AI293="","Unknown",IF(AI293&lt;=3,"0–3 Days",IF(AI293&lt;=7,"4–7 Days",IF(AI293&lt;=15,"8–15 Days",IF(AI293&lt;=30,"16–30 Days","30+ Days"))))))</f>
        <v/>
      </c>
      <c r="AK293">
        <f>IF(A293="","",IF(LOWER(H293)="yes","Yes","No"))</f>
        <v/>
      </c>
      <c r="AL293">
        <f>IF(A293="","",'01_Master_Data'!T293)</f>
        <v/>
      </c>
      <c r="AM293">
        <f>IF(A293="","",'01_Master_Data'!S293)</f>
        <v/>
      </c>
      <c r="AN293">
        <f>IF(A293="","",'01_Master_Data'!I293)</f>
        <v/>
      </c>
      <c r="AO293">
        <f>IF(A293="","",'01_Master_Data'!M293)</f>
        <v/>
      </c>
      <c r="AP293">
        <f>IF(A293="","",IF(ISNUMBER(SEARCH("Icici",W293&amp;"")),1,0))</f>
        <v/>
      </c>
      <c r="AQ293">
        <f>IF(A293="","",IF(ISNUMBER(SEARCH("Propelld",W293&amp;"")),1,0))</f>
        <v/>
      </c>
      <c r="AR293">
        <f>IF(A293="","",IF(ISNUMBER(SEARCH("GyanDhan",W293&amp;"")),1,0))</f>
        <v/>
      </c>
      <c r="AS293">
        <f>IF(A293="","",IF(ISNUMBER(SEARCH("vidyalakshmi",LOWER(W293&amp;""))),1,0))</f>
        <v/>
      </c>
      <c r="AT293">
        <f>IF(A293="","",IF(ISNUMBER(SEARCH("other bank",LOWER(W293&amp;""))),1,0))</f>
        <v/>
      </c>
      <c r="AU293">
        <f>IF(A293="","",IF(ISNUMBER(SEARCH("sanctioned",LOWER(W293&amp;""))),1,0))</f>
        <v/>
      </c>
      <c r="AV293">
        <f>IF(A293="","",IF(ISNUMBER(SEARCH("Docs Pending",W293&amp;"")),1,0))</f>
        <v/>
      </c>
      <c r="AW293">
        <f>IF(A293="","",IF(OR(X293="Rejected",ISNUMBER(SEARCH("Not eligbile",W293&amp;""))),1,0))</f>
        <v/>
      </c>
    </row>
    <row r="294">
      <c r="A294">
        <f>IF('01_Master_Data'!B294="","",293)</f>
        <v/>
      </c>
      <c r="B294">
        <f>IF('01_Master_Data'!B294="","",IF('01_Master_Data'!C294&lt;&gt;"","MOB|"&amp;TEXT('01_Master_Data'!C294,"0"),IF('01_Master_Data'!D294&lt;&gt;"","PID|"&amp;TRIM('01_Master_Data'!D294&amp;""),"")))</f>
        <v/>
      </c>
      <c r="C294">
        <f>IF('01_Master_Data'!B294="","",'01_Master_Data'!B294)</f>
        <v/>
      </c>
      <c r="D294">
        <f>IF('01_Master_Data'!B294="","",'01_Master_Data'!C294)</f>
        <v/>
      </c>
      <c r="E294">
        <f>IF('01_Master_Data'!B294="","",'01_Master_Data'!D294)</f>
        <v/>
      </c>
      <c r="F294">
        <f>IF('01_Master_Data'!B294="","",'01_Master_Data'!E294)</f>
        <v/>
      </c>
      <c r="G294">
        <f>IF('01_Master_Data'!B294="","",IFERROR(VLOOKUP(TRIM('01_Master_Data'!E294&amp;""),'02_Configuration'!$A$40:$B$44,2,FALSE),UPPER(TRIM('01_Master_Data'!E294&amp;""))))</f>
        <v/>
      </c>
      <c r="H294">
        <f>IF('01_Master_Data'!B294="","",IF('01_Master_Data'!U294="","",TRIM('01_Master_Data'!U294&amp;"")))</f>
        <v/>
      </c>
      <c r="I294">
        <f>IF('01_Master_Data'!B294="","",TRIM('01_Master_Data'!F294&amp;""))</f>
        <v/>
      </c>
      <c r="J294">
        <f>IF('01_Master_Data'!B294="","",TRIM('01_Master_Data'!G294&amp;""))</f>
        <v/>
      </c>
      <c r="K294">
        <f>IF('01_Master_Data'!B294="","",'01_Master_Data'!H294)</f>
        <v/>
      </c>
      <c r="L294">
        <f>IF('01_Master_Data'!B294="","",IF(LOWER(TRIM('01_Master_Data'!V294&amp;""))="yes",1,0))</f>
        <v/>
      </c>
      <c r="M294">
        <f>IF('01_Master_Data'!B294="","",IF(LOWER(TRIM('01_Master_Data'!W294&amp;""))="yes",1,0))</f>
        <v/>
      </c>
      <c r="N294">
        <f>IF('01_Master_Data'!B294="","",IF(LOWER(TRIM('01_Master_Data'!X294&amp;""))="yes",1,0))</f>
        <v/>
      </c>
      <c r="O294">
        <f>IF('01_Master_Data'!B294="","",IF(LOWER(TRIM('01_Master_Data'!Y294&amp;""))="yes",1,0))</f>
        <v/>
      </c>
      <c r="P294">
        <f>IF('01_Master_Data'!B294="","",IF(LOWER(TRIM('01_Master_Data'!Z294&amp;""))="yes",1,0))</f>
        <v/>
      </c>
      <c r="Q294">
        <f>IF(A294="","",L294+M294+N294+O294+P294)</f>
        <v/>
      </c>
      <c r="R294">
        <f>IF(A294="","",IF(Q294&gt;1,"Yes","No"))</f>
        <v/>
      </c>
      <c r="S294">
        <f>IF(A294="","",TEXTJOIN(", ",TRUE,IF(L294=1,"ICICI",""),IF(M294=1,"Propelld",""),IF(N294=1,"Study4Buddy",""),IF(O294=1,"Poonawala Fincorp",""),IF(P294=1,"GyanDhan","")))</f>
        <v/>
      </c>
      <c r="T294">
        <f>IF(A294="","",IF(L294=1,"ICICI",IF(M294=1,"Propelld",IF(P294=1,"GyanDhan",IF(N294=1,"Study4Buddy",IF(O294=1,"Poonawala Fincorp",IF(ISNUMBER(SEARCH("GyanDhan",W294&amp;"")),"GyanDhan",IF(ISNUMBER(SEARCH("Icici",W294&amp;"")),"ICICI",IF(ISNUMBER(SEARCH("Propelld",W294&amp;"")),"Propelld",IF(ISNUMBER(SEARCH("vidyalakshmi",LOWER(W294&amp;"")),"PM Vidyalakshmi","—"))))))))))</f>
        <v/>
      </c>
      <c r="U294">
        <f>IF(A294="","",TRIM('01_Master_Data'!AA294&amp;""))</f>
        <v/>
      </c>
      <c r="V294">
        <f>IF(A294="","",TRIM('01_Master_Data'!AG294&amp;""))</f>
        <v/>
      </c>
      <c r="W294">
        <f>IF(A294="","",TRIM('01_Master_Data'!AH294&amp;""))</f>
        <v/>
      </c>
      <c r="X294">
        <f>IF(A294="","",IF(OR(LOWER(H294)="refund",LOWER(U294)="refund case"),"Refund",IF(OR(LOWER(H294)="dnp",LOWER(U294)="dnp"),"DNP",IF(OR(LOWER(V294)="disbursed",ISNUMBER(SEARCH("Disbursed",W294&amp;""))),"Disbursed",IF(OR(LOWER(V294)="loan proccessed/accepted",ISNUMBER(SEARCH("sanctioned",LOWER(W294&amp;"")))),"Sanctioned",IF(OR(LOWER(V294)="rejected",ISNUMBER(SEARCH("Not eligbile",W294&amp;"")),ISNUMBER(SEARCH("Not eligible",W294&amp;""))),"Rejected",IF(ISNUMBER(SEARCH("Docs Pending",W294&amp;"")),"Documents Pending",IF(AND(LOWER(H294)="yes",LOWER(V294)="ongoing"),"Processing",IF(AND(LOWER(H294)="yes",Q294&gt;0,OR(V294="",LOWER(V294)="not even started")),"Vendor Assigned",IF(AND(LOWER(H294)="yes",LOWER(V294)="not even started"),"Need Loan",IF(LOWER(H294)="yes","Loan Started",IF(LOWER(H294)="not sure","Interested",IF(OR(LOWER(H294)="no",LOWER(V294)="not required"),"Not Required","Unclassified")))))))))))))</f>
        <v/>
      </c>
      <c r="Y294">
        <f>IF(A294="","",IF(OR(X294="Sanctioned",X294="Disbursed",X294="Approved"),"Approved",IF(X294="Rejected","Rejected",IF(OR(X294="Processing",X294="Documents Pending",X294="Vendor Assigned"),"In Progress",IF(X294="Need Loan","Pending Start","—"))))</f>
        <v/>
      </c>
      <c r="Z294">
        <f>IF(A294="","",IF(X294="Disbursed","Disbursed",IF(X294="Sanctioned","Sanctioned - Awaiting Disbursement","Not Disbursed")))</f>
        <v/>
      </c>
      <c r="AA294">
        <f>IF(A294="","",IF(LOWER(TRIM('01_Master_Data'!AI294&amp;""))="yes","Need FLDG",IF(LOWER(TRIM('01_Master_Data'!AK294&amp;""))="yes","Need Vidyalakshmi",IF(LOWER(TRIM('01_Master_Data'!AJ294&amp;""))="yes","Need Review",IF(LOWER(J294)="critical","Critical",IF(LOWER(U294)="risk","Risk Case",IF(X294="Refund","Refund","Normal")))))))</f>
        <v/>
      </c>
      <c r="AB294">
        <f>IF(A294="","",IF(OR(LOWER(J294)="critical",LOWER(TRIM('01_Master_Data'!AI294&amp;""))="yes",LOWER(TRIM('01_Master_Data'!AK294&amp;""))="yes",LOWER(U294)="risk"),"Yes","No"))</f>
        <v/>
      </c>
      <c r="AC294">
        <f>IF(A294="","",IF(LOWER(TRIM('01_Master_Data'!AI294&amp;""))="yes","Yes","No"))</f>
        <v/>
      </c>
      <c r="AD294">
        <f>IF(A294="","",IF(LOWER(TRIM('01_Master_Data'!AK294&amp;""))="yes","Yes","No"))</f>
        <v/>
      </c>
      <c r="AE294">
        <f>IF(A294="","",IF(LOWER(TRIM('01_Master_Data'!AJ294&amp;""))="yes","Yes","No"))</f>
        <v/>
      </c>
      <c r="AF294">
        <f>IF(A294="","",TRIM('01_Master_Data'!AL294&amp;""))</f>
        <v/>
      </c>
      <c r="AG294">
        <f>IF(A294="","",IF(AF294="","—",IF(ISNUMBER(SEARCH("DNP",AF294)),"Unreachable / DNP",IF(ISNUMBER(SEARCH("interest",LOWER(AF294))),"High Interest / Terms",IF(OR(ISNUMBER(SEARCH("eligib",LOWER(AF294))),ISNUMBER(SEARCH("income",LOWER(AF294)))),"Eligibility / Income",IF(OR(ISNUMBER(SEARCH("start",LOWER(AF294))),ISNUMBER(SEARCH("Newer",AF294)),ISNUMBER(SEARCH("Will start",AF294))),"Process Yet to Start",IF(ISNUMBER(SEARCH("sure",LOWER(AF294))),"Undecided",IF(OR(ISNUMBER(SEARCH("reject",LOWER(AF294))),ISNUMBER(SEARCH("SBI",AF294))),"Rejected Elsewhere",IF(ISNUMBER(SEARCH("call",LOWER(AF294))),"Bank Communication",IF(OR(ISNUMBER(SEARCH("father",LOWER(AF294))),ISNUMBER(SEARCH("sister",LOWER(AF294)))),"Family / Dependency","Other"))))))))))</f>
        <v/>
      </c>
      <c r="AH294">
        <f>IF(A294="","",'01_Master_Data'!AC294)</f>
        <v/>
      </c>
      <c r="AI294">
        <f>IF(A294="","",IF(OR(AH294="",NOT(ISNUMBER(AH294))),"",MAX(0,'02_Configuration'!$B$82-AH294)))</f>
        <v/>
      </c>
      <c r="AJ294">
        <f>IF(A294="","",IF(AI294="","Unknown",IF(AI294&lt;=3,"0–3 Days",IF(AI294&lt;=7,"4–7 Days",IF(AI294&lt;=15,"8–15 Days",IF(AI294&lt;=30,"16–30 Days","30+ Days"))))))</f>
        <v/>
      </c>
      <c r="AK294">
        <f>IF(A294="","",IF(LOWER(H294)="yes","Yes","No"))</f>
        <v/>
      </c>
      <c r="AL294">
        <f>IF(A294="","",'01_Master_Data'!T294)</f>
        <v/>
      </c>
      <c r="AM294">
        <f>IF(A294="","",'01_Master_Data'!S294)</f>
        <v/>
      </c>
      <c r="AN294">
        <f>IF(A294="","",'01_Master_Data'!I294)</f>
        <v/>
      </c>
      <c r="AO294">
        <f>IF(A294="","",'01_Master_Data'!M294)</f>
        <v/>
      </c>
      <c r="AP294">
        <f>IF(A294="","",IF(ISNUMBER(SEARCH("Icici",W294&amp;"")),1,0))</f>
        <v/>
      </c>
      <c r="AQ294">
        <f>IF(A294="","",IF(ISNUMBER(SEARCH("Propelld",W294&amp;"")),1,0))</f>
        <v/>
      </c>
      <c r="AR294">
        <f>IF(A294="","",IF(ISNUMBER(SEARCH("GyanDhan",W294&amp;"")),1,0))</f>
        <v/>
      </c>
      <c r="AS294">
        <f>IF(A294="","",IF(ISNUMBER(SEARCH("vidyalakshmi",LOWER(W294&amp;""))),1,0))</f>
        <v/>
      </c>
      <c r="AT294">
        <f>IF(A294="","",IF(ISNUMBER(SEARCH("other bank",LOWER(W294&amp;""))),1,0))</f>
        <v/>
      </c>
      <c r="AU294">
        <f>IF(A294="","",IF(ISNUMBER(SEARCH("sanctioned",LOWER(W294&amp;""))),1,0))</f>
        <v/>
      </c>
      <c r="AV294">
        <f>IF(A294="","",IF(ISNUMBER(SEARCH("Docs Pending",W294&amp;"")),1,0))</f>
        <v/>
      </c>
      <c r="AW294">
        <f>IF(A294="","",IF(OR(X294="Rejected",ISNUMBER(SEARCH("Not eligbile",W294&amp;""))),1,0))</f>
        <v/>
      </c>
    </row>
    <row r="295">
      <c r="A295">
        <f>IF('01_Master_Data'!B295="","",294)</f>
        <v/>
      </c>
      <c r="B295">
        <f>IF('01_Master_Data'!B295="","",IF('01_Master_Data'!C295&lt;&gt;"","MOB|"&amp;TEXT('01_Master_Data'!C295,"0"),IF('01_Master_Data'!D295&lt;&gt;"","PID|"&amp;TRIM('01_Master_Data'!D295&amp;""),"")))</f>
        <v/>
      </c>
      <c r="C295">
        <f>IF('01_Master_Data'!B295="","",'01_Master_Data'!B295)</f>
        <v/>
      </c>
      <c r="D295">
        <f>IF('01_Master_Data'!B295="","",'01_Master_Data'!C295)</f>
        <v/>
      </c>
      <c r="E295">
        <f>IF('01_Master_Data'!B295="","",'01_Master_Data'!D295)</f>
        <v/>
      </c>
      <c r="F295">
        <f>IF('01_Master_Data'!B295="","",'01_Master_Data'!E295)</f>
        <v/>
      </c>
      <c r="G295">
        <f>IF('01_Master_Data'!B295="","",IFERROR(VLOOKUP(TRIM('01_Master_Data'!E295&amp;""),'02_Configuration'!$A$40:$B$44,2,FALSE),UPPER(TRIM('01_Master_Data'!E295&amp;""))))</f>
        <v/>
      </c>
      <c r="H295">
        <f>IF('01_Master_Data'!B295="","",IF('01_Master_Data'!U295="","",TRIM('01_Master_Data'!U295&amp;"")))</f>
        <v/>
      </c>
      <c r="I295">
        <f>IF('01_Master_Data'!B295="","",TRIM('01_Master_Data'!F295&amp;""))</f>
        <v/>
      </c>
      <c r="J295">
        <f>IF('01_Master_Data'!B295="","",TRIM('01_Master_Data'!G295&amp;""))</f>
        <v/>
      </c>
      <c r="K295">
        <f>IF('01_Master_Data'!B295="","",'01_Master_Data'!H295)</f>
        <v/>
      </c>
      <c r="L295">
        <f>IF('01_Master_Data'!B295="","",IF(LOWER(TRIM('01_Master_Data'!V295&amp;""))="yes",1,0))</f>
        <v/>
      </c>
      <c r="M295">
        <f>IF('01_Master_Data'!B295="","",IF(LOWER(TRIM('01_Master_Data'!W295&amp;""))="yes",1,0))</f>
        <v/>
      </c>
      <c r="N295">
        <f>IF('01_Master_Data'!B295="","",IF(LOWER(TRIM('01_Master_Data'!X295&amp;""))="yes",1,0))</f>
        <v/>
      </c>
      <c r="O295">
        <f>IF('01_Master_Data'!B295="","",IF(LOWER(TRIM('01_Master_Data'!Y295&amp;""))="yes",1,0))</f>
        <v/>
      </c>
      <c r="P295">
        <f>IF('01_Master_Data'!B295="","",IF(LOWER(TRIM('01_Master_Data'!Z295&amp;""))="yes",1,0))</f>
        <v/>
      </c>
      <c r="Q295">
        <f>IF(A295="","",L295+M295+N295+O295+P295)</f>
        <v/>
      </c>
      <c r="R295">
        <f>IF(A295="","",IF(Q295&gt;1,"Yes","No"))</f>
        <v/>
      </c>
      <c r="S295">
        <f>IF(A295="","",TEXTJOIN(", ",TRUE,IF(L295=1,"ICICI",""),IF(M295=1,"Propelld",""),IF(N295=1,"Study4Buddy",""),IF(O295=1,"Poonawala Fincorp",""),IF(P295=1,"GyanDhan","")))</f>
        <v/>
      </c>
      <c r="T295">
        <f>IF(A295="","",IF(L295=1,"ICICI",IF(M295=1,"Propelld",IF(P295=1,"GyanDhan",IF(N295=1,"Study4Buddy",IF(O295=1,"Poonawala Fincorp",IF(ISNUMBER(SEARCH("GyanDhan",W295&amp;"")),"GyanDhan",IF(ISNUMBER(SEARCH("Icici",W295&amp;"")),"ICICI",IF(ISNUMBER(SEARCH("Propelld",W295&amp;"")),"Propelld",IF(ISNUMBER(SEARCH("vidyalakshmi",LOWER(W295&amp;"")),"PM Vidyalakshmi","—"))))))))))</f>
        <v/>
      </c>
      <c r="U295">
        <f>IF(A295="","",TRIM('01_Master_Data'!AA295&amp;""))</f>
        <v/>
      </c>
      <c r="V295">
        <f>IF(A295="","",TRIM('01_Master_Data'!AG295&amp;""))</f>
        <v/>
      </c>
      <c r="W295">
        <f>IF(A295="","",TRIM('01_Master_Data'!AH295&amp;""))</f>
        <v/>
      </c>
      <c r="X295">
        <f>IF(A295="","",IF(OR(LOWER(H295)="refund",LOWER(U295)="refund case"),"Refund",IF(OR(LOWER(H295)="dnp",LOWER(U295)="dnp"),"DNP",IF(OR(LOWER(V295)="disbursed",ISNUMBER(SEARCH("Disbursed",W295&amp;""))),"Disbursed",IF(OR(LOWER(V295)="loan proccessed/accepted",ISNUMBER(SEARCH("sanctioned",LOWER(W295&amp;"")))),"Sanctioned",IF(OR(LOWER(V295)="rejected",ISNUMBER(SEARCH("Not eligbile",W295&amp;"")),ISNUMBER(SEARCH("Not eligible",W295&amp;""))),"Rejected",IF(ISNUMBER(SEARCH("Docs Pending",W295&amp;"")),"Documents Pending",IF(AND(LOWER(H295)="yes",LOWER(V295)="ongoing"),"Processing",IF(AND(LOWER(H295)="yes",Q295&gt;0,OR(V295="",LOWER(V295)="not even started")),"Vendor Assigned",IF(AND(LOWER(H295)="yes",LOWER(V295)="not even started"),"Need Loan",IF(LOWER(H295)="yes","Loan Started",IF(LOWER(H295)="not sure","Interested",IF(OR(LOWER(H295)="no",LOWER(V295)="not required"),"Not Required","Unclassified")))))))))))))</f>
        <v/>
      </c>
      <c r="Y295">
        <f>IF(A295="","",IF(OR(X295="Sanctioned",X295="Disbursed",X295="Approved"),"Approved",IF(X295="Rejected","Rejected",IF(OR(X295="Processing",X295="Documents Pending",X295="Vendor Assigned"),"In Progress",IF(X295="Need Loan","Pending Start","—"))))</f>
        <v/>
      </c>
      <c r="Z295">
        <f>IF(A295="","",IF(X295="Disbursed","Disbursed",IF(X295="Sanctioned","Sanctioned - Awaiting Disbursement","Not Disbursed")))</f>
        <v/>
      </c>
      <c r="AA295">
        <f>IF(A295="","",IF(LOWER(TRIM('01_Master_Data'!AI295&amp;""))="yes","Need FLDG",IF(LOWER(TRIM('01_Master_Data'!AK295&amp;""))="yes","Need Vidyalakshmi",IF(LOWER(TRIM('01_Master_Data'!AJ295&amp;""))="yes","Need Review",IF(LOWER(J295)="critical","Critical",IF(LOWER(U295)="risk","Risk Case",IF(X295="Refund","Refund","Normal")))))))</f>
        <v/>
      </c>
      <c r="AB295">
        <f>IF(A295="","",IF(OR(LOWER(J295)="critical",LOWER(TRIM('01_Master_Data'!AI295&amp;""))="yes",LOWER(TRIM('01_Master_Data'!AK295&amp;""))="yes",LOWER(U295)="risk"),"Yes","No"))</f>
        <v/>
      </c>
      <c r="AC295">
        <f>IF(A295="","",IF(LOWER(TRIM('01_Master_Data'!AI295&amp;""))="yes","Yes","No"))</f>
        <v/>
      </c>
      <c r="AD295">
        <f>IF(A295="","",IF(LOWER(TRIM('01_Master_Data'!AK295&amp;""))="yes","Yes","No"))</f>
        <v/>
      </c>
      <c r="AE295">
        <f>IF(A295="","",IF(LOWER(TRIM('01_Master_Data'!AJ295&amp;""))="yes","Yes","No"))</f>
        <v/>
      </c>
      <c r="AF295">
        <f>IF(A295="","",TRIM('01_Master_Data'!AL295&amp;""))</f>
        <v/>
      </c>
      <c r="AG295">
        <f>IF(A295="","",IF(AF295="","—",IF(ISNUMBER(SEARCH("DNP",AF295)),"Unreachable / DNP",IF(ISNUMBER(SEARCH("interest",LOWER(AF295))),"High Interest / Terms",IF(OR(ISNUMBER(SEARCH("eligib",LOWER(AF295))),ISNUMBER(SEARCH("income",LOWER(AF295)))),"Eligibility / Income",IF(OR(ISNUMBER(SEARCH("start",LOWER(AF295))),ISNUMBER(SEARCH("Newer",AF295)),ISNUMBER(SEARCH("Will start",AF295))),"Process Yet to Start",IF(ISNUMBER(SEARCH("sure",LOWER(AF295))),"Undecided",IF(OR(ISNUMBER(SEARCH("reject",LOWER(AF295))),ISNUMBER(SEARCH("SBI",AF295))),"Rejected Elsewhere",IF(ISNUMBER(SEARCH("call",LOWER(AF295))),"Bank Communication",IF(OR(ISNUMBER(SEARCH("father",LOWER(AF295))),ISNUMBER(SEARCH("sister",LOWER(AF295)))),"Family / Dependency","Other"))))))))))</f>
        <v/>
      </c>
      <c r="AH295">
        <f>IF(A295="","",'01_Master_Data'!AC295)</f>
        <v/>
      </c>
      <c r="AI295">
        <f>IF(A295="","",IF(OR(AH295="",NOT(ISNUMBER(AH295))),"",MAX(0,'02_Configuration'!$B$82-AH295)))</f>
        <v/>
      </c>
      <c r="AJ295">
        <f>IF(A295="","",IF(AI295="","Unknown",IF(AI295&lt;=3,"0–3 Days",IF(AI295&lt;=7,"4–7 Days",IF(AI295&lt;=15,"8–15 Days",IF(AI295&lt;=30,"16–30 Days","30+ Days"))))))</f>
        <v/>
      </c>
      <c r="AK295">
        <f>IF(A295="","",IF(LOWER(H295)="yes","Yes","No"))</f>
        <v/>
      </c>
      <c r="AL295">
        <f>IF(A295="","",'01_Master_Data'!T295)</f>
        <v/>
      </c>
      <c r="AM295">
        <f>IF(A295="","",'01_Master_Data'!S295)</f>
        <v/>
      </c>
      <c r="AN295">
        <f>IF(A295="","",'01_Master_Data'!I295)</f>
        <v/>
      </c>
      <c r="AO295">
        <f>IF(A295="","",'01_Master_Data'!M295)</f>
        <v/>
      </c>
      <c r="AP295">
        <f>IF(A295="","",IF(ISNUMBER(SEARCH("Icici",W295&amp;"")),1,0))</f>
        <v/>
      </c>
      <c r="AQ295">
        <f>IF(A295="","",IF(ISNUMBER(SEARCH("Propelld",W295&amp;"")),1,0))</f>
        <v/>
      </c>
      <c r="AR295">
        <f>IF(A295="","",IF(ISNUMBER(SEARCH("GyanDhan",W295&amp;"")),1,0))</f>
        <v/>
      </c>
      <c r="AS295">
        <f>IF(A295="","",IF(ISNUMBER(SEARCH("vidyalakshmi",LOWER(W295&amp;""))),1,0))</f>
        <v/>
      </c>
      <c r="AT295">
        <f>IF(A295="","",IF(ISNUMBER(SEARCH("other bank",LOWER(W295&amp;""))),1,0))</f>
        <v/>
      </c>
      <c r="AU295">
        <f>IF(A295="","",IF(ISNUMBER(SEARCH("sanctioned",LOWER(W295&amp;""))),1,0))</f>
        <v/>
      </c>
      <c r="AV295">
        <f>IF(A295="","",IF(ISNUMBER(SEARCH("Docs Pending",W295&amp;"")),1,0))</f>
        <v/>
      </c>
      <c r="AW295">
        <f>IF(A295="","",IF(OR(X295="Rejected",ISNUMBER(SEARCH("Not eligbile",W295&amp;""))),1,0))</f>
        <v/>
      </c>
    </row>
    <row r="296">
      <c r="A296">
        <f>IF('01_Master_Data'!B296="","",295)</f>
        <v/>
      </c>
      <c r="B296">
        <f>IF('01_Master_Data'!B296="","",IF('01_Master_Data'!C296&lt;&gt;"","MOB|"&amp;TEXT('01_Master_Data'!C296,"0"),IF('01_Master_Data'!D296&lt;&gt;"","PID|"&amp;TRIM('01_Master_Data'!D296&amp;""),"")))</f>
        <v/>
      </c>
      <c r="C296">
        <f>IF('01_Master_Data'!B296="","",'01_Master_Data'!B296)</f>
        <v/>
      </c>
      <c r="D296">
        <f>IF('01_Master_Data'!B296="","",'01_Master_Data'!C296)</f>
        <v/>
      </c>
      <c r="E296">
        <f>IF('01_Master_Data'!B296="","",'01_Master_Data'!D296)</f>
        <v/>
      </c>
      <c r="F296">
        <f>IF('01_Master_Data'!B296="","",'01_Master_Data'!E296)</f>
        <v/>
      </c>
      <c r="G296">
        <f>IF('01_Master_Data'!B296="","",IFERROR(VLOOKUP(TRIM('01_Master_Data'!E296&amp;""),'02_Configuration'!$A$40:$B$44,2,FALSE),UPPER(TRIM('01_Master_Data'!E296&amp;""))))</f>
        <v/>
      </c>
      <c r="H296">
        <f>IF('01_Master_Data'!B296="","",IF('01_Master_Data'!U296="","",TRIM('01_Master_Data'!U296&amp;"")))</f>
        <v/>
      </c>
      <c r="I296">
        <f>IF('01_Master_Data'!B296="","",TRIM('01_Master_Data'!F296&amp;""))</f>
        <v/>
      </c>
      <c r="J296">
        <f>IF('01_Master_Data'!B296="","",TRIM('01_Master_Data'!G296&amp;""))</f>
        <v/>
      </c>
      <c r="K296">
        <f>IF('01_Master_Data'!B296="","",'01_Master_Data'!H296)</f>
        <v/>
      </c>
      <c r="L296">
        <f>IF('01_Master_Data'!B296="","",IF(LOWER(TRIM('01_Master_Data'!V296&amp;""))="yes",1,0))</f>
        <v/>
      </c>
      <c r="M296">
        <f>IF('01_Master_Data'!B296="","",IF(LOWER(TRIM('01_Master_Data'!W296&amp;""))="yes",1,0))</f>
        <v/>
      </c>
      <c r="N296">
        <f>IF('01_Master_Data'!B296="","",IF(LOWER(TRIM('01_Master_Data'!X296&amp;""))="yes",1,0))</f>
        <v/>
      </c>
      <c r="O296">
        <f>IF('01_Master_Data'!B296="","",IF(LOWER(TRIM('01_Master_Data'!Y296&amp;""))="yes",1,0))</f>
        <v/>
      </c>
      <c r="P296">
        <f>IF('01_Master_Data'!B296="","",IF(LOWER(TRIM('01_Master_Data'!Z296&amp;""))="yes",1,0))</f>
        <v/>
      </c>
      <c r="Q296">
        <f>IF(A296="","",L296+M296+N296+O296+P296)</f>
        <v/>
      </c>
      <c r="R296">
        <f>IF(A296="","",IF(Q296&gt;1,"Yes","No"))</f>
        <v/>
      </c>
      <c r="S296">
        <f>IF(A296="","",TEXTJOIN(", ",TRUE,IF(L296=1,"ICICI",""),IF(M296=1,"Propelld",""),IF(N296=1,"Study4Buddy",""),IF(O296=1,"Poonawala Fincorp",""),IF(P296=1,"GyanDhan","")))</f>
        <v/>
      </c>
      <c r="T296">
        <f>IF(A296="","",IF(L296=1,"ICICI",IF(M296=1,"Propelld",IF(P296=1,"GyanDhan",IF(N296=1,"Study4Buddy",IF(O296=1,"Poonawala Fincorp",IF(ISNUMBER(SEARCH("GyanDhan",W296&amp;"")),"GyanDhan",IF(ISNUMBER(SEARCH("Icici",W296&amp;"")),"ICICI",IF(ISNUMBER(SEARCH("Propelld",W296&amp;"")),"Propelld",IF(ISNUMBER(SEARCH("vidyalakshmi",LOWER(W296&amp;"")),"PM Vidyalakshmi","—"))))))))))</f>
        <v/>
      </c>
      <c r="U296">
        <f>IF(A296="","",TRIM('01_Master_Data'!AA296&amp;""))</f>
        <v/>
      </c>
      <c r="V296">
        <f>IF(A296="","",TRIM('01_Master_Data'!AG296&amp;""))</f>
        <v/>
      </c>
      <c r="W296">
        <f>IF(A296="","",TRIM('01_Master_Data'!AH296&amp;""))</f>
        <v/>
      </c>
      <c r="X296">
        <f>IF(A296="","",IF(OR(LOWER(H296)="refund",LOWER(U296)="refund case"),"Refund",IF(OR(LOWER(H296)="dnp",LOWER(U296)="dnp"),"DNP",IF(OR(LOWER(V296)="disbursed",ISNUMBER(SEARCH("Disbursed",W296&amp;""))),"Disbursed",IF(OR(LOWER(V296)="loan proccessed/accepted",ISNUMBER(SEARCH("sanctioned",LOWER(W296&amp;"")))),"Sanctioned",IF(OR(LOWER(V296)="rejected",ISNUMBER(SEARCH("Not eligbile",W296&amp;"")),ISNUMBER(SEARCH("Not eligible",W296&amp;""))),"Rejected",IF(ISNUMBER(SEARCH("Docs Pending",W296&amp;"")),"Documents Pending",IF(AND(LOWER(H296)="yes",LOWER(V296)="ongoing"),"Processing",IF(AND(LOWER(H296)="yes",Q296&gt;0,OR(V296="",LOWER(V296)="not even started")),"Vendor Assigned",IF(AND(LOWER(H296)="yes",LOWER(V296)="not even started"),"Need Loan",IF(LOWER(H296)="yes","Loan Started",IF(LOWER(H296)="not sure","Interested",IF(OR(LOWER(H296)="no",LOWER(V296)="not required"),"Not Required","Unclassified")))))))))))))</f>
        <v/>
      </c>
      <c r="Y296">
        <f>IF(A296="","",IF(OR(X296="Sanctioned",X296="Disbursed",X296="Approved"),"Approved",IF(X296="Rejected","Rejected",IF(OR(X296="Processing",X296="Documents Pending",X296="Vendor Assigned"),"In Progress",IF(X296="Need Loan","Pending Start","—"))))</f>
        <v/>
      </c>
      <c r="Z296">
        <f>IF(A296="","",IF(X296="Disbursed","Disbursed",IF(X296="Sanctioned","Sanctioned - Awaiting Disbursement","Not Disbursed")))</f>
        <v/>
      </c>
      <c r="AA296">
        <f>IF(A296="","",IF(LOWER(TRIM('01_Master_Data'!AI296&amp;""))="yes","Need FLDG",IF(LOWER(TRIM('01_Master_Data'!AK296&amp;""))="yes","Need Vidyalakshmi",IF(LOWER(TRIM('01_Master_Data'!AJ296&amp;""))="yes","Need Review",IF(LOWER(J296)="critical","Critical",IF(LOWER(U296)="risk","Risk Case",IF(X296="Refund","Refund","Normal")))))))</f>
        <v/>
      </c>
      <c r="AB296">
        <f>IF(A296="","",IF(OR(LOWER(J296)="critical",LOWER(TRIM('01_Master_Data'!AI296&amp;""))="yes",LOWER(TRIM('01_Master_Data'!AK296&amp;""))="yes",LOWER(U296)="risk"),"Yes","No"))</f>
        <v/>
      </c>
      <c r="AC296">
        <f>IF(A296="","",IF(LOWER(TRIM('01_Master_Data'!AI296&amp;""))="yes","Yes","No"))</f>
        <v/>
      </c>
      <c r="AD296">
        <f>IF(A296="","",IF(LOWER(TRIM('01_Master_Data'!AK296&amp;""))="yes","Yes","No"))</f>
        <v/>
      </c>
      <c r="AE296">
        <f>IF(A296="","",IF(LOWER(TRIM('01_Master_Data'!AJ296&amp;""))="yes","Yes","No"))</f>
        <v/>
      </c>
      <c r="AF296">
        <f>IF(A296="","",TRIM('01_Master_Data'!AL296&amp;""))</f>
        <v/>
      </c>
      <c r="AG296">
        <f>IF(A296="","",IF(AF296="","—",IF(ISNUMBER(SEARCH("DNP",AF296)),"Unreachable / DNP",IF(ISNUMBER(SEARCH("interest",LOWER(AF296))),"High Interest / Terms",IF(OR(ISNUMBER(SEARCH("eligib",LOWER(AF296))),ISNUMBER(SEARCH("income",LOWER(AF296)))),"Eligibility / Income",IF(OR(ISNUMBER(SEARCH("start",LOWER(AF296))),ISNUMBER(SEARCH("Newer",AF296)),ISNUMBER(SEARCH("Will start",AF296))),"Process Yet to Start",IF(ISNUMBER(SEARCH("sure",LOWER(AF296))),"Undecided",IF(OR(ISNUMBER(SEARCH("reject",LOWER(AF296))),ISNUMBER(SEARCH("SBI",AF296))),"Rejected Elsewhere",IF(ISNUMBER(SEARCH("call",LOWER(AF296))),"Bank Communication",IF(OR(ISNUMBER(SEARCH("father",LOWER(AF296))),ISNUMBER(SEARCH("sister",LOWER(AF296)))),"Family / Dependency","Other"))))))))))</f>
        <v/>
      </c>
      <c r="AH296">
        <f>IF(A296="","",'01_Master_Data'!AC296)</f>
        <v/>
      </c>
      <c r="AI296">
        <f>IF(A296="","",IF(OR(AH296="",NOT(ISNUMBER(AH296))),"",MAX(0,'02_Configuration'!$B$82-AH296)))</f>
        <v/>
      </c>
      <c r="AJ296">
        <f>IF(A296="","",IF(AI296="","Unknown",IF(AI296&lt;=3,"0–3 Days",IF(AI296&lt;=7,"4–7 Days",IF(AI296&lt;=15,"8–15 Days",IF(AI296&lt;=30,"16–30 Days","30+ Days"))))))</f>
        <v/>
      </c>
      <c r="AK296">
        <f>IF(A296="","",IF(LOWER(H296)="yes","Yes","No"))</f>
        <v/>
      </c>
      <c r="AL296">
        <f>IF(A296="","",'01_Master_Data'!T296)</f>
        <v/>
      </c>
      <c r="AM296">
        <f>IF(A296="","",'01_Master_Data'!S296)</f>
        <v/>
      </c>
      <c r="AN296">
        <f>IF(A296="","",'01_Master_Data'!I296)</f>
        <v/>
      </c>
      <c r="AO296">
        <f>IF(A296="","",'01_Master_Data'!M296)</f>
        <v/>
      </c>
      <c r="AP296">
        <f>IF(A296="","",IF(ISNUMBER(SEARCH("Icici",W296&amp;"")),1,0))</f>
        <v/>
      </c>
      <c r="AQ296">
        <f>IF(A296="","",IF(ISNUMBER(SEARCH("Propelld",W296&amp;"")),1,0))</f>
        <v/>
      </c>
      <c r="AR296">
        <f>IF(A296="","",IF(ISNUMBER(SEARCH("GyanDhan",W296&amp;"")),1,0))</f>
        <v/>
      </c>
      <c r="AS296">
        <f>IF(A296="","",IF(ISNUMBER(SEARCH("vidyalakshmi",LOWER(W296&amp;""))),1,0))</f>
        <v/>
      </c>
      <c r="AT296">
        <f>IF(A296="","",IF(ISNUMBER(SEARCH("other bank",LOWER(W296&amp;""))),1,0))</f>
        <v/>
      </c>
      <c r="AU296">
        <f>IF(A296="","",IF(ISNUMBER(SEARCH("sanctioned",LOWER(W296&amp;""))),1,0))</f>
        <v/>
      </c>
      <c r="AV296">
        <f>IF(A296="","",IF(ISNUMBER(SEARCH("Docs Pending",W296&amp;"")),1,0))</f>
        <v/>
      </c>
      <c r="AW296">
        <f>IF(A296="","",IF(OR(X296="Rejected",ISNUMBER(SEARCH("Not eligbile",W296&amp;""))),1,0))</f>
        <v/>
      </c>
    </row>
    <row r="297">
      <c r="A297">
        <f>IF('01_Master_Data'!B297="","",296)</f>
        <v/>
      </c>
      <c r="B297">
        <f>IF('01_Master_Data'!B297="","",IF('01_Master_Data'!C297&lt;&gt;"","MOB|"&amp;TEXT('01_Master_Data'!C297,"0"),IF('01_Master_Data'!D297&lt;&gt;"","PID|"&amp;TRIM('01_Master_Data'!D297&amp;""),"")))</f>
        <v/>
      </c>
      <c r="C297">
        <f>IF('01_Master_Data'!B297="","",'01_Master_Data'!B297)</f>
        <v/>
      </c>
      <c r="D297">
        <f>IF('01_Master_Data'!B297="","",'01_Master_Data'!C297)</f>
        <v/>
      </c>
      <c r="E297">
        <f>IF('01_Master_Data'!B297="","",'01_Master_Data'!D297)</f>
        <v/>
      </c>
      <c r="F297">
        <f>IF('01_Master_Data'!B297="","",'01_Master_Data'!E297)</f>
        <v/>
      </c>
      <c r="G297">
        <f>IF('01_Master_Data'!B297="","",IFERROR(VLOOKUP(TRIM('01_Master_Data'!E297&amp;""),'02_Configuration'!$A$40:$B$44,2,FALSE),UPPER(TRIM('01_Master_Data'!E297&amp;""))))</f>
        <v/>
      </c>
      <c r="H297">
        <f>IF('01_Master_Data'!B297="","",IF('01_Master_Data'!U297="","",TRIM('01_Master_Data'!U297&amp;"")))</f>
        <v/>
      </c>
      <c r="I297">
        <f>IF('01_Master_Data'!B297="","",TRIM('01_Master_Data'!F297&amp;""))</f>
        <v/>
      </c>
      <c r="J297">
        <f>IF('01_Master_Data'!B297="","",TRIM('01_Master_Data'!G297&amp;""))</f>
        <v/>
      </c>
      <c r="K297">
        <f>IF('01_Master_Data'!B297="","",'01_Master_Data'!H297)</f>
        <v/>
      </c>
      <c r="L297">
        <f>IF('01_Master_Data'!B297="","",IF(LOWER(TRIM('01_Master_Data'!V297&amp;""))="yes",1,0))</f>
        <v/>
      </c>
      <c r="M297">
        <f>IF('01_Master_Data'!B297="","",IF(LOWER(TRIM('01_Master_Data'!W297&amp;""))="yes",1,0))</f>
        <v/>
      </c>
      <c r="N297">
        <f>IF('01_Master_Data'!B297="","",IF(LOWER(TRIM('01_Master_Data'!X297&amp;""))="yes",1,0))</f>
        <v/>
      </c>
      <c r="O297">
        <f>IF('01_Master_Data'!B297="","",IF(LOWER(TRIM('01_Master_Data'!Y297&amp;""))="yes",1,0))</f>
        <v/>
      </c>
      <c r="P297">
        <f>IF('01_Master_Data'!B297="","",IF(LOWER(TRIM('01_Master_Data'!Z297&amp;""))="yes",1,0))</f>
        <v/>
      </c>
      <c r="Q297">
        <f>IF(A297="","",L297+M297+N297+O297+P297)</f>
        <v/>
      </c>
      <c r="R297">
        <f>IF(A297="","",IF(Q297&gt;1,"Yes","No"))</f>
        <v/>
      </c>
      <c r="S297">
        <f>IF(A297="","",TEXTJOIN(", ",TRUE,IF(L297=1,"ICICI",""),IF(M297=1,"Propelld",""),IF(N297=1,"Study4Buddy",""),IF(O297=1,"Poonawala Fincorp",""),IF(P297=1,"GyanDhan","")))</f>
        <v/>
      </c>
      <c r="T297">
        <f>IF(A297="","",IF(L297=1,"ICICI",IF(M297=1,"Propelld",IF(P297=1,"GyanDhan",IF(N297=1,"Study4Buddy",IF(O297=1,"Poonawala Fincorp",IF(ISNUMBER(SEARCH("GyanDhan",W297&amp;"")),"GyanDhan",IF(ISNUMBER(SEARCH("Icici",W297&amp;"")),"ICICI",IF(ISNUMBER(SEARCH("Propelld",W297&amp;"")),"Propelld",IF(ISNUMBER(SEARCH("vidyalakshmi",LOWER(W297&amp;"")),"PM Vidyalakshmi","—"))))))))))</f>
        <v/>
      </c>
      <c r="U297">
        <f>IF(A297="","",TRIM('01_Master_Data'!AA297&amp;""))</f>
        <v/>
      </c>
      <c r="V297">
        <f>IF(A297="","",TRIM('01_Master_Data'!AG297&amp;""))</f>
        <v/>
      </c>
      <c r="W297">
        <f>IF(A297="","",TRIM('01_Master_Data'!AH297&amp;""))</f>
        <v/>
      </c>
      <c r="X297">
        <f>IF(A297="","",IF(OR(LOWER(H297)="refund",LOWER(U297)="refund case"),"Refund",IF(OR(LOWER(H297)="dnp",LOWER(U297)="dnp"),"DNP",IF(OR(LOWER(V297)="disbursed",ISNUMBER(SEARCH("Disbursed",W297&amp;""))),"Disbursed",IF(OR(LOWER(V297)="loan proccessed/accepted",ISNUMBER(SEARCH("sanctioned",LOWER(W297&amp;"")))),"Sanctioned",IF(OR(LOWER(V297)="rejected",ISNUMBER(SEARCH("Not eligbile",W297&amp;"")),ISNUMBER(SEARCH("Not eligible",W297&amp;""))),"Rejected",IF(ISNUMBER(SEARCH("Docs Pending",W297&amp;"")),"Documents Pending",IF(AND(LOWER(H297)="yes",LOWER(V297)="ongoing"),"Processing",IF(AND(LOWER(H297)="yes",Q297&gt;0,OR(V297="",LOWER(V297)="not even started")),"Vendor Assigned",IF(AND(LOWER(H297)="yes",LOWER(V297)="not even started"),"Need Loan",IF(LOWER(H297)="yes","Loan Started",IF(LOWER(H297)="not sure","Interested",IF(OR(LOWER(H297)="no",LOWER(V297)="not required"),"Not Required","Unclassified")))))))))))))</f>
        <v/>
      </c>
      <c r="Y297">
        <f>IF(A297="","",IF(OR(X297="Sanctioned",X297="Disbursed",X297="Approved"),"Approved",IF(X297="Rejected","Rejected",IF(OR(X297="Processing",X297="Documents Pending",X297="Vendor Assigned"),"In Progress",IF(X297="Need Loan","Pending Start","—"))))</f>
        <v/>
      </c>
      <c r="Z297">
        <f>IF(A297="","",IF(X297="Disbursed","Disbursed",IF(X297="Sanctioned","Sanctioned - Awaiting Disbursement","Not Disbursed")))</f>
        <v/>
      </c>
      <c r="AA297">
        <f>IF(A297="","",IF(LOWER(TRIM('01_Master_Data'!AI297&amp;""))="yes","Need FLDG",IF(LOWER(TRIM('01_Master_Data'!AK297&amp;""))="yes","Need Vidyalakshmi",IF(LOWER(TRIM('01_Master_Data'!AJ297&amp;""))="yes","Need Review",IF(LOWER(J297)="critical","Critical",IF(LOWER(U297)="risk","Risk Case",IF(X297="Refund","Refund","Normal")))))))</f>
        <v/>
      </c>
      <c r="AB297">
        <f>IF(A297="","",IF(OR(LOWER(J297)="critical",LOWER(TRIM('01_Master_Data'!AI297&amp;""))="yes",LOWER(TRIM('01_Master_Data'!AK297&amp;""))="yes",LOWER(U297)="risk"),"Yes","No"))</f>
        <v/>
      </c>
      <c r="AC297">
        <f>IF(A297="","",IF(LOWER(TRIM('01_Master_Data'!AI297&amp;""))="yes","Yes","No"))</f>
        <v/>
      </c>
      <c r="AD297">
        <f>IF(A297="","",IF(LOWER(TRIM('01_Master_Data'!AK297&amp;""))="yes","Yes","No"))</f>
        <v/>
      </c>
      <c r="AE297">
        <f>IF(A297="","",IF(LOWER(TRIM('01_Master_Data'!AJ297&amp;""))="yes","Yes","No"))</f>
        <v/>
      </c>
      <c r="AF297">
        <f>IF(A297="","",TRIM('01_Master_Data'!AL297&amp;""))</f>
        <v/>
      </c>
      <c r="AG297">
        <f>IF(A297="","",IF(AF297="","—",IF(ISNUMBER(SEARCH("DNP",AF297)),"Unreachable / DNP",IF(ISNUMBER(SEARCH("interest",LOWER(AF297))),"High Interest / Terms",IF(OR(ISNUMBER(SEARCH("eligib",LOWER(AF297))),ISNUMBER(SEARCH("income",LOWER(AF297)))),"Eligibility / Income",IF(OR(ISNUMBER(SEARCH("start",LOWER(AF297))),ISNUMBER(SEARCH("Newer",AF297)),ISNUMBER(SEARCH("Will start",AF297))),"Process Yet to Start",IF(ISNUMBER(SEARCH("sure",LOWER(AF297))),"Undecided",IF(OR(ISNUMBER(SEARCH("reject",LOWER(AF297))),ISNUMBER(SEARCH("SBI",AF297))),"Rejected Elsewhere",IF(ISNUMBER(SEARCH("call",LOWER(AF297))),"Bank Communication",IF(OR(ISNUMBER(SEARCH("father",LOWER(AF297))),ISNUMBER(SEARCH("sister",LOWER(AF297)))),"Family / Dependency","Other"))))))))))</f>
        <v/>
      </c>
      <c r="AH297">
        <f>IF(A297="","",'01_Master_Data'!AC297)</f>
        <v/>
      </c>
      <c r="AI297">
        <f>IF(A297="","",IF(OR(AH297="",NOT(ISNUMBER(AH297))),"",MAX(0,'02_Configuration'!$B$82-AH297)))</f>
        <v/>
      </c>
      <c r="AJ297">
        <f>IF(A297="","",IF(AI297="","Unknown",IF(AI297&lt;=3,"0–3 Days",IF(AI297&lt;=7,"4–7 Days",IF(AI297&lt;=15,"8–15 Days",IF(AI297&lt;=30,"16–30 Days","30+ Days"))))))</f>
        <v/>
      </c>
      <c r="AK297">
        <f>IF(A297="","",IF(LOWER(H297)="yes","Yes","No"))</f>
        <v/>
      </c>
      <c r="AL297">
        <f>IF(A297="","",'01_Master_Data'!T297)</f>
        <v/>
      </c>
      <c r="AM297">
        <f>IF(A297="","",'01_Master_Data'!S297)</f>
        <v/>
      </c>
      <c r="AN297">
        <f>IF(A297="","",'01_Master_Data'!I297)</f>
        <v/>
      </c>
      <c r="AO297">
        <f>IF(A297="","",'01_Master_Data'!M297)</f>
        <v/>
      </c>
      <c r="AP297">
        <f>IF(A297="","",IF(ISNUMBER(SEARCH("Icici",W297&amp;"")),1,0))</f>
        <v/>
      </c>
      <c r="AQ297">
        <f>IF(A297="","",IF(ISNUMBER(SEARCH("Propelld",W297&amp;"")),1,0))</f>
        <v/>
      </c>
      <c r="AR297">
        <f>IF(A297="","",IF(ISNUMBER(SEARCH("GyanDhan",W297&amp;"")),1,0))</f>
        <v/>
      </c>
      <c r="AS297">
        <f>IF(A297="","",IF(ISNUMBER(SEARCH("vidyalakshmi",LOWER(W297&amp;""))),1,0))</f>
        <v/>
      </c>
      <c r="AT297">
        <f>IF(A297="","",IF(ISNUMBER(SEARCH("other bank",LOWER(W297&amp;""))),1,0))</f>
        <v/>
      </c>
      <c r="AU297">
        <f>IF(A297="","",IF(ISNUMBER(SEARCH("sanctioned",LOWER(W297&amp;""))),1,0))</f>
        <v/>
      </c>
      <c r="AV297">
        <f>IF(A297="","",IF(ISNUMBER(SEARCH("Docs Pending",W297&amp;"")),1,0))</f>
        <v/>
      </c>
      <c r="AW297">
        <f>IF(A297="","",IF(OR(X297="Rejected",ISNUMBER(SEARCH("Not eligbile",W297&amp;""))),1,0))</f>
        <v/>
      </c>
    </row>
    <row r="298">
      <c r="A298">
        <f>IF('01_Master_Data'!B298="","",297)</f>
        <v/>
      </c>
      <c r="B298">
        <f>IF('01_Master_Data'!B298="","",IF('01_Master_Data'!C298&lt;&gt;"","MOB|"&amp;TEXT('01_Master_Data'!C298,"0"),IF('01_Master_Data'!D298&lt;&gt;"","PID|"&amp;TRIM('01_Master_Data'!D298&amp;""),"")))</f>
        <v/>
      </c>
      <c r="C298">
        <f>IF('01_Master_Data'!B298="","",'01_Master_Data'!B298)</f>
        <v/>
      </c>
      <c r="D298">
        <f>IF('01_Master_Data'!B298="","",'01_Master_Data'!C298)</f>
        <v/>
      </c>
      <c r="E298">
        <f>IF('01_Master_Data'!B298="","",'01_Master_Data'!D298)</f>
        <v/>
      </c>
      <c r="F298">
        <f>IF('01_Master_Data'!B298="","",'01_Master_Data'!E298)</f>
        <v/>
      </c>
      <c r="G298">
        <f>IF('01_Master_Data'!B298="","",IFERROR(VLOOKUP(TRIM('01_Master_Data'!E298&amp;""),'02_Configuration'!$A$40:$B$44,2,FALSE),UPPER(TRIM('01_Master_Data'!E298&amp;""))))</f>
        <v/>
      </c>
      <c r="H298">
        <f>IF('01_Master_Data'!B298="","",IF('01_Master_Data'!U298="","",TRIM('01_Master_Data'!U298&amp;"")))</f>
        <v/>
      </c>
      <c r="I298">
        <f>IF('01_Master_Data'!B298="","",TRIM('01_Master_Data'!F298&amp;""))</f>
        <v/>
      </c>
      <c r="J298">
        <f>IF('01_Master_Data'!B298="","",TRIM('01_Master_Data'!G298&amp;""))</f>
        <v/>
      </c>
      <c r="K298">
        <f>IF('01_Master_Data'!B298="","",'01_Master_Data'!H298)</f>
        <v/>
      </c>
      <c r="L298">
        <f>IF('01_Master_Data'!B298="","",IF(LOWER(TRIM('01_Master_Data'!V298&amp;""))="yes",1,0))</f>
        <v/>
      </c>
      <c r="M298">
        <f>IF('01_Master_Data'!B298="","",IF(LOWER(TRIM('01_Master_Data'!W298&amp;""))="yes",1,0))</f>
        <v/>
      </c>
      <c r="N298">
        <f>IF('01_Master_Data'!B298="","",IF(LOWER(TRIM('01_Master_Data'!X298&amp;""))="yes",1,0))</f>
        <v/>
      </c>
      <c r="O298">
        <f>IF('01_Master_Data'!B298="","",IF(LOWER(TRIM('01_Master_Data'!Y298&amp;""))="yes",1,0))</f>
        <v/>
      </c>
      <c r="P298">
        <f>IF('01_Master_Data'!B298="","",IF(LOWER(TRIM('01_Master_Data'!Z298&amp;""))="yes",1,0))</f>
        <v/>
      </c>
      <c r="Q298">
        <f>IF(A298="","",L298+M298+N298+O298+P298)</f>
        <v/>
      </c>
      <c r="R298">
        <f>IF(A298="","",IF(Q298&gt;1,"Yes","No"))</f>
        <v/>
      </c>
      <c r="S298">
        <f>IF(A298="","",TEXTJOIN(", ",TRUE,IF(L298=1,"ICICI",""),IF(M298=1,"Propelld",""),IF(N298=1,"Study4Buddy",""),IF(O298=1,"Poonawala Fincorp",""),IF(P298=1,"GyanDhan","")))</f>
        <v/>
      </c>
      <c r="T298">
        <f>IF(A298="","",IF(L298=1,"ICICI",IF(M298=1,"Propelld",IF(P298=1,"GyanDhan",IF(N298=1,"Study4Buddy",IF(O298=1,"Poonawala Fincorp",IF(ISNUMBER(SEARCH("GyanDhan",W298&amp;"")),"GyanDhan",IF(ISNUMBER(SEARCH("Icici",W298&amp;"")),"ICICI",IF(ISNUMBER(SEARCH("Propelld",W298&amp;"")),"Propelld",IF(ISNUMBER(SEARCH("vidyalakshmi",LOWER(W298&amp;"")),"PM Vidyalakshmi","—"))))))))))</f>
        <v/>
      </c>
      <c r="U298">
        <f>IF(A298="","",TRIM('01_Master_Data'!AA298&amp;""))</f>
        <v/>
      </c>
      <c r="V298">
        <f>IF(A298="","",TRIM('01_Master_Data'!AG298&amp;""))</f>
        <v/>
      </c>
      <c r="W298">
        <f>IF(A298="","",TRIM('01_Master_Data'!AH298&amp;""))</f>
        <v/>
      </c>
      <c r="X298">
        <f>IF(A298="","",IF(OR(LOWER(H298)="refund",LOWER(U298)="refund case"),"Refund",IF(OR(LOWER(H298)="dnp",LOWER(U298)="dnp"),"DNP",IF(OR(LOWER(V298)="disbursed",ISNUMBER(SEARCH("Disbursed",W298&amp;""))),"Disbursed",IF(OR(LOWER(V298)="loan proccessed/accepted",ISNUMBER(SEARCH("sanctioned",LOWER(W298&amp;"")))),"Sanctioned",IF(OR(LOWER(V298)="rejected",ISNUMBER(SEARCH("Not eligbile",W298&amp;"")),ISNUMBER(SEARCH("Not eligible",W298&amp;""))),"Rejected",IF(ISNUMBER(SEARCH("Docs Pending",W298&amp;"")),"Documents Pending",IF(AND(LOWER(H298)="yes",LOWER(V298)="ongoing"),"Processing",IF(AND(LOWER(H298)="yes",Q298&gt;0,OR(V298="",LOWER(V298)="not even started")),"Vendor Assigned",IF(AND(LOWER(H298)="yes",LOWER(V298)="not even started"),"Need Loan",IF(LOWER(H298)="yes","Loan Started",IF(LOWER(H298)="not sure","Interested",IF(OR(LOWER(H298)="no",LOWER(V298)="not required"),"Not Required","Unclassified")))))))))))))</f>
        <v/>
      </c>
      <c r="Y298">
        <f>IF(A298="","",IF(OR(X298="Sanctioned",X298="Disbursed",X298="Approved"),"Approved",IF(X298="Rejected","Rejected",IF(OR(X298="Processing",X298="Documents Pending",X298="Vendor Assigned"),"In Progress",IF(X298="Need Loan","Pending Start","—"))))</f>
        <v/>
      </c>
      <c r="Z298">
        <f>IF(A298="","",IF(X298="Disbursed","Disbursed",IF(X298="Sanctioned","Sanctioned - Awaiting Disbursement","Not Disbursed")))</f>
        <v/>
      </c>
      <c r="AA298">
        <f>IF(A298="","",IF(LOWER(TRIM('01_Master_Data'!AI298&amp;""))="yes","Need FLDG",IF(LOWER(TRIM('01_Master_Data'!AK298&amp;""))="yes","Need Vidyalakshmi",IF(LOWER(TRIM('01_Master_Data'!AJ298&amp;""))="yes","Need Review",IF(LOWER(J298)="critical","Critical",IF(LOWER(U298)="risk","Risk Case",IF(X298="Refund","Refund","Normal")))))))</f>
        <v/>
      </c>
      <c r="AB298">
        <f>IF(A298="","",IF(OR(LOWER(J298)="critical",LOWER(TRIM('01_Master_Data'!AI298&amp;""))="yes",LOWER(TRIM('01_Master_Data'!AK298&amp;""))="yes",LOWER(U298)="risk"),"Yes","No"))</f>
        <v/>
      </c>
      <c r="AC298">
        <f>IF(A298="","",IF(LOWER(TRIM('01_Master_Data'!AI298&amp;""))="yes","Yes","No"))</f>
        <v/>
      </c>
      <c r="AD298">
        <f>IF(A298="","",IF(LOWER(TRIM('01_Master_Data'!AK298&amp;""))="yes","Yes","No"))</f>
        <v/>
      </c>
      <c r="AE298">
        <f>IF(A298="","",IF(LOWER(TRIM('01_Master_Data'!AJ298&amp;""))="yes","Yes","No"))</f>
        <v/>
      </c>
      <c r="AF298">
        <f>IF(A298="","",TRIM('01_Master_Data'!AL298&amp;""))</f>
        <v/>
      </c>
      <c r="AG298">
        <f>IF(A298="","",IF(AF298="","—",IF(ISNUMBER(SEARCH("DNP",AF298)),"Unreachable / DNP",IF(ISNUMBER(SEARCH("interest",LOWER(AF298))),"High Interest / Terms",IF(OR(ISNUMBER(SEARCH("eligib",LOWER(AF298))),ISNUMBER(SEARCH("income",LOWER(AF298)))),"Eligibility / Income",IF(OR(ISNUMBER(SEARCH("start",LOWER(AF298))),ISNUMBER(SEARCH("Newer",AF298)),ISNUMBER(SEARCH("Will start",AF298))),"Process Yet to Start",IF(ISNUMBER(SEARCH("sure",LOWER(AF298))),"Undecided",IF(OR(ISNUMBER(SEARCH("reject",LOWER(AF298))),ISNUMBER(SEARCH("SBI",AF298))),"Rejected Elsewhere",IF(ISNUMBER(SEARCH("call",LOWER(AF298))),"Bank Communication",IF(OR(ISNUMBER(SEARCH("father",LOWER(AF298))),ISNUMBER(SEARCH("sister",LOWER(AF298)))),"Family / Dependency","Other"))))))))))</f>
        <v/>
      </c>
      <c r="AH298">
        <f>IF(A298="","",'01_Master_Data'!AC298)</f>
        <v/>
      </c>
      <c r="AI298">
        <f>IF(A298="","",IF(OR(AH298="",NOT(ISNUMBER(AH298))),"",MAX(0,'02_Configuration'!$B$82-AH298)))</f>
        <v/>
      </c>
      <c r="AJ298">
        <f>IF(A298="","",IF(AI298="","Unknown",IF(AI298&lt;=3,"0–3 Days",IF(AI298&lt;=7,"4–7 Days",IF(AI298&lt;=15,"8–15 Days",IF(AI298&lt;=30,"16–30 Days","30+ Days"))))))</f>
        <v/>
      </c>
      <c r="AK298">
        <f>IF(A298="","",IF(LOWER(H298)="yes","Yes","No"))</f>
        <v/>
      </c>
      <c r="AL298">
        <f>IF(A298="","",'01_Master_Data'!T298)</f>
        <v/>
      </c>
      <c r="AM298">
        <f>IF(A298="","",'01_Master_Data'!S298)</f>
        <v/>
      </c>
      <c r="AN298">
        <f>IF(A298="","",'01_Master_Data'!I298)</f>
        <v/>
      </c>
      <c r="AO298">
        <f>IF(A298="","",'01_Master_Data'!M298)</f>
        <v/>
      </c>
      <c r="AP298">
        <f>IF(A298="","",IF(ISNUMBER(SEARCH("Icici",W298&amp;"")),1,0))</f>
        <v/>
      </c>
      <c r="AQ298">
        <f>IF(A298="","",IF(ISNUMBER(SEARCH("Propelld",W298&amp;"")),1,0))</f>
        <v/>
      </c>
      <c r="AR298">
        <f>IF(A298="","",IF(ISNUMBER(SEARCH("GyanDhan",W298&amp;"")),1,0))</f>
        <v/>
      </c>
      <c r="AS298">
        <f>IF(A298="","",IF(ISNUMBER(SEARCH("vidyalakshmi",LOWER(W298&amp;""))),1,0))</f>
        <v/>
      </c>
      <c r="AT298">
        <f>IF(A298="","",IF(ISNUMBER(SEARCH("other bank",LOWER(W298&amp;""))),1,0))</f>
        <v/>
      </c>
      <c r="AU298">
        <f>IF(A298="","",IF(ISNUMBER(SEARCH("sanctioned",LOWER(W298&amp;""))),1,0))</f>
        <v/>
      </c>
      <c r="AV298">
        <f>IF(A298="","",IF(ISNUMBER(SEARCH("Docs Pending",W298&amp;"")),1,0))</f>
        <v/>
      </c>
      <c r="AW298">
        <f>IF(A298="","",IF(OR(X298="Rejected",ISNUMBER(SEARCH("Not eligbile",W298&amp;""))),1,0))</f>
        <v/>
      </c>
    </row>
    <row r="299">
      <c r="A299">
        <f>IF('01_Master_Data'!B299="","",298)</f>
        <v/>
      </c>
      <c r="B299">
        <f>IF('01_Master_Data'!B299="","",IF('01_Master_Data'!C299&lt;&gt;"","MOB|"&amp;TEXT('01_Master_Data'!C299,"0"),IF('01_Master_Data'!D299&lt;&gt;"","PID|"&amp;TRIM('01_Master_Data'!D299&amp;""),"")))</f>
        <v/>
      </c>
      <c r="C299">
        <f>IF('01_Master_Data'!B299="","",'01_Master_Data'!B299)</f>
        <v/>
      </c>
      <c r="D299">
        <f>IF('01_Master_Data'!B299="","",'01_Master_Data'!C299)</f>
        <v/>
      </c>
      <c r="E299">
        <f>IF('01_Master_Data'!B299="","",'01_Master_Data'!D299)</f>
        <v/>
      </c>
      <c r="F299">
        <f>IF('01_Master_Data'!B299="","",'01_Master_Data'!E299)</f>
        <v/>
      </c>
      <c r="G299">
        <f>IF('01_Master_Data'!B299="","",IFERROR(VLOOKUP(TRIM('01_Master_Data'!E299&amp;""),'02_Configuration'!$A$40:$B$44,2,FALSE),UPPER(TRIM('01_Master_Data'!E299&amp;""))))</f>
        <v/>
      </c>
      <c r="H299">
        <f>IF('01_Master_Data'!B299="","",IF('01_Master_Data'!U299="","",TRIM('01_Master_Data'!U299&amp;"")))</f>
        <v/>
      </c>
      <c r="I299">
        <f>IF('01_Master_Data'!B299="","",TRIM('01_Master_Data'!F299&amp;""))</f>
        <v/>
      </c>
      <c r="J299">
        <f>IF('01_Master_Data'!B299="","",TRIM('01_Master_Data'!G299&amp;""))</f>
        <v/>
      </c>
      <c r="K299">
        <f>IF('01_Master_Data'!B299="","",'01_Master_Data'!H299)</f>
        <v/>
      </c>
      <c r="L299">
        <f>IF('01_Master_Data'!B299="","",IF(LOWER(TRIM('01_Master_Data'!V299&amp;""))="yes",1,0))</f>
        <v/>
      </c>
      <c r="M299">
        <f>IF('01_Master_Data'!B299="","",IF(LOWER(TRIM('01_Master_Data'!W299&amp;""))="yes",1,0))</f>
        <v/>
      </c>
      <c r="N299">
        <f>IF('01_Master_Data'!B299="","",IF(LOWER(TRIM('01_Master_Data'!X299&amp;""))="yes",1,0))</f>
        <v/>
      </c>
      <c r="O299">
        <f>IF('01_Master_Data'!B299="","",IF(LOWER(TRIM('01_Master_Data'!Y299&amp;""))="yes",1,0))</f>
        <v/>
      </c>
      <c r="P299">
        <f>IF('01_Master_Data'!B299="","",IF(LOWER(TRIM('01_Master_Data'!Z299&amp;""))="yes",1,0))</f>
        <v/>
      </c>
      <c r="Q299">
        <f>IF(A299="","",L299+M299+N299+O299+P299)</f>
        <v/>
      </c>
      <c r="R299">
        <f>IF(A299="","",IF(Q299&gt;1,"Yes","No"))</f>
        <v/>
      </c>
      <c r="S299">
        <f>IF(A299="","",TEXTJOIN(", ",TRUE,IF(L299=1,"ICICI",""),IF(M299=1,"Propelld",""),IF(N299=1,"Study4Buddy",""),IF(O299=1,"Poonawala Fincorp",""),IF(P299=1,"GyanDhan","")))</f>
        <v/>
      </c>
      <c r="T299">
        <f>IF(A299="","",IF(L299=1,"ICICI",IF(M299=1,"Propelld",IF(P299=1,"GyanDhan",IF(N299=1,"Study4Buddy",IF(O299=1,"Poonawala Fincorp",IF(ISNUMBER(SEARCH("GyanDhan",W299&amp;"")),"GyanDhan",IF(ISNUMBER(SEARCH("Icici",W299&amp;"")),"ICICI",IF(ISNUMBER(SEARCH("Propelld",W299&amp;"")),"Propelld",IF(ISNUMBER(SEARCH("vidyalakshmi",LOWER(W299&amp;"")),"PM Vidyalakshmi","—"))))))))))</f>
        <v/>
      </c>
      <c r="U299">
        <f>IF(A299="","",TRIM('01_Master_Data'!AA299&amp;""))</f>
        <v/>
      </c>
      <c r="V299">
        <f>IF(A299="","",TRIM('01_Master_Data'!AG299&amp;""))</f>
        <v/>
      </c>
      <c r="W299">
        <f>IF(A299="","",TRIM('01_Master_Data'!AH299&amp;""))</f>
        <v/>
      </c>
      <c r="X299">
        <f>IF(A299="","",IF(OR(LOWER(H299)="refund",LOWER(U299)="refund case"),"Refund",IF(OR(LOWER(H299)="dnp",LOWER(U299)="dnp"),"DNP",IF(OR(LOWER(V299)="disbursed",ISNUMBER(SEARCH("Disbursed",W299&amp;""))),"Disbursed",IF(OR(LOWER(V299)="loan proccessed/accepted",ISNUMBER(SEARCH("sanctioned",LOWER(W299&amp;"")))),"Sanctioned",IF(OR(LOWER(V299)="rejected",ISNUMBER(SEARCH("Not eligbile",W299&amp;"")),ISNUMBER(SEARCH("Not eligible",W299&amp;""))),"Rejected",IF(ISNUMBER(SEARCH("Docs Pending",W299&amp;"")),"Documents Pending",IF(AND(LOWER(H299)="yes",LOWER(V299)="ongoing"),"Processing",IF(AND(LOWER(H299)="yes",Q299&gt;0,OR(V299="",LOWER(V299)="not even started")),"Vendor Assigned",IF(AND(LOWER(H299)="yes",LOWER(V299)="not even started"),"Need Loan",IF(LOWER(H299)="yes","Loan Started",IF(LOWER(H299)="not sure","Interested",IF(OR(LOWER(H299)="no",LOWER(V299)="not required"),"Not Required","Unclassified")))))))))))))</f>
        <v/>
      </c>
      <c r="Y299">
        <f>IF(A299="","",IF(OR(X299="Sanctioned",X299="Disbursed",X299="Approved"),"Approved",IF(X299="Rejected","Rejected",IF(OR(X299="Processing",X299="Documents Pending",X299="Vendor Assigned"),"In Progress",IF(X299="Need Loan","Pending Start","—"))))</f>
        <v/>
      </c>
      <c r="Z299">
        <f>IF(A299="","",IF(X299="Disbursed","Disbursed",IF(X299="Sanctioned","Sanctioned - Awaiting Disbursement","Not Disbursed")))</f>
        <v/>
      </c>
      <c r="AA299">
        <f>IF(A299="","",IF(LOWER(TRIM('01_Master_Data'!AI299&amp;""))="yes","Need FLDG",IF(LOWER(TRIM('01_Master_Data'!AK299&amp;""))="yes","Need Vidyalakshmi",IF(LOWER(TRIM('01_Master_Data'!AJ299&amp;""))="yes","Need Review",IF(LOWER(J299)="critical","Critical",IF(LOWER(U299)="risk","Risk Case",IF(X299="Refund","Refund","Normal")))))))</f>
        <v/>
      </c>
      <c r="AB299">
        <f>IF(A299="","",IF(OR(LOWER(J299)="critical",LOWER(TRIM('01_Master_Data'!AI299&amp;""))="yes",LOWER(TRIM('01_Master_Data'!AK299&amp;""))="yes",LOWER(U299)="risk"),"Yes","No"))</f>
        <v/>
      </c>
      <c r="AC299">
        <f>IF(A299="","",IF(LOWER(TRIM('01_Master_Data'!AI299&amp;""))="yes","Yes","No"))</f>
        <v/>
      </c>
      <c r="AD299">
        <f>IF(A299="","",IF(LOWER(TRIM('01_Master_Data'!AK299&amp;""))="yes","Yes","No"))</f>
        <v/>
      </c>
      <c r="AE299">
        <f>IF(A299="","",IF(LOWER(TRIM('01_Master_Data'!AJ299&amp;""))="yes","Yes","No"))</f>
        <v/>
      </c>
      <c r="AF299">
        <f>IF(A299="","",TRIM('01_Master_Data'!AL299&amp;""))</f>
        <v/>
      </c>
      <c r="AG299">
        <f>IF(A299="","",IF(AF299="","—",IF(ISNUMBER(SEARCH("DNP",AF299)),"Unreachable / DNP",IF(ISNUMBER(SEARCH("interest",LOWER(AF299))),"High Interest / Terms",IF(OR(ISNUMBER(SEARCH("eligib",LOWER(AF299))),ISNUMBER(SEARCH("income",LOWER(AF299)))),"Eligibility / Income",IF(OR(ISNUMBER(SEARCH("start",LOWER(AF299))),ISNUMBER(SEARCH("Newer",AF299)),ISNUMBER(SEARCH("Will start",AF299))),"Process Yet to Start",IF(ISNUMBER(SEARCH("sure",LOWER(AF299))),"Undecided",IF(OR(ISNUMBER(SEARCH("reject",LOWER(AF299))),ISNUMBER(SEARCH("SBI",AF299))),"Rejected Elsewhere",IF(ISNUMBER(SEARCH("call",LOWER(AF299))),"Bank Communication",IF(OR(ISNUMBER(SEARCH("father",LOWER(AF299))),ISNUMBER(SEARCH("sister",LOWER(AF299)))),"Family / Dependency","Other"))))))))))</f>
        <v/>
      </c>
      <c r="AH299">
        <f>IF(A299="","",'01_Master_Data'!AC299)</f>
        <v/>
      </c>
      <c r="AI299">
        <f>IF(A299="","",IF(OR(AH299="",NOT(ISNUMBER(AH299))),"",MAX(0,'02_Configuration'!$B$82-AH299)))</f>
        <v/>
      </c>
      <c r="AJ299">
        <f>IF(A299="","",IF(AI299="","Unknown",IF(AI299&lt;=3,"0–3 Days",IF(AI299&lt;=7,"4–7 Days",IF(AI299&lt;=15,"8–15 Days",IF(AI299&lt;=30,"16–30 Days","30+ Days"))))))</f>
        <v/>
      </c>
      <c r="AK299">
        <f>IF(A299="","",IF(LOWER(H299)="yes","Yes","No"))</f>
        <v/>
      </c>
      <c r="AL299">
        <f>IF(A299="","",'01_Master_Data'!T299)</f>
        <v/>
      </c>
      <c r="AM299">
        <f>IF(A299="","",'01_Master_Data'!S299)</f>
        <v/>
      </c>
      <c r="AN299">
        <f>IF(A299="","",'01_Master_Data'!I299)</f>
        <v/>
      </c>
      <c r="AO299">
        <f>IF(A299="","",'01_Master_Data'!M299)</f>
        <v/>
      </c>
      <c r="AP299">
        <f>IF(A299="","",IF(ISNUMBER(SEARCH("Icici",W299&amp;"")),1,0))</f>
        <v/>
      </c>
      <c r="AQ299">
        <f>IF(A299="","",IF(ISNUMBER(SEARCH("Propelld",W299&amp;"")),1,0))</f>
        <v/>
      </c>
      <c r="AR299">
        <f>IF(A299="","",IF(ISNUMBER(SEARCH("GyanDhan",W299&amp;"")),1,0))</f>
        <v/>
      </c>
      <c r="AS299">
        <f>IF(A299="","",IF(ISNUMBER(SEARCH("vidyalakshmi",LOWER(W299&amp;""))),1,0))</f>
        <v/>
      </c>
      <c r="AT299">
        <f>IF(A299="","",IF(ISNUMBER(SEARCH("other bank",LOWER(W299&amp;""))),1,0))</f>
        <v/>
      </c>
      <c r="AU299">
        <f>IF(A299="","",IF(ISNUMBER(SEARCH("sanctioned",LOWER(W299&amp;""))),1,0))</f>
        <v/>
      </c>
      <c r="AV299">
        <f>IF(A299="","",IF(ISNUMBER(SEARCH("Docs Pending",W299&amp;"")),1,0))</f>
        <v/>
      </c>
      <c r="AW299">
        <f>IF(A299="","",IF(OR(X299="Rejected",ISNUMBER(SEARCH("Not eligbile",W299&amp;""))),1,0))</f>
        <v/>
      </c>
    </row>
    <row r="300">
      <c r="A300">
        <f>IF('01_Master_Data'!B300="","",299)</f>
        <v/>
      </c>
      <c r="B300">
        <f>IF('01_Master_Data'!B300="","",IF('01_Master_Data'!C300&lt;&gt;"","MOB|"&amp;TEXT('01_Master_Data'!C300,"0"),IF('01_Master_Data'!D300&lt;&gt;"","PID|"&amp;TRIM('01_Master_Data'!D300&amp;""),"")))</f>
        <v/>
      </c>
      <c r="C300">
        <f>IF('01_Master_Data'!B300="","",'01_Master_Data'!B300)</f>
        <v/>
      </c>
      <c r="D300">
        <f>IF('01_Master_Data'!B300="","",'01_Master_Data'!C300)</f>
        <v/>
      </c>
      <c r="E300">
        <f>IF('01_Master_Data'!B300="","",'01_Master_Data'!D300)</f>
        <v/>
      </c>
      <c r="F300">
        <f>IF('01_Master_Data'!B300="","",'01_Master_Data'!E300)</f>
        <v/>
      </c>
      <c r="G300">
        <f>IF('01_Master_Data'!B300="","",IFERROR(VLOOKUP(TRIM('01_Master_Data'!E300&amp;""),'02_Configuration'!$A$40:$B$44,2,FALSE),UPPER(TRIM('01_Master_Data'!E300&amp;""))))</f>
        <v/>
      </c>
      <c r="H300">
        <f>IF('01_Master_Data'!B300="","",IF('01_Master_Data'!U300="","",TRIM('01_Master_Data'!U300&amp;"")))</f>
        <v/>
      </c>
      <c r="I300">
        <f>IF('01_Master_Data'!B300="","",TRIM('01_Master_Data'!F300&amp;""))</f>
        <v/>
      </c>
      <c r="J300">
        <f>IF('01_Master_Data'!B300="","",TRIM('01_Master_Data'!G300&amp;""))</f>
        <v/>
      </c>
      <c r="K300">
        <f>IF('01_Master_Data'!B300="","",'01_Master_Data'!H300)</f>
        <v/>
      </c>
      <c r="L300">
        <f>IF('01_Master_Data'!B300="","",IF(LOWER(TRIM('01_Master_Data'!V300&amp;""))="yes",1,0))</f>
        <v/>
      </c>
      <c r="M300">
        <f>IF('01_Master_Data'!B300="","",IF(LOWER(TRIM('01_Master_Data'!W300&amp;""))="yes",1,0))</f>
        <v/>
      </c>
      <c r="N300">
        <f>IF('01_Master_Data'!B300="","",IF(LOWER(TRIM('01_Master_Data'!X300&amp;""))="yes",1,0))</f>
        <v/>
      </c>
      <c r="O300">
        <f>IF('01_Master_Data'!B300="","",IF(LOWER(TRIM('01_Master_Data'!Y300&amp;""))="yes",1,0))</f>
        <v/>
      </c>
      <c r="P300">
        <f>IF('01_Master_Data'!B300="","",IF(LOWER(TRIM('01_Master_Data'!Z300&amp;""))="yes",1,0))</f>
        <v/>
      </c>
      <c r="Q300">
        <f>IF(A300="","",L300+M300+N300+O300+P300)</f>
        <v/>
      </c>
      <c r="R300">
        <f>IF(A300="","",IF(Q300&gt;1,"Yes","No"))</f>
        <v/>
      </c>
      <c r="S300">
        <f>IF(A300="","",TEXTJOIN(", ",TRUE,IF(L300=1,"ICICI",""),IF(M300=1,"Propelld",""),IF(N300=1,"Study4Buddy",""),IF(O300=1,"Poonawala Fincorp",""),IF(P300=1,"GyanDhan","")))</f>
        <v/>
      </c>
      <c r="T300">
        <f>IF(A300="","",IF(L300=1,"ICICI",IF(M300=1,"Propelld",IF(P300=1,"GyanDhan",IF(N300=1,"Study4Buddy",IF(O300=1,"Poonawala Fincorp",IF(ISNUMBER(SEARCH("GyanDhan",W300&amp;"")),"GyanDhan",IF(ISNUMBER(SEARCH("Icici",W300&amp;"")),"ICICI",IF(ISNUMBER(SEARCH("Propelld",W300&amp;"")),"Propelld",IF(ISNUMBER(SEARCH("vidyalakshmi",LOWER(W300&amp;"")),"PM Vidyalakshmi","—"))))))))))</f>
        <v/>
      </c>
      <c r="U300">
        <f>IF(A300="","",TRIM('01_Master_Data'!AA300&amp;""))</f>
        <v/>
      </c>
      <c r="V300">
        <f>IF(A300="","",TRIM('01_Master_Data'!AG300&amp;""))</f>
        <v/>
      </c>
      <c r="W300">
        <f>IF(A300="","",TRIM('01_Master_Data'!AH300&amp;""))</f>
        <v/>
      </c>
      <c r="X300">
        <f>IF(A300="","",IF(OR(LOWER(H300)="refund",LOWER(U300)="refund case"),"Refund",IF(OR(LOWER(H300)="dnp",LOWER(U300)="dnp"),"DNP",IF(OR(LOWER(V300)="disbursed",ISNUMBER(SEARCH("Disbursed",W300&amp;""))),"Disbursed",IF(OR(LOWER(V300)="loan proccessed/accepted",ISNUMBER(SEARCH("sanctioned",LOWER(W300&amp;"")))),"Sanctioned",IF(OR(LOWER(V300)="rejected",ISNUMBER(SEARCH("Not eligbile",W300&amp;"")),ISNUMBER(SEARCH("Not eligible",W300&amp;""))),"Rejected",IF(ISNUMBER(SEARCH("Docs Pending",W300&amp;"")),"Documents Pending",IF(AND(LOWER(H300)="yes",LOWER(V300)="ongoing"),"Processing",IF(AND(LOWER(H300)="yes",Q300&gt;0,OR(V300="",LOWER(V300)="not even started")),"Vendor Assigned",IF(AND(LOWER(H300)="yes",LOWER(V300)="not even started"),"Need Loan",IF(LOWER(H300)="yes","Loan Started",IF(LOWER(H300)="not sure","Interested",IF(OR(LOWER(H300)="no",LOWER(V300)="not required"),"Not Required","Unclassified")))))))))))))</f>
        <v/>
      </c>
      <c r="Y300">
        <f>IF(A300="","",IF(OR(X300="Sanctioned",X300="Disbursed",X300="Approved"),"Approved",IF(X300="Rejected","Rejected",IF(OR(X300="Processing",X300="Documents Pending",X300="Vendor Assigned"),"In Progress",IF(X300="Need Loan","Pending Start","—"))))</f>
        <v/>
      </c>
      <c r="Z300">
        <f>IF(A300="","",IF(X300="Disbursed","Disbursed",IF(X300="Sanctioned","Sanctioned - Awaiting Disbursement","Not Disbursed")))</f>
        <v/>
      </c>
      <c r="AA300">
        <f>IF(A300="","",IF(LOWER(TRIM('01_Master_Data'!AI300&amp;""))="yes","Need FLDG",IF(LOWER(TRIM('01_Master_Data'!AK300&amp;""))="yes","Need Vidyalakshmi",IF(LOWER(TRIM('01_Master_Data'!AJ300&amp;""))="yes","Need Review",IF(LOWER(J300)="critical","Critical",IF(LOWER(U300)="risk","Risk Case",IF(X300="Refund","Refund","Normal")))))))</f>
        <v/>
      </c>
      <c r="AB300">
        <f>IF(A300="","",IF(OR(LOWER(J300)="critical",LOWER(TRIM('01_Master_Data'!AI300&amp;""))="yes",LOWER(TRIM('01_Master_Data'!AK300&amp;""))="yes",LOWER(U300)="risk"),"Yes","No"))</f>
        <v/>
      </c>
      <c r="AC300">
        <f>IF(A300="","",IF(LOWER(TRIM('01_Master_Data'!AI300&amp;""))="yes","Yes","No"))</f>
        <v/>
      </c>
      <c r="AD300">
        <f>IF(A300="","",IF(LOWER(TRIM('01_Master_Data'!AK300&amp;""))="yes","Yes","No"))</f>
        <v/>
      </c>
      <c r="AE300">
        <f>IF(A300="","",IF(LOWER(TRIM('01_Master_Data'!AJ300&amp;""))="yes","Yes","No"))</f>
        <v/>
      </c>
      <c r="AF300">
        <f>IF(A300="","",TRIM('01_Master_Data'!AL300&amp;""))</f>
        <v/>
      </c>
      <c r="AG300">
        <f>IF(A300="","",IF(AF300="","—",IF(ISNUMBER(SEARCH("DNP",AF300)),"Unreachable / DNP",IF(ISNUMBER(SEARCH("interest",LOWER(AF300))),"High Interest / Terms",IF(OR(ISNUMBER(SEARCH("eligib",LOWER(AF300))),ISNUMBER(SEARCH("income",LOWER(AF300)))),"Eligibility / Income",IF(OR(ISNUMBER(SEARCH("start",LOWER(AF300))),ISNUMBER(SEARCH("Newer",AF300)),ISNUMBER(SEARCH("Will start",AF300))),"Process Yet to Start",IF(ISNUMBER(SEARCH("sure",LOWER(AF300))),"Undecided",IF(OR(ISNUMBER(SEARCH("reject",LOWER(AF300))),ISNUMBER(SEARCH("SBI",AF300))),"Rejected Elsewhere",IF(ISNUMBER(SEARCH("call",LOWER(AF300))),"Bank Communication",IF(OR(ISNUMBER(SEARCH("father",LOWER(AF300))),ISNUMBER(SEARCH("sister",LOWER(AF300)))),"Family / Dependency","Other"))))))))))</f>
        <v/>
      </c>
      <c r="AH300">
        <f>IF(A300="","",'01_Master_Data'!AC300)</f>
        <v/>
      </c>
      <c r="AI300">
        <f>IF(A300="","",IF(OR(AH300="",NOT(ISNUMBER(AH300))),"",MAX(0,'02_Configuration'!$B$82-AH300)))</f>
        <v/>
      </c>
      <c r="AJ300">
        <f>IF(A300="","",IF(AI300="","Unknown",IF(AI300&lt;=3,"0–3 Days",IF(AI300&lt;=7,"4–7 Days",IF(AI300&lt;=15,"8–15 Days",IF(AI300&lt;=30,"16–30 Days","30+ Days"))))))</f>
        <v/>
      </c>
      <c r="AK300">
        <f>IF(A300="","",IF(LOWER(H300)="yes","Yes","No"))</f>
        <v/>
      </c>
      <c r="AL300">
        <f>IF(A300="","",'01_Master_Data'!T300)</f>
        <v/>
      </c>
      <c r="AM300">
        <f>IF(A300="","",'01_Master_Data'!S300)</f>
        <v/>
      </c>
      <c r="AN300">
        <f>IF(A300="","",'01_Master_Data'!I300)</f>
        <v/>
      </c>
      <c r="AO300">
        <f>IF(A300="","",'01_Master_Data'!M300)</f>
        <v/>
      </c>
      <c r="AP300">
        <f>IF(A300="","",IF(ISNUMBER(SEARCH("Icici",W300&amp;"")),1,0))</f>
        <v/>
      </c>
      <c r="AQ300">
        <f>IF(A300="","",IF(ISNUMBER(SEARCH("Propelld",W300&amp;"")),1,0))</f>
        <v/>
      </c>
      <c r="AR300">
        <f>IF(A300="","",IF(ISNUMBER(SEARCH("GyanDhan",W300&amp;"")),1,0))</f>
        <v/>
      </c>
      <c r="AS300">
        <f>IF(A300="","",IF(ISNUMBER(SEARCH("vidyalakshmi",LOWER(W300&amp;""))),1,0))</f>
        <v/>
      </c>
      <c r="AT300">
        <f>IF(A300="","",IF(ISNUMBER(SEARCH("other bank",LOWER(W300&amp;""))),1,0))</f>
        <v/>
      </c>
      <c r="AU300">
        <f>IF(A300="","",IF(ISNUMBER(SEARCH("sanctioned",LOWER(W300&amp;""))),1,0))</f>
        <v/>
      </c>
      <c r="AV300">
        <f>IF(A300="","",IF(ISNUMBER(SEARCH("Docs Pending",W300&amp;"")),1,0))</f>
        <v/>
      </c>
      <c r="AW300">
        <f>IF(A300="","",IF(OR(X300="Rejected",ISNUMBER(SEARCH("Not eligbile",W300&amp;""))),1,0))</f>
        <v/>
      </c>
    </row>
    <row r="301">
      <c r="A301">
        <f>IF('01_Master_Data'!B301="","",300)</f>
        <v/>
      </c>
      <c r="B301">
        <f>IF('01_Master_Data'!B301="","",IF('01_Master_Data'!C301&lt;&gt;"","MOB|"&amp;TEXT('01_Master_Data'!C301,"0"),IF('01_Master_Data'!D301&lt;&gt;"","PID|"&amp;TRIM('01_Master_Data'!D301&amp;""),"")))</f>
        <v/>
      </c>
      <c r="C301">
        <f>IF('01_Master_Data'!B301="","",'01_Master_Data'!B301)</f>
        <v/>
      </c>
      <c r="D301">
        <f>IF('01_Master_Data'!B301="","",'01_Master_Data'!C301)</f>
        <v/>
      </c>
      <c r="E301">
        <f>IF('01_Master_Data'!B301="","",'01_Master_Data'!D301)</f>
        <v/>
      </c>
      <c r="F301">
        <f>IF('01_Master_Data'!B301="","",'01_Master_Data'!E301)</f>
        <v/>
      </c>
      <c r="G301">
        <f>IF('01_Master_Data'!B301="","",IFERROR(VLOOKUP(TRIM('01_Master_Data'!E301&amp;""),'02_Configuration'!$A$40:$B$44,2,FALSE),UPPER(TRIM('01_Master_Data'!E301&amp;""))))</f>
        <v/>
      </c>
      <c r="H301">
        <f>IF('01_Master_Data'!B301="","",IF('01_Master_Data'!U301="","",TRIM('01_Master_Data'!U301&amp;"")))</f>
        <v/>
      </c>
      <c r="I301">
        <f>IF('01_Master_Data'!B301="","",TRIM('01_Master_Data'!F301&amp;""))</f>
        <v/>
      </c>
      <c r="J301">
        <f>IF('01_Master_Data'!B301="","",TRIM('01_Master_Data'!G301&amp;""))</f>
        <v/>
      </c>
      <c r="K301">
        <f>IF('01_Master_Data'!B301="","",'01_Master_Data'!H301)</f>
        <v/>
      </c>
      <c r="L301">
        <f>IF('01_Master_Data'!B301="","",IF(LOWER(TRIM('01_Master_Data'!V301&amp;""))="yes",1,0))</f>
        <v/>
      </c>
      <c r="M301">
        <f>IF('01_Master_Data'!B301="","",IF(LOWER(TRIM('01_Master_Data'!W301&amp;""))="yes",1,0))</f>
        <v/>
      </c>
      <c r="N301">
        <f>IF('01_Master_Data'!B301="","",IF(LOWER(TRIM('01_Master_Data'!X301&amp;""))="yes",1,0))</f>
        <v/>
      </c>
      <c r="O301">
        <f>IF('01_Master_Data'!B301="","",IF(LOWER(TRIM('01_Master_Data'!Y301&amp;""))="yes",1,0))</f>
        <v/>
      </c>
      <c r="P301">
        <f>IF('01_Master_Data'!B301="","",IF(LOWER(TRIM('01_Master_Data'!Z301&amp;""))="yes",1,0))</f>
        <v/>
      </c>
      <c r="Q301">
        <f>IF(A301="","",L301+M301+N301+O301+P301)</f>
        <v/>
      </c>
      <c r="R301">
        <f>IF(A301="","",IF(Q301&gt;1,"Yes","No"))</f>
        <v/>
      </c>
      <c r="S301">
        <f>IF(A301="","",TEXTJOIN(", ",TRUE,IF(L301=1,"ICICI",""),IF(M301=1,"Propelld",""),IF(N301=1,"Study4Buddy",""),IF(O301=1,"Poonawala Fincorp",""),IF(P301=1,"GyanDhan","")))</f>
        <v/>
      </c>
      <c r="T301">
        <f>IF(A301="","",IF(L301=1,"ICICI",IF(M301=1,"Propelld",IF(P301=1,"GyanDhan",IF(N301=1,"Study4Buddy",IF(O301=1,"Poonawala Fincorp",IF(ISNUMBER(SEARCH("GyanDhan",W301&amp;"")),"GyanDhan",IF(ISNUMBER(SEARCH("Icici",W301&amp;"")),"ICICI",IF(ISNUMBER(SEARCH("Propelld",W301&amp;"")),"Propelld",IF(ISNUMBER(SEARCH("vidyalakshmi",LOWER(W301&amp;"")),"PM Vidyalakshmi","—"))))))))))</f>
        <v/>
      </c>
      <c r="U301">
        <f>IF(A301="","",TRIM('01_Master_Data'!AA301&amp;""))</f>
        <v/>
      </c>
      <c r="V301">
        <f>IF(A301="","",TRIM('01_Master_Data'!AG301&amp;""))</f>
        <v/>
      </c>
      <c r="W301">
        <f>IF(A301="","",TRIM('01_Master_Data'!AH301&amp;""))</f>
        <v/>
      </c>
      <c r="X301">
        <f>IF(A301="","",IF(OR(LOWER(H301)="refund",LOWER(U301)="refund case"),"Refund",IF(OR(LOWER(H301)="dnp",LOWER(U301)="dnp"),"DNP",IF(OR(LOWER(V301)="disbursed",ISNUMBER(SEARCH("Disbursed",W301&amp;""))),"Disbursed",IF(OR(LOWER(V301)="loan proccessed/accepted",ISNUMBER(SEARCH("sanctioned",LOWER(W301&amp;"")))),"Sanctioned",IF(OR(LOWER(V301)="rejected",ISNUMBER(SEARCH("Not eligbile",W301&amp;"")),ISNUMBER(SEARCH("Not eligible",W301&amp;""))),"Rejected",IF(ISNUMBER(SEARCH("Docs Pending",W301&amp;"")),"Documents Pending",IF(AND(LOWER(H301)="yes",LOWER(V301)="ongoing"),"Processing",IF(AND(LOWER(H301)="yes",Q301&gt;0,OR(V301="",LOWER(V301)="not even started")),"Vendor Assigned",IF(AND(LOWER(H301)="yes",LOWER(V301)="not even started"),"Need Loan",IF(LOWER(H301)="yes","Loan Started",IF(LOWER(H301)="not sure","Interested",IF(OR(LOWER(H301)="no",LOWER(V301)="not required"),"Not Required","Unclassified")))))))))))))</f>
        <v/>
      </c>
      <c r="Y301">
        <f>IF(A301="","",IF(OR(X301="Sanctioned",X301="Disbursed",X301="Approved"),"Approved",IF(X301="Rejected","Rejected",IF(OR(X301="Processing",X301="Documents Pending",X301="Vendor Assigned"),"In Progress",IF(X301="Need Loan","Pending Start","—"))))</f>
        <v/>
      </c>
      <c r="Z301">
        <f>IF(A301="","",IF(X301="Disbursed","Disbursed",IF(X301="Sanctioned","Sanctioned - Awaiting Disbursement","Not Disbursed")))</f>
        <v/>
      </c>
      <c r="AA301">
        <f>IF(A301="","",IF(LOWER(TRIM('01_Master_Data'!AI301&amp;""))="yes","Need FLDG",IF(LOWER(TRIM('01_Master_Data'!AK301&amp;""))="yes","Need Vidyalakshmi",IF(LOWER(TRIM('01_Master_Data'!AJ301&amp;""))="yes","Need Review",IF(LOWER(J301)="critical","Critical",IF(LOWER(U301)="risk","Risk Case",IF(X301="Refund","Refund","Normal")))))))</f>
        <v/>
      </c>
      <c r="AB301">
        <f>IF(A301="","",IF(OR(LOWER(J301)="critical",LOWER(TRIM('01_Master_Data'!AI301&amp;""))="yes",LOWER(TRIM('01_Master_Data'!AK301&amp;""))="yes",LOWER(U301)="risk"),"Yes","No"))</f>
        <v/>
      </c>
      <c r="AC301">
        <f>IF(A301="","",IF(LOWER(TRIM('01_Master_Data'!AI301&amp;""))="yes","Yes","No"))</f>
        <v/>
      </c>
      <c r="AD301">
        <f>IF(A301="","",IF(LOWER(TRIM('01_Master_Data'!AK301&amp;""))="yes","Yes","No"))</f>
        <v/>
      </c>
      <c r="AE301">
        <f>IF(A301="","",IF(LOWER(TRIM('01_Master_Data'!AJ301&amp;""))="yes","Yes","No"))</f>
        <v/>
      </c>
      <c r="AF301">
        <f>IF(A301="","",TRIM('01_Master_Data'!AL301&amp;""))</f>
        <v/>
      </c>
      <c r="AG301">
        <f>IF(A301="","",IF(AF301="","—",IF(ISNUMBER(SEARCH("DNP",AF301)),"Unreachable / DNP",IF(ISNUMBER(SEARCH("interest",LOWER(AF301))),"High Interest / Terms",IF(OR(ISNUMBER(SEARCH("eligib",LOWER(AF301))),ISNUMBER(SEARCH("income",LOWER(AF301)))),"Eligibility / Income",IF(OR(ISNUMBER(SEARCH("start",LOWER(AF301))),ISNUMBER(SEARCH("Newer",AF301)),ISNUMBER(SEARCH("Will start",AF301))),"Process Yet to Start",IF(ISNUMBER(SEARCH("sure",LOWER(AF301))),"Undecided",IF(OR(ISNUMBER(SEARCH("reject",LOWER(AF301))),ISNUMBER(SEARCH("SBI",AF301))),"Rejected Elsewhere",IF(ISNUMBER(SEARCH("call",LOWER(AF301))),"Bank Communication",IF(OR(ISNUMBER(SEARCH("father",LOWER(AF301))),ISNUMBER(SEARCH("sister",LOWER(AF301)))),"Family / Dependency","Other"))))))))))</f>
        <v/>
      </c>
      <c r="AH301">
        <f>IF(A301="","",'01_Master_Data'!AC301)</f>
        <v/>
      </c>
      <c r="AI301">
        <f>IF(A301="","",IF(OR(AH301="",NOT(ISNUMBER(AH301))),"",MAX(0,'02_Configuration'!$B$82-AH301)))</f>
        <v/>
      </c>
      <c r="AJ301">
        <f>IF(A301="","",IF(AI301="","Unknown",IF(AI301&lt;=3,"0–3 Days",IF(AI301&lt;=7,"4–7 Days",IF(AI301&lt;=15,"8–15 Days",IF(AI301&lt;=30,"16–30 Days","30+ Days"))))))</f>
        <v/>
      </c>
      <c r="AK301">
        <f>IF(A301="","",IF(LOWER(H301)="yes","Yes","No"))</f>
        <v/>
      </c>
      <c r="AL301">
        <f>IF(A301="","",'01_Master_Data'!T301)</f>
        <v/>
      </c>
      <c r="AM301">
        <f>IF(A301="","",'01_Master_Data'!S301)</f>
        <v/>
      </c>
      <c r="AN301">
        <f>IF(A301="","",'01_Master_Data'!I301)</f>
        <v/>
      </c>
      <c r="AO301">
        <f>IF(A301="","",'01_Master_Data'!M301)</f>
        <v/>
      </c>
      <c r="AP301">
        <f>IF(A301="","",IF(ISNUMBER(SEARCH("Icici",W301&amp;"")),1,0))</f>
        <v/>
      </c>
      <c r="AQ301">
        <f>IF(A301="","",IF(ISNUMBER(SEARCH("Propelld",W301&amp;"")),1,0))</f>
        <v/>
      </c>
      <c r="AR301">
        <f>IF(A301="","",IF(ISNUMBER(SEARCH("GyanDhan",W301&amp;"")),1,0))</f>
        <v/>
      </c>
      <c r="AS301">
        <f>IF(A301="","",IF(ISNUMBER(SEARCH("vidyalakshmi",LOWER(W301&amp;""))),1,0))</f>
        <v/>
      </c>
      <c r="AT301">
        <f>IF(A301="","",IF(ISNUMBER(SEARCH("other bank",LOWER(W301&amp;""))),1,0))</f>
        <v/>
      </c>
      <c r="AU301">
        <f>IF(A301="","",IF(ISNUMBER(SEARCH("sanctioned",LOWER(W301&amp;""))),1,0))</f>
        <v/>
      </c>
      <c r="AV301">
        <f>IF(A301="","",IF(ISNUMBER(SEARCH("Docs Pending",W301&amp;"")),1,0))</f>
        <v/>
      </c>
      <c r="AW301">
        <f>IF(A301="","",IF(OR(X301="Rejected",ISNUMBER(SEARCH("Not eligbile",W301&amp;""))),1,0))</f>
        <v/>
      </c>
    </row>
    <row r="302">
      <c r="A302">
        <f>IF('01_Master_Data'!B302="","",301)</f>
        <v/>
      </c>
      <c r="B302">
        <f>IF('01_Master_Data'!B302="","",IF('01_Master_Data'!C302&lt;&gt;"","MOB|"&amp;TEXT('01_Master_Data'!C302,"0"),IF('01_Master_Data'!D302&lt;&gt;"","PID|"&amp;TRIM('01_Master_Data'!D302&amp;""),"")))</f>
        <v/>
      </c>
      <c r="C302">
        <f>IF('01_Master_Data'!B302="","",'01_Master_Data'!B302)</f>
        <v/>
      </c>
      <c r="D302">
        <f>IF('01_Master_Data'!B302="","",'01_Master_Data'!C302)</f>
        <v/>
      </c>
      <c r="E302">
        <f>IF('01_Master_Data'!B302="","",'01_Master_Data'!D302)</f>
        <v/>
      </c>
      <c r="F302">
        <f>IF('01_Master_Data'!B302="","",'01_Master_Data'!E302)</f>
        <v/>
      </c>
      <c r="G302">
        <f>IF('01_Master_Data'!B302="","",IFERROR(VLOOKUP(TRIM('01_Master_Data'!E302&amp;""),'02_Configuration'!$A$40:$B$44,2,FALSE),UPPER(TRIM('01_Master_Data'!E302&amp;""))))</f>
        <v/>
      </c>
      <c r="H302">
        <f>IF('01_Master_Data'!B302="","",IF('01_Master_Data'!U302="","",TRIM('01_Master_Data'!U302&amp;"")))</f>
        <v/>
      </c>
      <c r="I302">
        <f>IF('01_Master_Data'!B302="","",TRIM('01_Master_Data'!F302&amp;""))</f>
        <v/>
      </c>
      <c r="J302">
        <f>IF('01_Master_Data'!B302="","",TRIM('01_Master_Data'!G302&amp;""))</f>
        <v/>
      </c>
      <c r="K302">
        <f>IF('01_Master_Data'!B302="","",'01_Master_Data'!H302)</f>
        <v/>
      </c>
      <c r="L302">
        <f>IF('01_Master_Data'!B302="","",IF(LOWER(TRIM('01_Master_Data'!V302&amp;""))="yes",1,0))</f>
        <v/>
      </c>
      <c r="M302">
        <f>IF('01_Master_Data'!B302="","",IF(LOWER(TRIM('01_Master_Data'!W302&amp;""))="yes",1,0))</f>
        <v/>
      </c>
      <c r="N302">
        <f>IF('01_Master_Data'!B302="","",IF(LOWER(TRIM('01_Master_Data'!X302&amp;""))="yes",1,0))</f>
        <v/>
      </c>
      <c r="O302">
        <f>IF('01_Master_Data'!B302="","",IF(LOWER(TRIM('01_Master_Data'!Y302&amp;""))="yes",1,0))</f>
        <v/>
      </c>
      <c r="P302">
        <f>IF('01_Master_Data'!B302="","",IF(LOWER(TRIM('01_Master_Data'!Z302&amp;""))="yes",1,0))</f>
        <v/>
      </c>
      <c r="Q302">
        <f>IF(A302="","",L302+M302+N302+O302+P302)</f>
        <v/>
      </c>
      <c r="R302">
        <f>IF(A302="","",IF(Q302&gt;1,"Yes","No"))</f>
        <v/>
      </c>
      <c r="S302">
        <f>IF(A302="","",TEXTJOIN(", ",TRUE,IF(L302=1,"ICICI",""),IF(M302=1,"Propelld",""),IF(N302=1,"Study4Buddy",""),IF(O302=1,"Poonawala Fincorp",""),IF(P302=1,"GyanDhan","")))</f>
        <v/>
      </c>
      <c r="T302">
        <f>IF(A302="","",IF(L302=1,"ICICI",IF(M302=1,"Propelld",IF(P302=1,"GyanDhan",IF(N302=1,"Study4Buddy",IF(O302=1,"Poonawala Fincorp",IF(ISNUMBER(SEARCH("GyanDhan",W302&amp;"")),"GyanDhan",IF(ISNUMBER(SEARCH("Icici",W302&amp;"")),"ICICI",IF(ISNUMBER(SEARCH("Propelld",W302&amp;"")),"Propelld",IF(ISNUMBER(SEARCH("vidyalakshmi",LOWER(W302&amp;"")),"PM Vidyalakshmi","—"))))))))))</f>
        <v/>
      </c>
      <c r="U302">
        <f>IF(A302="","",TRIM('01_Master_Data'!AA302&amp;""))</f>
        <v/>
      </c>
      <c r="V302">
        <f>IF(A302="","",TRIM('01_Master_Data'!AG302&amp;""))</f>
        <v/>
      </c>
      <c r="W302">
        <f>IF(A302="","",TRIM('01_Master_Data'!AH302&amp;""))</f>
        <v/>
      </c>
      <c r="X302">
        <f>IF(A302="","",IF(OR(LOWER(H302)="refund",LOWER(U302)="refund case"),"Refund",IF(OR(LOWER(H302)="dnp",LOWER(U302)="dnp"),"DNP",IF(OR(LOWER(V302)="disbursed",ISNUMBER(SEARCH("Disbursed",W302&amp;""))),"Disbursed",IF(OR(LOWER(V302)="loan proccessed/accepted",ISNUMBER(SEARCH("sanctioned",LOWER(W302&amp;"")))),"Sanctioned",IF(OR(LOWER(V302)="rejected",ISNUMBER(SEARCH("Not eligbile",W302&amp;"")),ISNUMBER(SEARCH("Not eligible",W302&amp;""))),"Rejected",IF(ISNUMBER(SEARCH("Docs Pending",W302&amp;"")),"Documents Pending",IF(AND(LOWER(H302)="yes",LOWER(V302)="ongoing"),"Processing",IF(AND(LOWER(H302)="yes",Q302&gt;0,OR(V302="",LOWER(V302)="not even started")),"Vendor Assigned",IF(AND(LOWER(H302)="yes",LOWER(V302)="not even started"),"Need Loan",IF(LOWER(H302)="yes","Loan Started",IF(LOWER(H302)="not sure","Interested",IF(OR(LOWER(H302)="no",LOWER(V302)="not required"),"Not Required","Unclassified")))))))))))))</f>
        <v/>
      </c>
      <c r="Y302">
        <f>IF(A302="","",IF(OR(X302="Sanctioned",X302="Disbursed",X302="Approved"),"Approved",IF(X302="Rejected","Rejected",IF(OR(X302="Processing",X302="Documents Pending",X302="Vendor Assigned"),"In Progress",IF(X302="Need Loan","Pending Start","—"))))</f>
        <v/>
      </c>
      <c r="Z302">
        <f>IF(A302="","",IF(X302="Disbursed","Disbursed",IF(X302="Sanctioned","Sanctioned - Awaiting Disbursement","Not Disbursed")))</f>
        <v/>
      </c>
      <c r="AA302">
        <f>IF(A302="","",IF(LOWER(TRIM('01_Master_Data'!AI302&amp;""))="yes","Need FLDG",IF(LOWER(TRIM('01_Master_Data'!AK302&amp;""))="yes","Need Vidyalakshmi",IF(LOWER(TRIM('01_Master_Data'!AJ302&amp;""))="yes","Need Review",IF(LOWER(J302)="critical","Critical",IF(LOWER(U302)="risk","Risk Case",IF(X302="Refund","Refund","Normal")))))))</f>
        <v/>
      </c>
      <c r="AB302">
        <f>IF(A302="","",IF(OR(LOWER(J302)="critical",LOWER(TRIM('01_Master_Data'!AI302&amp;""))="yes",LOWER(TRIM('01_Master_Data'!AK302&amp;""))="yes",LOWER(U302)="risk"),"Yes","No"))</f>
        <v/>
      </c>
      <c r="AC302">
        <f>IF(A302="","",IF(LOWER(TRIM('01_Master_Data'!AI302&amp;""))="yes","Yes","No"))</f>
        <v/>
      </c>
      <c r="AD302">
        <f>IF(A302="","",IF(LOWER(TRIM('01_Master_Data'!AK302&amp;""))="yes","Yes","No"))</f>
        <v/>
      </c>
      <c r="AE302">
        <f>IF(A302="","",IF(LOWER(TRIM('01_Master_Data'!AJ302&amp;""))="yes","Yes","No"))</f>
        <v/>
      </c>
      <c r="AF302">
        <f>IF(A302="","",TRIM('01_Master_Data'!AL302&amp;""))</f>
        <v/>
      </c>
      <c r="AG302">
        <f>IF(A302="","",IF(AF302="","—",IF(ISNUMBER(SEARCH("DNP",AF302)),"Unreachable / DNP",IF(ISNUMBER(SEARCH("interest",LOWER(AF302))),"High Interest / Terms",IF(OR(ISNUMBER(SEARCH("eligib",LOWER(AF302))),ISNUMBER(SEARCH("income",LOWER(AF302)))),"Eligibility / Income",IF(OR(ISNUMBER(SEARCH("start",LOWER(AF302))),ISNUMBER(SEARCH("Newer",AF302)),ISNUMBER(SEARCH("Will start",AF302))),"Process Yet to Start",IF(ISNUMBER(SEARCH("sure",LOWER(AF302))),"Undecided",IF(OR(ISNUMBER(SEARCH("reject",LOWER(AF302))),ISNUMBER(SEARCH("SBI",AF302))),"Rejected Elsewhere",IF(ISNUMBER(SEARCH("call",LOWER(AF302))),"Bank Communication",IF(OR(ISNUMBER(SEARCH("father",LOWER(AF302))),ISNUMBER(SEARCH("sister",LOWER(AF302)))),"Family / Dependency","Other"))))))))))</f>
        <v/>
      </c>
      <c r="AH302">
        <f>IF(A302="","",'01_Master_Data'!AC302)</f>
        <v/>
      </c>
      <c r="AI302">
        <f>IF(A302="","",IF(OR(AH302="",NOT(ISNUMBER(AH302))),"",MAX(0,'02_Configuration'!$B$82-AH302)))</f>
        <v/>
      </c>
      <c r="AJ302">
        <f>IF(A302="","",IF(AI302="","Unknown",IF(AI302&lt;=3,"0–3 Days",IF(AI302&lt;=7,"4–7 Days",IF(AI302&lt;=15,"8–15 Days",IF(AI302&lt;=30,"16–30 Days","30+ Days"))))))</f>
        <v/>
      </c>
      <c r="AK302">
        <f>IF(A302="","",IF(LOWER(H302)="yes","Yes","No"))</f>
        <v/>
      </c>
      <c r="AL302">
        <f>IF(A302="","",'01_Master_Data'!T302)</f>
        <v/>
      </c>
      <c r="AM302">
        <f>IF(A302="","",'01_Master_Data'!S302)</f>
        <v/>
      </c>
      <c r="AN302">
        <f>IF(A302="","",'01_Master_Data'!I302)</f>
        <v/>
      </c>
      <c r="AO302">
        <f>IF(A302="","",'01_Master_Data'!M302)</f>
        <v/>
      </c>
      <c r="AP302">
        <f>IF(A302="","",IF(ISNUMBER(SEARCH("Icici",W302&amp;"")),1,0))</f>
        <v/>
      </c>
      <c r="AQ302">
        <f>IF(A302="","",IF(ISNUMBER(SEARCH("Propelld",W302&amp;"")),1,0))</f>
        <v/>
      </c>
      <c r="AR302">
        <f>IF(A302="","",IF(ISNUMBER(SEARCH("GyanDhan",W302&amp;"")),1,0))</f>
        <v/>
      </c>
      <c r="AS302">
        <f>IF(A302="","",IF(ISNUMBER(SEARCH("vidyalakshmi",LOWER(W302&amp;""))),1,0))</f>
        <v/>
      </c>
      <c r="AT302">
        <f>IF(A302="","",IF(ISNUMBER(SEARCH("other bank",LOWER(W302&amp;""))),1,0))</f>
        <v/>
      </c>
      <c r="AU302">
        <f>IF(A302="","",IF(ISNUMBER(SEARCH("sanctioned",LOWER(W302&amp;""))),1,0))</f>
        <v/>
      </c>
      <c r="AV302">
        <f>IF(A302="","",IF(ISNUMBER(SEARCH("Docs Pending",W302&amp;"")),1,0))</f>
        <v/>
      </c>
      <c r="AW302">
        <f>IF(A302="","",IF(OR(X302="Rejected",ISNUMBER(SEARCH("Not eligbile",W302&amp;""))),1,0))</f>
        <v/>
      </c>
    </row>
    <row r="303">
      <c r="A303">
        <f>IF('01_Master_Data'!B303="","",302)</f>
        <v/>
      </c>
      <c r="B303">
        <f>IF('01_Master_Data'!B303="","",IF('01_Master_Data'!C303&lt;&gt;"","MOB|"&amp;TEXT('01_Master_Data'!C303,"0"),IF('01_Master_Data'!D303&lt;&gt;"","PID|"&amp;TRIM('01_Master_Data'!D303&amp;""),"")))</f>
        <v/>
      </c>
      <c r="C303">
        <f>IF('01_Master_Data'!B303="","",'01_Master_Data'!B303)</f>
        <v/>
      </c>
      <c r="D303">
        <f>IF('01_Master_Data'!B303="","",'01_Master_Data'!C303)</f>
        <v/>
      </c>
      <c r="E303">
        <f>IF('01_Master_Data'!B303="","",'01_Master_Data'!D303)</f>
        <v/>
      </c>
      <c r="F303">
        <f>IF('01_Master_Data'!B303="","",'01_Master_Data'!E303)</f>
        <v/>
      </c>
      <c r="G303">
        <f>IF('01_Master_Data'!B303="","",IFERROR(VLOOKUP(TRIM('01_Master_Data'!E303&amp;""),'02_Configuration'!$A$40:$B$44,2,FALSE),UPPER(TRIM('01_Master_Data'!E303&amp;""))))</f>
        <v/>
      </c>
      <c r="H303">
        <f>IF('01_Master_Data'!B303="","",IF('01_Master_Data'!U303="","",TRIM('01_Master_Data'!U303&amp;"")))</f>
        <v/>
      </c>
      <c r="I303">
        <f>IF('01_Master_Data'!B303="","",TRIM('01_Master_Data'!F303&amp;""))</f>
        <v/>
      </c>
      <c r="J303">
        <f>IF('01_Master_Data'!B303="","",TRIM('01_Master_Data'!G303&amp;""))</f>
        <v/>
      </c>
      <c r="K303">
        <f>IF('01_Master_Data'!B303="","",'01_Master_Data'!H303)</f>
        <v/>
      </c>
      <c r="L303">
        <f>IF('01_Master_Data'!B303="","",IF(LOWER(TRIM('01_Master_Data'!V303&amp;""))="yes",1,0))</f>
        <v/>
      </c>
      <c r="M303">
        <f>IF('01_Master_Data'!B303="","",IF(LOWER(TRIM('01_Master_Data'!W303&amp;""))="yes",1,0))</f>
        <v/>
      </c>
      <c r="N303">
        <f>IF('01_Master_Data'!B303="","",IF(LOWER(TRIM('01_Master_Data'!X303&amp;""))="yes",1,0))</f>
        <v/>
      </c>
      <c r="O303">
        <f>IF('01_Master_Data'!B303="","",IF(LOWER(TRIM('01_Master_Data'!Y303&amp;""))="yes",1,0))</f>
        <v/>
      </c>
      <c r="P303">
        <f>IF('01_Master_Data'!B303="","",IF(LOWER(TRIM('01_Master_Data'!Z303&amp;""))="yes",1,0))</f>
        <v/>
      </c>
      <c r="Q303">
        <f>IF(A303="","",L303+M303+N303+O303+P303)</f>
        <v/>
      </c>
      <c r="R303">
        <f>IF(A303="","",IF(Q303&gt;1,"Yes","No"))</f>
        <v/>
      </c>
      <c r="S303">
        <f>IF(A303="","",TEXTJOIN(", ",TRUE,IF(L303=1,"ICICI",""),IF(M303=1,"Propelld",""),IF(N303=1,"Study4Buddy",""),IF(O303=1,"Poonawala Fincorp",""),IF(P303=1,"GyanDhan","")))</f>
        <v/>
      </c>
      <c r="T303">
        <f>IF(A303="","",IF(L303=1,"ICICI",IF(M303=1,"Propelld",IF(P303=1,"GyanDhan",IF(N303=1,"Study4Buddy",IF(O303=1,"Poonawala Fincorp",IF(ISNUMBER(SEARCH("GyanDhan",W303&amp;"")),"GyanDhan",IF(ISNUMBER(SEARCH("Icici",W303&amp;"")),"ICICI",IF(ISNUMBER(SEARCH("Propelld",W303&amp;"")),"Propelld",IF(ISNUMBER(SEARCH("vidyalakshmi",LOWER(W303&amp;"")),"PM Vidyalakshmi","—"))))))))))</f>
        <v/>
      </c>
      <c r="U303">
        <f>IF(A303="","",TRIM('01_Master_Data'!AA303&amp;""))</f>
        <v/>
      </c>
      <c r="V303">
        <f>IF(A303="","",TRIM('01_Master_Data'!AG303&amp;""))</f>
        <v/>
      </c>
      <c r="W303">
        <f>IF(A303="","",TRIM('01_Master_Data'!AH303&amp;""))</f>
        <v/>
      </c>
      <c r="X303">
        <f>IF(A303="","",IF(OR(LOWER(H303)="refund",LOWER(U303)="refund case"),"Refund",IF(OR(LOWER(H303)="dnp",LOWER(U303)="dnp"),"DNP",IF(OR(LOWER(V303)="disbursed",ISNUMBER(SEARCH("Disbursed",W303&amp;""))),"Disbursed",IF(OR(LOWER(V303)="loan proccessed/accepted",ISNUMBER(SEARCH("sanctioned",LOWER(W303&amp;"")))),"Sanctioned",IF(OR(LOWER(V303)="rejected",ISNUMBER(SEARCH("Not eligbile",W303&amp;"")),ISNUMBER(SEARCH("Not eligible",W303&amp;""))),"Rejected",IF(ISNUMBER(SEARCH("Docs Pending",W303&amp;"")),"Documents Pending",IF(AND(LOWER(H303)="yes",LOWER(V303)="ongoing"),"Processing",IF(AND(LOWER(H303)="yes",Q303&gt;0,OR(V303="",LOWER(V303)="not even started")),"Vendor Assigned",IF(AND(LOWER(H303)="yes",LOWER(V303)="not even started"),"Need Loan",IF(LOWER(H303)="yes","Loan Started",IF(LOWER(H303)="not sure","Interested",IF(OR(LOWER(H303)="no",LOWER(V303)="not required"),"Not Required","Unclassified")))))))))))))</f>
        <v/>
      </c>
      <c r="Y303">
        <f>IF(A303="","",IF(OR(X303="Sanctioned",X303="Disbursed",X303="Approved"),"Approved",IF(X303="Rejected","Rejected",IF(OR(X303="Processing",X303="Documents Pending",X303="Vendor Assigned"),"In Progress",IF(X303="Need Loan","Pending Start","—"))))</f>
        <v/>
      </c>
      <c r="Z303">
        <f>IF(A303="","",IF(X303="Disbursed","Disbursed",IF(X303="Sanctioned","Sanctioned - Awaiting Disbursement","Not Disbursed")))</f>
        <v/>
      </c>
      <c r="AA303">
        <f>IF(A303="","",IF(LOWER(TRIM('01_Master_Data'!AI303&amp;""))="yes","Need FLDG",IF(LOWER(TRIM('01_Master_Data'!AK303&amp;""))="yes","Need Vidyalakshmi",IF(LOWER(TRIM('01_Master_Data'!AJ303&amp;""))="yes","Need Review",IF(LOWER(J303)="critical","Critical",IF(LOWER(U303)="risk","Risk Case",IF(X303="Refund","Refund","Normal")))))))</f>
        <v/>
      </c>
      <c r="AB303">
        <f>IF(A303="","",IF(OR(LOWER(J303)="critical",LOWER(TRIM('01_Master_Data'!AI303&amp;""))="yes",LOWER(TRIM('01_Master_Data'!AK303&amp;""))="yes",LOWER(U303)="risk"),"Yes","No"))</f>
        <v/>
      </c>
      <c r="AC303">
        <f>IF(A303="","",IF(LOWER(TRIM('01_Master_Data'!AI303&amp;""))="yes","Yes","No"))</f>
        <v/>
      </c>
      <c r="AD303">
        <f>IF(A303="","",IF(LOWER(TRIM('01_Master_Data'!AK303&amp;""))="yes","Yes","No"))</f>
        <v/>
      </c>
      <c r="AE303">
        <f>IF(A303="","",IF(LOWER(TRIM('01_Master_Data'!AJ303&amp;""))="yes","Yes","No"))</f>
        <v/>
      </c>
      <c r="AF303">
        <f>IF(A303="","",TRIM('01_Master_Data'!AL303&amp;""))</f>
        <v/>
      </c>
      <c r="AG303">
        <f>IF(A303="","",IF(AF303="","—",IF(ISNUMBER(SEARCH("DNP",AF303)),"Unreachable / DNP",IF(ISNUMBER(SEARCH("interest",LOWER(AF303))),"High Interest / Terms",IF(OR(ISNUMBER(SEARCH("eligib",LOWER(AF303))),ISNUMBER(SEARCH("income",LOWER(AF303)))),"Eligibility / Income",IF(OR(ISNUMBER(SEARCH("start",LOWER(AF303))),ISNUMBER(SEARCH("Newer",AF303)),ISNUMBER(SEARCH("Will start",AF303))),"Process Yet to Start",IF(ISNUMBER(SEARCH("sure",LOWER(AF303))),"Undecided",IF(OR(ISNUMBER(SEARCH("reject",LOWER(AF303))),ISNUMBER(SEARCH("SBI",AF303))),"Rejected Elsewhere",IF(ISNUMBER(SEARCH("call",LOWER(AF303))),"Bank Communication",IF(OR(ISNUMBER(SEARCH("father",LOWER(AF303))),ISNUMBER(SEARCH("sister",LOWER(AF303)))),"Family / Dependency","Other"))))))))))</f>
        <v/>
      </c>
      <c r="AH303">
        <f>IF(A303="","",'01_Master_Data'!AC303)</f>
        <v/>
      </c>
      <c r="AI303">
        <f>IF(A303="","",IF(OR(AH303="",NOT(ISNUMBER(AH303))),"",MAX(0,'02_Configuration'!$B$82-AH303)))</f>
        <v/>
      </c>
      <c r="AJ303">
        <f>IF(A303="","",IF(AI303="","Unknown",IF(AI303&lt;=3,"0–3 Days",IF(AI303&lt;=7,"4–7 Days",IF(AI303&lt;=15,"8–15 Days",IF(AI303&lt;=30,"16–30 Days","30+ Days"))))))</f>
        <v/>
      </c>
      <c r="AK303">
        <f>IF(A303="","",IF(LOWER(H303)="yes","Yes","No"))</f>
        <v/>
      </c>
      <c r="AL303">
        <f>IF(A303="","",'01_Master_Data'!T303)</f>
        <v/>
      </c>
      <c r="AM303">
        <f>IF(A303="","",'01_Master_Data'!S303)</f>
        <v/>
      </c>
      <c r="AN303">
        <f>IF(A303="","",'01_Master_Data'!I303)</f>
        <v/>
      </c>
      <c r="AO303">
        <f>IF(A303="","",'01_Master_Data'!M303)</f>
        <v/>
      </c>
      <c r="AP303">
        <f>IF(A303="","",IF(ISNUMBER(SEARCH("Icici",W303&amp;"")),1,0))</f>
        <v/>
      </c>
      <c r="AQ303">
        <f>IF(A303="","",IF(ISNUMBER(SEARCH("Propelld",W303&amp;"")),1,0))</f>
        <v/>
      </c>
      <c r="AR303">
        <f>IF(A303="","",IF(ISNUMBER(SEARCH("GyanDhan",W303&amp;"")),1,0))</f>
        <v/>
      </c>
      <c r="AS303">
        <f>IF(A303="","",IF(ISNUMBER(SEARCH("vidyalakshmi",LOWER(W303&amp;""))),1,0))</f>
        <v/>
      </c>
      <c r="AT303">
        <f>IF(A303="","",IF(ISNUMBER(SEARCH("other bank",LOWER(W303&amp;""))),1,0))</f>
        <v/>
      </c>
      <c r="AU303">
        <f>IF(A303="","",IF(ISNUMBER(SEARCH("sanctioned",LOWER(W303&amp;""))),1,0))</f>
        <v/>
      </c>
      <c r="AV303">
        <f>IF(A303="","",IF(ISNUMBER(SEARCH("Docs Pending",W303&amp;"")),1,0))</f>
        <v/>
      </c>
      <c r="AW303">
        <f>IF(A303="","",IF(OR(X303="Rejected",ISNUMBER(SEARCH("Not eligbile",W303&amp;""))),1,0))</f>
        <v/>
      </c>
    </row>
    <row r="304">
      <c r="A304">
        <f>IF('01_Master_Data'!B304="","",303)</f>
        <v/>
      </c>
      <c r="B304">
        <f>IF('01_Master_Data'!B304="","",IF('01_Master_Data'!C304&lt;&gt;"","MOB|"&amp;TEXT('01_Master_Data'!C304,"0"),IF('01_Master_Data'!D304&lt;&gt;"","PID|"&amp;TRIM('01_Master_Data'!D304&amp;""),"")))</f>
        <v/>
      </c>
      <c r="C304">
        <f>IF('01_Master_Data'!B304="","",'01_Master_Data'!B304)</f>
        <v/>
      </c>
      <c r="D304">
        <f>IF('01_Master_Data'!B304="","",'01_Master_Data'!C304)</f>
        <v/>
      </c>
      <c r="E304">
        <f>IF('01_Master_Data'!B304="","",'01_Master_Data'!D304)</f>
        <v/>
      </c>
      <c r="F304">
        <f>IF('01_Master_Data'!B304="","",'01_Master_Data'!E304)</f>
        <v/>
      </c>
      <c r="G304">
        <f>IF('01_Master_Data'!B304="","",IFERROR(VLOOKUP(TRIM('01_Master_Data'!E304&amp;""),'02_Configuration'!$A$40:$B$44,2,FALSE),UPPER(TRIM('01_Master_Data'!E304&amp;""))))</f>
        <v/>
      </c>
      <c r="H304">
        <f>IF('01_Master_Data'!B304="","",IF('01_Master_Data'!U304="","",TRIM('01_Master_Data'!U304&amp;"")))</f>
        <v/>
      </c>
      <c r="I304">
        <f>IF('01_Master_Data'!B304="","",TRIM('01_Master_Data'!F304&amp;""))</f>
        <v/>
      </c>
      <c r="J304">
        <f>IF('01_Master_Data'!B304="","",TRIM('01_Master_Data'!G304&amp;""))</f>
        <v/>
      </c>
      <c r="K304">
        <f>IF('01_Master_Data'!B304="","",'01_Master_Data'!H304)</f>
        <v/>
      </c>
      <c r="L304">
        <f>IF('01_Master_Data'!B304="","",IF(LOWER(TRIM('01_Master_Data'!V304&amp;""))="yes",1,0))</f>
        <v/>
      </c>
      <c r="M304">
        <f>IF('01_Master_Data'!B304="","",IF(LOWER(TRIM('01_Master_Data'!W304&amp;""))="yes",1,0))</f>
        <v/>
      </c>
      <c r="N304">
        <f>IF('01_Master_Data'!B304="","",IF(LOWER(TRIM('01_Master_Data'!X304&amp;""))="yes",1,0))</f>
        <v/>
      </c>
      <c r="O304">
        <f>IF('01_Master_Data'!B304="","",IF(LOWER(TRIM('01_Master_Data'!Y304&amp;""))="yes",1,0))</f>
        <v/>
      </c>
      <c r="P304">
        <f>IF('01_Master_Data'!B304="","",IF(LOWER(TRIM('01_Master_Data'!Z304&amp;""))="yes",1,0))</f>
        <v/>
      </c>
      <c r="Q304">
        <f>IF(A304="","",L304+M304+N304+O304+P304)</f>
        <v/>
      </c>
      <c r="R304">
        <f>IF(A304="","",IF(Q304&gt;1,"Yes","No"))</f>
        <v/>
      </c>
      <c r="S304">
        <f>IF(A304="","",TEXTJOIN(", ",TRUE,IF(L304=1,"ICICI",""),IF(M304=1,"Propelld",""),IF(N304=1,"Study4Buddy",""),IF(O304=1,"Poonawala Fincorp",""),IF(P304=1,"GyanDhan","")))</f>
        <v/>
      </c>
      <c r="T304">
        <f>IF(A304="","",IF(L304=1,"ICICI",IF(M304=1,"Propelld",IF(P304=1,"GyanDhan",IF(N304=1,"Study4Buddy",IF(O304=1,"Poonawala Fincorp",IF(ISNUMBER(SEARCH("GyanDhan",W304&amp;"")),"GyanDhan",IF(ISNUMBER(SEARCH("Icici",W304&amp;"")),"ICICI",IF(ISNUMBER(SEARCH("Propelld",W304&amp;"")),"Propelld",IF(ISNUMBER(SEARCH("vidyalakshmi",LOWER(W304&amp;"")),"PM Vidyalakshmi","—"))))))))))</f>
        <v/>
      </c>
      <c r="U304">
        <f>IF(A304="","",TRIM('01_Master_Data'!AA304&amp;""))</f>
        <v/>
      </c>
      <c r="V304">
        <f>IF(A304="","",TRIM('01_Master_Data'!AG304&amp;""))</f>
        <v/>
      </c>
      <c r="W304">
        <f>IF(A304="","",TRIM('01_Master_Data'!AH304&amp;""))</f>
        <v/>
      </c>
      <c r="X304">
        <f>IF(A304="","",IF(OR(LOWER(H304)="refund",LOWER(U304)="refund case"),"Refund",IF(OR(LOWER(H304)="dnp",LOWER(U304)="dnp"),"DNP",IF(OR(LOWER(V304)="disbursed",ISNUMBER(SEARCH("Disbursed",W304&amp;""))),"Disbursed",IF(OR(LOWER(V304)="loan proccessed/accepted",ISNUMBER(SEARCH("sanctioned",LOWER(W304&amp;"")))),"Sanctioned",IF(OR(LOWER(V304)="rejected",ISNUMBER(SEARCH("Not eligbile",W304&amp;"")),ISNUMBER(SEARCH("Not eligible",W304&amp;""))),"Rejected",IF(ISNUMBER(SEARCH("Docs Pending",W304&amp;"")),"Documents Pending",IF(AND(LOWER(H304)="yes",LOWER(V304)="ongoing"),"Processing",IF(AND(LOWER(H304)="yes",Q304&gt;0,OR(V304="",LOWER(V304)="not even started")),"Vendor Assigned",IF(AND(LOWER(H304)="yes",LOWER(V304)="not even started"),"Need Loan",IF(LOWER(H304)="yes","Loan Started",IF(LOWER(H304)="not sure","Interested",IF(OR(LOWER(H304)="no",LOWER(V304)="not required"),"Not Required","Unclassified")))))))))))))</f>
        <v/>
      </c>
      <c r="Y304">
        <f>IF(A304="","",IF(OR(X304="Sanctioned",X304="Disbursed",X304="Approved"),"Approved",IF(X304="Rejected","Rejected",IF(OR(X304="Processing",X304="Documents Pending",X304="Vendor Assigned"),"In Progress",IF(X304="Need Loan","Pending Start","—"))))</f>
        <v/>
      </c>
      <c r="Z304">
        <f>IF(A304="","",IF(X304="Disbursed","Disbursed",IF(X304="Sanctioned","Sanctioned - Awaiting Disbursement","Not Disbursed")))</f>
        <v/>
      </c>
      <c r="AA304">
        <f>IF(A304="","",IF(LOWER(TRIM('01_Master_Data'!AI304&amp;""))="yes","Need FLDG",IF(LOWER(TRIM('01_Master_Data'!AK304&amp;""))="yes","Need Vidyalakshmi",IF(LOWER(TRIM('01_Master_Data'!AJ304&amp;""))="yes","Need Review",IF(LOWER(J304)="critical","Critical",IF(LOWER(U304)="risk","Risk Case",IF(X304="Refund","Refund","Normal")))))))</f>
        <v/>
      </c>
      <c r="AB304">
        <f>IF(A304="","",IF(OR(LOWER(J304)="critical",LOWER(TRIM('01_Master_Data'!AI304&amp;""))="yes",LOWER(TRIM('01_Master_Data'!AK304&amp;""))="yes",LOWER(U304)="risk"),"Yes","No"))</f>
        <v/>
      </c>
      <c r="AC304">
        <f>IF(A304="","",IF(LOWER(TRIM('01_Master_Data'!AI304&amp;""))="yes","Yes","No"))</f>
        <v/>
      </c>
      <c r="AD304">
        <f>IF(A304="","",IF(LOWER(TRIM('01_Master_Data'!AK304&amp;""))="yes","Yes","No"))</f>
        <v/>
      </c>
      <c r="AE304">
        <f>IF(A304="","",IF(LOWER(TRIM('01_Master_Data'!AJ304&amp;""))="yes","Yes","No"))</f>
        <v/>
      </c>
      <c r="AF304">
        <f>IF(A304="","",TRIM('01_Master_Data'!AL304&amp;""))</f>
        <v/>
      </c>
      <c r="AG304">
        <f>IF(A304="","",IF(AF304="","—",IF(ISNUMBER(SEARCH("DNP",AF304)),"Unreachable / DNP",IF(ISNUMBER(SEARCH("interest",LOWER(AF304))),"High Interest / Terms",IF(OR(ISNUMBER(SEARCH("eligib",LOWER(AF304))),ISNUMBER(SEARCH("income",LOWER(AF304)))),"Eligibility / Income",IF(OR(ISNUMBER(SEARCH("start",LOWER(AF304))),ISNUMBER(SEARCH("Newer",AF304)),ISNUMBER(SEARCH("Will start",AF304))),"Process Yet to Start",IF(ISNUMBER(SEARCH("sure",LOWER(AF304))),"Undecided",IF(OR(ISNUMBER(SEARCH("reject",LOWER(AF304))),ISNUMBER(SEARCH("SBI",AF304))),"Rejected Elsewhere",IF(ISNUMBER(SEARCH("call",LOWER(AF304))),"Bank Communication",IF(OR(ISNUMBER(SEARCH("father",LOWER(AF304))),ISNUMBER(SEARCH("sister",LOWER(AF304)))),"Family / Dependency","Other"))))))))))</f>
        <v/>
      </c>
      <c r="AH304">
        <f>IF(A304="","",'01_Master_Data'!AC304)</f>
        <v/>
      </c>
      <c r="AI304">
        <f>IF(A304="","",IF(OR(AH304="",NOT(ISNUMBER(AH304))),"",MAX(0,'02_Configuration'!$B$82-AH304)))</f>
        <v/>
      </c>
      <c r="AJ304">
        <f>IF(A304="","",IF(AI304="","Unknown",IF(AI304&lt;=3,"0–3 Days",IF(AI304&lt;=7,"4–7 Days",IF(AI304&lt;=15,"8–15 Days",IF(AI304&lt;=30,"16–30 Days","30+ Days"))))))</f>
        <v/>
      </c>
      <c r="AK304">
        <f>IF(A304="","",IF(LOWER(H304)="yes","Yes","No"))</f>
        <v/>
      </c>
      <c r="AL304">
        <f>IF(A304="","",'01_Master_Data'!T304)</f>
        <v/>
      </c>
      <c r="AM304">
        <f>IF(A304="","",'01_Master_Data'!S304)</f>
        <v/>
      </c>
      <c r="AN304">
        <f>IF(A304="","",'01_Master_Data'!I304)</f>
        <v/>
      </c>
      <c r="AO304">
        <f>IF(A304="","",'01_Master_Data'!M304)</f>
        <v/>
      </c>
      <c r="AP304">
        <f>IF(A304="","",IF(ISNUMBER(SEARCH("Icici",W304&amp;"")),1,0))</f>
        <v/>
      </c>
      <c r="AQ304">
        <f>IF(A304="","",IF(ISNUMBER(SEARCH("Propelld",W304&amp;"")),1,0))</f>
        <v/>
      </c>
      <c r="AR304">
        <f>IF(A304="","",IF(ISNUMBER(SEARCH("GyanDhan",W304&amp;"")),1,0))</f>
        <v/>
      </c>
      <c r="AS304">
        <f>IF(A304="","",IF(ISNUMBER(SEARCH("vidyalakshmi",LOWER(W304&amp;""))),1,0))</f>
        <v/>
      </c>
      <c r="AT304">
        <f>IF(A304="","",IF(ISNUMBER(SEARCH("other bank",LOWER(W304&amp;""))),1,0))</f>
        <v/>
      </c>
      <c r="AU304">
        <f>IF(A304="","",IF(ISNUMBER(SEARCH("sanctioned",LOWER(W304&amp;""))),1,0))</f>
        <v/>
      </c>
      <c r="AV304">
        <f>IF(A304="","",IF(ISNUMBER(SEARCH("Docs Pending",W304&amp;"")),1,0))</f>
        <v/>
      </c>
      <c r="AW304">
        <f>IF(A304="","",IF(OR(X304="Rejected",ISNUMBER(SEARCH("Not eligbile",W304&amp;""))),1,0))</f>
        <v/>
      </c>
    </row>
    <row r="305">
      <c r="A305">
        <f>IF('01_Master_Data'!B305="","",304)</f>
        <v/>
      </c>
      <c r="B305">
        <f>IF('01_Master_Data'!B305="","",IF('01_Master_Data'!C305&lt;&gt;"","MOB|"&amp;TEXT('01_Master_Data'!C305,"0"),IF('01_Master_Data'!D305&lt;&gt;"","PID|"&amp;TRIM('01_Master_Data'!D305&amp;""),"")))</f>
        <v/>
      </c>
      <c r="C305">
        <f>IF('01_Master_Data'!B305="","",'01_Master_Data'!B305)</f>
        <v/>
      </c>
      <c r="D305">
        <f>IF('01_Master_Data'!B305="","",'01_Master_Data'!C305)</f>
        <v/>
      </c>
      <c r="E305">
        <f>IF('01_Master_Data'!B305="","",'01_Master_Data'!D305)</f>
        <v/>
      </c>
      <c r="F305">
        <f>IF('01_Master_Data'!B305="","",'01_Master_Data'!E305)</f>
        <v/>
      </c>
      <c r="G305">
        <f>IF('01_Master_Data'!B305="","",IFERROR(VLOOKUP(TRIM('01_Master_Data'!E305&amp;""),'02_Configuration'!$A$40:$B$44,2,FALSE),UPPER(TRIM('01_Master_Data'!E305&amp;""))))</f>
        <v/>
      </c>
      <c r="H305">
        <f>IF('01_Master_Data'!B305="","",IF('01_Master_Data'!U305="","",TRIM('01_Master_Data'!U305&amp;"")))</f>
        <v/>
      </c>
      <c r="I305">
        <f>IF('01_Master_Data'!B305="","",TRIM('01_Master_Data'!F305&amp;""))</f>
        <v/>
      </c>
      <c r="J305">
        <f>IF('01_Master_Data'!B305="","",TRIM('01_Master_Data'!G305&amp;""))</f>
        <v/>
      </c>
      <c r="K305">
        <f>IF('01_Master_Data'!B305="","",'01_Master_Data'!H305)</f>
        <v/>
      </c>
      <c r="L305">
        <f>IF('01_Master_Data'!B305="","",IF(LOWER(TRIM('01_Master_Data'!V305&amp;""))="yes",1,0))</f>
        <v/>
      </c>
      <c r="M305">
        <f>IF('01_Master_Data'!B305="","",IF(LOWER(TRIM('01_Master_Data'!W305&amp;""))="yes",1,0))</f>
        <v/>
      </c>
      <c r="N305">
        <f>IF('01_Master_Data'!B305="","",IF(LOWER(TRIM('01_Master_Data'!X305&amp;""))="yes",1,0))</f>
        <v/>
      </c>
      <c r="O305">
        <f>IF('01_Master_Data'!B305="","",IF(LOWER(TRIM('01_Master_Data'!Y305&amp;""))="yes",1,0))</f>
        <v/>
      </c>
      <c r="P305">
        <f>IF('01_Master_Data'!B305="","",IF(LOWER(TRIM('01_Master_Data'!Z305&amp;""))="yes",1,0))</f>
        <v/>
      </c>
      <c r="Q305">
        <f>IF(A305="","",L305+M305+N305+O305+P305)</f>
        <v/>
      </c>
      <c r="R305">
        <f>IF(A305="","",IF(Q305&gt;1,"Yes","No"))</f>
        <v/>
      </c>
      <c r="S305">
        <f>IF(A305="","",TEXTJOIN(", ",TRUE,IF(L305=1,"ICICI",""),IF(M305=1,"Propelld",""),IF(N305=1,"Study4Buddy",""),IF(O305=1,"Poonawala Fincorp",""),IF(P305=1,"GyanDhan","")))</f>
        <v/>
      </c>
      <c r="T305">
        <f>IF(A305="","",IF(L305=1,"ICICI",IF(M305=1,"Propelld",IF(P305=1,"GyanDhan",IF(N305=1,"Study4Buddy",IF(O305=1,"Poonawala Fincorp",IF(ISNUMBER(SEARCH("GyanDhan",W305&amp;"")),"GyanDhan",IF(ISNUMBER(SEARCH("Icici",W305&amp;"")),"ICICI",IF(ISNUMBER(SEARCH("Propelld",W305&amp;"")),"Propelld",IF(ISNUMBER(SEARCH("vidyalakshmi",LOWER(W305&amp;"")),"PM Vidyalakshmi","—"))))))))))</f>
        <v/>
      </c>
      <c r="U305">
        <f>IF(A305="","",TRIM('01_Master_Data'!AA305&amp;""))</f>
        <v/>
      </c>
      <c r="V305">
        <f>IF(A305="","",TRIM('01_Master_Data'!AG305&amp;""))</f>
        <v/>
      </c>
      <c r="W305">
        <f>IF(A305="","",TRIM('01_Master_Data'!AH305&amp;""))</f>
        <v/>
      </c>
      <c r="X305">
        <f>IF(A305="","",IF(OR(LOWER(H305)="refund",LOWER(U305)="refund case"),"Refund",IF(OR(LOWER(H305)="dnp",LOWER(U305)="dnp"),"DNP",IF(OR(LOWER(V305)="disbursed",ISNUMBER(SEARCH("Disbursed",W305&amp;""))),"Disbursed",IF(OR(LOWER(V305)="loan proccessed/accepted",ISNUMBER(SEARCH("sanctioned",LOWER(W305&amp;"")))),"Sanctioned",IF(OR(LOWER(V305)="rejected",ISNUMBER(SEARCH("Not eligbile",W305&amp;"")),ISNUMBER(SEARCH("Not eligible",W305&amp;""))),"Rejected",IF(ISNUMBER(SEARCH("Docs Pending",W305&amp;"")),"Documents Pending",IF(AND(LOWER(H305)="yes",LOWER(V305)="ongoing"),"Processing",IF(AND(LOWER(H305)="yes",Q305&gt;0,OR(V305="",LOWER(V305)="not even started")),"Vendor Assigned",IF(AND(LOWER(H305)="yes",LOWER(V305)="not even started"),"Need Loan",IF(LOWER(H305)="yes","Loan Started",IF(LOWER(H305)="not sure","Interested",IF(OR(LOWER(H305)="no",LOWER(V305)="not required"),"Not Required","Unclassified")))))))))))))</f>
        <v/>
      </c>
      <c r="Y305">
        <f>IF(A305="","",IF(OR(X305="Sanctioned",X305="Disbursed",X305="Approved"),"Approved",IF(X305="Rejected","Rejected",IF(OR(X305="Processing",X305="Documents Pending",X305="Vendor Assigned"),"In Progress",IF(X305="Need Loan","Pending Start","—"))))</f>
        <v/>
      </c>
      <c r="Z305">
        <f>IF(A305="","",IF(X305="Disbursed","Disbursed",IF(X305="Sanctioned","Sanctioned - Awaiting Disbursement","Not Disbursed")))</f>
        <v/>
      </c>
      <c r="AA305">
        <f>IF(A305="","",IF(LOWER(TRIM('01_Master_Data'!AI305&amp;""))="yes","Need FLDG",IF(LOWER(TRIM('01_Master_Data'!AK305&amp;""))="yes","Need Vidyalakshmi",IF(LOWER(TRIM('01_Master_Data'!AJ305&amp;""))="yes","Need Review",IF(LOWER(J305)="critical","Critical",IF(LOWER(U305)="risk","Risk Case",IF(X305="Refund","Refund","Normal")))))))</f>
        <v/>
      </c>
      <c r="AB305">
        <f>IF(A305="","",IF(OR(LOWER(J305)="critical",LOWER(TRIM('01_Master_Data'!AI305&amp;""))="yes",LOWER(TRIM('01_Master_Data'!AK305&amp;""))="yes",LOWER(U305)="risk"),"Yes","No"))</f>
        <v/>
      </c>
      <c r="AC305">
        <f>IF(A305="","",IF(LOWER(TRIM('01_Master_Data'!AI305&amp;""))="yes","Yes","No"))</f>
        <v/>
      </c>
      <c r="AD305">
        <f>IF(A305="","",IF(LOWER(TRIM('01_Master_Data'!AK305&amp;""))="yes","Yes","No"))</f>
        <v/>
      </c>
      <c r="AE305">
        <f>IF(A305="","",IF(LOWER(TRIM('01_Master_Data'!AJ305&amp;""))="yes","Yes","No"))</f>
        <v/>
      </c>
      <c r="AF305">
        <f>IF(A305="","",TRIM('01_Master_Data'!AL305&amp;""))</f>
        <v/>
      </c>
      <c r="AG305">
        <f>IF(A305="","",IF(AF305="","—",IF(ISNUMBER(SEARCH("DNP",AF305)),"Unreachable / DNP",IF(ISNUMBER(SEARCH("interest",LOWER(AF305))),"High Interest / Terms",IF(OR(ISNUMBER(SEARCH("eligib",LOWER(AF305))),ISNUMBER(SEARCH("income",LOWER(AF305)))),"Eligibility / Income",IF(OR(ISNUMBER(SEARCH("start",LOWER(AF305))),ISNUMBER(SEARCH("Newer",AF305)),ISNUMBER(SEARCH("Will start",AF305))),"Process Yet to Start",IF(ISNUMBER(SEARCH("sure",LOWER(AF305))),"Undecided",IF(OR(ISNUMBER(SEARCH("reject",LOWER(AF305))),ISNUMBER(SEARCH("SBI",AF305))),"Rejected Elsewhere",IF(ISNUMBER(SEARCH("call",LOWER(AF305))),"Bank Communication",IF(OR(ISNUMBER(SEARCH("father",LOWER(AF305))),ISNUMBER(SEARCH("sister",LOWER(AF305)))),"Family / Dependency","Other"))))))))))</f>
        <v/>
      </c>
      <c r="AH305">
        <f>IF(A305="","",'01_Master_Data'!AC305)</f>
        <v/>
      </c>
      <c r="AI305">
        <f>IF(A305="","",IF(OR(AH305="",NOT(ISNUMBER(AH305))),"",MAX(0,'02_Configuration'!$B$82-AH305)))</f>
        <v/>
      </c>
      <c r="AJ305">
        <f>IF(A305="","",IF(AI305="","Unknown",IF(AI305&lt;=3,"0–3 Days",IF(AI305&lt;=7,"4–7 Days",IF(AI305&lt;=15,"8–15 Days",IF(AI305&lt;=30,"16–30 Days","30+ Days"))))))</f>
        <v/>
      </c>
      <c r="AK305">
        <f>IF(A305="","",IF(LOWER(H305)="yes","Yes","No"))</f>
        <v/>
      </c>
      <c r="AL305">
        <f>IF(A305="","",'01_Master_Data'!T305)</f>
        <v/>
      </c>
      <c r="AM305">
        <f>IF(A305="","",'01_Master_Data'!S305)</f>
        <v/>
      </c>
      <c r="AN305">
        <f>IF(A305="","",'01_Master_Data'!I305)</f>
        <v/>
      </c>
      <c r="AO305">
        <f>IF(A305="","",'01_Master_Data'!M305)</f>
        <v/>
      </c>
      <c r="AP305">
        <f>IF(A305="","",IF(ISNUMBER(SEARCH("Icici",W305&amp;"")),1,0))</f>
        <v/>
      </c>
      <c r="AQ305">
        <f>IF(A305="","",IF(ISNUMBER(SEARCH("Propelld",W305&amp;"")),1,0))</f>
        <v/>
      </c>
      <c r="AR305">
        <f>IF(A305="","",IF(ISNUMBER(SEARCH("GyanDhan",W305&amp;"")),1,0))</f>
        <v/>
      </c>
      <c r="AS305">
        <f>IF(A305="","",IF(ISNUMBER(SEARCH("vidyalakshmi",LOWER(W305&amp;""))),1,0))</f>
        <v/>
      </c>
      <c r="AT305">
        <f>IF(A305="","",IF(ISNUMBER(SEARCH("other bank",LOWER(W305&amp;""))),1,0))</f>
        <v/>
      </c>
      <c r="AU305">
        <f>IF(A305="","",IF(ISNUMBER(SEARCH("sanctioned",LOWER(W305&amp;""))),1,0))</f>
        <v/>
      </c>
      <c r="AV305">
        <f>IF(A305="","",IF(ISNUMBER(SEARCH("Docs Pending",W305&amp;"")),1,0))</f>
        <v/>
      </c>
      <c r="AW305">
        <f>IF(A305="","",IF(OR(X305="Rejected",ISNUMBER(SEARCH("Not eligbile",W305&amp;""))),1,0))</f>
        <v/>
      </c>
    </row>
    <row r="306">
      <c r="A306">
        <f>IF('01_Master_Data'!B306="","",305)</f>
        <v/>
      </c>
      <c r="B306">
        <f>IF('01_Master_Data'!B306="","",IF('01_Master_Data'!C306&lt;&gt;"","MOB|"&amp;TEXT('01_Master_Data'!C306,"0"),IF('01_Master_Data'!D306&lt;&gt;"","PID|"&amp;TRIM('01_Master_Data'!D306&amp;""),"")))</f>
        <v/>
      </c>
      <c r="C306">
        <f>IF('01_Master_Data'!B306="","",'01_Master_Data'!B306)</f>
        <v/>
      </c>
      <c r="D306">
        <f>IF('01_Master_Data'!B306="","",'01_Master_Data'!C306)</f>
        <v/>
      </c>
      <c r="E306">
        <f>IF('01_Master_Data'!B306="","",'01_Master_Data'!D306)</f>
        <v/>
      </c>
      <c r="F306">
        <f>IF('01_Master_Data'!B306="","",'01_Master_Data'!E306)</f>
        <v/>
      </c>
      <c r="G306">
        <f>IF('01_Master_Data'!B306="","",IFERROR(VLOOKUP(TRIM('01_Master_Data'!E306&amp;""),'02_Configuration'!$A$40:$B$44,2,FALSE),UPPER(TRIM('01_Master_Data'!E306&amp;""))))</f>
        <v/>
      </c>
      <c r="H306">
        <f>IF('01_Master_Data'!B306="","",IF('01_Master_Data'!U306="","",TRIM('01_Master_Data'!U306&amp;"")))</f>
        <v/>
      </c>
      <c r="I306">
        <f>IF('01_Master_Data'!B306="","",TRIM('01_Master_Data'!F306&amp;""))</f>
        <v/>
      </c>
      <c r="J306">
        <f>IF('01_Master_Data'!B306="","",TRIM('01_Master_Data'!G306&amp;""))</f>
        <v/>
      </c>
      <c r="K306">
        <f>IF('01_Master_Data'!B306="","",'01_Master_Data'!H306)</f>
        <v/>
      </c>
      <c r="L306">
        <f>IF('01_Master_Data'!B306="","",IF(LOWER(TRIM('01_Master_Data'!V306&amp;""))="yes",1,0))</f>
        <v/>
      </c>
      <c r="M306">
        <f>IF('01_Master_Data'!B306="","",IF(LOWER(TRIM('01_Master_Data'!W306&amp;""))="yes",1,0))</f>
        <v/>
      </c>
      <c r="N306">
        <f>IF('01_Master_Data'!B306="","",IF(LOWER(TRIM('01_Master_Data'!X306&amp;""))="yes",1,0))</f>
        <v/>
      </c>
      <c r="O306">
        <f>IF('01_Master_Data'!B306="","",IF(LOWER(TRIM('01_Master_Data'!Y306&amp;""))="yes",1,0))</f>
        <v/>
      </c>
      <c r="P306">
        <f>IF('01_Master_Data'!B306="","",IF(LOWER(TRIM('01_Master_Data'!Z306&amp;""))="yes",1,0))</f>
        <v/>
      </c>
      <c r="Q306">
        <f>IF(A306="","",L306+M306+N306+O306+P306)</f>
        <v/>
      </c>
      <c r="R306">
        <f>IF(A306="","",IF(Q306&gt;1,"Yes","No"))</f>
        <v/>
      </c>
      <c r="S306">
        <f>IF(A306="","",TEXTJOIN(", ",TRUE,IF(L306=1,"ICICI",""),IF(M306=1,"Propelld",""),IF(N306=1,"Study4Buddy",""),IF(O306=1,"Poonawala Fincorp",""),IF(P306=1,"GyanDhan","")))</f>
        <v/>
      </c>
      <c r="T306">
        <f>IF(A306="","",IF(L306=1,"ICICI",IF(M306=1,"Propelld",IF(P306=1,"GyanDhan",IF(N306=1,"Study4Buddy",IF(O306=1,"Poonawala Fincorp",IF(ISNUMBER(SEARCH("GyanDhan",W306&amp;"")),"GyanDhan",IF(ISNUMBER(SEARCH("Icici",W306&amp;"")),"ICICI",IF(ISNUMBER(SEARCH("Propelld",W306&amp;"")),"Propelld",IF(ISNUMBER(SEARCH("vidyalakshmi",LOWER(W306&amp;"")),"PM Vidyalakshmi","—"))))))))))</f>
        <v/>
      </c>
      <c r="U306">
        <f>IF(A306="","",TRIM('01_Master_Data'!AA306&amp;""))</f>
        <v/>
      </c>
      <c r="V306">
        <f>IF(A306="","",TRIM('01_Master_Data'!AG306&amp;""))</f>
        <v/>
      </c>
      <c r="W306">
        <f>IF(A306="","",TRIM('01_Master_Data'!AH306&amp;""))</f>
        <v/>
      </c>
      <c r="X306">
        <f>IF(A306="","",IF(OR(LOWER(H306)="refund",LOWER(U306)="refund case"),"Refund",IF(OR(LOWER(H306)="dnp",LOWER(U306)="dnp"),"DNP",IF(OR(LOWER(V306)="disbursed",ISNUMBER(SEARCH("Disbursed",W306&amp;""))),"Disbursed",IF(OR(LOWER(V306)="loan proccessed/accepted",ISNUMBER(SEARCH("sanctioned",LOWER(W306&amp;"")))),"Sanctioned",IF(OR(LOWER(V306)="rejected",ISNUMBER(SEARCH("Not eligbile",W306&amp;"")),ISNUMBER(SEARCH("Not eligible",W306&amp;""))),"Rejected",IF(ISNUMBER(SEARCH("Docs Pending",W306&amp;"")),"Documents Pending",IF(AND(LOWER(H306)="yes",LOWER(V306)="ongoing"),"Processing",IF(AND(LOWER(H306)="yes",Q306&gt;0,OR(V306="",LOWER(V306)="not even started")),"Vendor Assigned",IF(AND(LOWER(H306)="yes",LOWER(V306)="not even started"),"Need Loan",IF(LOWER(H306)="yes","Loan Started",IF(LOWER(H306)="not sure","Interested",IF(OR(LOWER(H306)="no",LOWER(V306)="not required"),"Not Required","Unclassified")))))))))))))</f>
        <v/>
      </c>
      <c r="Y306">
        <f>IF(A306="","",IF(OR(X306="Sanctioned",X306="Disbursed",X306="Approved"),"Approved",IF(X306="Rejected","Rejected",IF(OR(X306="Processing",X306="Documents Pending",X306="Vendor Assigned"),"In Progress",IF(X306="Need Loan","Pending Start","—"))))</f>
        <v/>
      </c>
      <c r="Z306">
        <f>IF(A306="","",IF(X306="Disbursed","Disbursed",IF(X306="Sanctioned","Sanctioned - Awaiting Disbursement","Not Disbursed")))</f>
        <v/>
      </c>
      <c r="AA306">
        <f>IF(A306="","",IF(LOWER(TRIM('01_Master_Data'!AI306&amp;""))="yes","Need FLDG",IF(LOWER(TRIM('01_Master_Data'!AK306&amp;""))="yes","Need Vidyalakshmi",IF(LOWER(TRIM('01_Master_Data'!AJ306&amp;""))="yes","Need Review",IF(LOWER(J306)="critical","Critical",IF(LOWER(U306)="risk","Risk Case",IF(X306="Refund","Refund","Normal")))))))</f>
        <v/>
      </c>
      <c r="AB306">
        <f>IF(A306="","",IF(OR(LOWER(J306)="critical",LOWER(TRIM('01_Master_Data'!AI306&amp;""))="yes",LOWER(TRIM('01_Master_Data'!AK306&amp;""))="yes",LOWER(U306)="risk"),"Yes","No"))</f>
        <v/>
      </c>
      <c r="AC306">
        <f>IF(A306="","",IF(LOWER(TRIM('01_Master_Data'!AI306&amp;""))="yes","Yes","No"))</f>
        <v/>
      </c>
      <c r="AD306">
        <f>IF(A306="","",IF(LOWER(TRIM('01_Master_Data'!AK306&amp;""))="yes","Yes","No"))</f>
        <v/>
      </c>
      <c r="AE306">
        <f>IF(A306="","",IF(LOWER(TRIM('01_Master_Data'!AJ306&amp;""))="yes","Yes","No"))</f>
        <v/>
      </c>
      <c r="AF306">
        <f>IF(A306="","",TRIM('01_Master_Data'!AL306&amp;""))</f>
        <v/>
      </c>
      <c r="AG306">
        <f>IF(A306="","",IF(AF306="","—",IF(ISNUMBER(SEARCH("DNP",AF306)),"Unreachable / DNP",IF(ISNUMBER(SEARCH("interest",LOWER(AF306))),"High Interest / Terms",IF(OR(ISNUMBER(SEARCH("eligib",LOWER(AF306))),ISNUMBER(SEARCH("income",LOWER(AF306)))),"Eligibility / Income",IF(OR(ISNUMBER(SEARCH("start",LOWER(AF306))),ISNUMBER(SEARCH("Newer",AF306)),ISNUMBER(SEARCH("Will start",AF306))),"Process Yet to Start",IF(ISNUMBER(SEARCH("sure",LOWER(AF306))),"Undecided",IF(OR(ISNUMBER(SEARCH("reject",LOWER(AF306))),ISNUMBER(SEARCH("SBI",AF306))),"Rejected Elsewhere",IF(ISNUMBER(SEARCH("call",LOWER(AF306))),"Bank Communication",IF(OR(ISNUMBER(SEARCH("father",LOWER(AF306))),ISNUMBER(SEARCH("sister",LOWER(AF306)))),"Family / Dependency","Other"))))))))))</f>
        <v/>
      </c>
      <c r="AH306">
        <f>IF(A306="","",'01_Master_Data'!AC306)</f>
        <v/>
      </c>
      <c r="AI306">
        <f>IF(A306="","",IF(OR(AH306="",NOT(ISNUMBER(AH306))),"",MAX(0,'02_Configuration'!$B$82-AH306)))</f>
        <v/>
      </c>
      <c r="AJ306">
        <f>IF(A306="","",IF(AI306="","Unknown",IF(AI306&lt;=3,"0–3 Days",IF(AI306&lt;=7,"4–7 Days",IF(AI306&lt;=15,"8–15 Days",IF(AI306&lt;=30,"16–30 Days","30+ Days"))))))</f>
        <v/>
      </c>
      <c r="AK306">
        <f>IF(A306="","",IF(LOWER(H306)="yes","Yes","No"))</f>
        <v/>
      </c>
      <c r="AL306">
        <f>IF(A306="","",'01_Master_Data'!T306)</f>
        <v/>
      </c>
      <c r="AM306">
        <f>IF(A306="","",'01_Master_Data'!S306)</f>
        <v/>
      </c>
      <c r="AN306">
        <f>IF(A306="","",'01_Master_Data'!I306)</f>
        <v/>
      </c>
      <c r="AO306">
        <f>IF(A306="","",'01_Master_Data'!M306)</f>
        <v/>
      </c>
      <c r="AP306">
        <f>IF(A306="","",IF(ISNUMBER(SEARCH("Icici",W306&amp;"")),1,0))</f>
        <v/>
      </c>
      <c r="AQ306">
        <f>IF(A306="","",IF(ISNUMBER(SEARCH("Propelld",W306&amp;"")),1,0))</f>
        <v/>
      </c>
      <c r="AR306">
        <f>IF(A306="","",IF(ISNUMBER(SEARCH("GyanDhan",W306&amp;"")),1,0))</f>
        <v/>
      </c>
      <c r="AS306">
        <f>IF(A306="","",IF(ISNUMBER(SEARCH("vidyalakshmi",LOWER(W306&amp;""))),1,0))</f>
        <v/>
      </c>
      <c r="AT306">
        <f>IF(A306="","",IF(ISNUMBER(SEARCH("other bank",LOWER(W306&amp;""))),1,0))</f>
        <v/>
      </c>
      <c r="AU306">
        <f>IF(A306="","",IF(ISNUMBER(SEARCH("sanctioned",LOWER(W306&amp;""))),1,0))</f>
        <v/>
      </c>
      <c r="AV306">
        <f>IF(A306="","",IF(ISNUMBER(SEARCH("Docs Pending",W306&amp;"")),1,0))</f>
        <v/>
      </c>
      <c r="AW306">
        <f>IF(A306="","",IF(OR(X306="Rejected",ISNUMBER(SEARCH("Not eligbile",W306&amp;""))),1,0))</f>
        <v/>
      </c>
    </row>
    <row r="307">
      <c r="A307">
        <f>IF('01_Master_Data'!B307="","",306)</f>
        <v/>
      </c>
      <c r="B307">
        <f>IF('01_Master_Data'!B307="","",IF('01_Master_Data'!C307&lt;&gt;"","MOB|"&amp;TEXT('01_Master_Data'!C307,"0"),IF('01_Master_Data'!D307&lt;&gt;"","PID|"&amp;TRIM('01_Master_Data'!D307&amp;""),"")))</f>
        <v/>
      </c>
      <c r="C307">
        <f>IF('01_Master_Data'!B307="","",'01_Master_Data'!B307)</f>
        <v/>
      </c>
      <c r="D307">
        <f>IF('01_Master_Data'!B307="","",'01_Master_Data'!C307)</f>
        <v/>
      </c>
      <c r="E307">
        <f>IF('01_Master_Data'!B307="","",'01_Master_Data'!D307)</f>
        <v/>
      </c>
      <c r="F307">
        <f>IF('01_Master_Data'!B307="","",'01_Master_Data'!E307)</f>
        <v/>
      </c>
      <c r="G307">
        <f>IF('01_Master_Data'!B307="","",IFERROR(VLOOKUP(TRIM('01_Master_Data'!E307&amp;""),'02_Configuration'!$A$40:$B$44,2,FALSE),UPPER(TRIM('01_Master_Data'!E307&amp;""))))</f>
        <v/>
      </c>
      <c r="H307">
        <f>IF('01_Master_Data'!B307="","",IF('01_Master_Data'!U307="","",TRIM('01_Master_Data'!U307&amp;"")))</f>
        <v/>
      </c>
      <c r="I307">
        <f>IF('01_Master_Data'!B307="","",TRIM('01_Master_Data'!F307&amp;""))</f>
        <v/>
      </c>
      <c r="J307">
        <f>IF('01_Master_Data'!B307="","",TRIM('01_Master_Data'!G307&amp;""))</f>
        <v/>
      </c>
      <c r="K307">
        <f>IF('01_Master_Data'!B307="","",'01_Master_Data'!H307)</f>
        <v/>
      </c>
      <c r="L307">
        <f>IF('01_Master_Data'!B307="","",IF(LOWER(TRIM('01_Master_Data'!V307&amp;""))="yes",1,0))</f>
        <v/>
      </c>
      <c r="M307">
        <f>IF('01_Master_Data'!B307="","",IF(LOWER(TRIM('01_Master_Data'!W307&amp;""))="yes",1,0))</f>
        <v/>
      </c>
      <c r="N307">
        <f>IF('01_Master_Data'!B307="","",IF(LOWER(TRIM('01_Master_Data'!X307&amp;""))="yes",1,0))</f>
        <v/>
      </c>
      <c r="O307">
        <f>IF('01_Master_Data'!B307="","",IF(LOWER(TRIM('01_Master_Data'!Y307&amp;""))="yes",1,0))</f>
        <v/>
      </c>
      <c r="P307">
        <f>IF('01_Master_Data'!B307="","",IF(LOWER(TRIM('01_Master_Data'!Z307&amp;""))="yes",1,0))</f>
        <v/>
      </c>
      <c r="Q307">
        <f>IF(A307="","",L307+M307+N307+O307+P307)</f>
        <v/>
      </c>
      <c r="R307">
        <f>IF(A307="","",IF(Q307&gt;1,"Yes","No"))</f>
        <v/>
      </c>
      <c r="S307">
        <f>IF(A307="","",TEXTJOIN(", ",TRUE,IF(L307=1,"ICICI",""),IF(M307=1,"Propelld",""),IF(N307=1,"Study4Buddy",""),IF(O307=1,"Poonawala Fincorp",""),IF(P307=1,"GyanDhan","")))</f>
        <v/>
      </c>
      <c r="T307">
        <f>IF(A307="","",IF(L307=1,"ICICI",IF(M307=1,"Propelld",IF(P307=1,"GyanDhan",IF(N307=1,"Study4Buddy",IF(O307=1,"Poonawala Fincorp",IF(ISNUMBER(SEARCH("GyanDhan",W307&amp;"")),"GyanDhan",IF(ISNUMBER(SEARCH("Icici",W307&amp;"")),"ICICI",IF(ISNUMBER(SEARCH("Propelld",W307&amp;"")),"Propelld",IF(ISNUMBER(SEARCH("vidyalakshmi",LOWER(W307&amp;"")),"PM Vidyalakshmi","—"))))))))))</f>
        <v/>
      </c>
      <c r="U307">
        <f>IF(A307="","",TRIM('01_Master_Data'!AA307&amp;""))</f>
        <v/>
      </c>
      <c r="V307">
        <f>IF(A307="","",TRIM('01_Master_Data'!AG307&amp;""))</f>
        <v/>
      </c>
      <c r="W307">
        <f>IF(A307="","",TRIM('01_Master_Data'!AH307&amp;""))</f>
        <v/>
      </c>
      <c r="X307">
        <f>IF(A307="","",IF(OR(LOWER(H307)="refund",LOWER(U307)="refund case"),"Refund",IF(OR(LOWER(H307)="dnp",LOWER(U307)="dnp"),"DNP",IF(OR(LOWER(V307)="disbursed",ISNUMBER(SEARCH("Disbursed",W307&amp;""))),"Disbursed",IF(OR(LOWER(V307)="loan proccessed/accepted",ISNUMBER(SEARCH("sanctioned",LOWER(W307&amp;"")))),"Sanctioned",IF(OR(LOWER(V307)="rejected",ISNUMBER(SEARCH("Not eligbile",W307&amp;"")),ISNUMBER(SEARCH("Not eligible",W307&amp;""))),"Rejected",IF(ISNUMBER(SEARCH("Docs Pending",W307&amp;"")),"Documents Pending",IF(AND(LOWER(H307)="yes",LOWER(V307)="ongoing"),"Processing",IF(AND(LOWER(H307)="yes",Q307&gt;0,OR(V307="",LOWER(V307)="not even started")),"Vendor Assigned",IF(AND(LOWER(H307)="yes",LOWER(V307)="not even started"),"Need Loan",IF(LOWER(H307)="yes","Loan Started",IF(LOWER(H307)="not sure","Interested",IF(OR(LOWER(H307)="no",LOWER(V307)="not required"),"Not Required","Unclassified")))))))))))))</f>
        <v/>
      </c>
      <c r="Y307">
        <f>IF(A307="","",IF(OR(X307="Sanctioned",X307="Disbursed",X307="Approved"),"Approved",IF(X307="Rejected","Rejected",IF(OR(X307="Processing",X307="Documents Pending",X307="Vendor Assigned"),"In Progress",IF(X307="Need Loan","Pending Start","—"))))</f>
        <v/>
      </c>
      <c r="Z307">
        <f>IF(A307="","",IF(X307="Disbursed","Disbursed",IF(X307="Sanctioned","Sanctioned - Awaiting Disbursement","Not Disbursed")))</f>
        <v/>
      </c>
      <c r="AA307">
        <f>IF(A307="","",IF(LOWER(TRIM('01_Master_Data'!AI307&amp;""))="yes","Need FLDG",IF(LOWER(TRIM('01_Master_Data'!AK307&amp;""))="yes","Need Vidyalakshmi",IF(LOWER(TRIM('01_Master_Data'!AJ307&amp;""))="yes","Need Review",IF(LOWER(J307)="critical","Critical",IF(LOWER(U307)="risk","Risk Case",IF(X307="Refund","Refund","Normal")))))))</f>
        <v/>
      </c>
      <c r="AB307">
        <f>IF(A307="","",IF(OR(LOWER(J307)="critical",LOWER(TRIM('01_Master_Data'!AI307&amp;""))="yes",LOWER(TRIM('01_Master_Data'!AK307&amp;""))="yes",LOWER(U307)="risk"),"Yes","No"))</f>
        <v/>
      </c>
      <c r="AC307">
        <f>IF(A307="","",IF(LOWER(TRIM('01_Master_Data'!AI307&amp;""))="yes","Yes","No"))</f>
        <v/>
      </c>
      <c r="AD307">
        <f>IF(A307="","",IF(LOWER(TRIM('01_Master_Data'!AK307&amp;""))="yes","Yes","No"))</f>
        <v/>
      </c>
      <c r="AE307">
        <f>IF(A307="","",IF(LOWER(TRIM('01_Master_Data'!AJ307&amp;""))="yes","Yes","No"))</f>
        <v/>
      </c>
      <c r="AF307">
        <f>IF(A307="","",TRIM('01_Master_Data'!AL307&amp;""))</f>
        <v/>
      </c>
      <c r="AG307">
        <f>IF(A307="","",IF(AF307="","—",IF(ISNUMBER(SEARCH("DNP",AF307)),"Unreachable / DNP",IF(ISNUMBER(SEARCH("interest",LOWER(AF307))),"High Interest / Terms",IF(OR(ISNUMBER(SEARCH("eligib",LOWER(AF307))),ISNUMBER(SEARCH("income",LOWER(AF307)))),"Eligibility / Income",IF(OR(ISNUMBER(SEARCH("start",LOWER(AF307))),ISNUMBER(SEARCH("Newer",AF307)),ISNUMBER(SEARCH("Will start",AF307))),"Process Yet to Start",IF(ISNUMBER(SEARCH("sure",LOWER(AF307))),"Undecided",IF(OR(ISNUMBER(SEARCH("reject",LOWER(AF307))),ISNUMBER(SEARCH("SBI",AF307))),"Rejected Elsewhere",IF(ISNUMBER(SEARCH("call",LOWER(AF307))),"Bank Communication",IF(OR(ISNUMBER(SEARCH("father",LOWER(AF307))),ISNUMBER(SEARCH("sister",LOWER(AF307)))),"Family / Dependency","Other"))))))))))</f>
        <v/>
      </c>
      <c r="AH307">
        <f>IF(A307="","",'01_Master_Data'!AC307)</f>
        <v/>
      </c>
      <c r="AI307">
        <f>IF(A307="","",IF(OR(AH307="",NOT(ISNUMBER(AH307))),"",MAX(0,'02_Configuration'!$B$82-AH307)))</f>
        <v/>
      </c>
      <c r="AJ307">
        <f>IF(A307="","",IF(AI307="","Unknown",IF(AI307&lt;=3,"0–3 Days",IF(AI307&lt;=7,"4–7 Days",IF(AI307&lt;=15,"8–15 Days",IF(AI307&lt;=30,"16–30 Days","30+ Days"))))))</f>
        <v/>
      </c>
      <c r="AK307">
        <f>IF(A307="","",IF(LOWER(H307)="yes","Yes","No"))</f>
        <v/>
      </c>
      <c r="AL307">
        <f>IF(A307="","",'01_Master_Data'!T307)</f>
        <v/>
      </c>
      <c r="AM307">
        <f>IF(A307="","",'01_Master_Data'!S307)</f>
        <v/>
      </c>
      <c r="AN307">
        <f>IF(A307="","",'01_Master_Data'!I307)</f>
        <v/>
      </c>
      <c r="AO307">
        <f>IF(A307="","",'01_Master_Data'!M307)</f>
        <v/>
      </c>
      <c r="AP307">
        <f>IF(A307="","",IF(ISNUMBER(SEARCH("Icici",W307&amp;"")),1,0))</f>
        <v/>
      </c>
      <c r="AQ307">
        <f>IF(A307="","",IF(ISNUMBER(SEARCH("Propelld",W307&amp;"")),1,0))</f>
        <v/>
      </c>
      <c r="AR307">
        <f>IF(A307="","",IF(ISNUMBER(SEARCH("GyanDhan",W307&amp;"")),1,0))</f>
        <v/>
      </c>
      <c r="AS307">
        <f>IF(A307="","",IF(ISNUMBER(SEARCH("vidyalakshmi",LOWER(W307&amp;""))),1,0))</f>
        <v/>
      </c>
      <c r="AT307">
        <f>IF(A307="","",IF(ISNUMBER(SEARCH("other bank",LOWER(W307&amp;""))),1,0))</f>
        <v/>
      </c>
      <c r="AU307">
        <f>IF(A307="","",IF(ISNUMBER(SEARCH("sanctioned",LOWER(W307&amp;""))),1,0))</f>
        <v/>
      </c>
      <c r="AV307">
        <f>IF(A307="","",IF(ISNUMBER(SEARCH("Docs Pending",W307&amp;"")),1,0))</f>
        <v/>
      </c>
      <c r="AW307">
        <f>IF(A307="","",IF(OR(X307="Rejected",ISNUMBER(SEARCH("Not eligbile",W307&amp;""))),1,0))</f>
        <v/>
      </c>
    </row>
    <row r="308">
      <c r="A308">
        <f>IF('01_Master_Data'!B308="","",307)</f>
        <v/>
      </c>
      <c r="B308">
        <f>IF('01_Master_Data'!B308="","",IF('01_Master_Data'!C308&lt;&gt;"","MOB|"&amp;TEXT('01_Master_Data'!C308,"0"),IF('01_Master_Data'!D308&lt;&gt;"","PID|"&amp;TRIM('01_Master_Data'!D308&amp;""),"")))</f>
        <v/>
      </c>
      <c r="C308">
        <f>IF('01_Master_Data'!B308="","",'01_Master_Data'!B308)</f>
        <v/>
      </c>
      <c r="D308">
        <f>IF('01_Master_Data'!B308="","",'01_Master_Data'!C308)</f>
        <v/>
      </c>
      <c r="E308">
        <f>IF('01_Master_Data'!B308="","",'01_Master_Data'!D308)</f>
        <v/>
      </c>
      <c r="F308">
        <f>IF('01_Master_Data'!B308="","",'01_Master_Data'!E308)</f>
        <v/>
      </c>
      <c r="G308">
        <f>IF('01_Master_Data'!B308="","",IFERROR(VLOOKUP(TRIM('01_Master_Data'!E308&amp;""),'02_Configuration'!$A$40:$B$44,2,FALSE),UPPER(TRIM('01_Master_Data'!E308&amp;""))))</f>
        <v/>
      </c>
      <c r="H308">
        <f>IF('01_Master_Data'!B308="","",IF('01_Master_Data'!U308="","",TRIM('01_Master_Data'!U308&amp;"")))</f>
        <v/>
      </c>
      <c r="I308">
        <f>IF('01_Master_Data'!B308="","",TRIM('01_Master_Data'!F308&amp;""))</f>
        <v/>
      </c>
      <c r="J308">
        <f>IF('01_Master_Data'!B308="","",TRIM('01_Master_Data'!G308&amp;""))</f>
        <v/>
      </c>
      <c r="K308">
        <f>IF('01_Master_Data'!B308="","",'01_Master_Data'!H308)</f>
        <v/>
      </c>
      <c r="L308">
        <f>IF('01_Master_Data'!B308="","",IF(LOWER(TRIM('01_Master_Data'!V308&amp;""))="yes",1,0))</f>
        <v/>
      </c>
      <c r="M308">
        <f>IF('01_Master_Data'!B308="","",IF(LOWER(TRIM('01_Master_Data'!W308&amp;""))="yes",1,0))</f>
        <v/>
      </c>
      <c r="N308">
        <f>IF('01_Master_Data'!B308="","",IF(LOWER(TRIM('01_Master_Data'!X308&amp;""))="yes",1,0))</f>
        <v/>
      </c>
      <c r="O308">
        <f>IF('01_Master_Data'!B308="","",IF(LOWER(TRIM('01_Master_Data'!Y308&amp;""))="yes",1,0))</f>
        <v/>
      </c>
      <c r="P308">
        <f>IF('01_Master_Data'!B308="","",IF(LOWER(TRIM('01_Master_Data'!Z308&amp;""))="yes",1,0))</f>
        <v/>
      </c>
      <c r="Q308">
        <f>IF(A308="","",L308+M308+N308+O308+P308)</f>
        <v/>
      </c>
      <c r="R308">
        <f>IF(A308="","",IF(Q308&gt;1,"Yes","No"))</f>
        <v/>
      </c>
      <c r="S308">
        <f>IF(A308="","",TEXTJOIN(", ",TRUE,IF(L308=1,"ICICI",""),IF(M308=1,"Propelld",""),IF(N308=1,"Study4Buddy",""),IF(O308=1,"Poonawala Fincorp",""),IF(P308=1,"GyanDhan","")))</f>
        <v/>
      </c>
      <c r="T308">
        <f>IF(A308="","",IF(L308=1,"ICICI",IF(M308=1,"Propelld",IF(P308=1,"GyanDhan",IF(N308=1,"Study4Buddy",IF(O308=1,"Poonawala Fincorp",IF(ISNUMBER(SEARCH("GyanDhan",W308&amp;"")),"GyanDhan",IF(ISNUMBER(SEARCH("Icici",W308&amp;"")),"ICICI",IF(ISNUMBER(SEARCH("Propelld",W308&amp;"")),"Propelld",IF(ISNUMBER(SEARCH("vidyalakshmi",LOWER(W308&amp;"")),"PM Vidyalakshmi","—"))))))))))</f>
        <v/>
      </c>
      <c r="U308">
        <f>IF(A308="","",TRIM('01_Master_Data'!AA308&amp;""))</f>
        <v/>
      </c>
      <c r="V308">
        <f>IF(A308="","",TRIM('01_Master_Data'!AG308&amp;""))</f>
        <v/>
      </c>
      <c r="W308">
        <f>IF(A308="","",TRIM('01_Master_Data'!AH308&amp;""))</f>
        <v/>
      </c>
      <c r="X308">
        <f>IF(A308="","",IF(OR(LOWER(H308)="refund",LOWER(U308)="refund case"),"Refund",IF(OR(LOWER(H308)="dnp",LOWER(U308)="dnp"),"DNP",IF(OR(LOWER(V308)="disbursed",ISNUMBER(SEARCH("Disbursed",W308&amp;""))),"Disbursed",IF(OR(LOWER(V308)="loan proccessed/accepted",ISNUMBER(SEARCH("sanctioned",LOWER(W308&amp;"")))),"Sanctioned",IF(OR(LOWER(V308)="rejected",ISNUMBER(SEARCH("Not eligbile",W308&amp;"")),ISNUMBER(SEARCH("Not eligible",W308&amp;""))),"Rejected",IF(ISNUMBER(SEARCH("Docs Pending",W308&amp;"")),"Documents Pending",IF(AND(LOWER(H308)="yes",LOWER(V308)="ongoing"),"Processing",IF(AND(LOWER(H308)="yes",Q308&gt;0,OR(V308="",LOWER(V308)="not even started")),"Vendor Assigned",IF(AND(LOWER(H308)="yes",LOWER(V308)="not even started"),"Need Loan",IF(LOWER(H308)="yes","Loan Started",IF(LOWER(H308)="not sure","Interested",IF(OR(LOWER(H308)="no",LOWER(V308)="not required"),"Not Required","Unclassified")))))))))))))</f>
        <v/>
      </c>
      <c r="Y308">
        <f>IF(A308="","",IF(OR(X308="Sanctioned",X308="Disbursed",X308="Approved"),"Approved",IF(X308="Rejected","Rejected",IF(OR(X308="Processing",X308="Documents Pending",X308="Vendor Assigned"),"In Progress",IF(X308="Need Loan","Pending Start","—"))))</f>
        <v/>
      </c>
      <c r="Z308">
        <f>IF(A308="","",IF(X308="Disbursed","Disbursed",IF(X308="Sanctioned","Sanctioned - Awaiting Disbursement","Not Disbursed")))</f>
        <v/>
      </c>
      <c r="AA308">
        <f>IF(A308="","",IF(LOWER(TRIM('01_Master_Data'!AI308&amp;""))="yes","Need FLDG",IF(LOWER(TRIM('01_Master_Data'!AK308&amp;""))="yes","Need Vidyalakshmi",IF(LOWER(TRIM('01_Master_Data'!AJ308&amp;""))="yes","Need Review",IF(LOWER(J308)="critical","Critical",IF(LOWER(U308)="risk","Risk Case",IF(X308="Refund","Refund","Normal")))))))</f>
        <v/>
      </c>
      <c r="AB308">
        <f>IF(A308="","",IF(OR(LOWER(J308)="critical",LOWER(TRIM('01_Master_Data'!AI308&amp;""))="yes",LOWER(TRIM('01_Master_Data'!AK308&amp;""))="yes",LOWER(U308)="risk"),"Yes","No"))</f>
        <v/>
      </c>
      <c r="AC308">
        <f>IF(A308="","",IF(LOWER(TRIM('01_Master_Data'!AI308&amp;""))="yes","Yes","No"))</f>
        <v/>
      </c>
      <c r="AD308">
        <f>IF(A308="","",IF(LOWER(TRIM('01_Master_Data'!AK308&amp;""))="yes","Yes","No"))</f>
        <v/>
      </c>
      <c r="AE308">
        <f>IF(A308="","",IF(LOWER(TRIM('01_Master_Data'!AJ308&amp;""))="yes","Yes","No"))</f>
        <v/>
      </c>
      <c r="AF308">
        <f>IF(A308="","",TRIM('01_Master_Data'!AL308&amp;""))</f>
        <v/>
      </c>
      <c r="AG308">
        <f>IF(A308="","",IF(AF308="","—",IF(ISNUMBER(SEARCH("DNP",AF308)),"Unreachable / DNP",IF(ISNUMBER(SEARCH("interest",LOWER(AF308))),"High Interest / Terms",IF(OR(ISNUMBER(SEARCH("eligib",LOWER(AF308))),ISNUMBER(SEARCH("income",LOWER(AF308)))),"Eligibility / Income",IF(OR(ISNUMBER(SEARCH("start",LOWER(AF308))),ISNUMBER(SEARCH("Newer",AF308)),ISNUMBER(SEARCH("Will start",AF308))),"Process Yet to Start",IF(ISNUMBER(SEARCH("sure",LOWER(AF308))),"Undecided",IF(OR(ISNUMBER(SEARCH("reject",LOWER(AF308))),ISNUMBER(SEARCH("SBI",AF308))),"Rejected Elsewhere",IF(ISNUMBER(SEARCH("call",LOWER(AF308))),"Bank Communication",IF(OR(ISNUMBER(SEARCH("father",LOWER(AF308))),ISNUMBER(SEARCH("sister",LOWER(AF308)))),"Family / Dependency","Other"))))))))))</f>
        <v/>
      </c>
      <c r="AH308">
        <f>IF(A308="","",'01_Master_Data'!AC308)</f>
        <v/>
      </c>
      <c r="AI308">
        <f>IF(A308="","",IF(OR(AH308="",NOT(ISNUMBER(AH308))),"",MAX(0,'02_Configuration'!$B$82-AH308)))</f>
        <v/>
      </c>
      <c r="AJ308">
        <f>IF(A308="","",IF(AI308="","Unknown",IF(AI308&lt;=3,"0–3 Days",IF(AI308&lt;=7,"4–7 Days",IF(AI308&lt;=15,"8–15 Days",IF(AI308&lt;=30,"16–30 Days","30+ Days"))))))</f>
        <v/>
      </c>
      <c r="AK308">
        <f>IF(A308="","",IF(LOWER(H308)="yes","Yes","No"))</f>
        <v/>
      </c>
      <c r="AL308">
        <f>IF(A308="","",'01_Master_Data'!T308)</f>
        <v/>
      </c>
      <c r="AM308">
        <f>IF(A308="","",'01_Master_Data'!S308)</f>
        <v/>
      </c>
      <c r="AN308">
        <f>IF(A308="","",'01_Master_Data'!I308)</f>
        <v/>
      </c>
      <c r="AO308">
        <f>IF(A308="","",'01_Master_Data'!M308)</f>
        <v/>
      </c>
      <c r="AP308">
        <f>IF(A308="","",IF(ISNUMBER(SEARCH("Icici",W308&amp;"")),1,0))</f>
        <v/>
      </c>
      <c r="AQ308">
        <f>IF(A308="","",IF(ISNUMBER(SEARCH("Propelld",W308&amp;"")),1,0))</f>
        <v/>
      </c>
      <c r="AR308">
        <f>IF(A308="","",IF(ISNUMBER(SEARCH("GyanDhan",W308&amp;"")),1,0))</f>
        <v/>
      </c>
      <c r="AS308">
        <f>IF(A308="","",IF(ISNUMBER(SEARCH("vidyalakshmi",LOWER(W308&amp;""))),1,0))</f>
        <v/>
      </c>
      <c r="AT308">
        <f>IF(A308="","",IF(ISNUMBER(SEARCH("other bank",LOWER(W308&amp;""))),1,0))</f>
        <v/>
      </c>
      <c r="AU308">
        <f>IF(A308="","",IF(ISNUMBER(SEARCH("sanctioned",LOWER(W308&amp;""))),1,0))</f>
        <v/>
      </c>
      <c r="AV308">
        <f>IF(A308="","",IF(ISNUMBER(SEARCH("Docs Pending",W308&amp;"")),1,0))</f>
        <v/>
      </c>
      <c r="AW308">
        <f>IF(A308="","",IF(OR(X308="Rejected",ISNUMBER(SEARCH("Not eligbile",W308&amp;""))),1,0))</f>
        <v/>
      </c>
    </row>
    <row r="309">
      <c r="A309">
        <f>IF('01_Master_Data'!B309="","",308)</f>
        <v/>
      </c>
      <c r="B309">
        <f>IF('01_Master_Data'!B309="","",IF('01_Master_Data'!C309&lt;&gt;"","MOB|"&amp;TEXT('01_Master_Data'!C309,"0"),IF('01_Master_Data'!D309&lt;&gt;"","PID|"&amp;TRIM('01_Master_Data'!D309&amp;""),"")))</f>
        <v/>
      </c>
      <c r="C309">
        <f>IF('01_Master_Data'!B309="","",'01_Master_Data'!B309)</f>
        <v/>
      </c>
      <c r="D309">
        <f>IF('01_Master_Data'!B309="","",'01_Master_Data'!C309)</f>
        <v/>
      </c>
      <c r="E309">
        <f>IF('01_Master_Data'!B309="","",'01_Master_Data'!D309)</f>
        <v/>
      </c>
      <c r="F309">
        <f>IF('01_Master_Data'!B309="","",'01_Master_Data'!E309)</f>
        <v/>
      </c>
      <c r="G309">
        <f>IF('01_Master_Data'!B309="","",IFERROR(VLOOKUP(TRIM('01_Master_Data'!E309&amp;""),'02_Configuration'!$A$40:$B$44,2,FALSE),UPPER(TRIM('01_Master_Data'!E309&amp;""))))</f>
        <v/>
      </c>
      <c r="H309">
        <f>IF('01_Master_Data'!B309="","",IF('01_Master_Data'!U309="","",TRIM('01_Master_Data'!U309&amp;"")))</f>
        <v/>
      </c>
      <c r="I309">
        <f>IF('01_Master_Data'!B309="","",TRIM('01_Master_Data'!F309&amp;""))</f>
        <v/>
      </c>
      <c r="J309">
        <f>IF('01_Master_Data'!B309="","",TRIM('01_Master_Data'!G309&amp;""))</f>
        <v/>
      </c>
      <c r="K309">
        <f>IF('01_Master_Data'!B309="","",'01_Master_Data'!H309)</f>
        <v/>
      </c>
      <c r="L309">
        <f>IF('01_Master_Data'!B309="","",IF(LOWER(TRIM('01_Master_Data'!V309&amp;""))="yes",1,0))</f>
        <v/>
      </c>
      <c r="M309">
        <f>IF('01_Master_Data'!B309="","",IF(LOWER(TRIM('01_Master_Data'!W309&amp;""))="yes",1,0))</f>
        <v/>
      </c>
      <c r="N309">
        <f>IF('01_Master_Data'!B309="","",IF(LOWER(TRIM('01_Master_Data'!X309&amp;""))="yes",1,0))</f>
        <v/>
      </c>
      <c r="O309">
        <f>IF('01_Master_Data'!B309="","",IF(LOWER(TRIM('01_Master_Data'!Y309&amp;""))="yes",1,0))</f>
        <v/>
      </c>
      <c r="P309">
        <f>IF('01_Master_Data'!B309="","",IF(LOWER(TRIM('01_Master_Data'!Z309&amp;""))="yes",1,0))</f>
        <v/>
      </c>
      <c r="Q309">
        <f>IF(A309="","",L309+M309+N309+O309+P309)</f>
        <v/>
      </c>
      <c r="R309">
        <f>IF(A309="","",IF(Q309&gt;1,"Yes","No"))</f>
        <v/>
      </c>
      <c r="S309">
        <f>IF(A309="","",TEXTJOIN(", ",TRUE,IF(L309=1,"ICICI",""),IF(M309=1,"Propelld",""),IF(N309=1,"Study4Buddy",""),IF(O309=1,"Poonawala Fincorp",""),IF(P309=1,"GyanDhan","")))</f>
        <v/>
      </c>
      <c r="T309">
        <f>IF(A309="","",IF(L309=1,"ICICI",IF(M309=1,"Propelld",IF(P309=1,"GyanDhan",IF(N309=1,"Study4Buddy",IF(O309=1,"Poonawala Fincorp",IF(ISNUMBER(SEARCH("GyanDhan",W309&amp;"")),"GyanDhan",IF(ISNUMBER(SEARCH("Icici",W309&amp;"")),"ICICI",IF(ISNUMBER(SEARCH("Propelld",W309&amp;"")),"Propelld",IF(ISNUMBER(SEARCH("vidyalakshmi",LOWER(W309&amp;"")),"PM Vidyalakshmi","—"))))))))))</f>
        <v/>
      </c>
      <c r="U309">
        <f>IF(A309="","",TRIM('01_Master_Data'!AA309&amp;""))</f>
        <v/>
      </c>
      <c r="V309">
        <f>IF(A309="","",TRIM('01_Master_Data'!AG309&amp;""))</f>
        <v/>
      </c>
      <c r="W309">
        <f>IF(A309="","",TRIM('01_Master_Data'!AH309&amp;""))</f>
        <v/>
      </c>
      <c r="X309">
        <f>IF(A309="","",IF(OR(LOWER(H309)="refund",LOWER(U309)="refund case"),"Refund",IF(OR(LOWER(H309)="dnp",LOWER(U309)="dnp"),"DNP",IF(OR(LOWER(V309)="disbursed",ISNUMBER(SEARCH("Disbursed",W309&amp;""))),"Disbursed",IF(OR(LOWER(V309)="loan proccessed/accepted",ISNUMBER(SEARCH("sanctioned",LOWER(W309&amp;"")))),"Sanctioned",IF(OR(LOWER(V309)="rejected",ISNUMBER(SEARCH("Not eligbile",W309&amp;"")),ISNUMBER(SEARCH("Not eligible",W309&amp;""))),"Rejected",IF(ISNUMBER(SEARCH("Docs Pending",W309&amp;"")),"Documents Pending",IF(AND(LOWER(H309)="yes",LOWER(V309)="ongoing"),"Processing",IF(AND(LOWER(H309)="yes",Q309&gt;0,OR(V309="",LOWER(V309)="not even started")),"Vendor Assigned",IF(AND(LOWER(H309)="yes",LOWER(V309)="not even started"),"Need Loan",IF(LOWER(H309)="yes","Loan Started",IF(LOWER(H309)="not sure","Interested",IF(OR(LOWER(H309)="no",LOWER(V309)="not required"),"Not Required","Unclassified")))))))))))))</f>
        <v/>
      </c>
      <c r="Y309">
        <f>IF(A309="","",IF(OR(X309="Sanctioned",X309="Disbursed",X309="Approved"),"Approved",IF(X309="Rejected","Rejected",IF(OR(X309="Processing",X309="Documents Pending",X309="Vendor Assigned"),"In Progress",IF(X309="Need Loan","Pending Start","—"))))</f>
        <v/>
      </c>
      <c r="Z309">
        <f>IF(A309="","",IF(X309="Disbursed","Disbursed",IF(X309="Sanctioned","Sanctioned - Awaiting Disbursement","Not Disbursed")))</f>
        <v/>
      </c>
      <c r="AA309">
        <f>IF(A309="","",IF(LOWER(TRIM('01_Master_Data'!AI309&amp;""))="yes","Need FLDG",IF(LOWER(TRIM('01_Master_Data'!AK309&amp;""))="yes","Need Vidyalakshmi",IF(LOWER(TRIM('01_Master_Data'!AJ309&amp;""))="yes","Need Review",IF(LOWER(J309)="critical","Critical",IF(LOWER(U309)="risk","Risk Case",IF(X309="Refund","Refund","Normal")))))))</f>
        <v/>
      </c>
      <c r="AB309">
        <f>IF(A309="","",IF(OR(LOWER(J309)="critical",LOWER(TRIM('01_Master_Data'!AI309&amp;""))="yes",LOWER(TRIM('01_Master_Data'!AK309&amp;""))="yes",LOWER(U309)="risk"),"Yes","No"))</f>
        <v/>
      </c>
      <c r="AC309">
        <f>IF(A309="","",IF(LOWER(TRIM('01_Master_Data'!AI309&amp;""))="yes","Yes","No"))</f>
        <v/>
      </c>
      <c r="AD309">
        <f>IF(A309="","",IF(LOWER(TRIM('01_Master_Data'!AK309&amp;""))="yes","Yes","No"))</f>
        <v/>
      </c>
      <c r="AE309">
        <f>IF(A309="","",IF(LOWER(TRIM('01_Master_Data'!AJ309&amp;""))="yes","Yes","No"))</f>
        <v/>
      </c>
      <c r="AF309">
        <f>IF(A309="","",TRIM('01_Master_Data'!AL309&amp;""))</f>
        <v/>
      </c>
      <c r="AG309">
        <f>IF(A309="","",IF(AF309="","—",IF(ISNUMBER(SEARCH("DNP",AF309)),"Unreachable / DNP",IF(ISNUMBER(SEARCH("interest",LOWER(AF309))),"High Interest / Terms",IF(OR(ISNUMBER(SEARCH("eligib",LOWER(AF309))),ISNUMBER(SEARCH("income",LOWER(AF309)))),"Eligibility / Income",IF(OR(ISNUMBER(SEARCH("start",LOWER(AF309))),ISNUMBER(SEARCH("Newer",AF309)),ISNUMBER(SEARCH("Will start",AF309))),"Process Yet to Start",IF(ISNUMBER(SEARCH("sure",LOWER(AF309))),"Undecided",IF(OR(ISNUMBER(SEARCH("reject",LOWER(AF309))),ISNUMBER(SEARCH("SBI",AF309))),"Rejected Elsewhere",IF(ISNUMBER(SEARCH("call",LOWER(AF309))),"Bank Communication",IF(OR(ISNUMBER(SEARCH("father",LOWER(AF309))),ISNUMBER(SEARCH("sister",LOWER(AF309)))),"Family / Dependency","Other"))))))))))</f>
        <v/>
      </c>
      <c r="AH309">
        <f>IF(A309="","",'01_Master_Data'!AC309)</f>
        <v/>
      </c>
      <c r="AI309">
        <f>IF(A309="","",IF(OR(AH309="",NOT(ISNUMBER(AH309))),"",MAX(0,'02_Configuration'!$B$82-AH309)))</f>
        <v/>
      </c>
      <c r="AJ309">
        <f>IF(A309="","",IF(AI309="","Unknown",IF(AI309&lt;=3,"0–3 Days",IF(AI309&lt;=7,"4–7 Days",IF(AI309&lt;=15,"8–15 Days",IF(AI309&lt;=30,"16–30 Days","30+ Days"))))))</f>
        <v/>
      </c>
      <c r="AK309">
        <f>IF(A309="","",IF(LOWER(H309)="yes","Yes","No"))</f>
        <v/>
      </c>
      <c r="AL309">
        <f>IF(A309="","",'01_Master_Data'!T309)</f>
        <v/>
      </c>
      <c r="AM309">
        <f>IF(A309="","",'01_Master_Data'!S309)</f>
        <v/>
      </c>
      <c r="AN309">
        <f>IF(A309="","",'01_Master_Data'!I309)</f>
        <v/>
      </c>
      <c r="AO309">
        <f>IF(A309="","",'01_Master_Data'!M309)</f>
        <v/>
      </c>
      <c r="AP309">
        <f>IF(A309="","",IF(ISNUMBER(SEARCH("Icici",W309&amp;"")),1,0))</f>
        <v/>
      </c>
      <c r="AQ309">
        <f>IF(A309="","",IF(ISNUMBER(SEARCH("Propelld",W309&amp;"")),1,0))</f>
        <v/>
      </c>
      <c r="AR309">
        <f>IF(A309="","",IF(ISNUMBER(SEARCH("GyanDhan",W309&amp;"")),1,0))</f>
        <v/>
      </c>
      <c r="AS309">
        <f>IF(A309="","",IF(ISNUMBER(SEARCH("vidyalakshmi",LOWER(W309&amp;""))),1,0))</f>
        <v/>
      </c>
      <c r="AT309">
        <f>IF(A309="","",IF(ISNUMBER(SEARCH("other bank",LOWER(W309&amp;""))),1,0))</f>
        <v/>
      </c>
      <c r="AU309">
        <f>IF(A309="","",IF(ISNUMBER(SEARCH("sanctioned",LOWER(W309&amp;""))),1,0))</f>
        <v/>
      </c>
      <c r="AV309">
        <f>IF(A309="","",IF(ISNUMBER(SEARCH("Docs Pending",W309&amp;"")),1,0))</f>
        <v/>
      </c>
      <c r="AW309">
        <f>IF(A309="","",IF(OR(X309="Rejected",ISNUMBER(SEARCH("Not eligbile",W309&amp;""))),1,0))</f>
        <v/>
      </c>
    </row>
    <row r="310">
      <c r="A310">
        <f>IF('01_Master_Data'!B310="","",309)</f>
        <v/>
      </c>
      <c r="B310">
        <f>IF('01_Master_Data'!B310="","",IF('01_Master_Data'!C310&lt;&gt;"","MOB|"&amp;TEXT('01_Master_Data'!C310,"0"),IF('01_Master_Data'!D310&lt;&gt;"","PID|"&amp;TRIM('01_Master_Data'!D310&amp;""),"")))</f>
        <v/>
      </c>
      <c r="C310">
        <f>IF('01_Master_Data'!B310="","",'01_Master_Data'!B310)</f>
        <v/>
      </c>
      <c r="D310">
        <f>IF('01_Master_Data'!B310="","",'01_Master_Data'!C310)</f>
        <v/>
      </c>
      <c r="E310">
        <f>IF('01_Master_Data'!B310="","",'01_Master_Data'!D310)</f>
        <v/>
      </c>
      <c r="F310">
        <f>IF('01_Master_Data'!B310="","",'01_Master_Data'!E310)</f>
        <v/>
      </c>
      <c r="G310">
        <f>IF('01_Master_Data'!B310="","",IFERROR(VLOOKUP(TRIM('01_Master_Data'!E310&amp;""),'02_Configuration'!$A$40:$B$44,2,FALSE),UPPER(TRIM('01_Master_Data'!E310&amp;""))))</f>
        <v/>
      </c>
      <c r="H310">
        <f>IF('01_Master_Data'!B310="","",IF('01_Master_Data'!U310="","",TRIM('01_Master_Data'!U310&amp;"")))</f>
        <v/>
      </c>
      <c r="I310">
        <f>IF('01_Master_Data'!B310="","",TRIM('01_Master_Data'!F310&amp;""))</f>
        <v/>
      </c>
      <c r="J310">
        <f>IF('01_Master_Data'!B310="","",TRIM('01_Master_Data'!G310&amp;""))</f>
        <v/>
      </c>
      <c r="K310">
        <f>IF('01_Master_Data'!B310="","",'01_Master_Data'!H310)</f>
        <v/>
      </c>
      <c r="L310">
        <f>IF('01_Master_Data'!B310="","",IF(LOWER(TRIM('01_Master_Data'!V310&amp;""))="yes",1,0))</f>
        <v/>
      </c>
      <c r="M310">
        <f>IF('01_Master_Data'!B310="","",IF(LOWER(TRIM('01_Master_Data'!W310&amp;""))="yes",1,0))</f>
        <v/>
      </c>
      <c r="N310">
        <f>IF('01_Master_Data'!B310="","",IF(LOWER(TRIM('01_Master_Data'!X310&amp;""))="yes",1,0))</f>
        <v/>
      </c>
      <c r="O310">
        <f>IF('01_Master_Data'!B310="","",IF(LOWER(TRIM('01_Master_Data'!Y310&amp;""))="yes",1,0))</f>
        <v/>
      </c>
      <c r="P310">
        <f>IF('01_Master_Data'!B310="","",IF(LOWER(TRIM('01_Master_Data'!Z310&amp;""))="yes",1,0))</f>
        <v/>
      </c>
      <c r="Q310">
        <f>IF(A310="","",L310+M310+N310+O310+P310)</f>
        <v/>
      </c>
      <c r="R310">
        <f>IF(A310="","",IF(Q310&gt;1,"Yes","No"))</f>
        <v/>
      </c>
      <c r="S310">
        <f>IF(A310="","",TEXTJOIN(", ",TRUE,IF(L310=1,"ICICI",""),IF(M310=1,"Propelld",""),IF(N310=1,"Study4Buddy",""),IF(O310=1,"Poonawala Fincorp",""),IF(P310=1,"GyanDhan","")))</f>
        <v/>
      </c>
      <c r="T310">
        <f>IF(A310="","",IF(L310=1,"ICICI",IF(M310=1,"Propelld",IF(P310=1,"GyanDhan",IF(N310=1,"Study4Buddy",IF(O310=1,"Poonawala Fincorp",IF(ISNUMBER(SEARCH("GyanDhan",W310&amp;"")),"GyanDhan",IF(ISNUMBER(SEARCH("Icici",W310&amp;"")),"ICICI",IF(ISNUMBER(SEARCH("Propelld",W310&amp;"")),"Propelld",IF(ISNUMBER(SEARCH("vidyalakshmi",LOWER(W310&amp;"")),"PM Vidyalakshmi","—"))))))))))</f>
        <v/>
      </c>
      <c r="U310">
        <f>IF(A310="","",TRIM('01_Master_Data'!AA310&amp;""))</f>
        <v/>
      </c>
      <c r="V310">
        <f>IF(A310="","",TRIM('01_Master_Data'!AG310&amp;""))</f>
        <v/>
      </c>
      <c r="W310">
        <f>IF(A310="","",TRIM('01_Master_Data'!AH310&amp;""))</f>
        <v/>
      </c>
      <c r="X310">
        <f>IF(A310="","",IF(OR(LOWER(H310)="refund",LOWER(U310)="refund case"),"Refund",IF(OR(LOWER(H310)="dnp",LOWER(U310)="dnp"),"DNP",IF(OR(LOWER(V310)="disbursed",ISNUMBER(SEARCH("Disbursed",W310&amp;""))),"Disbursed",IF(OR(LOWER(V310)="loan proccessed/accepted",ISNUMBER(SEARCH("sanctioned",LOWER(W310&amp;"")))),"Sanctioned",IF(OR(LOWER(V310)="rejected",ISNUMBER(SEARCH("Not eligbile",W310&amp;"")),ISNUMBER(SEARCH("Not eligible",W310&amp;""))),"Rejected",IF(ISNUMBER(SEARCH("Docs Pending",W310&amp;"")),"Documents Pending",IF(AND(LOWER(H310)="yes",LOWER(V310)="ongoing"),"Processing",IF(AND(LOWER(H310)="yes",Q310&gt;0,OR(V310="",LOWER(V310)="not even started")),"Vendor Assigned",IF(AND(LOWER(H310)="yes",LOWER(V310)="not even started"),"Need Loan",IF(LOWER(H310)="yes","Loan Started",IF(LOWER(H310)="not sure","Interested",IF(OR(LOWER(H310)="no",LOWER(V310)="not required"),"Not Required","Unclassified")))))))))))))</f>
        <v/>
      </c>
      <c r="Y310">
        <f>IF(A310="","",IF(OR(X310="Sanctioned",X310="Disbursed",X310="Approved"),"Approved",IF(X310="Rejected","Rejected",IF(OR(X310="Processing",X310="Documents Pending",X310="Vendor Assigned"),"In Progress",IF(X310="Need Loan","Pending Start","—"))))</f>
        <v/>
      </c>
      <c r="Z310">
        <f>IF(A310="","",IF(X310="Disbursed","Disbursed",IF(X310="Sanctioned","Sanctioned - Awaiting Disbursement","Not Disbursed")))</f>
        <v/>
      </c>
      <c r="AA310">
        <f>IF(A310="","",IF(LOWER(TRIM('01_Master_Data'!AI310&amp;""))="yes","Need FLDG",IF(LOWER(TRIM('01_Master_Data'!AK310&amp;""))="yes","Need Vidyalakshmi",IF(LOWER(TRIM('01_Master_Data'!AJ310&amp;""))="yes","Need Review",IF(LOWER(J310)="critical","Critical",IF(LOWER(U310)="risk","Risk Case",IF(X310="Refund","Refund","Normal")))))))</f>
        <v/>
      </c>
      <c r="AB310">
        <f>IF(A310="","",IF(OR(LOWER(J310)="critical",LOWER(TRIM('01_Master_Data'!AI310&amp;""))="yes",LOWER(TRIM('01_Master_Data'!AK310&amp;""))="yes",LOWER(U310)="risk"),"Yes","No"))</f>
        <v/>
      </c>
      <c r="AC310">
        <f>IF(A310="","",IF(LOWER(TRIM('01_Master_Data'!AI310&amp;""))="yes","Yes","No"))</f>
        <v/>
      </c>
      <c r="AD310">
        <f>IF(A310="","",IF(LOWER(TRIM('01_Master_Data'!AK310&amp;""))="yes","Yes","No"))</f>
        <v/>
      </c>
      <c r="AE310">
        <f>IF(A310="","",IF(LOWER(TRIM('01_Master_Data'!AJ310&amp;""))="yes","Yes","No"))</f>
        <v/>
      </c>
      <c r="AF310">
        <f>IF(A310="","",TRIM('01_Master_Data'!AL310&amp;""))</f>
        <v/>
      </c>
      <c r="AG310">
        <f>IF(A310="","",IF(AF310="","—",IF(ISNUMBER(SEARCH("DNP",AF310)),"Unreachable / DNP",IF(ISNUMBER(SEARCH("interest",LOWER(AF310))),"High Interest / Terms",IF(OR(ISNUMBER(SEARCH("eligib",LOWER(AF310))),ISNUMBER(SEARCH("income",LOWER(AF310)))),"Eligibility / Income",IF(OR(ISNUMBER(SEARCH("start",LOWER(AF310))),ISNUMBER(SEARCH("Newer",AF310)),ISNUMBER(SEARCH("Will start",AF310))),"Process Yet to Start",IF(ISNUMBER(SEARCH("sure",LOWER(AF310))),"Undecided",IF(OR(ISNUMBER(SEARCH("reject",LOWER(AF310))),ISNUMBER(SEARCH("SBI",AF310))),"Rejected Elsewhere",IF(ISNUMBER(SEARCH("call",LOWER(AF310))),"Bank Communication",IF(OR(ISNUMBER(SEARCH("father",LOWER(AF310))),ISNUMBER(SEARCH("sister",LOWER(AF310)))),"Family / Dependency","Other"))))))))))</f>
        <v/>
      </c>
      <c r="AH310">
        <f>IF(A310="","",'01_Master_Data'!AC310)</f>
        <v/>
      </c>
      <c r="AI310">
        <f>IF(A310="","",IF(OR(AH310="",NOT(ISNUMBER(AH310))),"",MAX(0,'02_Configuration'!$B$82-AH310)))</f>
        <v/>
      </c>
      <c r="AJ310">
        <f>IF(A310="","",IF(AI310="","Unknown",IF(AI310&lt;=3,"0–3 Days",IF(AI310&lt;=7,"4–7 Days",IF(AI310&lt;=15,"8–15 Days",IF(AI310&lt;=30,"16–30 Days","30+ Days"))))))</f>
        <v/>
      </c>
      <c r="AK310">
        <f>IF(A310="","",IF(LOWER(H310)="yes","Yes","No"))</f>
        <v/>
      </c>
      <c r="AL310">
        <f>IF(A310="","",'01_Master_Data'!T310)</f>
        <v/>
      </c>
      <c r="AM310">
        <f>IF(A310="","",'01_Master_Data'!S310)</f>
        <v/>
      </c>
      <c r="AN310">
        <f>IF(A310="","",'01_Master_Data'!I310)</f>
        <v/>
      </c>
      <c r="AO310">
        <f>IF(A310="","",'01_Master_Data'!M310)</f>
        <v/>
      </c>
      <c r="AP310">
        <f>IF(A310="","",IF(ISNUMBER(SEARCH("Icici",W310&amp;"")),1,0))</f>
        <v/>
      </c>
      <c r="AQ310">
        <f>IF(A310="","",IF(ISNUMBER(SEARCH("Propelld",W310&amp;"")),1,0))</f>
        <v/>
      </c>
      <c r="AR310">
        <f>IF(A310="","",IF(ISNUMBER(SEARCH("GyanDhan",W310&amp;"")),1,0))</f>
        <v/>
      </c>
      <c r="AS310">
        <f>IF(A310="","",IF(ISNUMBER(SEARCH("vidyalakshmi",LOWER(W310&amp;""))),1,0))</f>
        <v/>
      </c>
      <c r="AT310">
        <f>IF(A310="","",IF(ISNUMBER(SEARCH("other bank",LOWER(W310&amp;""))),1,0))</f>
        <v/>
      </c>
      <c r="AU310">
        <f>IF(A310="","",IF(ISNUMBER(SEARCH("sanctioned",LOWER(W310&amp;""))),1,0))</f>
        <v/>
      </c>
      <c r="AV310">
        <f>IF(A310="","",IF(ISNUMBER(SEARCH("Docs Pending",W310&amp;"")),1,0))</f>
        <v/>
      </c>
      <c r="AW310">
        <f>IF(A310="","",IF(OR(X310="Rejected",ISNUMBER(SEARCH("Not eligbile",W310&amp;""))),1,0))</f>
        <v/>
      </c>
    </row>
    <row r="311">
      <c r="A311">
        <f>IF('01_Master_Data'!B311="","",310)</f>
        <v/>
      </c>
      <c r="B311">
        <f>IF('01_Master_Data'!B311="","",IF('01_Master_Data'!C311&lt;&gt;"","MOB|"&amp;TEXT('01_Master_Data'!C311,"0"),IF('01_Master_Data'!D311&lt;&gt;"","PID|"&amp;TRIM('01_Master_Data'!D311&amp;""),"")))</f>
        <v/>
      </c>
      <c r="C311">
        <f>IF('01_Master_Data'!B311="","",'01_Master_Data'!B311)</f>
        <v/>
      </c>
      <c r="D311">
        <f>IF('01_Master_Data'!B311="","",'01_Master_Data'!C311)</f>
        <v/>
      </c>
      <c r="E311">
        <f>IF('01_Master_Data'!B311="","",'01_Master_Data'!D311)</f>
        <v/>
      </c>
      <c r="F311">
        <f>IF('01_Master_Data'!B311="","",'01_Master_Data'!E311)</f>
        <v/>
      </c>
      <c r="G311">
        <f>IF('01_Master_Data'!B311="","",IFERROR(VLOOKUP(TRIM('01_Master_Data'!E311&amp;""),'02_Configuration'!$A$40:$B$44,2,FALSE),UPPER(TRIM('01_Master_Data'!E311&amp;""))))</f>
        <v/>
      </c>
      <c r="H311">
        <f>IF('01_Master_Data'!B311="","",IF('01_Master_Data'!U311="","",TRIM('01_Master_Data'!U311&amp;"")))</f>
        <v/>
      </c>
      <c r="I311">
        <f>IF('01_Master_Data'!B311="","",TRIM('01_Master_Data'!F311&amp;""))</f>
        <v/>
      </c>
      <c r="J311">
        <f>IF('01_Master_Data'!B311="","",TRIM('01_Master_Data'!G311&amp;""))</f>
        <v/>
      </c>
      <c r="K311">
        <f>IF('01_Master_Data'!B311="","",'01_Master_Data'!H311)</f>
        <v/>
      </c>
      <c r="L311">
        <f>IF('01_Master_Data'!B311="","",IF(LOWER(TRIM('01_Master_Data'!V311&amp;""))="yes",1,0))</f>
        <v/>
      </c>
      <c r="M311">
        <f>IF('01_Master_Data'!B311="","",IF(LOWER(TRIM('01_Master_Data'!W311&amp;""))="yes",1,0))</f>
        <v/>
      </c>
      <c r="N311">
        <f>IF('01_Master_Data'!B311="","",IF(LOWER(TRIM('01_Master_Data'!X311&amp;""))="yes",1,0))</f>
        <v/>
      </c>
      <c r="O311">
        <f>IF('01_Master_Data'!B311="","",IF(LOWER(TRIM('01_Master_Data'!Y311&amp;""))="yes",1,0))</f>
        <v/>
      </c>
      <c r="P311">
        <f>IF('01_Master_Data'!B311="","",IF(LOWER(TRIM('01_Master_Data'!Z311&amp;""))="yes",1,0))</f>
        <v/>
      </c>
      <c r="Q311">
        <f>IF(A311="","",L311+M311+N311+O311+P311)</f>
        <v/>
      </c>
      <c r="R311">
        <f>IF(A311="","",IF(Q311&gt;1,"Yes","No"))</f>
        <v/>
      </c>
      <c r="S311">
        <f>IF(A311="","",TEXTJOIN(", ",TRUE,IF(L311=1,"ICICI",""),IF(M311=1,"Propelld",""),IF(N311=1,"Study4Buddy",""),IF(O311=1,"Poonawala Fincorp",""),IF(P311=1,"GyanDhan","")))</f>
        <v/>
      </c>
      <c r="T311">
        <f>IF(A311="","",IF(L311=1,"ICICI",IF(M311=1,"Propelld",IF(P311=1,"GyanDhan",IF(N311=1,"Study4Buddy",IF(O311=1,"Poonawala Fincorp",IF(ISNUMBER(SEARCH("GyanDhan",W311&amp;"")),"GyanDhan",IF(ISNUMBER(SEARCH("Icici",W311&amp;"")),"ICICI",IF(ISNUMBER(SEARCH("Propelld",W311&amp;"")),"Propelld",IF(ISNUMBER(SEARCH("vidyalakshmi",LOWER(W311&amp;"")),"PM Vidyalakshmi","—"))))))))))</f>
        <v/>
      </c>
      <c r="U311">
        <f>IF(A311="","",TRIM('01_Master_Data'!AA311&amp;""))</f>
        <v/>
      </c>
      <c r="V311">
        <f>IF(A311="","",TRIM('01_Master_Data'!AG311&amp;""))</f>
        <v/>
      </c>
      <c r="W311">
        <f>IF(A311="","",TRIM('01_Master_Data'!AH311&amp;""))</f>
        <v/>
      </c>
      <c r="X311">
        <f>IF(A311="","",IF(OR(LOWER(H311)="refund",LOWER(U311)="refund case"),"Refund",IF(OR(LOWER(H311)="dnp",LOWER(U311)="dnp"),"DNP",IF(OR(LOWER(V311)="disbursed",ISNUMBER(SEARCH("Disbursed",W311&amp;""))),"Disbursed",IF(OR(LOWER(V311)="loan proccessed/accepted",ISNUMBER(SEARCH("sanctioned",LOWER(W311&amp;"")))),"Sanctioned",IF(OR(LOWER(V311)="rejected",ISNUMBER(SEARCH("Not eligbile",W311&amp;"")),ISNUMBER(SEARCH("Not eligible",W311&amp;""))),"Rejected",IF(ISNUMBER(SEARCH("Docs Pending",W311&amp;"")),"Documents Pending",IF(AND(LOWER(H311)="yes",LOWER(V311)="ongoing"),"Processing",IF(AND(LOWER(H311)="yes",Q311&gt;0,OR(V311="",LOWER(V311)="not even started")),"Vendor Assigned",IF(AND(LOWER(H311)="yes",LOWER(V311)="not even started"),"Need Loan",IF(LOWER(H311)="yes","Loan Started",IF(LOWER(H311)="not sure","Interested",IF(OR(LOWER(H311)="no",LOWER(V311)="not required"),"Not Required","Unclassified")))))))))))))</f>
        <v/>
      </c>
      <c r="Y311">
        <f>IF(A311="","",IF(OR(X311="Sanctioned",X311="Disbursed",X311="Approved"),"Approved",IF(X311="Rejected","Rejected",IF(OR(X311="Processing",X311="Documents Pending",X311="Vendor Assigned"),"In Progress",IF(X311="Need Loan","Pending Start","—"))))</f>
        <v/>
      </c>
      <c r="Z311">
        <f>IF(A311="","",IF(X311="Disbursed","Disbursed",IF(X311="Sanctioned","Sanctioned - Awaiting Disbursement","Not Disbursed")))</f>
        <v/>
      </c>
      <c r="AA311">
        <f>IF(A311="","",IF(LOWER(TRIM('01_Master_Data'!AI311&amp;""))="yes","Need FLDG",IF(LOWER(TRIM('01_Master_Data'!AK311&amp;""))="yes","Need Vidyalakshmi",IF(LOWER(TRIM('01_Master_Data'!AJ311&amp;""))="yes","Need Review",IF(LOWER(J311)="critical","Critical",IF(LOWER(U311)="risk","Risk Case",IF(X311="Refund","Refund","Normal")))))))</f>
        <v/>
      </c>
      <c r="AB311">
        <f>IF(A311="","",IF(OR(LOWER(J311)="critical",LOWER(TRIM('01_Master_Data'!AI311&amp;""))="yes",LOWER(TRIM('01_Master_Data'!AK311&amp;""))="yes",LOWER(U311)="risk"),"Yes","No"))</f>
        <v/>
      </c>
      <c r="AC311">
        <f>IF(A311="","",IF(LOWER(TRIM('01_Master_Data'!AI311&amp;""))="yes","Yes","No"))</f>
        <v/>
      </c>
      <c r="AD311">
        <f>IF(A311="","",IF(LOWER(TRIM('01_Master_Data'!AK311&amp;""))="yes","Yes","No"))</f>
        <v/>
      </c>
      <c r="AE311">
        <f>IF(A311="","",IF(LOWER(TRIM('01_Master_Data'!AJ311&amp;""))="yes","Yes","No"))</f>
        <v/>
      </c>
      <c r="AF311">
        <f>IF(A311="","",TRIM('01_Master_Data'!AL311&amp;""))</f>
        <v/>
      </c>
      <c r="AG311">
        <f>IF(A311="","",IF(AF311="","—",IF(ISNUMBER(SEARCH("DNP",AF311)),"Unreachable / DNP",IF(ISNUMBER(SEARCH("interest",LOWER(AF311))),"High Interest / Terms",IF(OR(ISNUMBER(SEARCH("eligib",LOWER(AF311))),ISNUMBER(SEARCH("income",LOWER(AF311)))),"Eligibility / Income",IF(OR(ISNUMBER(SEARCH("start",LOWER(AF311))),ISNUMBER(SEARCH("Newer",AF311)),ISNUMBER(SEARCH("Will start",AF311))),"Process Yet to Start",IF(ISNUMBER(SEARCH("sure",LOWER(AF311))),"Undecided",IF(OR(ISNUMBER(SEARCH("reject",LOWER(AF311))),ISNUMBER(SEARCH("SBI",AF311))),"Rejected Elsewhere",IF(ISNUMBER(SEARCH("call",LOWER(AF311))),"Bank Communication",IF(OR(ISNUMBER(SEARCH("father",LOWER(AF311))),ISNUMBER(SEARCH("sister",LOWER(AF311)))),"Family / Dependency","Other"))))))))))</f>
        <v/>
      </c>
      <c r="AH311">
        <f>IF(A311="","",'01_Master_Data'!AC311)</f>
        <v/>
      </c>
      <c r="AI311">
        <f>IF(A311="","",IF(OR(AH311="",NOT(ISNUMBER(AH311))),"",MAX(0,'02_Configuration'!$B$82-AH311)))</f>
        <v/>
      </c>
      <c r="AJ311">
        <f>IF(A311="","",IF(AI311="","Unknown",IF(AI311&lt;=3,"0–3 Days",IF(AI311&lt;=7,"4–7 Days",IF(AI311&lt;=15,"8–15 Days",IF(AI311&lt;=30,"16–30 Days","30+ Days"))))))</f>
        <v/>
      </c>
      <c r="AK311">
        <f>IF(A311="","",IF(LOWER(H311)="yes","Yes","No"))</f>
        <v/>
      </c>
      <c r="AL311">
        <f>IF(A311="","",'01_Master_Data'!T311)</f>
        <v/>
      </c>
      <c r="AM311">
        <f>IF(A311="","",'01_Master_Data'!S311)</f>
        <v/>
      </c>
      <c r="AN311">
        <f>IF(A311="","",'01_Master_Data'!I311)</f>
        <v/>
      </c>
      <c r="AO311">
        <f>IF(A311="","",'01_Master_Data'!M311)</f>
        <v/>
      </c>
      <c r="AP311">
        <f>IF(A311="","",IF(ISNUMBER(SEARCH("Icici",W311&amp;"")),1,0))</f>
        <v/>
      </c>
      <c r="AQ311">
        <f>IF(A311="","",IF(ISNUMBER(SEARCH("Propelld",W311&amp;"")),1,0))</f>
        <v/>
      </c>
      <c r="AR311">
        <f>IF(A311="","",IF(ISNUMBER(SEARCH("GyanDhan",W311&amp;"")),1,0))</f>
        <v/>
      </c>
      <c r="AS311">
        <f>IF(A311="","",IF(ISNUMBER(SEARCH("vidyalakshmi",LOWER(W311&amp;""))),1,0))</f>
        <v/>
      </c>
      <c r="AT311">
        <f>IF(A311="","",IF(ISNUMBER(SEARCH("other bank",LOWER(W311&amp;""))),1,0))</f>
        <v/>
      </c>
      <c r="AU311">
        <f>IF(A311="","",IF(ISNUMBER(SEARCH("sanctioned",LOWER(W311&amp;""))),1,0))</f>
        <v/>
      </c>
      <c r="AV311">
        <f>IF(A311="","",IF(ISNUMBER(SEARCH("Docs Pending",W311&amp;"")),1,0))</f>
        <v/>
      </c>
      <c r="AW311">
        <f>IF(A311="","",IF(OR(X311="Rejected",ISNUMBER(SEARCH("Not eligbile",W311&amp;""))),1,0))</f>
        <v/>
      </c>
    </row>
    <row r="312">
      <c r="A312">
        <f>IF('01_Master_Data'!B312="","",311)</f>
        <v/>
      </c>
      <c r="B312">
        <f>IF('01_Master_Data'!B312="","",IF('01_Master_Data'!C312&lt;&gt;"","MOB|"&amp;TEXT('01_Master_Data'!C312,"0"),IF('01_Master_Data'!D312&lt;&gt;"","PID|"&amp;TRIM('01_Master_Data'!D312&amp;""),"")))</f>
        <v/>
      </c>
      <c r="C312">
        <f>IF('01_Master_Data'!B312="","",'01_Master_Data'!B312)</f>
        <v/>
      </c>
      <c r="D312">
        <f>IF('01_Master_Data'!B312="","",'01_Master_Data'!C312)</f>
        <v/>
      </c>
      <c r="E312">
        <f>IF('01_Master_Data'!B312="","",'01_Master_Data'!D312)</f>
        <v/>
      </c>
      <c r="F312">
        <f>IF('01_Master_Data'!B312="","",'01_Master_Data'!E312)</f>
        <v/>
      </c>
      <c r="G312">
        <f>IF('01_Master_Data'!B312="","",IFERROR(VLOOKUP(TRIM('01_Master_Data'!E312&amp;""),'02_Configuration'!$A$40:$B$44,2,FALSE),UPPER(TRIM('01_Master_Data'!E312&amp;""))))</f>
        <v/>
      </c>
      <c r="H312">
        <f>IF('01_Master_Data'!B312="","",IF('01_Master_Data'!U312="","",TRIM('01_Master_Data'!U312&amp;"")))</f>
        <v/>
      </c>
      <c r="I312">
        <f>IF('01_Master_Data'!B312="","",TRIM('01_Master_Data'!F312&amp;""))</f>
        <v/>
      </c>
      <c r="J312">
        <f>IF('01_Master_Data'!B312="","",TRIM('01_Master_Data'!G312&amp;""))</f>
        <v/>
      </c>
      <c r="K312">
        <f>IF('01_Master_Data'!B312="","",'01_Master_Data'!H312)</f>
        <v/>
      </c>
      <c r="L312">
        <f>IF('01_Master_Data'!B312="","",IF(LOWER(TRIM('01_Master_Data'!V312&amp;""))="yes",1,0))</f>
        <v/>
      </c>
      <c r="M312">
        <f>IF('01_Master_Data'!B312="","",IF(LOWER(TRIM('01_Master_Data'!W312&amp;""))="yes",1,0))</f>
        <v/>
      </c>
      <c r="N312">
        <f>IF('01_Master_Data'!B312="","",IF(LOWER(TRIM('01_Master_Data'!X312&amp;""))="yes",1,0))</f>
        <v/>
      </c>
      <c r="O312">
        <f>IF('01_Master_Data'!B312="","",IF(LOWER(TRIM('01_Master_Data'!Y312&amp;""))="yes",1,0))</f>
        <v/>
      </c>
      <c r="P312">
        <f>IF('01_Master_Data'!B312="","",IF(LOWER(TRIM('01_Master_Data'!Z312&amp;""))="yes",1,0))</f>
        <v/>
      </c>
      <c r="Q312">
        <f>IF(A312="","",L312+M312+N312+O312+P312)</f>
        <v/>
      </c>
      <c r="R312">
        <f>IF(A312="","",IF(Q312&gt;1,"Yes","No"))</f>
        <v/>
      </c>
      <c r="S312">
        <f>IF(A312="","",TEXTJOIN(", ",TRUE,IF(L312=1,"ICICI",""),IF(M312=1,"Propelld",""),IF(N312=1,"Study4Buddy",""),IF(O312=1,"Poonawala Fincorp",""),IF(P312=1,"GyanDhan","")))</f>
        <v/>
      </c>
      <c r="T312">
        <f>IF(A312="","",IF(L312=1,"ICICI",IF(M312=1,"Propelld",IF(P312=1,"GyanDhan",IF(N312=1,"Study4Buddy",IF(O312=1,"Poonawala Fincorp",IF(ISNUMBER(SEARCH("GyanDhan",W312&amp;"")),"GyanDhan",IF(ISNUMBER(SEARCH("Icici",W312&amp;"")),"ICICI",IF(ISNUMBER(SEARCH("Propelld",W312&amp;"")),"Propelld",IF(ISNUMBER(SEARCH("vidyalakshmi",LOWER(W312&amp;"")),"PM Vidyalakshmi","—"))))))))))</f>
        <v/>
      </c>
      <c r="U312">
        <f>IF(A312="","",TRIM('01_Master_Data'!AA312&amp;""))</f>
        <v/>
      </c>
      <c r="V312">
        <f>IF(A312="","",TRIM('01_Master_Data'!AG312&amp;""))</f>
        <v/>
      </c>
      <c r="W312">
        <f>IF(A312="","",TRIM('01_Master_Data'!AH312&amp;""))</f>
        <v/>
      </c>
      <c r="X312">
        <f>IF(A312="","",IF(OR(LOWER(H312)="refund",LOWER(U312)="refund case"),"Refund",IF(OR(LOWER(H312)="dnp",LOWER(U312)="dnp"),"DNP",IF(OR(LOWER(V312)="disbursed",ISNUMBER(SEARCH("Disbursed",W312&amp;""))),"Disbursed",IF(OR(LOWER(V312)="loan proccessed/accepted",ISNUMBER(SEARCH("sanctioned",LOWER(W312&amp;"")))),"Sanctioned",IF(OR(LOWER(V312)="rejected",ISNUMBER(SEARCH("Not eligbile",W312&amp;"")),ISNUMBER(SEARCH("Not eligible",W312&amp;""))),"Rejected",IF(ISNUMBER(SEARCH("Docs Pending",W312&amp;"")),"Documents Pending",IF(AND(LOWER(H312)="yes",LOWER(V312)="ongoing"),"Processing",IF(AND(LOWER(H312)="yes",Q312&gt;0,OR(V312="",LOWER(V312)="not even started")),"Vendor Assigned",IF(AND(LOWER(H312)="yes",LOWER(V312)="not even started"),"Need Loan",IF(LOWER(H312)="yes","Loan Started",IF(LOWER(H312)="not sure","Interested",IF(OR(LOWER(H312)="no",LOWER(V312)="not required"),"Not Required","Unclassified")))))))))))))</f>
        <v/>
      </c>
      <c r="Y312">
        <f>IF(A312="","",IF(OR(X312="Sanctioned",X312="Disbursed",X312="Approved"),"Approved",IF(X312="Rejected","Rejected",IF(OR(X312="Processing",X312="Documents Pending",X312="Vendor Assigned"),"In Progress",IF(X312="Need Loan","Pending Start","—"))))</f>
        <v/>
      </c>
      <c r="Z312">
        <f>IF(A312="","",IF(X312="Disbursed","Disbursed",IF(X312="Sanctioned","Sanctioned - Awaiting Disbursement","Not Disbursed")))</f>
        <v/>
      </c>
      <c r="AA312">
        <f>IF(A312="","",IF(LOWER(TRIM('01_Master_Data'!AI312&amp;""))="yes","Need FLDG",IF(LOWER(TRIM('01_Master_Data'!AK312&amp;""))="yes","Need Vidyalakshmi",IF(LOWER(TRIM('01_Master_Data'!AJ312&amp;""))="yes","Need Review",IF(LOWER(J312)="critical","Critical",IF(LOWER(U312)="risk","Risk Case",IF(X312="Refund","Refund","Normal")))))))</f>
        <v/>
      </c>
      <c r="AB312">
        <f>IF(A312="","",IF(OR(LOWER(J312)="critical",LOWER(TRIM('01_Master_Data'!AI312&amp;""))="yes",LOWER(TRIM('01_Master_Data'!AK312&amp;""))="yes",LOWER(U312)="risk"),"Yes","No"))</f>
        <v/>
      </c>
      <c r="AC312">
        <f>IF(A312="","",IF(LOWER(TRIM('01_Master_Data'!AI312&amp;""))="yes","Yes","No"))</f>
        <v/>
      </c>
      <c r="AD312">
        <f>IF(A312="","",IF(LOWER(TRIM('01_Master_Data'!AK312&amp;""))="yes","Yes","No"))</f>
        <v/>
      </c>
      <c r="AE312">
        <f>IF(A312="","",IF(LOWER(TRIM('01_Master_Data'!AJ312&amp;""))="yes","Yes","No"))</f>
        <v/>
      </c>
      <c r="AF312">
        <f>IF(A312="","",TRIM('01_Master_Data'!AL312&amp;""))</f>
        <v/>
      </c>
      <c r="AG312">
        <f>IF(A312="","",IF(AF312="","—",IF(ISNUMBER(SEARCH("DNP",AF312)),"Unreachable / DNP",IF(ISNUMBER(SEARCH("interest",LOWER(AF312))),"High Interest / Terms",IF(OR(ISNUMBER(SEARCH("eligib",LOWER(AF312))),ISNUMBER(SEARCH("income",LOWER(AF312)))),"Eligibility / Income",IF(OR(ISNUMBER(SEARCH("start",LOWER(AF312))),ISNUMBER(SEARCH("Newer",AF312)),ISNUMBER(SEARCH("Will start",AF312))),"Process Yet to Start",IF(ISNUMBER(SEARCH("sure",LOWER(AF312))),"Undecided",IF(OR(ISNUMBER(SEARCH("reject",LOWER(AF312))),ISNUMBER(SEARCH("SBI",AF312))),"Rejected Elsewhere",IF(ISNUMBER(SEARCH("call",LOWER(AF312))),"Bank Communication",IF(OR(ISNUMBER(SEARCH("father",LOWER(AF312))),ISNUMBER(SEARCH("sister",LOWER(AF312)))),"Family / Dependency","Other"))))))))))</f>
        <v/>
      </c>
      <c r="AH312">
        <f>IF(A312="","",'01_Master_Data'!AC312)</f>
        <v/>
      </c>
      <c r="AI312">
        <f>IF(A312="","",IF(OR(AH312="",NOT(ISNUMBER(AH312))),"",MAX(0,'02_Configuration'!$B$82-AH312)))</f>
        <v/>
      </c>
      <c r="AJ312">
        <f>IF(A312="","",IF(AI312="","Unknown",IF(AI312&lt;=3,"0–3 Days",IF(AI312&lt;=7,"4–7 Days",IF(AI312&lt;=15,"8–15 Days",IF(AI312&lt;=30,"16–30 Days","30+ Days"))))))</f>
        <v/>
      </c>
      <c r="AK312">
        <f>IF(A312="","",IF(LOWER(H312)="yes","Yes","No"))</f>
        <v/>
      </c>
      <c r="AL312">
        <f>IF(A312="","",'01_Master_Data'!T312)</f>
        <v/>
      </c>
      <c r="AM312">
        <f>IF(A312="","",'01_Master_Data'!S312)</f>
        <v/>
      </c>
      <c r="AN312">
        <f>IF(A312="","",'01_Master_Data'!I312)</f>
        <v/>
      </c>
      <c r="AO312">
        <f>IF(A312="","",'01_Master_Data'!M312)</f>
        <v/>
      </c>
      <c r="AP312">
        <f>IF(A312="","",IF(ISNUMBER(SEARCH("Icici",W312&amp;"")),1,0))</f>
        <v/>
      </c>
      <c r="AQ312">
        <f>IF(A312="","",IF(ISNUMBER(SEARCH("Propelld",W312&amp;"")),1,0))</f>
        <v/>
      </c>
      <c r="AR312">
        <f>IF(A312="","",IF(ISNUMBER(SEARCH("GyanDhan",W312&amp;"")),1,0))</f>
        <v/>
      </c>
      <c r="AS312">
        <f>IF(A312="","",IF(ISNUMBER(SEARCH("vidyalakshmi",LOWER(W312&amp;""))),1,0))</f>
        <v/>
      </c>
      <c r="AT312">
        <f>IF(A312="","",IF(ISNUMBER(SEARCH("other bank",LOWER(W312&amp;""))),1,0))</f>
        <v/>
      </c>
      <c r="AU312">
        <f>IF(A312="","",IF(ISNUMBER(SEARCH("sanctioned",LOWER(W312&amp;""))),1,0))</f>
        <v/>
      </c>
      <c r="AV312">
        <f>IF(A312="","",IF(ISNUMBER(SEARCH("Docs Pending",W312&amp;"")),1,0))</f>
        <v/>
      </c>
      <c r="AW312">
        <f>IF(A312="","",IF(OR(X312="Rejected",ISNUMBER(SEARCH("Not eligbile",W312&amp;""))),1,0))</f>
        <v/>
      </c>
    </row>
    <row r="313">
      <c r="A313">
        <f>IF('01_Master_Data'!B313="","",312)</f>
        <v/>
      </c>
      <c r="B313">
        <f>IF('01_Master_Data'!B313="","",IF('01_Master_Data'!C313&lt;&gt;"","MOB|"&amp;TEXT('01_Master_Data'!C313,"0"),IF('01_Master_Data'!D313&lt;&gt;"","PID|"&amp;TRIM('01_Master_Data'!D313&amp;""),"")))</f>
        <v/>
      </c>
      <c r="C313">
        <f>IF('01_Master_Data'!B313="","",'01_Master_Data'!B313)</f>
        <v/>
      </c>
      <c r="D313">
        <f>IF('01_Master_Data'!B313="","",'01_Master_Data'!C313)</f>
        <v/>
      </c>
      <c r="E313">
        <f>IF('01_Master_Data'!B313="","",'01_Master_Data'!D313)</f>
        <v/>
      </c>
      <c r="F313">
        <f>IF('01_Master_Data'!B313="","",'01_Master_Data'!E313)</f>
        <v/>
      </c>
      <c r="G313">
        <f>IF('01_Master_Data'!B313="","",IFERROR(VLOOKUP(TRIM('01_Master_Data'!E313&amp;""),'02_Configuration'!$A$40:$B$44,2,FALSE),UPPER(TRIM('01_Master_Data'!E313&amp;""))))</f>
        <v/>
      </c>
      <c r="H313">
        <f>IF('01_Master_Data'!B313="","",IF('01_Master_Data'!U313="","",TRIM('01_Master_Data'!U313&amp;"")))</f>
        <v/>
      </c>
      <c r="I313">
        <f>IF('01_Master_Data'!B313="","",TRIM('01_Master_Data'!F313&amp;""))</f>
        <v/>
      </c>
      <c r="J313">
        <f>IF('01_Master_Data'!B313="","",TRIM('01_Master_Data'!G313&amp;""))</f>
        <v/>
      </c>
      <c r="K313">
        <f>IF('01_Master_Data'!B313="","",'01_Master_Data'!H313)</f>
        <v/>
      </c>
      <c r="L313">
        <f>IF('01_Master_Data'!B313="","",IF(LOWER(TRIM('01_Master_Data'!V313&amp;""))="yes",1,0))</f>
        <v/>
      </c>
      <c r="M313">
        <f>IF('01_Master_Data'!B313="","",IF(LOWER(TRIM('01_Master_Data'!W313&amp;""))="yes",1,0))</f>
        <v/>
      </c>
      <c r="N313">
        <f>IF('01_Master_Data'!B313="","",IF(LOWER(TRIM('01_Master_Data'!X313&amp;""))="yes",1,0))</f>
        <v/>
      </c>
      <c r="O313">
        <f>IF('01_Master_Data'!B313="","",IF(LOWER(TRIM('01_Master_Data'!Y313&amp;""))="yes",1,0))</f>
        <v/>
      </c>
      <c r="P313">
        <f>IF('01_Master_Data'!B313="","",IF(LOWER(TRIM('01_Master_Data'!Z313&amp;""))="yes",1,0))</f>
        <v/>
      </c>
      <c r="Q313">
        <f>IF(A313="","",L313+M313+N313+O313+P313)</f>
        <v/>
      </c>
      <c r="R313">
        <f>IF(A313="","",IF(Q313&gt;1,"Yes","No"))</f>
        <v/>
      </c>
      <c r="S313">
        <f>IF(A313="","",TEXTJOIN(", ",TRUE,IF(L313=1,"ICICI",""),IF(M313=1,"Propelld",""),IF(N313=1,"Study4Buddy",""),IF(O313=1,"Poonawala Fincorp",""),IF(P313=1,"GyanDhan","")))</f>
        <v/>
      </c>
      <c r="T313">
        <f>IF(A313="","",IF(L313=1,"ICICI",IF(M313=1,"Propelld",IF(P313=1,"GyanDhan",IF(N313=1,"Study4Buddy",IF(O313=1,"Poonawala Fincorp",IF(ISNUMBER(SEARCH("GyanDhan",W313&amp;"")),"GyanDhan",IF(ISNUMBER(SEARCH("Icici",W313&amp;"")),"ICICI",IF(ISNUMBER(SEARCH("Propelld",W313&amp;"")),"Propelld",IF(ISNUMBER(SEARCH("vidyalakshmi",LOWER(W313&amp;"")),"PM Vidyalakshmi","—"))))))))))</f>
        <v/>
      </c>
      <c r="U313">
        <f>IF(A313="","",TRIM('01_Master_Data'!AA313&amp;""))</f>
        <v/>
      </c>
      <c r="V313">
        <f>IF(A313="","",TRIM('01_Master_Data'!AG313&amp;""))</f>
        <v/>
      </c>
      <c r="W313">
        <f>IF(A313="","",TRIM('01_Master_Data'!AH313&amp;""))</f>
        <v/>
      </c>
      <c r="X313">
        <f>IF(A313="","",IF(OR(LOWER(H313)="refund",LOWER(U313)="refund case"),"Refund",IF(OR(LOWER(H313)="dnp",LOWER(U313)="dnp"),"DNP",IF(OR(LOWER(V313)="disbursed",ISNUMBER(SEARCH("Disbursed",W313&amp;""))),"Disbursed",IF(OR(LOWER(V313)="loan proccessed/accepted",ISNUMBER(SEARCH("sanctioned",LOWER(W313&amp;"")))),"Sanctioned",IF(OR(LOWER(V313)="rejected",ISNUMBER(SEARCH("Not eligbile",W313&amp;"")),ISNUMBER(SEARCH("Not eligible",W313&amp;""))),"Rejected",IF(ISNUMBER(SEARCH("Docs Pending",W313&amp;"")),"Documents Pending",IF(AND(LOWER(H313)="yes",LOWER(V313)="ongoing"),"Processing",IF(AND(LOWER(H313)="yes",Q313&gt;0,OR(V313="",LOWER(V313)="not even started")),"Vendor Assigned",IF(AND(LOWER(H313)="yes",LOWER(V313)="not even started"),"Need Loan",IF(LOWER(H313)="yes","Loan Started",IF(LOWER(H313)="not sure","Interested",IF(OR(LOWER(H313)="no",LOWER(V313)="not required"),"Not Required","Unclassified")))))))))))))</f>
        <v/>
      </c>
      <c r="Y313">
        <f>IF(A313="","",IF(OR(X313="Sanctioned",X313="Disbursed",X313="Approved"),"Approved",IF(X313="Rejected","Rejected",IF(OR(X313="Processing",X313="Documents Pending",X313="Vendor Assigned"),"In Progress",IF(X313="Need Loan","Pending Start","—"))))</f>
        <v/>
      </c>
      <c r="Z313">
        <f>IF(A313="","",IF(X313="Disbursed","Disbursed",IF(X313="Sanctioned","Sanctioned - Awaiting Disbursement","Not Disbursed")))</f>
        <v/>
      </c>
      <c r="AA313">
        <f>IF(A313="","",IF(LOWER(TRIM('01_Master_Data'!AI313&amp;""))="yes","Need FLDG",IF(LOWER(TRIM('01_Master_Data'!AK313&amp;""))="yes","Need Vidyalakshmi",IF(LOWER(TRIM('01_Master_Data'!AJ313&amp;""))="yes","Need Review",IF(LOWER(J313)="critical","Critical",IF(LOWER(U313)="risk","Risk Case",IF(X313="Refund","Refund","Normal")))))))</f>
        <v/>
      </c>
      <c r="AB313">
        <f>IF(A313="","",IF(OR(LOWER(J313)="critical",LOWER(TRIM('01_Master_Data'!AI313&amp;""))="yes",LOWER(TRIM('01_Master_Data'!AK313&amp;""))="yes",LOWER(U313)="risk"),"Yes","No"))</f>
        <v/>
      </c>
      <c r="AC313">
        <f>IF(A313="","",IF(LOWER(TRIM('01_Master_Data'!AI313&amp;""))="yes","Yes","No"))</f>
        <v/>
      </c>
      <c r="AD313">
        <f>IF(A313="","",IF(LOWER(TRIM('01_Master_Data'!AK313&amp;""))="yes","Yes","No"))</f>
        <v/>
      </c>
      <c r="AE313">
        <f>IF(A313="","",IF(LOWER(TRIM('01_Master_Data'!AJ313&amp;""))="yes","Yes","No"))</f>
        <v/>
      </c>
      <c r="AF313">
        <f>IF(A313="","",TRIM('01_Master_Data'!AL313&amp;""))</f>
        <v/>
      </c>
      <c r="AG313">
        <f>IF(A313="","",IF(AF313="","—",IF(ISNUMBER(SEARCH("DNP",AF313)),"Unreachable / DNP",IF(ISNUMBER(SEARCH("interest",LOWER(AF313))),"High Interest / Terms",IF(OR(ISNUMBER(SEARCH("eligib",LOWER(AF313))),ISNUMBER(SEARCH("income",LOWER(AF313)))),"Eligibility / Income",IF(OR(ISNUMBER(SEARCH("start",LOWER(AF313))),ISNUMBER(SEARCH("Newer",AF313)),ISNUMBER(SEARCH("Will start",AF313))),"Process Yet to Start",IF(ISNUMBER(SEARCH("sure",LOWER(AF313))),"Undecided",IF(OR(ISNUMBER(SEARCH("reject",LOWER(AF313))),ISNUMBER(SEARCH("SBI",AF313))),"Rejected Elsewhere",IF(ISNUMBER(SEARCH("call",LOWER(AF313))),"Bank Communication",IF(OR(ISNUMBER(SEARCH("father",LOWER(AF313))),ISNUMBER(SEARCH("sister",LOWER(AF313)))),"Family / Dependency","Other"))))))))))</f>
        <v/>
      </c>
      <c r="AH313">
        <f>IF(A313="","",'01_Master_Data'!AC313)</f>
        <v/>
      </c>
      <c r="AI313">
        <f>IF(A313="","",IF(OR(AH313="",NOT(ISNUMBER(AH313))),"",MAX(0,'02_Configuration'!$B$82-AH313)))</f>
        <v/>
      </c>
      <c r="AJ313">
        <f>IF(A313="","",IF(AI313="","Unknown",IF(AI313&lt;=3,"0–3 Days",IF(AI313&lt;=7,"4–7 Days",IF(AI313&lt;=15,"8–15 Days",IF(AI313&lt;=30,"16–30 Days","30+ Days"))))))</f>
        <v/>
      </c>
      <c r="AK313">
        <f>IF(A313="","",IF(LOWER(H313)="yes","Yes","No"))</f>
        <v/>
      </c>
      <c r="AL313">
        <f>IF(A313="","",'01_Master_Data'!T313)</f>
        <v/>
      </c>
      <c r="AM313">
        <f>IF(A313="","",'01_Master_Data'!S313)</f>
        <v/>
      </c>
      <c r="AN313">
        <f>IF(A313="","",'01_Master_Data'!I313)</f>
        <v/>
      </c>
      <c r="AO313">
        <f>IF(A313="","",'01_Master_Data'!M313)</f>
        <v/>
      </c>
      <c r="AP313">
        <f>IF(A313="","",IF(ISNUMBER(SEARCH("Icici",W313&amp;"")),1,0))</f>
        <v/>
      </c>
      <c r="AQ313">
        <f>IF(A313="","",IF(ISNUMBER(SEARCH("Propelld",W313&amp;"")),1,0))</f>
        <v/>
      </c>
      <c r="AR313">
        <f>IF(A313="","",IF(ISNUMBER(SEARCH("GyanDhan",W313&amp;"")),1,0))</f>
        <v/>
      </c>
      <c r="AS313">
        <f>IF(A313="","",IF(ISNUMBER(SEARCH("vidyalakshmi",LOWER(W313&amp;""))),1,0))</f>
        <v/>
      </c>
      <c r="AT313">
        <f>IF(A313="","",IF(ISNUMBER(SEARCH("other bank",LOWER(W313&amp;""))),1,0))</f>
        <v/>
      </c>
      <c r="AU313">
        <f>IF(A313="","",IF(ISNUMBER(SEARCH("sanctioned",LOWER(W313&amp;""))),1,0))</f>
        <v/>
      </c>
      <c r="AV313">
        <f>IF(A313="","",IF(ISNUMBER(SEARCH("Docs Pending",W313&amp;"")),1,0))</f>
        <v/>
      </c>
      <c r="AW313">
        <f>IF(A313="","",IF(OR(X313="Rejected",ISNUMBER(SEARCH("Not eligbile",W313&amp;""))),1,0))</f>
        <v/>
      </c>
    </row>
    <row r="314">
      <c r="A314">
        <f>IF('01_Master_Data'!B314="","",313)</f>
        <v/>
      </c>
      <c r="B314">
        <f>IF('01_Master_Data'!B314="","",IF('01_Master_Data'!C314&lt;&gt;"","MOB|"&amp;TEXT('01_Master_Data'!C314,"0"),IF('01_Master_Data'!D314&lt;&gt;"","PID|"&amp;TRIM('01_Master_Data'!D314&amp;""),"")))</f>
        <v/>
      </c>
      <c r="C314">
        <f>IF('01_Master_Data'!B314="","",'01_Master_Data'!B314)</f>
        <v/>
      </c>
      <c r="D314">
        <f>IF('01_Master_Data'!B314="","",'01_Master_Data'!C314)</f>
        <v/>
      </c>
      <c r="E314">
        <f>IF('01_Master_Data'!B314="","",'01_Master_Data'!D314)</f>
        <v/>
      </c>
      <c r="F314">
        <f>IF('01_Master_Data'!B314="","",'01_Master_Data'!E314)</f>
        <v/>
      </c>
      <c r="G314">
        <f>IF('01_Master_Data'!B314="","",IFERROR(VLOOKUP(TRIM('01_Master_Data'!E314&amp;""),'02_Configuration'!$A$40:$B$44,2,FALSE),UPPER(TRIM('01_Master_Data'!E314&amp;""))))</f>
        <v/>
      </c>
      <c r="H314">
        <f>IF('01_Master_Data'!B314="","",IF('01_Master_Data'!U314="","",TRIM('01_Master_Data'!U314&amp;"")))</f>
        <v/>
      </c>
      <c r="I314">
        <f>IF('01_Master_Data'!B314="","",TRIM('01_Master_Data'!F314&amp;""))</f>
        <v/>
      </c>
      <c r="J314">
        <f>IF('01_Master_Data'!B314="","",TRIM('01_Master_Data'!G314&amp;""))</f>
        <v/>
      </c>
      <c r="K314">
        <f>IF('01_Master_Data'!B314="","",'01_Master_Data'!H314)</f>
        <v/>
      </c>
      <c r="L314">
        <f>IF('01_Master_Data'!B314="","",IF(LOWER(TRIM('01_Master_Data'!V314&amp;""))="yes",1,0))</f>
        <v/>
      </c>
      <c r="M314">
        <f>IF('01_Master_Data'!B314="","",IF(LOWER(TRIM('01_Master_Data'!W314&amp;""))="yes",1,0))</f>
        <v/>
      </c>
      <c r="N314">
        <f>IF('01_Master_Data'!B314="","",IF(LOWER(TRIM('01_Master_Data'!X314&amp;""))="yes",1,0))</f>
        <v/>
      </c>
      <c r="O314">
        <f>IF('01_Master_Data'!B314="","",IF(LOWER(TRIM('01_Master_Data'!Y314&amp;""))="yes",1,0))</f>
        <v/>
      </c>
      <c r="P314">
        <f>IF('01_Master_Data'!B314="","",IF(LOWER(TRIM('01_Master_Data'!Z314&amp;""))="yes",1,0))</f>
        <v/>
      </c>
      <c r="Q314">
        <f>IF(A314="","",L314+M314+N314+O314+P314)</f>
        <v/>
      </c>
      <c r="R314">
        <f>IF(A314="","",IF(Q314&gt;1,"Yes","No"))</f>
        <v/>
      </c>
      <c r="S314">
        <f>IF(A314="","",TEXTJOIN(", ",TRUE,IF(L314=1,"ICICI",""),IF(M314=1,"Propelld",""),IF(N314=1,"Study4Buddy",""),IF(O314=1,"Poonawala Fincorp",""),IF(P314=1,"GyanDhan","")))</f>
        <v/>
      </c>
      <c r="T314">
        <f>IF(A314="","",IF(L314=1,"ICICI",IF(M314=1,"Propelld",IF(P314=1,"GyanDhan",IF(N314=1,"Study4Buddy",IF(O314=1,"Poonawala Fincorp",IF(ISNUMBER(SEARCH("GyanDhan",W314&amp;"")),"GyanDhan",IF(ISNUMBER(SEARCH("Icici",W314&amp;"")),"ICICI",IF(ISNUMBER(SEARCH("Propelld",W314&amp;"")),"Propelld",IF(ISNUMBER(SEARCH("vidyalakshmi",LOWER(W314&amp;"")),"PM Vidyalakshmi","—"))))))))))</f>
        <v/>
      </c>
      <c r="U314">
        <f>IF(A314="","",TRIM('01_Master_Data'!AA314&amp;""))</f>
        <v/>
      </c>
      <c r="V314">
        <f>IF(A314="","",TRIM('01_Master_Data'!AG314&amp;""))</f>
        <v/>
      </c>
      <c r="W314">
        <f>IF(A314="","",TRIM('01_Master_Data'!AH314&amp;""))</f>
        <v/>
      </c>
      <c r="X314">
        <f>IF(A314="","",IF(OR(LOWER(H314)="refund",LOWER(U314)="refund case"),"Refund",IF(OR(LOWER(H314)="dnp",LOWER(U314)="dnp"),"DNP",IF(OR(LOWER(V314)="disbursed",ISNUMBER(SEARCH("Disbursed",W314&amp;""))),"Disbursed",IF(OR(LOWER(V314)="loan proccessed/accepted",ISNUMBER(SEARCH("sanctioned",LOWER(W314&amp;"")))),"Sanctioned",IF(OR(LOWER(V314)="rejected",ISNUMBER(SEARCH("Not eligbile",W314&amp;"")),ISNUMBER(SEARCH("Not eligible",W314&amp;""))),"Rejected",IF(ISNUMBER(SEARCH("Docs Pending",W314&amp;"")),"Documents Pending",IF(AND(LOWER(H314)="yes",LOWER(V314)="ongoing"),"Processing",IF(AND(LOWER(H314)="yes",Q314&gt;0,OR(V314="",LOWER(V314)="not even started")),"Vendor Assigned",IF(AND(LOWER(H314)="yes",LOWER(V314)="not even started"),"Need Loan",IF(LOWER(H314)="yes","Loan Started",IF(LOWER(H314)="not sure","Interested",IF(OR(LOWER(H314)="no",LOWER(V314)="not required"),"Not Required","Unclassified")))))))))))))</f>
        <v/>
      </c>
      <c r="Y314">
        <f>IF(A314="","",IF(OR(X314="Sanctioned",X314="Disbursed",X314="Approved"),"Approved",IF(X314="Rejected","Rejected",IF(OR(X314="Processing",X314="Documents Pending",X314="Vendor Assigned"),"In Progress",IF(X314="Need Loan","Pending Start","—"))))</f>
        <v/>
      </c>
      <c r="Z314">
        <f>IF(A314="","",IF(X314="Disbursed","Disbursed",IF(X314="Sanctioned","Sanctioned - Awaiting Disbursement","Not Disbursed")))</f>
        <v/>
      </c>
      <c r="AA314">
        <f>IF(A314="","",IF(LOWER(TRIM('01_Master_Data'!AI314&amp;""))="yes","Need FLDG",IF(LOWER(TRIM('01_Master_Data'!AK314&amp;""))="yes","Need Vidyalakshmi",IF(LOWER(TRIM('01_Master_Data'!AJ314&amp;""))="yes","Need Review",IF(LOWER(J314)="critical","Critical",IF(LOWER(U314)="risk","Risk Case",IF(X314="Refund","Refund","Normal")))))))</f>
        <v/>
      </c>
      <c r="AB314">
        <f>IF(A314="","",IF(OR(LOWER(J314)="critical",LOWER(TRIM('01_Master_Data'!AI314&amp;""))="yes",LOWER(TRIM('01_Master_Data'!AK314&amp;""))="yes",LOWER(U314)="risk"),"Yes","No"))</f>
        <v/>
      </c>
      <c r="AC314">
        <f>IF(A314="","",IF(LOWER(TRIM('01_Master_Data'!AI314&amp;""))="yes","Yes","No"))</f>
        <v/>
      </c>
      <c r="AD314">
        <f>IF(A314="","",IF(LOWER(TRIM('01_Master_Data'!AK314&amp;""))="yes","Yes","No"))</f>
        <v/>
      </c>
      <c r="AE314">
        <f>IF(A314="","",IF(LOWER(TRIM('01_Master_Data'!AJ314&amp;""))="yes","Yes","No"))</f>
        <v/>
      </c>
      <c r="AF314">
        <f>IF(A314="","",TRIM('01_Master_Data'!AL314&amp;""))</f>
        <v/>
      </c>
      <c r="AG314">
        <f>IF(A314="","",IF(AF314="","—",IF(ISNUMBER(SEARCH("DNP",AF314)),"Unreachable / DNP",IF(ISNUMBER(SEARCH("interest",LOWER(AF314))),"High Interest / Terms",IF(OR(ISNUMBER(SEARCH("eligib",LOWER(AF314))),ISNUMBER(SEARCH("income",LOWER(AF314)))),"Eligibility / Income",IF(OR(ISNUMBER(SEARCH("start",LOWER(AF314))),ISNUMBER(SEARCH("Newer",AF314)),ISNUMBER(SEARCH("Will start",AF314))),"Process Yet to Start",IF(ISNUMBER(SEARCH("sure",LOWER(AF314))),"Undecided",IF(OR(ISNUMBER(SEARCH("reject",LOWER(AF314))),ISNUMBER(SEARCH("SBI",AF314))),"Rejected Elsewhere",IF(ISNUMBER(SEARCH("call",LOWER(AF314))),"Bank Communication",IF(OR(ISNUMBER(SEARCH("father",LOWER(AF314))),ISNUMBER(SEARCH("sister",LOWER(AF314)))),"Family / Dependency","Other"))))))))))</f>
        <v/>
      </c>
      <c r="AH314">
        <f>IF(A314="","",'01_Master_Data'!AC314)</f>
        <v/>
      </c>
      <c r="AI314">
        <f>IF(A314="","",IF(OR(AH314="",NOT(ISNUMBER(AH314))),"",MAX(0,'02_Configuration'!$B$82-AH314)))</f>
        <v/>
      </c>
      <c r="AJ314">
        <f>IF(A314="","",IF(AI314="","Unknown",IF(AI314&lt;=3,"0–3 Days",IF(AI314&lt;=7,"4–7 Days",IF(AI314&lt;=15,"8–15 Days",IF(AI314&lt;=30,"16–30 Days","30+ Days"))))))</f>
        <v/>
      </c>
      <c r="AK314">
        <f>IF(A314="","",IF(LOWER(H314)="yes","Yes","No"))</f>
        <v/>
      </c>
      <c r="AL314">
        <f>IF(A314="","",'01_Master_Data'!T314)</f>
        <v/>
      </c>
      <c r="AM314">
        <f>IF(A314="","",'01_Master_Data'!S314)</f>
        <v/>
      </c>
      <c r="AN314">
        <f>IF(A314="","",'01_Master_Data'!I314)</f>
        <v/>
      </c>
      <c r="AO314">
        <f>IF(A314="","",'01_Master_Data'!M314)</f>
        <v/>
      </c>
      <c r="AP314">
        <f>IF(A314="","",IF(ISNUMBER(SEARCH("Icici",W314&amp;"")),1,0))</f>
        <v/>
      </c>
      <c r="AQ314">
        <f>IF(A314="","",IF(ISNUMBER(SEARCH("Propelld",W314&amp;"")),1,0))</f>
        <v/>
      </c>
      <c r="AR314">
        <f>IF(A314="","",IF(ISNUMBER(SEARCH("GyanDhan",W314&amp;"")),1,0))</f>
        <v/>
      </c>
      <c r="AS314">
        <f>IF(A314="","",IF(ISNUMBER(SEARCH("vidyalakshmi",LOWER(W314&amp;""))),1,0))</f>
        <v/>
      </c>
      <c r="AT314">
        <f>IF(A314="","",IF(ISNUMBER(SEARCH("other bank",LOWER(W314&amp;""))),1,0))</f>
        <v/>
      </c>
      <c r="AU314">
        <f>IF(A314="","",IF(ISNUMBER(SEARCH("sanctioned",LOWER(W314&amp;""))),1,0))</f>
        <v/>
      </c>
      <c r="AV314">
        <f>IF(A314="","",IF(ISNUMBER(SEARCH("Docs Pending",W314&amp;"")),1,0))</f>
        <v/>
      </c>
      <c r="AW314">
        <f>IF(A314="","",IF(OR(X314="Rejected",ISNUMBER(SEARCH("Not eligbile",W314&amp;""))),1,0))</f>
        <v/>
      </c>
    </row>
    <row r="315">
      <c r="A315">
        <f>IF('01_Master_Data'!B315="","",314)</f>
        <v/>
      </c>
      <c r="B315">
        <f>IF('01_Master_Data'!B315="","",IF('01_Master_Data'!C315&lt;&gt;"","MOB|"&amp;TEXT('01_Master_Data'!C315,"0"),IF('01_Master_Data'!D315&lt;&gt;"","PID|"&amp;TRIM('01_Master_Data'!D315&amp;""),"")))</f>
        <v/>
      </c>
      <c r="C315">
        <f>IF('01_Master_Data'!B315="","",'01_Master_Data'!B315)</f>
        <v/>
      </c>
      <c r="D315">
        <f>IF('01_Master_Data'!B315="","",'01_Master_Data'!C315)</f>
        <v/>
      </c>
      <c r="E315">
        <f>IF('01_Master_Data'!B315="","",'01_Master_Data'!D315)</f>
        <v/>
      </c>
      <c r="F315">
        <f>IF('01_Master_Data'!B315="","",'01_Master_Data'!E315)</f>
        <v/>
      </c>
      <c r="G315">
        <f>IF('01_Master_Data'!B315="","",IFERROR(VLOOKUP(TRIM('01_Master_Data'!E315&amp;""),'02_Configuration'!$A$40:$B$44,2,FALSE),UPPER(TRIM('01_Master_Data'!E315&amp;""))))</f>
        <v/>
      </c>
      <c r="H315">
        <f>IF('01_Master_Data'!B315="","",IF('01_Master_Data'!U315="","",TRIM('01_Master_Data'!U315&amp;"")))</f>
        <v/>
      </c>
      <c r="I315">
        <f>IF('01_Master_Data'!B315="","",TRIM('01_Master_Data'!F315&amp;""))</f>
        <v/>
      </c>
      <c r="J315">
        <f>IF('01_Master_Data'!B315="","",TRIM('01_Master_Data'!G315&amp;""))</f>
        <v/>
      </c>
      <c r="K315">
        <f>IF('01_Master_Data'!B315="","",'01_Master_Data'!H315)</f>
        <v/>
      </c>
      <c r="L315">
        <f>IF('01_Master_Data'!B315="","",IF(LOWER(TRIM('01_Master_Data'!V315&amp;""))="yes",1,0))</f>
        <v/>
      </c>
      <c r="M315">
        <f>IF('01_Master_Data'!B315="","",IF(LOWER(TRIM('01_Master_Data'!W315&amp;""))="yes",1,0))</f>
        <v/>
      </c>
      <c r="N315">
        <f>IF('01_Master_Data'!B315="","",IF(LOWER(TRIM('01_Master_Data'!X315&amp;""))="yes",1,0))</f>
        <v/>
      </c>
      <c r="O315">
        <f>IF('01_Master_Data'!B315="","",IF(LOWER(TRIM('01_Master_Data'!Y315&amp;""))="yes",1,0))</f>
        <v/>
      </c>
      <c r="P315">
        <f>IF('01_Master_Data'!B315="","",IF(LOWER(TRIM('01_Master_Data'!Z315&amp;""))="yes",1,0))</f>
        <v/>
      </c>
      <c r="Q315">
        <f>IF(A315="","",L315+M315+N315+O315+P315)</f>
        <v/>
      </c>
      <c r="R315">
        <f>IF(A315="","",IF(Q315&gt;1,"Yes","No"))</f>
        <v/>
      </c>
      <c r="S315">
        <f>IF(A315="","",TEXTJOIN(", ",TRUE,IF(L315=1,"ICICI",""),IF(M315=1,"Propelld",""),IF(N315=1,"Study4Buddy",""),IF(O315=1,"Poonawala Fincorp",""),IF(P315=1,"GyanDhan","")))</f>
        <v/>
      </c>
      <c r="T315">
        <f>IF(A315="","",IF(L315=1,"ICICI",IF(M315=1,"Propelld",IF(P315=1,"GyanDhan",IF(N315=1,"Study4Buddy",IF(O315=1,"Poonawala Fincorp",IF(ISNUMBER(SEARCH("GyanDhan",W315&amp;"")),"GyanDhan",IF(ISNUMBER(SEARCH("Icici",W315&amp;"")),"ICICI",IF(ISNUMBER(SEARCH("Propelld",W315&amp;"")),"Propelld",IF(ISNUMBER(SEARCH("vidyalakshmi",LOWER(W315&amp;"")),"PM Vidyalakshmi","—"))))))))))</f>
        <v/>
      </c>
      <c r="U315">
        <f>IF(A315="","",TRIM('01_Master_Data'!AA315&amp;""))</f>
        <v/>
      </c>
      <c r="V315">
        <f>IF(A315="","",TRIM('01_Master_Data'!AG315&amp;""))</f>
        <v/>
      </c>
      <c r="W315">
        <f>IF(A315="","",TRIM('01_Master_Data'!AH315&amp;""))</f>
        <v/>
      </c>
      <c r="X315">
        <f>IF(A315="","",IF(OR(LOWER(H315)="refund",LOWER(U315)="refund case"),"Refund",IF(OR(LOWER(H315)="dnp",LOWER(U315)="dnp"),"DNP",IF(OR(LOWER(V315)="disbursed",ISNUMBER(SEARCH("Disbursed",W315&amp;""))),"Disbursed",IF(OR(LOWER(V315)="loan proccessed/accepted",ISNUMBER(SEARCH("sanctioned",LOWER(W315&amp;"")))),"Sanctioned",IF(OR(LOWER(V315)="rejected",ISNUMBER(SEARCH("Not eligbile",W315&amp;"")),ISNUMBER(SEARCH("Not eligible",W315&amp;""))),"Rejected",IF(ISNUMBER(SEARCH("Docs Pending",W315&amp;"")),"Documents Pending",IF(AND(LOWER(H315)="yes",LOWER(V315)="ongoing"),"Processing",IF(AND(LOWER(H315)="yes",Q315&gt;0,OR(V315="",LOWER(V315)="not even started")),"Vendor Assigned",IF(AND(LOWER(H315)="yes",LOWER(V315)="not even started"),"Need Loan",IF(LOWER(H315)="yes","Loan Started",IF(LOWER(H315)="not sure","Interested",IF(OR(LOWER(H315)="no",LOWER(V315)="not required"),"Not Required","Unclassified")))))))))))))</f>
        <v/>
      </c>
      <c r="Y315">
        <f>IF(A315="","",IF(OR(X315="Sanctioned",X315="Disbursed",X315="Approved"),"Approved",IF(X315="Rejected","Rejected",IF(OR(X315="Processing",X315="Documents Pending",X315="Vendor Assigned"),"In Progress",IF(X315="Need Loan","Pending Start","—"))))</f>
        <v/>
      </c>
      <c r="Z315">
        <f>IF(A315="","",IF(X315="Disbursed","Disbursed",IF(X315="Sanctioned","Sanctioned - Awaiting Disbursement","Not Disbursed")))</f>
        <v/>
      </c>
      <c r="AA315">
        <f>IF(A315="","",IF(LOWER(TRIM('01_Master_Data'!AI315&amp;""))="yes","Need FLDG",IF(LOWER(TRIM('01_Master_Data'!AK315&amp;""))="yes","Need Vidyalakshmi",IF(LOWER(TRIM('01_Master_Data'!AJ315&amp;""))="yes","Need Review",IF(LOWER(J315)="critical","Critical",IF(LOWER(U315)="risk","Risk Case",IF(X315="Refund","Refund","Normal")))))))</f>
        <v/>
      </c>
      <c r="AB315">
        <f>IF(A315="","",IF(OR(LOWER(J315)="critical",LOWER(TRIM('01_Master_Data'!AI315&amp;""))="yes",LOWER(TRIM('01_Master_Data'!AK315&amp;""))="yes",LOWER(U315)="risk"),"Yes","No"))</f>
        <v/>
      </c>
      <c r="AC315">
        <f>IF(A315="","",IF(LOWER(TRIM('01_Master_Data'!AI315&amp;""))="yes","Yes","No"))</f>
        <v/>
      </c>
      <c r="AD315">
        <f>IF(A315="","",IF(LOWER(TRIM('01_Master_Data'!AK315&amp;""))="yes","Yes","No"))</f>
        <v/>
      </c>
      <c r="AE315">
        <f>IF(A315="","",IF(LOWER(TRIM('01_Master_Data'!AJ315&amp;""))="yes","Yes","No"))</f>
        <v/>
      </c>
      <c r="AF315">
        <f>IF(A315="","",TRIM('01_Master_Data'!AL315&amp;""))</f>
        <v/>
      </c>
      <c r="AG315">
        <f>IF(A315="","",IF(AF315="","—",IF(ISNUMBER(SEARCH("DNP",AF315)),"Unreachable / DNP",IF(ISNUMBER(SEARCH("interest",LOWER(AF315))),"High Interest / Terms",IF(OR(ISNUMBER(SEARCH("eligib",LOWER(AF315))),ISNUMBER(SEARCH("income",LOWER(AF315)))),"Eligibility / Income",IF(OR(ISNUMBER(SEARCH("start",LOWER(AF315))),ISNUMBER(SEARCH("Newer",AF315)),ISNUMBER(SEARCH("Will start",AF315))),"Process Yet to Start",IF(ISNUMBER(SEARCH("sure",LOWER(AF315))),"Undecided",IF(OR(ISNUMBER(SEARCH("reject",LOWER(AF315))),ISNUMBER(SEARCH("SBI",AF315))),"Rejected Elsewhere",IF(ISNUMBER(SEARCH("call",LOWER(AF315))),"Bank Communication",IF(OR(ISNUMBER(SEARCH("father",LOWER(AF315))),ISNUMBER(SEARCH("sister",LOWER(AF315)))),"Family / Dependency","Other"))))))))))</f>
        <v/>
      </c>
      <c r="AH315">
        <f>IF(A315="","",'01_Master_Data'!AC315)</f>
        <v/>
      </c>
      <c r="AI315">
        <f>IF(A315="","",IF(OR(AH315="",NOT(ISNUMBER(AH315))),"",MAX(0,'02_Configuration'!$B$82-AH315)))</f>
        <v/>
      </c>
      <c r="AJ315">
        <f>IF(A315="","",IF(AI315="","Unknown",IF(AI315&lt;=3,"0–3 Days",IF(AI315&lt;=7,"4–7 Days",IF(AI315&lt;=15,"8–15 Days",IF(AI315&lt;=30,"16–30 Days","30+ Days"))))))</f>
        <v/>
      </c>
      <c r="AK315">
        <f>IF(A315="","",IF(LOWER(H315)="yes","Yes","No"))</f>
        <v/>
      </c>
      <c r="AL315">
        <f>IF(A315="","",'01_Master_Data'!T315)</f>
        <v/>
      </c>
      <c r="AM315">
        <f>IF(A315="","",'01_Master_Data'!S315)</f>
        <v/>
      </c>
      <c r="AN315">
        <f>IF(A315="","",'01_Master_Data'!I315)</f>
        <v/>
      </c>
      <c r="AO315">
        <f>IF(A315="","",'01_Master_Data'!M315)</f>
        <v/>
      </c>
      <c r="AP315">
        <f>IF(A315="","",IF(ISNUMBER(SEARCH("Icici",W315&amp;"")),1,0))</f>
        <v/>
      </c>
      <c r="AQ315">
        <f>IF(A315="","",IF(ISNUMBER(SEARCH("Propelld",W315&amp;"")),1,0))</f>
        <v/>
      </c>
      <c r="AR315">
        <f>IF(A315="","",IF(ISNUMBER(SEARCH("GyanDhan",W315&amp;"")),1,0))</f>
        <v/>
      </c>
      <c r="AS315">
        <f>IF(A315="","",IF(ISNUMBER(SEARCH("vidyalakshmi",LOWER(W315&amp;""))),1,0))</f>
        <v/>
      </c>
      <c r="AT315">
        <f>IF(A315="","",IF(ISNUMBER(SEARCH("other bank",LOWER(W315&amp;""))),1,0))</f>
        <v/>
      </c>
      <c r="AU315">
        <f>IF(A315="","",IF(ISNUMBER(SEARCH("sanctioned",LOWER(W315&amp;""))),1,0))</f>
        <v/>
      </c>
      <c r="AV315">
        <f>IF(A315="","",IF(ISNUMBER(SEARCH("Docs Pending",W315&amp;"")),1,0))</f>
        <v/>
      </c>
      <c r="AW315">
        <f>IF(A315="","",IF(OR(X315="Rejected",ISNUMBER(SEARCH("Not eligbile",W315&amp;""))),1,0))</f>
        <v/>
      </c>
    </row>
    <row r="316">
      <c r="A316">
        <f>IF('01_Master_Data'!B316="","",315)</f>
        <v/>
      </c>
      <c r="B316">
        <f>IF('01_Master_Data'!B316="","",IF('01_Master_Data'!C316&lt;&gt;"","MOB|"&amp;TEXT('01_Master_Data'!C316,"0"),IF('01_Master_Data'!D316&lt;&gt;"","PID|"&amp;TRIM('01_Master_Data'!D316&amp;""),"")))</f>
        <v/>
      </c>
      <c r="C316">
        <f>IF('01_Master_Data'!B316="","",'01_Master_Data'!B316)</f>
        <v/>
      </c>
      <c r="D316">
        <f>IF('01_Master_Data'!B316="","",'01_Master_Data'!C316)</f>
        <v/>
      </c>
      <c r="E316">
        <f>IF('01_Master_Data'!B316="","",'01_Master_Data'!D316)</f>
        <v/>
      </c>
      <c r="F316">
        <f>IF('01_Master_Data'!B316="","",'01_Master_Data'!E316)</f>
        <v/>
      </c>
      <c r="G316">
        <f>IF('01_Master_Data'!B316="","",IFERROR(VLOOKUP(TRIM('01_Master_Data'!E316&amp;""),'02_Configuration'!$A$40:$B$44,2,FALSE),UPPER(TRIM('01_Master_Data'!E316&amp;""))))</f>
        <v/>
      </c>
      <c r="H316">
        <f>IF('01_Master_Data'!B316="","",IF('01_Master_Data'!U316="","",TRIM('01_Master_Data'!U316&amp;"")))</f>
        <v/>
      </c>
      <c r="I316">
        <f>IF('01_Master_Data'!B316="","",TRIM('01_Master_Data'!F316&amp;""))</f>
        <v/>
      </c>
      <c r="J316">
        <f>IF('01_Master_Data'!B316="","",TRIM('01_Master_Data'!G316&amp;""))</f>
        <v/>
      </c>
      <c r="K316">
        <f>IF('01_Master_Data'!B316="","",'01_Master_Data'!H316)</f>
        <v/>
      </c>
      <c r="L316">
        <f>IF('01_Master_Data'!B316="","",IF(LOWER(TRIM('01_Master_Data'!V316&amp;""))="yes",1,0))</f>
        <v/>
      </c>
      <c r="M316">
        <f>IF('01_Master_Data'!B316="","",IF(LOWER(TRIM('01_Master_Data'!W316&amp;""))="yes",1,0))</f>
        <v/>
      </c>
      <c r="N316">
        <f>IF('01_Master_Data'!B316="","",IF(LOWER(TRIM('01_Master_Data'!X316&amp;""))="yes",1,0))</f>
        <v/>
      </c>
      <c r="O316">
        <f>IF('01_Master_Data'!B316="","",IF(LOWER(TRIM('01_Master_Data'!Y316&amp;""))="yes",1,0))</f>
        <v/>
      </c>
      <c r="P316">
        <f>IF('01_Master_Data'!B316="","",IF(LOWER(TRIM('01_Master_Data'!Z316&amp;""))="yes",1,0))</f>
        <v/>
      </c>
      <c r="Q316">
        <f>IF(A316="","",L316+M316+N316+O316+P316)</f>
        <v/>
      </c>
      <c r="R316">
        <f>IF(A316="","",IF(Q316&gt;1,"Yes","No"))</f>
        <v/>
      </c>
      <c r="S316">
        <f>IF(A316="","",TEXTJOIN(", ",TRUE,IF(L316=1,"ICICI",""),IF(M316=1,"Propelld",""),IF(N316=1,"Study4Buddy",""),IF(O316=1,"Poonawala Fincorp",""),IF(P316=1,"GyanDhan","")))</f>
        <v/>
      </c>
      <c r="T316">
        <f>IF(A316="","",IF(L316=1,"ICICI",IF(M316=1,"Propelld",IF(P316=1,"GyanDhan",IF(N316=1,"Study4Buddy",IF(O316=1,"Poonawala Fincorp",IF(ISNUMBER(SEARCH("GyanDhan",W316&amp;"")),"GyanDhan",IF(ISNUMBER(SEARCH("Icici",W316&amp;"")),"ICICI",IF(ISNUMBER(SEARCH("Propelld",W316&amp;"")),"Propelld",IF(ISNUMBER(SEARCH("vidyalakshmi",LOWER(W316&amp;"")),"PM Vidyalakshmi","—"))))))))))</f>
        <v/>
      </c>
      <c r="U316">
        <f>IF(A316="","",TRIM('01_Master_Data'!AA316&amp;""))</f>
        <v/>
      </c>
      <c r="V316">
        <f>IF(A316="","",TRIM('01_Master_Data'!AG316&amp;""))</f>
        <v/>
      </c>
      <c r="W316">
        <f>IF(A316="","",TRIM('01_Master_Data'!AH316&amp;""))</f>
        <v/>
      </c>
      <c r="X316">
        <f>IF(A316="","",IF(OR(LOWER(H316)="refund",LOWER(U316)="refund case"),"Refund",IF(OR(LOWER(H316)="dnp",LOWER(U316)="dnp"),"DNP",IF(OR(LOWER(V316)="disbursed",ISNUMBER(SEARCH("Disbursed",W316&amp;""))),"Disbursed",IF(OR(LOWER(V316)="loan proccessed/accepted",ISNUMBER(SEARCH("sanctioned",LOWER(W316&amp;"")))),"Sanctioned",IF(OR(LOWER(V316)="rejected",ISNUMBER(SEARCH("Not eligbile",W316&amp;"")),ISNUMBER(SEARCH("Not eligible",W316&amp;""))),"Rejected",IF(ISNUMBER(SEARCH("Docs Pending",W316&amp;"")),"Documents Pending",IF(AND(LOWER(H316)="yes",LOWER(V316)="ongoing"),"Processing",IF(AND(LOWER(H316)="yes",Q316&gt;0,OR(V316="",LOWER(V316)="not even started")),"Vendor Assigned",IF(AND(LOWER(H316)="yes",LOWER(V316)="not even started"),"Need Loan",IF(LOWER(H316)="yes","Loan Started",IF(LOWER(H316)="not sure","Interested",IF(OR(LOWER(H316)="no",LOWER(V316)="not required"),"Not Required","Unclassified")))))))))))))</f>
        <v/>
      </c>
      <c r="Y316">
        <f>IF(A316="","",IF(OR(X316="Sanctioned",X316="Disbursed",X316="Approved"),"Approved",IF(X316="Rejected","Rejected",IF(OR(X316="Processing",X316="Documents Pending",X316="Vendor Assigned"),"In Progress",IF(X316="Need Loan","Pending Start","—"))))</f>
        <v/>
      </c>
      <c r="Z316">
        <f>IF(A316="","",IF(X316="Disbursed","Disbursed",IF(X316="Sanctioned","Sanctioned - Awaiting Disbursement","Not Disbursed")))</f>
        <v/>
      </c>
      <c r="AA316">
        <f>IF(A316="","",IF(LOWER(TRIM('01_Master_Data'!AI316&amp;""))="yes","Need FLDG",IF(LOWER(TRIM('01_Master_Data'!AK316&amp;""))="yes","Need Vidyalakshmi",IF(LOWER(TRIM('01_Master_Data'!AJ316&amp;""))="yes","Need Review",IF(LOWER(J316)="critical","Critical",IF(LOWER(U316)="risk","Risk Case",IF(X316="Refund","Refund","Normal")))))))</f>
        <v/>
      </c>
      <c r="AB316">
        <f>IF(A316="","",IF(OR(LOWER(J316)="critical",LOWER(TRIM('01_Master_Data'!AI316&amp;""))="yes",LOWER(TRIM('01_Master_Data'!AK316&amp;""))="yes",LOWER(U316)="risk"),"Yes","No"))</f>
        <v/>
      </c>
      <c r="AC316">
        <f>IF(A316="","",IF(LOWER(TRIM('01_Master_Data'!AI316&amp;""))="yes","Yes","No"))</f>
        <v/>
      </c>
      <c r="AD316">
        <f>IF(A316="","",IF(LOWER(TRIM('01_Master_Data'!AK316&amp;""))="yes","Yes","No"))</f>
        <v/>
      </c>
      <c r="AE316">
        <f>IF(A316="","",IF(LOWER(TRIM('01_Master_Data'!AJ316&amp;""))="yes","Yes","No"))</f>
        <v/>
      </c>
      <c r="AF316">
        <f>IF(A316="","",TRIM('01_Master_Data'!AL316&amp;""))</f>
        <v/>
      </c>
      <c r="AG316">
        <f>IF(A316="","",IF(AF316="","—",IF(ISNUMBER(SEARCH("DNP",AF316)),"Unreachable / DNP",IF(ISNUMBER(SEARCH("interest",LOWER(AF316))),"High Interest / Terms",IF(OR(ISNUMBER(SEARCH("eligib",LOWER(AF316))),ISNUMBER(SEARCH("income",LOWER(AF316)))),"Eligibility / Income",IF(OR(ISNUMBER(SEARCH("start",LOWER(AF316))),ISNUMBER(SEARCH("Newer",AF316)),ISNUMBER(SEARCH("Will start",AF316))),"Process Yet to Start",IF(ISNUMBER(SEARCH("sure",LOWER(AF316))),"Undecided",IF(OR(ISNUMBER(SEARCH("reject",LOWER(AF316))),ISNUMBER(SEARCH("SBI",AF316))),"Rejected Elsewhere",IF(ISNUMBER(SEARCH("call",LOWER(AF316))),"Bank Communication",IF(OR(ISNUMBER(SEARCH("father",LOWER(AF316))),ISNUMBER(SEARCH("sister",LOWER(AF316)))),"Family / Dependency","Other"))))))))))</f>
        <v/>
      </c>
      <c r="AH316">
        <f>IF(A316="","",'01_Master_Data'!AC316)</f>
        <v/>
      </c>
      <c r="AI316">
        <f>IF(A316="","",IF(OR(AH316="",NOT(ISNUMBER(AH316))),"",MAX(0,'02_Configuration'!$B$82-AH316)))</f>
        <v/>
      </c>
      <c r="AJ316">
        <f>IF(A316="","",IF(AI316="","Unknown",IF(AI316&lt;=3,"0–3 Days",IF(AI316&lt;=7,"4–7 Days",IF(AI316&lt;=15,"8–15 Days",IF(AI316&lt;=30,"16–30 Days","30+ Days"))))))</f>
        <v/>
      </c>
      <c r="AK316">
        <f>IF(A316="","",IF(LOWER(H316)="yes","Yes","No"))</f>
        <v/>
      </c>
      <c r="AL316">
        <f>IF(A316="","",'01_Master_Data'!T316)</f>
        <v/>
      </c>
      <c r="AM316">
        <f>IF(A316="","",'01_Master_Data'!S316)</f>
        <v/>
      </c>
      <c r="AN316">
        <f>IF(A316="","",'01_Master_Data'!I316)</f>
        <v/>
      </c>
      <c r="AO316">
        <f>IF(A316="","",'01_Master_Data'!M316)</f>
        <v/>
      </c>
      <c r="AP316">
        <f>IF(A316="","",IF(ISNUMBER(SEARCH("Icici",W316&amp;"")),1,0))</f>
        <v/>
      </c>
      <c r="AQ316">
        <f>IF(A316="","",IF(ISNUMBER(SEARCH("Propelld",W316&amp;"")),1,0))</f>
        <v/>
      </c>
      <c r="AR316">
        <f>IF(A316="","",IF(ISNUMBER(SEARCH("GyanDhan",W316&amp;"")),1,0))</f>
        <v/>
      </c>
      <c r="AS316">
        <f>IF(A316="","",IF(ISNUMBER(SEARCH("vidyalakshmi",LOWER(W316&amp;""))),1,0))</f>
        <v/>
      </c>
      <c r="AT316">
        <f>IF(A316="","",IF(ISNUMBER(SEARCH("other bank",LOWER(W316&amp;""))),1,0))</f>
        <v/>
      </c>
      <c r="AU316">
        <f>IF(A316="","",IF(ISNUMBER(SEARCH("sanctioned",LOWER(W316&amp;""))),1,0))</f>
        <v/>
      </c>
      <c r="AV316">
        <f>IF(A316="","",IF(ISNUMBER(SEARCH("Docs Pending",W316&amp;"")),1,0))</f>
        <v/>
      </c>
      <c r="AW316">
        <f>IF(A316="","",IF(OR(X316="Rejected",ISNUMBER(SEARCH("Not eligbile",W316&amp;""))),1,0))</f>
        <v/>
      </c>
    </row>
    <row r="317">
      <c r="A317">
        <f>IF('01_Master_Data'!B317="","",316)</f>
        <v/>
      </c>
      <c r="B317">
        <f>IF('01_Master_Data'!B317="","",IF('01_Master_Data'!C317&lt;&gt;"","MOB|"&amp;TEXT('01_Master_Data'!C317,"0"),IF('01_Master_Data'!D317&lt;&gt;"","PID|"&amp;TRIM('01_Master_Data'!D317&amp;""),"")))</f>
        <v/>
      </c>
      <c r="C317">
        <f>IF('01_Master_Data'!B317="","",'01_Master_Data'!B317)</f>
        <v/>
      </c>
      <c r="D317">
        <f>IF('01_Master_Data'!B317="","",'01_Master_Data'!C317)</f>
        <v/>
      </c>
      <c r="E317">
        <f>IF('01_Master_Data'!B317="","",'01_Master_Data'!D317)</f>
        <v/>
      </c>
      <c r="F317">
        <f>IF('01_Master_Data'!B317="","",'01_Master_Data'!E317)</f>
        <v/>
      </c>
      <c r="G317">
        <f>IF('01_Master_Data'!B317="","",IFERROR(VLOOKUP(TRIM('01_Master_Data'!E317&amp;""),'02_Configuration'!$A$40:$B$44,2,FALSE),UPPER(TRIM('01_Master_Data'!E317&amp;""))))</f>
        <v/>
      </c>
      <c r="H317">
        <f>IF('01_Master_Data'!B317="","",IF('01_Master_Data'!U317="","",TRIM('01_Master_Data'!U317&amp;"")))</f>
        <v/>
      </c>
      <c r="I317">
        <f>IF('01_Master_Data'!B317="","",TRIM('01_Master_Data'!F317&amp;""))</f>
        <v/>
      </c>
      <c r="J317">
        <f>IF('01_Master_Data'!B317="","",TRIM('01_Master_Data'!G317&amp;""))</f>
        <v/>
      </c>
      <c r="K317">
        <f>IF('01_Master_Data'!B317="","",'01_Master_Data'!H317)</f>
        <v/>
      </c>
      <c r="L317">
        <f>IF('01_Master_Data'!B317="","",IF(LOWER(TRIM('01_Master_Data'!V317&amp;""))="yes",1,0))</f>
        <v/>
      </c>
      <c r="M317">
        <f>IF('01_Master_Data'!B317="","",IF(LOWER(TRIM('01_Master_Data'!W317&amp;""))="yes",1,0))</f>
        <v/>
      </c>
      <c r="N317">
        <f>IF('01_Master_Data'!B317="","",IF(LOWER(TRIM('01_Master_Data'!X317&amp;""))="yes",1,0))</f>
        <v/>
      </c>
      <c r="O317">
        <f>IF('01_Master_Data'!B317="","",IF(LOWER(TRIM('01_Master_Data'!Y317&amp;""))="yes",1,0))</f>
        <v/>
      </c>
      <c r="P317">
        <f>IF('01_Master_Data'!B317="","",IF(LOWER(TRIM('01_Master_Data'!Z317&amp;""))="yes",1,0))</f>
        <v/>
      </c>
      <c r="Q317">
        <f>IF(A317="","",L317+M317+N317+O317+P317)</f>
        <v/>
      </c>
      <c r="R317">
        <f>IF(A317="","",IF(Q317&gt;1,"Yes","No"))</f>
        <v/>
      </c>
      <c r="S317">
        <f>IF(A317="","",TEXTJOIN(", ",TRUE,IF(L317=1,"ICICI",""),IF(M317=1,"Propelld",""),IF(N317=1,"Study4Buddy",""),IF(O317=1,"Poonawala Fincorp",""),IF(P317=1,"GyanDhan","")))</f>
        <v/>
      </c>
      <c r="T317">
        <f>IF(A317="","",IF(L317=1,"ICICI",IF(M317=1,"Propelld",IF(P317=1,"GyanDhan",IF(N317=1,"Study4Buddy",IF(O317=1,"Poonawala Fincorp",IF(ISNUMBER(SEARCH("GyanDhan",W317&amp;"")),"GyanDhan",IF(ISNUMBER(SEARCH("Icici",W317&amp;"")),"ICICI",IF(ISNUMBER(SEARCH("Propelld",W317&amp;"")),"Propelld",IF(ISNUMBER(SEARCH("vidyalakshmi",LOWER(W317&amp;"")),"PM Vidyalakshmi","—"))))))))))</f>
        <v/>
      </c>
      <c r="U317">
        <f>IF(A317="","",TRIM('01_Master_Data'!AA317&amp;""))</f>
        <v/>
      </c>
      <c r="V317">
        <f>IF(A317="","",TRIM('01_Master_Data'!AG317&amp;""))</f>
        <v/>
      </c>
      <c r="W317">
        <f>IF(A317="","",TRIM('01_Master_Data'!AH317&amp;""))</f>
        <v/>
      </c>
      <c r="X317">
        <f>IF(A317="","",IF(OR(LOWER(H317)="refund",LOWER(U317)="refund case"),"Refund",IF(OR(LOWER(H317)="dnp",LOWER(U317)="dnp"),"DNP",IF(OR(LOWER(V317)="disbursed",ISNUMBER(SEARCH("Disbursed",W317&amp;""))),"Disbursed",IF(OR(LOWER(V317)="loan proccessed/accepted",ISNUMBER(SEARCH("sanctioned",LOWER(W317&amp;"")))),"Sanctioned",IF(OR(LOWER(V317)="rejected",ISNUMBER(SEARCH("Not eligbile",W317&amp;"")),ISNUMBER(SEARCH("Not eligible",W317&amp;""))),"Rejected",IF(ISNUMBER(SEARCH("Docs Pending",W317&amp;"")),"Documents Pending",IF(AND(LOWER(H317)="yes",LOWER(V317)="ongoing"),"Processing",IF(AND(LOWER(H317)="yes",Q317&gt;0,OR(V317="",LOWER(V317)="not even started")),"Vendor Assigned",IF(AND(LOWER(H317)="yes",LOWER(V317)="not even started"),"Need Loan",IF(LOWER(H317)="yes","Loan Started",IF(LOWER(H317)="not sure","Interested",IF(OR(LOWER(H317)="no",LOWER(V317)="not required"),"Not Required","Unclassified")))))))))))))</f>
        <v/>
      </c>
      <c r="Y317">
        <f>IF(A317="","",IF(OR(X317="Sanctioned",X317="Disbursed",X317="Approved"),"Approved",IF(X317="Rejected","Rejected",IF(OR(X317="Processing",X317="Documents Pending",X317="Vendor Assigned"),"In Progress",IF(X317="Need Loan","Pending Start","—"))))</f>
        <v/>
      </c>
      <c r="Z317">
        <f>IF(A317="","",IF(X317="Disbursed","Disbursed",IF(X317="Sanctioned","Sanctioned - Awaiting Disbursement","Not Disbursed")))</f>
        <v/>
      </c>
      <c r="AA317">
        <f>IF(A317="","",IF(LOWER(TRIM('01_Master_Data'!AI317&amp;""))="yes","Need FLDG",IF(LOWER(TRIM('01_Master_Data'!AK317&amp;""))="yes","Need Vidyalakshmi",IF(LOWER(TRIM('01_Master_Data'!AJ317&amp;""))="yes","Need Review",IF(LOWER(J317)="critical","Critical",IF(LOWER(U317)="risk","Risk Case",IF(X317="Refund","Refund","Normal")))))))</f>
        <v/>
      </c>
      <c r="AB317">
        <f>IF(A317="","",IF(OR(LOWER(J317)="critical",LOWER(TRIM('01_Master_Data'!AI317&amp;""))="yes",LOWER(TRIM('01_Master_Data'!AK317&amp;""))="yes",LOWER(U317)="risk"),"Yes","No"))</f>
        <v/>
      </c>
      <c r="AC317">
        <f>IF(A317="","",IF(LOWER(TRIM('01_Master_Data'!AI317&amp;""))="yes","Yes","No"))</f>
        <v/>
      </c>
      <c r="AD317">
        <f>IF(A317="","",IF(LOWER(TRIM('01_Master_Data'!AK317&amp;""))="yes","Yes","No"))</f>
        <v/>
      </c>
      <c r="AE317">
        <f>IF(A317="","",IF(LOWER(TRIM('01_Master_Data'!AJ317&amp;""))="yes","Yes","No"))</f>
        <v/>
      </c>
      <c r="AF317">
        <f>IF(A317="","",TRIM('01_Master_Data'!AL317&amp;""))</f>
        <v/>
      </c>
      <c r="AG317">
        <f>IF(A317="","",IF(AF317="","—",IF(ISNUMBER(SEARCH("DNP",AF317)),"Unreachable / DNP",IF(ISNUMBER(SEARCH("interest",LOWER(AF317))),"High Interest / Terms",IF(OR(ISNUMBER(SEARCH("eligib",LOWER(AF317))),ISNUMBER(SEARCH("income",LOWER(AF317)))),"Eligibility / Income",IF(OR(ISNUMBER(SEARCH("start",LOWER(AF317))),ISNUMBER(SEARCH("Newer",AF317)),ISNUMBER(SEARCH("Will start",AF317))),"Process Yet to Start",IF(ISNUMBER(SEARCH("sure",LOWER(AF317))),"Undecided",IF(OR(ISNUMBER(SEARCH("reject",LOWER(AF317))),ISNUMBER(SEARCH("SBI",AF317))),"Rejected Elsewhere",IF(ISNUMBER(SEARCH("call",LOWER(AF317))),"Bank Communication",IF(OR(ISNUMBER(SEARCH("father",LOWER(AF317))),ISNUMBER(SEARCH("sister",LOWER(AF317)))),"Family / Dependency","Other"))))))))))</f>
        <v/>
      </c>
      <c r="AH317">
        <f>IF(A317="","",'01_Master_Data'!AC317)</f>
        <v/>
      </c>
      <c r="AI317">
        <f>IF(A317="","",IF(OR(AH317="",NOT(ISNUMBER(AH317))),"",MAX(0,'02_Configuration'!$B$82-AH317)))</f>
        <v/>
      </c>
      <c r="AJ317">
        <f>IF(A317="","",IF(AI317="","Unknown",IF(AI317&lt;=3,"0–3 Days",IF(AI317&lt;=7,"4–7 Days",IF(AI317&lt;=15,"8–15 Days",IF(AI317&lt;=30,"16–30 Days","30+ Days"))))))</f>
        <v/>
      </c>
      <c r="AK317">
        <f>IF(A317="","",IF(LOWER(H317)="yes","Yes","No"))</f>
        <v/>
      </c>
      <c r="AL317">
        <f>IF(A317="","",'01_Master_Data'!T317)</f>
        <v/>
      </c>
      <c r="AM317">
        <f>IF(A317="","",'01_Master_Data'!S317)</f>
        <v/>
      </c>
      <c r="AN317">
        <f>IF(A317="","",'01_Master_Data'!I317)</f>
        <v/>
      </c>
      <c r="AO317">
        <f>IF(A317="","",'01_Master_Data'!M317)</f>
        <v/>
      </c>
      <c r="AP317">
        <f>IF(A317="","",IF(ISNUMBER(SEARCH("Icici",W317&amp;"")),1,0))</f>
        <v/>
      </c>
      <c r="AQ317">
        <f>IF(A317="","",IF(ISNUMBER(SEARCH("Propelld",W317&amp;"")),1,0))</f>
        <v/>
      </c>
      <c r="AR317">
        <f>IF(A317="","",IF(ISNUMBER(SEARCH("GyanDhan",W317&amp;"")),1,0))</f>
        <v/>
      </c>
      <c r="AS317">
        <f>IF(A317="","",IF(ISNUMBER(SEARCH("vidyalakshmi",LOWER(W317&amp;""))),1,0))</f>
        <v/>
      </c>
      <c r="AT317">
        <f>IF(A317="","",IF(ISNUMBER(SEARCH("other bank",LOWER(W317&amp;""))),1,0))</f>
        <v/>
      </c>
      <c r="AU317">
        <f>IF(A317="","",IF(ISNUMBER(SEARCH("sanctioned",LOWER(W317&amp;""))),1,0))</f>
        <v/>
      </c>
      <c r="AV317">
        <f>IF(A317="","",IF(ISNUMBER(SEARCH("Docs Pending",W317&amp;"")),1,0))</f>
        <v/>
      </c>
      <c r="AW317">
        <f>IF(A317="","",IF(OR(X317="Rejected",ISNUMBER(SEARCH("Not eligbile",W317&amp;""))),1,0))</f>
        <v/>
      </c>
    </row>
    <row r="318">
      <c r="A318">
        <f>IF('01_Master_Data'!B318="","",317)</f>
        <v/>
      </c>
      <c r="B318">
        <f>IF('01_Master_Data'!B318="","",IF('01_Master_Data'!C318&lt;&gt;"","MOB|"&amp;TEXT('01_Master_Data'!C318,"0"),IF('01_Master_Data'!D318&lt;&gt;"","PID|"&amp;TRIM('01_Master_Data'!D318&amp;""),"")))</f>
        <v/>
      </c>
      <c r="C318">
        <f>IF('01_Master_Data'!B318="","",'01_Master_Data'!B318)</f>
        <v/>
      </c>
      <c r="D318">
        <f>IF('01_Master_Data'!B318="","",'01_Master_Data'!C318)</f>
        <v/>
      </c>
      <c r="E318">
        <f>IF('01_Master_Data'!B318="","",'01_Master_Data'!D318)</f>
        <v/>
      </c>
      <c r="F318">
        <f>IF('01_Master_Data'!B318="","",'01_Master_Data'!E318)</f>
        <v/>
      </c>
      <c r="G318">
        <f>IF('01_Master_Data'!B318="","",IFERROR(VLOOKUP(TRIM('01_Master_Data'!E318&amp;""),'02_Configuration'!$A$40:$B$44,2,FALSE),UPPER(TRIM('01_Master_Data'!E318&amp;""))))</f>
        <v/>
      </c>
      <c r="H318">
        <f>IF('01_Master_Data'!B318="","",IF('01_Master_Data'!U318="","",TRIM('01_Master_Data'!U318&amp;"")))</f>
        <v/>
      </c>
      <c r="I318">
        <f>IF('01_Master_Data'!B318="","",TRIM('01_Master_Data'!F318&amp;""))</f>
        <v/>
      </c>
      <c r="J318">
        <f>IF('01_Master_Data'!B318="","",TRIM('01_Master_Data'!G318&amp;""))</f>
        <v/>
      </c>
      <c r="K318">
        <f>IF('01_Master_Data'!B318="","",'01_Master_Data'!H318)</f>
        <v/>
      </c>
      <c r="L318">
        <f>IF('01_Master_Data'!B318="","",IF(LOWER(TRIM('01_Master_Data'!V318&amp;""))="yes",1,0))</f>
        <v/>
      </c>
      <c r="M318">
        <f>IF('01_Master_Data'!B318="","",IF(LOWER(TRIM('01_Master_Data'!W318&amp;""))="yes",1,0))</f>
        <v/>
      </c>
      <c r="N318">
        <f>IF('01_Master_Data'!B318="","",IF(LOWER(TRIM('01_Master_Data'!X318&amp;""))="yes",1,0))</f>
        <v/>
      </c>
      <c r="O318">
        <f>IF('01_Master_Data'!B318="","",IF(LOWER(TRIM('01_Master_Data'!Y318&amp;""))="yes",1,0))</f>
        <v/>
      </c>
      <c r="P318">
        <f>IF('01_Master_Data'!B318="","",IF(LOWER(TRIM('01_Master_Data'!Z318&amp;""))="yes",1,0))</f>
        <v/>
      </c>
      <c r="Q318">
        <f>IF(A318="","",L318+M318+N318+O318+P318)</f>
        <v/>
      </c>
      <c r="R318">
        <f>IF(A318="","",IF(Q318&gt;1,"Yes","No"))</f>
        <v/>
      </c>
      <c r="S318">
        <f>IF(A318="","",TEXTJOIN(", ",TRUE,IF(L318=1,"ICICI",""),IF(M318=1,"Propelld",""),IF(N318=1,"Study4Buddy",""),IF(O318=1,"Poonawala Fincorp",""),IF(P318=1,"GyanDhan","")))</f>
        <v/>
      </c>
      <c r="T318">
        <f>IF(A318="","",IF(L318=1,"ICICI",IF(M318=1,"Propelld",IF(P318=1,"GyanDhan",IF(N318=1,"Study4Buddy",IF(O318=1,"Poonawala Fincorp",IF(ISNUMBER(SEARCH("GyanDhan",W318&amp;"")),"GyanDhan",IF(ISNUMBER(SEARCH("Icici",W318&amp;"")),"ICICI",IF(ISNUMBER(SEARCH("Propelld",W318&amp;"")),"Propelld",IF(ISNUMBER(SEARCH("vidyalakshmi",LOWER(W318&amp;"")),"PM Vidyalakshmi","—"))))))))))</f>
        <v/>
      </c>
      <c r="U318">
        <f>IF(A318="","",TRIM('01_Master_Data'!AA318&amp;""))</f>
        <v/>
      </c>
      <c r="V318">
        <f>IF(A318="","",TRIM('01_Master_Data'!AG318&amp;""))</f>
        <v/>
      </c>
      <c r="W318">
        <f>IF(A318="","",TRIM('01_Master_Data'!AH318&amp;""))</f>
        <v/>
      </c>
      <c r="X318">
        <f>IF(A318="","",IF(OR(LOWER(H318)="refund",LOWER(U318)="refund case"),"Refund",IF(OR(LOWER(H318)="dnp",LOWER(U318)="dnp"),"DNP",IF(OR(LOWER(V318)="disbursed",ISNUMBER(SEARCH("Disbursed",W318&amp;""))),"Disbursed",IF(OR(LOWER(V318)="loan proccessed/accepted",ISNUMBER(SEARCH("sanctioned",LOWER(W318&amp;"")))),"Sanctioned",IF(OR(LOWER(V318)="rejected",ISNUMBER(SEARCH("Not eligbile",W318&amp;"")),ISNUMBER(SEARCH("Not eligible",W318&amp;""))),"Rejected",IF(ISNUMBER(SEARCH("Docs Pending",W318&amp;"")),"Documents Pending",IF(AND(LOWER(H318)="yes",LOWER(V318)="ongoing"),"Processing",IF(AND(LOWER(H318)="yes",Q318&gt;0,OR(V318="",LOWER(V318)="not even started")),"Vendor Assigned",IF(AND(LOWER(H318)="yes",LOWER(V318)="not even started"),"Need Loan",IF(LOWER(H318)="yes","Loan Started",IF(LOWER(H318)="not sure","Interested",IF(OR(LOWER(H318)="no",LOWER(V318)="not required"),"Not Required","Unclassified")))))))))))))</f>
        <v/>
      </c>
      <c r="Y318">
        <f>IF(A318="","",IF(OR(X318="Sanctioned",X318="Disbursed",X318="Approved"),"Approved",IF(X318="Rejected","Rejected",IF(OR(X318="Processing",X318="Documents Pending",X318="Vendor Assigned"),"In Progress",IF(X318="Need Loan","Pending Start","—"))))</f>
        <v/>
      </c>
      <c r="Z318">
        <f>IF(A318="","",IF(X318="Disbursed","Disbursed",IF(X318="Sanctioned","Sanctioned - Awaiting Disbursement","Not Disbursed")))</f>
        <v/>
      </c>
      <c r="AA318">
        <f>IF(A318="","",IF(LOWER(TRIM('01_Master_Data'!AI318&amp;""))="yes","Need FLDG",IF(LOWER(TRIM('01_Master_Data'!AK318&amp;""))="yes","Need Vidyalakshmi",IF(LOWER(TRIM('01_Master_Data'!AJ318&amp;""))="yes","Need Review",IF(LOWER(J318)="critical","Critical",IF(LOWER(U318)="risk","Risk Case",IF(X318="Refund","Refund","Normal")))))))</f>
        <v/>
      </c>
      <c r="AB318">
        <f>IF(A318="","",IF(OR(LOWER(J318)="critical",LOWER(TRIM('01_Master_Data'!AI318&amp;""))="yes",LOWER(TRIM('01_Master_Data'!AK318&amp;""))="yes",LOWER(U318)="risk"),"Yes","No"))</f>
        <v/>
      </c>
      <c r="AC318">
        <f>IF(A318="","",IF(LOWER(TRIM('01_Master_Data'!AI318&amp;""))="yes","Yes","No"))</f>
        <v/>
      </c>
      <c r="AD318">
        <f>IF(A318="","",IF(LOWER(TRIM('01_Master_Data'!AK318&amp;""))="yes","Yes","No"))</f>
        <v/>
      </c>
      <c r="AE318">
        <f>IF(A318="","",IF(LOWER(TRIM('01_Master_Data'!AJ318&amp;""))="yes","Yes","No"))</f>
        <v/>
      </c>
      <c r="AF318">
        <f>IF(A318="","",TRIM('01_Master_Data'!AL318&amp;""))</f>
        <v/>
      </c>
      <c r="AG318">
        <f>IF(A318="","",IF(AF318="","—",IF(ISNUMBER(SEARCH("DNP",AF318)),"Unreachable / DNP",IF(ISNUMBER(SEARCH("interest",LOWER(AF318))),"High Interest / Terms",IF(OR(ISNUMBER(SEARCH("eligib",LOWER(AF318))),ISNUMBER(SEARCH("income",LOWER(AF318)))),"Eligibility / Income",IF(OR(ISNUMBER(SEARCH("start",LOWER(AF318))),ISNUMBER(SEARCH("Newer",AF318)),ISNUMBER(SEARCH("Will start",AF318))),"Process Yet to Start",IF(ISNUMBER(SEARCH("sure",LOWER(AF318))),"Undecided",IF(OR(ISNUMBER(SEARCH("reject",LOWER(AF318))),ISNUMBER(SEARCH("SBI",AF318))),"Rejected Elsewhere",IF(ISNUMBER(SEARCH("call",LOWER(AF318))),"Bank Communication",IF(OR(ISNUMBER(SEARCH("father",LOWER(AF318))),ISNUMBER(SEARCH("sister",LOWER(AF318)))),"Family / Dependency","Other"))))))))))</f>
        <v/>
      </c>
      <c r="AH318">
        <f>IF(A318="","",'01_Master_Data'!AC318)</f>
        <v/>
      </c>
      <c r="AI318">
        <f>IF(A318="","",IF(OR(AH318="",NOT(ISNUMBER(AH318))),"",MAX(0,'02_Configuration'!$B$82-AH318)))</f>
        <v/>
      </c>
      <c r="AJ318">
        <f>IF(A318="","",IF(AI318="","Unknown",IF(AI318&lt;=3,"0–3 Days",IF(AI318&lt;=7,"4–7 Days",IF(AI318&lt;=15,"8–15 Days",IF(AI318&lt;=30,"16–30 Days","30+ Days"))))))</f>
        <v/>
      </c>
      <c r="AK318">
        <f>IF(A318="","",IF(LOWER(H318)="yes","Yes","No"))</f>
        <v/>
      </c>
      <c r="AL318">
        <f>IF(A318="","",'01_Master_Data'!T318)</f>
        <v/>
      </c>
      <c r="AM318">
        <f>IF(A318="","",'01_Master_Data'!S318)</f>
        <v/>
      </c>
      <c r="AN318">
        <f>IF(A318="","",'01_Master_Data'!I318)</f>
        <v/>
      </c>
      <c r="AO318">
        <f>IF(A318="","",'01_Master_Data'!M318)</f>
        <v/>
      </c>
      <c r="AP318">
        <f>IF(A318="","",IF(ISNUMBER(SEARCH("Icici",W318&amp;"")),1,0))</f>
        <v/>
      </c>
      <c r="AQ318">
        <f>IF(A318="","",IF(ISNUMBER(SEARCH("Propelld",W318&amp;"")),1,0))</f>
        <v/>
      </c>
      <c r="AR318">
        <f>IF(A318="","",IF(ISNUMBER(SEARCH("GyanDhan",W318&amp;"")),1,0))</f>
        <v/>
      </c>
      <c r="AS318">
        <f>IF(A318="","",IF(ISNUMBER(SEARCH("vidyalakshmi",LOWER(W318&amp;""))),1,0))</f>
        <v/>
      </c>
      <c r="AT318">
        <f>IF(A318="","",IF(ISNUMBER(SEARCH("other bank",LOWER(W318&amp;""))),1,0))</f>
        <v/>
      </c>
      <c r="AU318">
        <f>IF(A318="","",IF(ISNUMBER(SEARCH("sanctioned",LOWER(W318&amp;""))),1,0))</f>
        <v/>
      </c>
      <c r="AV318">
        <f>IF(A318="","",IF(ISNUMBER(SEARCH("Docs Pending",W318&amp;"")),1,0))</f>
        <v/>
      </c>
      <c r="AW318">
        <f>IF(A318="","",IF(OR(X318="Rejected",ISNUMBER(SEARCH("Not eligbile",W318&amp;""))),1,0))</f>
        <v/>
      </c>
    </row>
    <row r="319">
      <c r="A319">
        <f>IF('01_Master_Data'!B319="","",318)</f>
        <v/>
      </c>
      <c r="B319">
        <f>IF('01_Master_Data'!B319="","",IF('01_Master_Data'!C319&lt;&gt;"","MOB|"&amp;TEXT('01_Master_Data'!C319,"0"),IF('01_Master_Data'!D319&lt;&gt;"","PID|"&amp;TRIM('01_Master_Data'!D319&amp;""),"")))</f>
        <v/>
      </c>
      <c r="C319">
        <f>IF('01_Master_Data'!B319="","",'01_Master_Data'!B319)</f>
        <v/>
      </c>
      <c r="D319">
        <f>IF('01_Master_Data'!B319="","",'01_Master_Data'!C319)</f>
        <v/>
      </c>
      <c r="E319">
        <f>IF('01_Master_Data'!B319="","",'01_Master_Data'!D319)</f>
        <v/>
      </c>
      <c r="F319">
        <f>IF('01_Master_Data'!B319="","",'01_Master_Data'!E319)</f>
        <v/>
      </c>
      <c r="G319">
        <f>IF('01_Master_Data'!B319="","",IFERROR(VLOOKUP(TRIM('01_Master_Data'!E319&amp;""),'02_Configuration'!$A$40:$B$44,2,FALSE),UPPER(TRIM('01_Master_Data'!E319&amp;""))))</f>
        <v/>
      </c>
      <c r="H319">
        <f>IF('01_Master_Data'!B319="","",IF('01_Master_Data'!U319="","",TRIM('01_Master_Data'!U319&amp;"")))</f>
        <v/>
      </c>
      <c r="I319">
        <f>IF('01_Master_Data'!B319="","",TRIM('01_Master_Data'!F319&amp;""))</f>
        <v/>
      </c>
      <c r="J319">
        <f>IF('01_Master_Data'!B319="","",TRIM('01_Master_Data'!G319&amp;""))</f>
        <v/>
      </c>
      <c r="K319">
        <f>IF('01_Master_Data'!B319="","",'01_Master_Data'!H319)</f>
        <v/>
      </c>
      <c r="L319">
        <f>IF('01_Master_Data'!B319="","",IF(LOWER(TRIM('01_Master_Data'!V319&amp;""))="yes",1,0))</f>
        <v/>
      </c>
      <c r="M319">
        <f>IF('01_Master_Data'!B319="","",IF(LOWER(TRIM('01_Master_Data'!W319&amp;""))="yes",1,0))</f>
        <v/>
      </c>
      <c r="N319">
        <f>IF('01_Master_Data'!B319="","",IF(LOWER(TRIM('01_Master_Data'!X319&amp;""))="yes",1,0))</f>
        <v/>
      </c>
      <c r="O319">
        <f>IF('01_Master_Data'!B319="","",IF(LOWER(TRIM('01_Master_Data'!Y319&amp;""))="yes",1,0))</f>
        <v/>
      </c>
      <c r="P319">
        <f>IF('01_Master_Data'!B319="","",IF(LOWER(TRIM('01_Master_Data'!Z319&amp;""))="yes",1,0))</f>
        <v/>
      </c>
      <c r="Q319">
        <f>IF(A319="","",L319+M319+N319+O319+P319)</f>
        <v/>
      </c>
      <c r="R319">
        <f>IF(A319="","",IF(Q319&gt;1,"Yes","No"))</f>
        <v/>
      </c>
      <c r="S319">
        <f>IF(A319="","",TEXTJOIN(", ",TRUE,IF(L319=1,"ICICI",""),IF(M319=1,"Propelld",""),IF(N319=1,"Study4Buddy",""),IF(O319=1,"Poonawala Fincorp",""),IF(P319=1,"GyanDhan","")))</f>
        <v/>
      </c>
      <c r="T319">
        <f>IF(A319="","",IF(L319=1,"ICICI",IF(M319=1,"Propelld",IF(P319=1,"GyanDhan",IF(N319=1,"Study4Buddy",IF(O319=1,"Poonawala Fincorp",IF(ISNUMBER(SEARCH("GyanDhan",W319&amp;"")),"GyanDhan",IF(ISNUMBER(SEARCH("Icici",W319&amp;"")),"ICICI",IF(ISNUMBER(SEARCH("Propelld",W319&amp;"")),"Propelld",IF(ISNUMBER(SEARCH("vidyalakshmi",LOWER(W319&amp;"")),"PM Vidyalakshmi","—"))))))))))</f>
        <v/>
      </c>
      <c r="U319">
        <f>IF(A319="","",TRIM('01_Master_Data'!AA319&amp;""))</f>
        <v/>
      </c>
      <c r="V319">
        <f>IF(A319="","",TRIM('01_Master_Data'!AG319&amp;""))</f>
        <v/>
      </c>
      <c r="W319">
        <f>IF(A319="","",TRIM('01_Master_Data'!AH319&amp;""))</f>
        <v/>
      </c>
      <c r="X319">
        <f>IF(A319="","",IF(OR(LOWER(H319)="refund",LOWER(U319)="refund case"),"Refund",IF(OR(LOWER(H319)="dnp",LOWER(U319)="dnp"),"DNP",IF(OR(LOWER(V319)="disbursed",ISNUMBER(SEARCH("Disbursed",W319&amp;""))),"Disbursed",IF(OR(LOWER(V319)="loan proccessed/accepted",ISNUMBER(SEARCH("sanctioned",LOWER(W319&amp;"")))),"Sanctioned",IF(OR(LOWER(V319)="rejected",ISNUMBER(SEARCH("Not eligbile",W319&amp;"")),ISNUMBER(SEARCH("Not eligible",W319&amp;""))),"Rejected",IF(ISNUMBER(SEARCH("Docs Pending",W319&amp;"")),"Documents Pending",IF(AND(LOWER(H319)="yes",LOWER(V319)="ongoing"),"Processing",IF(AND(LOWER(H319)="yes",Q319&gt;0,OR(V319="",LOWER(V319)="not even started")),"Vendor Assigned",IF(AND(LOWER(H319)="yes",LOWER(V319)="not even started"),"Need Loan",IF(LOWER(H319)="yes","Loan Started",IF(LOWER(H319)="not sure","Interested",IF(OR(LOWER(H319)="no",LOWER(V319)="not required"),"Not Required","Unclassified")))))))))))))</f>
        <v/>
      </c>
      <c r="Y319">
        <f>IF(A319="","",IF(OR(X319="Sanctioned",X319="Disbursed",X319="Approved"),"Approved",IF(X319="Rejected","Rejected",IF(OR(X319="Processing",X319="Documents Pending",X319="Vendor Assigned"),"In Progress",IF(X319="Need Loan","Pending Start","—"))))</f>
        <v/>
      </c>
      <c r="Z319">
        <f>IF(A319="","",IF(X319="Disbursed","Disbursed",IF(X319="Sanctioned","Sanctioned - Awaiting Disbursement","Not Disbursed")))</f>
        <v/>
      </c>
      <c r="AA319">
        <f>IF(A319="","",IF(LOWER(TRIM('01_Master_Data'!AI319&amp;""))="yes","Need FLDG",IF(LOWER(TRIM('01_Master_Data'!AK319&amp;""))="yes","Need Vidyalakshmi",IF(LOWER(TRIM('01_Master_Data'!AJ319&amp;""))="yes","Need Review",IF(LOWER(J319)="critical","Critical",IF(LOWER(U319)="risk","Risk Case",IF(X319="Refund","Refund","Normal")))))))</f>
        <v/>
      </c>
      <c r="AB319">
        <f>IF(A319="","",IF(OR(LOWER(J319)="critical",LOWER(TRIM('01_Master_Data'!AI319&amp;""))="yes",LOWER(TRIM('01_Master_Data'!AK319&amp;""))="yes",LOWER(U319)="risk"),"Yes","No"))</f>
        <v/>
      </c>
      <c r="AC319">
        <f>IF(A319="","",IF(LOWER(TRIM('01_Master_Data'!AI319&amp;""))="yes","Yes","No"))</f>
        <v/>
      </c>
      <c r="AD319">
        <f>IF(A319="","",IF(LOWER(TRIM('01_Master_Data'!AK319&amp;""))="yes","Yes","No"))</f>
        <v/>
      </c>
      <c r="AE319">
        <f>IF(A319="","",IF(LOWER(TRIM('01_Master_Data'!AJ319&amp;""))="yes","Yes","No"))</f>
        <v/>
      </c>
      <c r="AF319">
        <f>IF(A319="","",TRIM('01_Master_Data'!AL319&amp;""))</f>
        <v/>
      </c>
      <c r="AG319">
        <f>IF(A319="","",IF(AF319="","—",IF(ISNUMBER(SEARCH("DNP",AF319)),"Unreachable / DNP",IF(ISNUMBER(SEARCH("interest",LOWER(AF319))),"High Interest / Terms",IF(OR(ISNUMBER(SEARCH("eligib",LOWER(AF319))),ISNUMBER(SEARCH("income",LOWER(AF319)))),"Eligibility / Income",IF(OR(ISNUMBER(SEARCH("start",LOWER(AF319))),ISNUMBER(SEARCH("Newer",AF319)),ISNUMBER(SEARCH("Will start",AF319))),"Process Yet to Start",IF(ISNUMBER(SEARCH("sure",LOWER(AF319))),"Undecided",IF(OR(ISNUMBER(SEARCH("reject",LOWER(AF319))),ISNUMBER(SEARCH("SBI",AF319))),"Rejected Elsewhere",IF(ISNUMBER(SEARCH("call",LOWER(AF319))),"Bank Communication",IF(OR(ISNUMBER(SEARCH("father",LOWER(AF319))),ISNUMBER(SEARCH("sister",LOWER(AF319)))),"Family / Dependency","Other"))))))))))</f>
        <v/>
      </c>
      <c r="AH319">
        <f>IF(A319="","",'01_Master_Data'!AC319)</f>
        <v/>
      </c>
      <c r="AI319">
        <f>IF(A319="","",IF(OR(AH319="",NOT(ISNUMBER(AH319))),"",MAX(0,'02_Configuration'!$B$82-AH319)))</f>
        <v/>
      </c>
      <c r="AJ319">
        <f>IF(A319="","",IF(AI319="","Unknown",IF(AI319&lt;=3,"0–3 Days",IF(AI319&lt;=7,"4–7 Days",IF(AI319&lt;=15,"8–15 Days",IF(AI319&lt;=30,"16–30 Days","30+ Days"))))))</f>
        <v/>
      </c>
      <c r="AK319">
        <f>IF(A319="","",IF(LOWER(H319)="yes","Yes","No"))</f>
        <v/>
      </c>
      <c r="AL319">
        <f>IF(A319="","",'01_Master_Data'!T319)</f>
        <v/>
      </c>
      <c r="AM319">
        <f>IF(A319="","",'01_Master_Data'!S319)</f>
        <v/>
      </c>
      <c r="AN319">
        <f>IF(A319="","",'01_Master_Data'!I319)</f>
        <v/>
      </c>
      <c r="AO319">
        <f>IF(A319="","",'01_Master_Data'!M319)</f>
        <v/>
      </c>
      <c r="AP319">
        <f>IF(A319="","",IF(ISNUMBER(SEARCH("Icici",W319&amp;"")),1,0))</f>
        <v/>
      </c>
      <c r="AQ319">
        <f>IF(A319="","",IF(ISNUMBER(SEARCH("Propelld",W319&amp;"")),1,0))</f>
        <v/>
      </c>
      <c r="AR319">
        <f>IF(A319="","",IF(ISNUMBER(SEARCH("GyanDhan",W319&amp;"")),1,0))</f>
        <v/>
      </c>
      <c r="AS319">
        <f>IF(A319="","",IF(ISNUMBER(SEARCH("vidyalakshmi",LOWER(W319&amp;""))),1,0))</f>
        <v/>
      </c>
      <c r="AT319">
        <f>IF(A319="","",IF(ISNUMBER(SEARCH("other bank",LOWER(W319&amp;""))),1,0))</f>
        <v/>
      </c>
      <c r="AU319">
        <f>IF(A319="","",IF(ISNUMBER(SEARCH("sanctioned",LOWER(W319&amp;""))),1,0))</f>
        <v/>
      </c>
      <c r="AV319">
        <f>IF(A319="","",IF(ISNUMBER(SEARCH("Docs Pending",W319&amp;"")),1,0))</f>
        <v/>
      </c>
      <c r="AW319">
        <f>IF(A319="","",IF(OR(X319="Rejected",ISNUMBER(SEARCH("Not eligbile",W319&amp;""))),1,0))</f>
        <v/>
      </c>
    </row>
    <row r="320">
      <c r="A320">
        <f>IF('01_Master_Data'!B320="","",319)</f>
        <v/>
      </c>
      <c r="B320">
        <f>IF('01_Master_Data'!B320="","",IF('01_Master_Data'!C320&lt;&gt;"","MOB|"&amp;TEXT('01_Master_Data'!C320,"0"),IF('01_Master_Data'!D320&lt;&gt;"","PID|"&amp;TRIM('01_Master_Data'!D320&amp;""),"")))</f>
        <v/>
      </c>
      <c r="C320">
        <f>IF('01_Master_Data'!B320="","",'01_Master_Data'!B320)</f>
        <v/>
      </c>
      <c r="D320">
        <f>IF('01_Master_Data'!B320="","",'01_Master_Data'!C320)</f>
        <v/>
      </c>
      <c r="E320">
        <f>IF('01_Master_Data'!B320="","",'01_Master_Data'!D320)</f>
        <v/>
      </c>
      <c r="F320">
        <f>IF('01_Master_Data'!B320="","",'01_Master_Data'!E320)</f>
        <v/>
      </c>
      <c r="G320">
        <f>IF('01_Master_Data'!B320="","",IFERROR(VLOOKUP(TRIM('01_Master_Data'!E320&amp;""),'02_Configuration'!$A$40:$B$44,2,FALSE),UPPER(TRIM('01_Master_Data'!E320&amp;""))))</f>
        <v/>
      </c>
      <c r="H320">
        <f>IF('01_Master_Data'!B320="","",IF('01_Master_Data'!U320="","",TRIM('01_Master_Data'!U320&amp;"")))</f>
        <v/>
      </c>
      <c r="I320">
        <f>IF('01_Master_Data'!B320="","",TRIM('01_Master_Data'!F320&amp;""))</f>
        <v/>
      </c>
      <c r="J320">
        <f>IF('01_Master_Data'!B320="","",TRIM('01_Master_Data'!G320&amp;""))</f>
        <v/>
      </c>
      <c r="K320">
        <f>IF('01_Master_Data'!B320="","",'01_Master_Data'!H320)</f>
        <v/>
      </c>
      <c r="L320">
        <f>IF('01_Master_Data'!B320="","",IF(LOWER(TRIM('01_Master_Data'!V320&amp;""))="yes",1,0))</f>
        <v/>
      </c>
      <c r="M320">
        <f>IF('01_Master_Data'!B320="","",IF(LOWER(TRIM('01_Master_Data'!W320&amp;""))="yes",1,0))</f>
        <v/>
      </c>
      <c r="N320">
        <f>IF('01_Master_Data'!B320="","",IF(LOWER(TRIM('01_Master_Data'!X320&amp;""))="yes",1,0))</f>
        <v/>
      </c>
      <c r="O320">
        <f>IF('01_Master_Data'!B320="","",IF(LOWER(TRIM('01_Master_Data'!Y320&amp;""))="yes",1,0))</f>
        <v/>
      </c>
      <c r="P320">
        <f>IF('01_Master_Data'!B320="","",IF(LOWER(TRIM('01_Master_Data'!Z320&amp;""))="yes",1,0))</f>
        <v/>
      </c>
      <c r="Q320">
        <f>IF(A320="","",L320+M320+N320+O320+P320)</f>
        <v/>
      </c>
      <c r="R320">
        <f>IF(A320="","",IF(Q320&gt;1,"Yes","No"))</f>
        <v/>
      </c>
      <c r="S320">
        <f>IF(A320="","",TEXTJOIN(", ",TRUE,IF(L320=1,"ICICI",""),IF(M320=1,"Propelld",""),IF(N320=1,"Study4Buddy",""),IF(O320=1,"Poonawala Fincorp",""),IF(P320=1,"GyanDhan","")))</f>
        <v/>
      </c>
      <c r="T320">
        <f>IF(A320="","",IF(L320=1,"ICICI",IF(M320=1,"Propelld",IF(P320=1,"GyanDhan",IF(N320=1,"Study4Buddy",IF(O320=1,"Poonawala Fincorp",IF(ISNUMBER(SEARCH("GyanDhan",W320&amp;"")),"GyanDhan",IF(ISNUMBER(SEARCH("Icici",W320&amp;"")),"ICICI",IF(ISNUMBER(SEARCH("Propelld",W320&amp;"")),"Propelld",IF(ISNUMBER(SEARCH("vidyalakshmi",LOWER(W320&amp;"")),"PM Vidyalakshmi","—"))))))))))</f>
        <v/>
      </c>
      <c r="U320">
        <f>IF(A320="","",TRIM('01_Master_Data'!AA320&amp;""))</f>
        <v/>
      </c>
      <c r="V320">
        <f>IF(A320="","",TRIM('01_Master_Data'!AG320&amp;""))</f>
        <v/>
      </c>
      <c r="W320">
        <f>IF(A320="","",TRIM('01_Master_Data'!AH320&amp;""))</f>
        <v/>
      </c>
      <c r="X320">
        <f>IF(A320="","",IF(OR(LOWER(H320)="refund",LOWER(U320)="refund case"),"Refund",IF(OR(LOWER(H320)="dnp",LOWER(U320)="dnp"),"DNP",IF(OR(LOWER(V320)="disbursed",ISNUMBER(SEARCH("Disbursed",W320&amp;""))),"Disbursed",IF(OR(LOWER(V320)="loan proccessed/accepted",ISNUMBER(SEARCH("sanctioned",LOWER(W320&amp;"")))),"Sanctioned",IF(OR(LOWER(V320)="rejected",ISNUMBER(SEARCH("Not eligbile",W320&amp;"")),ISNUMBER(SEARCH("Not eligible",W320&amp;""))),"Rejected",IF(ISNUMBER(SEARCH("Docs Pending",W320&amp;"")),"Documents Pending",IF(AND(LOWER(H320)="yes",LOWER(V320)="ongoing"),"Processing",IF(AND(LOWER(H320)="yes",Q320&gt;0,OR(V320="",LOWER(V320)="not even started")),"Vendor Assigned",IF(AND(LOWER(H320)="yes",LOWER(V320)="not even started"),"Need Loan",IF(LOWER(H320)="yes","Loan Started",IF(LOWER(H320)="not sure","Interested",IF(OR(LOWER(H320)="no",LOWER(V320)="not required"),"Not Required","Unclassified")))))))))))))</f>
        <v/>
      </c>
      <c r="Y320">
        <f>IF(A320="","",IF(OR(X320="Sanctioned",X320="Disbursed",X320="Approved"),"Approved",IF(X320="Rejected","Rejected",IF(OR(X320="Processing",X320="Documents Pending",X320="Vendor Assigned"),"In Progress",IF(X320="Need Loan","Pending Start","—"))))</f>
        <v/>
      </c>
      <c r="Z320">
        <f>IF(A320="","",IF(X320="Disbursed","Disbursed",IF(X320="Sanctioned","Sanctioned - Awaiting Disbursement","Not Disbursed")))</f>
        <v/>
      </c>
      <c r="AA320">
        <f>IF(A320="","",IF(LOWER(TRIM('01_Master_Data'!AI320&amp;""))="yes","Need FLDG",IF(LOWER(TRIM('01_Master_Data'!AK320&amp;""))="yes","Need Vidyalakshmi",IF(LOWER(TRIM('01_Master_Data'!AJ320&amp;""))="yes","Need Review",IF(LOWER(J320)="critical","Critical",IF(LOWER(U320)="risk","Risk Case",IF(X320="Refund","Refund","Normal")))))))</f>
        <v/>
      </c>
      <c r="AB320">
        <f>IF(A320="","",IF(OR(LOWER(J320)="critical",LOWER(TRIM('01_Master_Data'!AI320&amp;""))="yes",LOWER(TRIM('01_Master_Data'!AK320&amp;""))="yes",LOWER(U320)="risk"),"Yes","No"))</f>
        <v/>
      </c>
      <c r="AC320">
        <f>IF(A320="","",IF(LOWER(TRIM('01_Master_Data'!AI320&amp;""))="yes","Yes","No"))</f>
        <v/>
      </c>
      <c r="AD320">
        <f>IF(A320="","",IF(LOWER(TRIM('01_Master_Data'!AK320&amp;""))="yes","Yes","No"))</f>
        <v/>
      </c>
      <c r="AE320">
        <f>IF(A320="","",IF(LOWER(TRIM('01_Master_Data'!AJ320&amp;""))="yes","Yes","No"))</f>
        <v/>
      </c>
      <c r="AF320">
        <f>IF(A320="","",TRIM('01_Master_Data'!AL320&amp;""))</f>
        <v/>
      </c>
      <c r="AG320">
        <f>IF(A320="","",IF(AF320="","—",IF(ISNUMBER(SEARCH("DNP",AF320)),"Unreachable / DNP",IF(ISNUMBER(SEARCH("interest",LOWER(AF320))),"High Interest / Terms",IF(OR(ISNUMBER(SEARCH("eligib",LOWER(AF320))),ISNUMBER(SEARCH("income",LOWER(AF320)))),"Eligibility / Income",IF(OR(ISNUMBER(SEARCH("start",LOWER(AF320))),ISNUMBER(SEARCH("Newer",AF320)),ISNUMBER(SEARCH("Will start",AF320))),"Process Yet to Start",IF(ISNUMBER(SEARCH("sure",LOWER(AF320))),"Undecided",IF(OR(ISNUMBER(SEARCH("reject",LOWER(AF320))),ISNUMBER(SEARCH("SBI",AF320))),"Rejected Elsewhere",IF(ISNUMBER(SEARCH("call",LOWER(AF320))),"Bank Communication",IF(OR(ISNUMBER(SEARCH("father",LOWER(AF320))),ISNUMBER(SEARCH("sister",LOWER(AF320)))),"Family / Dependency","Other"))))))))))</f>
        <v/>
      </c>
      <c r="AH320">
        <f>IF(A320="","",'01_Master_Data'!AC320)</f>
        <v/>
      </c>
      <c r="AI320">
        <f>IF(A320="","",IF(OR(AH320="",NOT(ISNUMBER(AH320))),"",MAX(0,'02_Configuration'!$B$82-AH320)))</f>
        <v/>
      </c>
      <c r="AJ320">
        <f>IF(A320="","",IF(AI320="","Unknown",IF(AI320&lt;=3,"0–3 Days",IF(AI320&lt;=7,"4–7 Days",IF(AI320&lt;=15,"8–15 Days",IF(AI320&lt;=30,"16–30 Days","30+ Days"))))))</f>
        <v/>
      </c>
      <c r="AK320">
        <f>IF(A320="","",IF(LOWER(H320)="yes","Yes","No"))</f>
        <v/>
      </c>
      <c r="AL320">
        <f>IF(A320="","",'01_Master_Data'!T320)</f>
        <v/>
      </c>
      <c r="AM320">
        <f>IF(A320="","",'01_Master_Data'!S320)</f>
        <v/>
      </c>
      <c r="AN320">
        <f>IF(A320="","",'01_Master_Data'!I320)</f>
        <v/>
      </c>
      <c r="AO320">
        <f>IF(A320="","",'01_Master_Data'!M320)</f>
        <v/>
      </c>
      <c r="AP320">
        <f>IF(A320="","",IF(ISNUMBER(SEARCH("Icici",W320&amp;"")),1,0))</f>
        <v/>
      </c>
      <c r="AQ320">
        <f>IF(A320="","",IF(ISNUMBER(SEARCH("Propelld",W320&amp;"")),1,0))</f>
        <v/>
      </c>
      <c r="AR320">
        <f>IF(A320="","",IF(ISNUMBER(SEARCH("GyanDhan",W320&amp;"")),1,0))</f>
        <v/>
      </c>
      <c r="AS320">
        <f>IF(A320="","",IF(ISNUMBER(SEARCH("vidyalakshmi",LOWER(W320&amp;""))),1,0))</f>
        <v/>
      </c>
      <c r="AT320">
        <f>IF(A320="","",IF(ISNUMBER(SEARCH("other bank",LOWER(W320&amp;""))),1,0))</f>
        <v/>
      </c>
      <c r="AU320">
        <f>IF(A320="","",IF(ISNUMBER(SEARCH("sanctioned",LOWER(W320&amp;""))),1,0))</f>
        <v/>
      </c>
      <c r="AV320">
        <f>IF(A320="","",IF(ISNUMBER(SEARCH("Docs Pending",W320&amp;"")),1,0))</f>
        <v/>
      </c>
      <c r="AW320">
        <f>IF(A320="","",IF(OR(X320="Rejected",ISNUMBER(SEARCH("Not eligbile",W320&amp;""))),1,0))</f>
        <v/>
      </c>
    </row>
    <row r="321">
      <c r="A321">
        <f>IF('01_Master_Data'!B321="","",320)</f>
        <v/>
      </c>
      <c r="B321">
        <f>IF('01_Master_Data'!B321="","",IF('01_Master_Data'!C321&lt;&gt;"","MOB|"&amp;TEXT('01_Master_Data'!C321,"0"),IF('01_Master_Data'!D321&lt;&gt;"","PID|"&amp;TRIM('01_Master_Data'!D321&amp;""),"")))</f>
        <v/>
      </c>
      <c r="C321">
        <f>IF('01_Master_Data'!B321="","",'01_Master_Data'!B321)</f>
        <v/>
      </c>
      <c r="D321">
        <f>IF('01_Master_Data'!B321="","",'01_Master_Data'!C321)</f>
        <v/>
      </c>
      <c r="E321">
        <f>IF('01_Master_Data'!B321="","",'01_Master_Data'!D321)</f>
        <v/>
      </c>
      <c r="F321">
        <f>IF('01_Master_Data'!B321="","",'01_Master_Data'!E321)</f>
        <v/>
      </c>
      <c r="G321">
        <f>IF('01_Master_Data'!B321="","",IFERROR(VLOOKUP(TRIM('01_Master_Data'!E321&amp;""),'02_Configuration'!$A$40:$B$44,2,FALSE),UPPER(TRIM('01_Master_Data'!E321&amp;""))))</f>
        <v/>
      </c>
      <c r="H321">
        <f>IF('01_Master_Data'!B321="","",IF('01_Master_Data'!U321="","",TRIM('01_Master_Data'!U321&amp;"")))</f>
        <v/>
      </c>
      <c r="I321">
        <f>IF('01_Master_Data'!B321="","",TRIM('01_Master_Data'!F321&amp;""))</f>
        <v/>
      </c>
      <c r="J321">
        <f>IF('01_Master_Data'!B321="","",TRIM('01_Master_Data'!G321&amp;""))</f>
        <v/>
      </c>
      <c r="K321">
        <f>IF('01_Master_Data'!B321="","",'01_Master_Data'!H321)</f>
        <v/>
      </c>
      <c r="L321">
        <f>IF('01_Master_Data'!B321="","",IF(LOWER(TRIM('01_Master_Data'!V321&amp;""))="yes",1,0))</f>
        <v/>
      </c>
      <c r="M321">
        <f>IF('01_Master_Data'!B321="","",IF(LOWER(TRIM('01_Master_Data'!W321&amp;""))="yes",1,0))</f>
        <v/>
      </c>
      <c r="N321">
        <f>IF('01_Master_Data'!B321="","",IF(LOWER(TRIM('01_Master_Data'!X321&amp;""))="yes",1,0))</f>
        <v/>
      </c>
      <c r="O321">
        <f>IF('01_Master_Data'!B321="","",IF(LOWER(TRIM('01_Master_Data'!Y321&amp;""))="yes",1,0))</f>
        <v/>
      </c>
      <c r="P321">
        <f>IF('01_Master_Data'!B321="","",IF(LOWER(TRIM('01_Master_Data'!Z321&amp;""))="yes",1,0))</f>
        <v/>
      </c>
      <c r="Q321">
        <f>IF(A321="","",L321+M321+N321+O321+P321)</f>
        <v/>
      </c>
      <c r="R321">
        <f>IF(A321="","",IF(Q321&gt;1,"Yes","No"))</f>
        <v/>
      </c>
      <c r="S321">
        <f>IF(A321="","",TEXTJOIN(", ",TRUE,IF(L321=1,"ICICI",""),IF(M321=1,"Propelld",""),IF(N321=1,"Study4Buddy",""),IF(O321=1,"Poonawala Fincorp",""),IF(P321=1,"GyanDhan","")))</f>
        <v/>
      </c>
      <c r="T321">
        <f>IF(A321="","",IF(L321=1,"ICICI",IF(M321=1,"Propelld",IF(P321=1,"GyanDhan",IF(N321=1,"Study4Buddy",IF(O321=1,"Poonawala Fincorp",IF(ISNUMBER(SEARCH("GyanDhan",W321&amp;"")),"GyanDhan",IF(ISNUMBER(SEARCH("Icici",W321&amp;"")),"ICICI",IF(ISNUMBER(SEARCH("Propelld",W321&amp;"")),"Propelld",IF(ISNUMBER(SEARCH("vidyalakshmi",LOWER(W321&amp;"")),"PM Vidyalakshmi","—"))))))))))</f>
        <v/>
      </c>
      <c r="U321">
        <f>IF(A321="","",TRIM('01_Master_Data'!AA321&amp;""))</f>
        <v/>
      </c>
      <c r="V321">
        <f>IF(A321="","",TRIM('01_Master_Data'!AG321&amp;""))</f>
        <v/>
      </c>
      <c r="W321">
        <f>IF(A321="","",TRIM('01_Master_Data'!AH321&amp;""))</f>
        <v/>
      </c>
      <c r="X321">
        <f>IF(A321="","",IF(OR(LOWER(H321)="refund",LOWER(U321)="refund case"),"Refund",IF(OR(LOWER(H321)="dnp",LOWER(U321)="dnp"),"DNP",IF(OR(LOWER(V321)="disbursed",ISNUMBER(SEARCH("Disbursed",W321&amp;""))),"Disbursed",IF(OR(LOWER(V321)="loan proccessed/accepted",ISNUMBER(SEARCH("sanctioned",LOWER(W321&amp;"")))),"Sanctioned",IF(OR(LOWER(V321)="rejected",ISNUMBER(SEARCH("Not eligbile",W321&amp;"")),ISNUMBER(SEARCH("Not eligible",W321&amp;""))),"Rejected",IF(ISNUMBER(SEARCH("Docs Pending",W321&amp;"")),"Documents Pending",IF(AND(LOWER(H321)="yes",LOWER(V321)="ongoing"),"Processing",IF(AND(LOWER(H321)="yes",Q321&gt;0,OR(V321="",LOWER(V321)="not even started")),"Vendor Assigned",IF(AND(LOWER(H321)="yes",LOWER(V321)="not even started"),"Need Loan",IF(LOWER(H321)="yes","Loan Started",IF(LOWER(H321)="not sure","Interested",IF(OR(LOWER(H321)="no",LOWER(V321)="not required"),"Not Required","Unclassified")))))))))))))</f>
        <v/>
      </c>
      <c r="Y321">
        <f>IF(A321="","",IF(OR(X321="Sanctioned",X321="Disbursed",X321="Approved"),"Approved",IF(X321="Rejected","Rejected",IF(OR(X321="Processing",X321="Documents Pending",X321="Vendor Assigned"),"In Progress",IF(X321="Need Loan","Pending Start","—"))))</f>
        <v/>
      </c>
      <c r="Z321">
        <f>IF(A321="","",IF(X321="Disbursed","Disbursed",IF(X321="Sanctioned","Sanctioned - Awaiting Disbursement","Not Disbursed")))</f>
        <v/>
      </c>
      <c r="AA321">
        <f>IF(A321="","",IF(LOWER(TRIM('01_Master_Data'!AI321&amp;""))="yes","Need FLDG",IF(LOWER(TRIM('01_Master_Data'!AK321&amp;""))="yes","Need Vidyalakshmi",IF(LOWER(TRIM('01_Master_Data'!AJ321&amp;""))="yes","Need Review",IF(LOWER(J321)="critical","Critical",IF(LOWER(U321)="risk","Risk Case",IF(X321="Refund","Refund","Normal")))))))</f>
        <v/>
      </c>
      <c r="AB321">
        <f>IF(A321="","",IF(OR(LOWER(J321)="critical",LOWER(TRIM('01_Master_Data'!AI321&amp;""))="yes",LOWER(TRIM('01_Master_Data'!AK321&amp;""))="yes",LOWER(U321)="risk"),"Yes","No"))</f>
        <v/>
      </c>
      <c r="AC321">
        <f>IF(A321="","",IF(LOWER(TRIM('01_Master_Data'!AI321&amp;""))="yes","Yes","No"))</f>
        <v/>
      </c>
      <c r="AD321">
        <f>IF(A321="","",IF(LOWER(TRIM('01_Master_Data'!AK321&amp;""))="yes","Yes","No"))</f>
        <v/>
      </c>
      <c r="AE321">
        <f>IF(A321="","",IF(LOWER(TRIM('01_Master_Data'!AJ321&amp;""))="yes","Yes","No"))</f>
        <v/>
      </c>
      <c r="AF321">
        <f>IF(A321="","",TRIM('01_Master_Data'!AL321&amp;""))</f>
        <v/>
      </c>
      <c r="AG321">
        <f>IF(A321="","",IF(AF321="","—",IF(ISNUMBER(SEARCH("DNP",AF321)),"Unreachable / DNP",IF(ISNUMBER(SEARCH("interest",LOWER(AF321))),"High Interest / Terms",IF(OR(ISNUMBER(SEARCH("eligib",LOWER(AF321))),ISNUMBER(SEARCH("income",LOWER(AF321)))),"Eligibility / Income",IF(OR(ISNUMBER(SEARCH("start",LOWER(AF321))),ISNUMBER(SEARCH("Newer",AF321)),ISNUMBER(SEARCH("Will start",AF321))),"Process Yet to Start",IF(ISNUMBER(SEARCH("sure",LOWER(AF321))),"Undecided",IF(OR(ISNUMBER(SEARCH("reject",LOWER(AF321))),ISNUMBER(SEARCH("SBI",AF321))),"Rejected Elsewhere",IF(ISNUMBER(SEARCH("call",LOWER(AF321))),"Bank Communication",IF(OR(ISNUMBER(SEARCH("father",LOWER(AF321))),ISNUMBER(SEARCH("sister",LOWER(AF321)))),"Family / Dependency","Other"))))))))))</f>
        <v/>
      </c>
      <c r="AH321">
        <f>IF(A321="","",'01_Master_Data'!AC321)</f>
        <v/>
      </c>
      <c r="AI321">
        <f>IF(A321="","",IF(OR(AH321="",NOT(ISNUMBER(AH321))),"",MAX(0,'02_Configuration'!$B$82-AH321)))</f>
        <v/>
      </c>
      <c r="AJ321">
        <f>IF(A321="","",IF(AI321="","Unknown",IF(AI321&lt;=3,"0–3 Days",IF(AI321&lt;=7,"4–7 Days",IF(AI321&lt;=15,"8–15 Days",IF(AI321&lt;=30,"16–30 Days","30+ Days"))))))</f>
        <v/>
      </c>
      <c r="AK321">
        <f>IF(A321="","",IF(LOWER(H321)="yes","Yes","No"))</f>
        <v/>
      </c>
      <c r="AL321">
        <f>IF(A321="","",'01_Master_Data'!T321)</f>
        <v/>
      </c>
      <c r="AM321">
        <f>IF(A321="","",'01_Master_Data'!S321)</f>
        <v/>
      </c>
      <c r="AN321">
        <f>IF(A321="","",'01_Master_Data'!I321)</f>
        <v/>
      </c>
      <c r="AO321">
        <f>IF(A321="","",'01_Master_Data'!M321)</f>
        <v/>
      </c>
      <c r="AP321">
        <f>IF(A321="","",IF(ISNUMBER(SEARCH("Icici",W321&amp;"")),1,0))</f>
        <v/>
      </c>
      <c r="AQ321">
        <f>IF(A321="","",IF(ISNUMBER(SEARCH("Propelld",W321&amp;"")),1,0))</f>
        <v/>
      </c>
      <c r="AR321">
        <f>IF(A321="","",IF(ISNUMBER(SEARCH("GyanDhan",W321&amp;"")),1,0))</f>
        <v/>
      </c>
      <c r="AS321">
        <f>IF(A321="","",IF(ISNUMBER(SEARCH("vidyalakshmi",LOWER(W321&amp;""))),1,0))</f>
        <v/>
      </c>
      <c r="AT321">
        <f>IF(A321="","",IF(ISNUMBER(SEARCH("other bank",LOWER(W321&amp;""))),1,0))</f>
        <v/>
      </c>
      <c r="AU321">
        <f>IF(A321="","",IF(ISNUMBER(SEARCH("sanctioned",LOWER(W321&amp;""))),1,0))</f>
        <v/>
      </c>
      <c r="AV321">
        <f>IF(A321="","",IF(ISNUMBER(SEARCH("Docs Pending",W321&amp;"")),1,0))</f>
        <v/>
      </c>
      <c r="AW321">
        <f>IF(A321="","",IF(OR(X321="Rejected",ISNUMBER(SEARCH("Not eligbile",W321&amp;""))),1,0))</f>
        <v/>
      </c>
    </row>
    <row r="322">
      <c r="A322">
        <f>IF('01_Master_Data'!B322="","",321)</f>
        <v/>
      </c>
      <c r="B322">
        <f>IF('01_Master_Data'!B322="","",IF('01_Master_Data'!C322&lt;&gt;"","MOB|"&amp;TEXT('01_Master_Data'!C322,"0"),IF('01_Master_Data'!D322&lt;&gt;"","PID|"&amp;TRIM('01_Master_Data'!D322&amp;""),"")))</f>
        <v/>
      </c>
      <c r="C322">
        <f>IF('01_Master_Data'!B322="","",'01_Master_Data'!B322)</f>
        <v/>
      </c>
      <c r="D322">
        <f>IF('01_Master_Data'!B322="","",'01_Master_Data'!C322)</f>
        <v/>
      </c>
      <c r="E322">
        <f>IF('01_Master_Data'!B322="","",'01_Master_Data'!D322)</f>
        <v/>
      </c>
      <c r="F322">
        <f>IF('01_Master_Data'!B322="","",'01_Master_Data'!E322)</f>
        <v/>
      </c>
      <c r="G322">
        <f>IF('01_Master_Data'!B322="","",IFERROR(VLOOKUP(TRIM('01_Master_Data'!E322&amp;""),'02_Configuration'!$A$40:$B$44,2,FALSE),UPPER(TRIM('01_Master_Data'!E322&amp;""))))</f>
        <v/>
      </c>
      <c r="H322">
        <f>IF('01_Master_Data'!B322="","",IF('01_Master_Data'!U322="","",TRIM('01_Master_Data'!U322&amp;"")))</f>
        <v/>
      </c>
      <c r="I322">
        <f>IF('01_Master_Data'!B322="","",TRIM('01_Master_Data'!F322&amp;""))</f>
        <v/>
      </c>
      <c r="J322">
        <f>IF('01_Master_Data'!B322="","",TRIM('01_Master_Data'!G322&amp;""))</f>
        <v/>
      </c>
      <c r="K322">
        <f>IF('01_Master_Data'!B322="","",'01_Master_Data'!H322)</f>
        <v/>
      </c>
      <c r="L322">
        <f>IF('01_Master_Data'!B322="","",IF(LOWER(TRIM('01_Master_Data'!V322&amp;""))="yes",1,0))</f>
        <v/>
      </c>
      <c r="M322">
        <f>IF('01_Master_Data'!B322="","",IF(LOWER(TRIM('01_Master_Data'!W322&amp;""))="yes",1,0))</f>
        <v/>
      </c>
      <c r="N322">
        <f>IF('01_Master_Data'!B322="","",IF(LOWER(TRIM('01_Master_Data'!X322&amp;""))="yes",1,0))</f>
        <v/>
      </c>
      <c r="O322">
        <f>IF('01_Master_Data'!B322="","",IF(LOWER(TRIM('01_Master_Data'!Y322&amp;""))="yes",1,0))</f>
        <v/>
      </c>
      <c r="P322">
        <f>IF('01_Master_Data'!B322="","",IF(LOWER(TRIM('01_Master_Data'!Z322&amp;""))="yes",1,0))</f>
        <v/>
      </c>
      <c r="Q322">
        <f>IF(A322="","",L322+M322+N322+O322+P322)</f>
        <v/>
      </c>
      <c r="R322">
        <f>IF(A322="","",IF(Q322&gt;1,"Yes","No"))</f>
        <v/>
      </c>
      <c r="S322">
        <f>IF(A322="","",TEXTJOIN(", ",TRUE,IF(L322=1,"ICICI",""),IF(M322=1,"Propelld",""),IF(N322=1,"Study4Buddy",""),IF(O322=1,"Poonawala Fincorp",""),IF(P322=1,"GyanDhan","")))</f>
        <v/>
      </c>
      <c r="T322">
        <f>IF(A322="","",IF(L322=1,"ICICI",IF(M322=1,"Propelld",IF(P322=1,"GyanDhan",IF(N322=1,"Study4Buddy",IF(O322=1,"Poonawala Fincorp",IF(ISNUMBER(SEARCH("GyanDhan",W322&amp;"")),"GyanDhan",IF(ISNUMBER(SEARCH("Icici",W322&amp;"")),"ICICI",IF(ISNUMBER(SEARCH("Propelld",W322&amp;"")),"Propelld",IF(ISNUMBER(SEARCH("vidyalakshmi",LOWER(W322&amp;"")),"PM Vidyalakshmi","—"))))))))))</f>
        <v/>
      </c>
      <c r="U322">
        <f>IF(A322="","",TRIM('01_Master_Data'!AA322&amp;""))</f>
        <v/>
      </c>
      <c r="V322">
        <f>IF(A322="","",TRIM('01_Master_Data'!AG322&amp;""))</f>
        <v/>
      </c>
      <c r="W322">
        <f>IF(A322="","",TRIM('01_Master_Data'!AH322&amp;""))</f>
        <v/>
      </c>
      <c r="X322">
        <f>IF(A322="","",IF(OR(LOWER(H322)="refund",LOWER(U322)="refund case"),"Refund",IF(OR(LOWER(H322)="dnp",LOWER(U322)="dnp"),"DNP",IF(OR(LOWER(V322)="disbursed",ISNUMBER(SEARCH("Disbursed",W322&amp;""))),"Disbursed",IF(OR(LOWER(V322)="loan proccessed/accepted",ISNUMBER(SEARCH("sanctioned",LOWER(W322&amp;"")))),"Sanctioned",IF(OR(LOWER(V322)="rejected",ISNUMBER(SEARCH("Not eligbile",W322&amp;"")),ISNUMBER(SEARCH("Not eligible",W322&amp;""))),"Rejected",IF(ISNUMBER(SEARCH("Docs Pending",W322&amp;"")),"Documents Pending",IF(AND(LOWER(H322)="yes",LOWER(V322)="ongoing"),"Processing",IF(AND(LOWER(H322)="yes",Q322&gt;0,OR(V322="",LOWER(V322)="not even started")),"Vendor Assigned",IF(AND(LOWER(H322)="yes",LOWER(V322)="not even started"),"Need Loan",IF(LOWER(H322)="yes","Loan Started",IF(LOWER(H322)="not sure","Interested",IF(OR(LOWER(H322)="no",LOWER(V322)="not required"),"Not Required","Unclassified")))))))))))))</f>
        <v/>
      </c>
      <c r="Y322">
        <f>IF(A322="","",IF(OR(X322="Sanctioned",X322="Disbursed",X322="Approved"),"Approved",IF(X322="Rejected","Rejected",IF(OR(X322="Processing",X322="Documents Pending",X322="Vendor Assigned"),"In Progress",IF(X322="Need Loan","Pending Start","—"))))</f>
        <v/>
      </c>
      <c r="Z322">
        <f>IF(A322="","",IF(X322="Disbursed","Disbursed",IF(X322="Sanctioned","Sanctioned - Awaiting Disbursement","Not Disbursed")))</f>
        <v/>
      </c>
      <c r="AA322">
        <f>IF(A322="","",IF(LOWER(TRIM('01_Master_Data'!AI322&amp;""))="yes","Need FLDG",IF(LOWER(TRIM('01_Master_Data'!AK322&amp;""))="yes","Need Vidyalakshmi",IF(LOWER(TRIM('01_Master_Data'!AJ322&amp;""))="yes","Need Review",IF(LOWER(J322)="critical","Critical",IF(LOWER(U322)="risk","Risk Case",IF(X322="Refund","Refund","Normal")))))))</f>
        <v/>
      </c>
      <c r="AB322">
        <f>IF(A322="","",IF(OR(LOWER(J322)="critical",LOWER(TRIM('01_Master_Data'!AI322&amp;""))="yes",LOWER(TRIM('01_Master_Data'!AK322&amp;""))="yes",LOWER(U322)="risk"),"Yes","No"))</f>
        <v/>
      </c>
      <c r="AC322">
        <f>IF(A322="","",IF(LOWER(TRIM('01_Master_Data'!AI322&amp;""))="yes","Yes","No"))</f>
        <v/>
      </c>
      <c r="AD322">
        <f>IF(A322="","",IF(LOWER(TRIM('01_Master_Data'!AK322&amp;""))="yes","Yes","No"))</f>
        <v/>
      </c>
      <c r="AE322">
        <f>IF(A322="","",IF(LOWER(TRIM('01_Master_Data'!AJ322&amp;""))="yes","Yes","No"))</f>
        <v/>
      </c>
      <c r="AF322">
        <f>IF(A322="","",TRIM('01_Master_Data'!AL322&amp;""))</f>
        <v/>
      </c>
      <c r="AG322">
        <f>IF(A322="","",IF(AF322="","—",IF(ISNUMBER(SEARCH("DNP",AF322)),"Unreachable / DNP",IF(ISNUMBER(SEARCH("interest",LOWER(AF322))),"High Interest / Terms",IF(OR(ISNUMBER(SEARCH("eligib",LOWER(AF322))),ISNUMBER(SEARCH("income",LOWER(AF322)))),"Eligibility / Income",IF(OR(ISNUMBER(SEARCH("start",LOWER(AF322))),ISNUMBER(SEARCH("Newer",AF322)),ISNUMBER(SEARCH("Will start",AF322))),"Process Yet to Start",IF(ISNUMBER(SEARCH("sure",LOWER(AF322))),"Undecided",IF(OR(ISNUMBER(SEARCH("reject",LOWER(AF322))),ISNUMBER(SEARCH("SBI",AF322))),"Rejected Elsewhere",IF(ISNUMBER(SEARCH("call",LOWER(AF322))),"Bank Communication",IF(OR(ISNUMBER(SEARCH("father",LOWER(AF322))),ISNUMBER(SEARCH("sister",LOWER(AF322)))),"Family / Dependency","Other"))))))))))</f>
        <v/>
      </c>
      <c r="AH322">
        <f>IF(A322="","",'01_Master_Data'!AC322)</f>
        <v/>
      </c>
      <c r="AI322">
        <f>IF(A322="","",IF(OR(AH322="",NOT(ISNUMBER(AH322))),"",MAX(0,'02_Configuration'!$B$82-AH322)))</f>
        <v/>
      </c>
      <c r="AJ322">
        <f>IF(A322="","",IF(AI322="","Unknown",IF(AI322&lt;=3,"0–3 Days",IF(AI322&lt;=7,"4–7 Days",IF(AI322&lt;=15,"8–15 Days",IF(AI322&lt;=30,"16–30 Days","30+ Days"))))))</f>
        <v/>
      </c>
      <c r="AK322">
        <f>IF(A322="","",IF(LOWER(H322)="yes","Yes","No"))</f>
        <v/>
      </c>
      <c r="AL322">
        <f>IF(A322="","",'01_Master_Data'!T322)</f>
        <v/>
      </c>
      <c r="AM322">
        <f>IF(A322="","",'01_Master_Data'!S322)</f>
        <v/>
      </c>
      <c r="AN322">
        <f>IF(A322="","",'01_Master_Data'!I322)</f>
        <v/>
      </c>
      <c r="AO322">
        <f>IF(A322="","",'01_Master_Data'!M322)</f>
        <v/>
      </c>
      <c r="AP322">
        <f>IF(A322="","",IF(ISNUMBER(SEARCH("Icici",W322&amp;"")),1,0))</f>
        <v/>
      </c>
      <c r="AQ322">
        <f>IF(A322="","",IF(ISNUMBER(SEARCH("Propelld",W322&amp;"")),1,0))</f>
        <v/>
      </c>
      <c r="AR322">
        <f>IF(A322="","",IF(ISNUMBER(SEARCH("GyanDhan",W322&amp;"")),1,0))</f>
        <v/>
      </c>
      <c r="AS322">
        <f>IF(A322="","",IF(ISNUMBER(SEARCH("vidyalakshmi",LOWER(W322&amp;""))),1,0))</f>
        <v/>
      </c>
      <c r="AT322">
        <f>IF(A322="","",IF(ISNUMBER(SEARCH("other bank",LOWER(W322&amp;""))),1,0))</f>
        <v/>
      </c>
      <c r="AU322">
        <f>IF(A322="","",IF(ISNUMBER(SEARCH("sanctioned",LOWER(W322&amp;""))),1,0))</f>
        <v/>
      </c>
      <c r="AV322">
        <f>IF(A322="","",IF(ISNUMBER(SEARCH("Docs Pending",W322&amp;"")),1,0))</f>
        <v/>
      </c>
      <c r="AW322">
        <f>IF(A322="","",IF(OR(X322="Rejected",ISNUMBER(SEARCH("Not eligbile",W322&amp;""))),1,0))</f>
        <v/>
      </c>
    </row>
    <row r="323">
      <c r="A323">
        <f>IF('01_Master_Data'!B323="","",322)</f>
        <v/>
      </c>
      <c r="B323">
        <f>IF('01_Master_Data'!B323="","",IF('01_Master_Data'!C323&lt;&gt;"","MOB|"&amp;TEXT('01_Master_Data'!C323,"0"),IF('01_Master_Data'!D323&lt;&gt;"","PID|"&amp;TRIM('01_Master_Data'!D323&amp;""),"")))</f>
        <v/>
      </c>
      <c r="C323">
        <f>IF('01_Master_Data'!B323="","",'01_Master_Data'!B323)</f>
        <v/>
      </c>
      <c r="D323">
        <f>IF('01_Master_Data'!B323="","",'01_Master_Data'!C323)</f>
        <v/>
      </c>
      <c r="E323">
        <f>IF('01_Master_Data'!B323="","",'01_Master_Data'!D323)</f>
        <v/>
      </c>
      <c r="F323">
        <f>IF('01_Master_Data'!B323="","",'01_Master_Data'!E323)</f>
        <v/>
      </c>
      <c r="G323">
        <f>IF('01_Master_Data'!B323="","",IFERROR(VLOOKUP(TRIM('01_Master_Data'!E323&amp;""),'02_Configuration'!$A$40:$B$44,2,FALSE),UPPER(TRIM('01_Master_Data'!E323&amp;""))))</f>
        <v/>
      </c>
      <c r="H323">
        <f>IF('01_Master_Data'!B323="","",IF('01_Master_Data'!U323="","",TRIM('01_Master_Data'!U323&amp;"")))</f>
        <v/>
      </c>
      <c r="I323">
        <f>IF('01_Master_Data'!B323="","",TRIM('01_Master_Data'!F323&amp;""))</f>
        <v/>
      </c>
      <c r="J323">
        <f>IF('01_Master_Data'!B323="","",TRIM('01_Master_Data'!G323&amp;""))</f>
        <v/>
      </c>
      <c r="K323">
        <f>IF('01_Master_Data'!B323="","",'01_Master_Data'!H323)</f>
        <v/>
      </c>
      <c r="L323">
        <f>IF('01_Master_Data'!B323="","",IF(LOWER(TRIM('01_Master_Data'!V323&amp;""))="yes",1,0))</f>
        <v/>
      </c>
      <c r="M323">
        <f>IF('01_Master_Data'!B323="","",IF(LOWER(TRIM('01_Master_Data'!W323&amp;""))="yes",1,0))</f>
        <v/>
      </c>
      <c r="N323">
        <f>IF('01_Master_Data'!B323="","",IF(LOWER(TRIM('01_Master_Data'!X323&amp;""))="yes",1,0))</f>
        <v/>
      </c>
      <c r="O323">
        <f>IF('01_Master_Data'!B323="","",IF(LOWER(TRIM('01_Master_Data'!Y323&amp;""))="yes",1,0))</f>
        <v/>
      </c>
      <c r="P323">
        <f>IF('01_Master_Data'!B323="","",IF(LOWER(TRIM('01_Master_Data'!Z323&amp;""))="yes",1,0))</f>
        <v/>
      </c>
      <c r="Q323">
        <f>IF(A323="","",L323+M323+N323+O323+P323)</f>
        <v/>
      </c>
      <c r="R323">
        <f>IF(A323="","",IF(Q323&gt;1,"Yes","No"))</f>
        <v/>
      </c>
      <c r="S323">
        <f>IF(A323="","",TEXTJOIN(", ",TRUE,IF(L323=1,"ICICI",""),IF(M323=1,"Propelld",""),IF(N323=1,"Study4Buddy",""),IF(O323=1,"Poonawala Fincorp",""),IF(P323=1,"GyanDhan","")))</f>
        <v/>
      </c>
      <c r="T323">
        <f>IF(A323="","",IF(L323=1,"ICICI",IF(M323=1,"Propelld",IF(P323=1,"GyanDhan",IF(N323=1,"Study4Buddy",IF(O323=1,"Poonawala Fincorp",IF(ISNUMBER(SEARCH("GyanDhan",W323&amp;"")),"GyanDhan",IF(ISNUMBER(SEARCH("Icici",W323&amp;"")),"ICICI",IF(ISNUMBER(SEARCH("Propelld",W323&amp;"")),"Propelld",IF(ISNUMBER(SEARCH("vidyalakshmi",LOWER(W323&amp;"")),"PM Vidyalakshmi","—"))))))))))</f>
        <v/>
      </c>
      <c r="U323">
        <f>IF(A323="","",TRIM('01_Master_Data'!AA323&amp;""))</f>
        <v/>
      </c>
      <c r="V323">
        <f>IF(A323="","",TRIM('01_Master_Data'!AG323&amp;""))</f>
        <v/>
      </c>
      <c r="W323">
        <f>IF(A323="","",TRIM('01_Master_Data'!AH323&amp;""))</f>
        <v/>
      </c>
      <c r="X323">
        <f>IF(A323="","",IF(OR(LOWER(H323)="refund",LOWER(U323)="refund case"),"Refund",IF(OR(LOWER(H323)="dnp",LOWER(U323)="dnp"),"DNP",IF(OR(LOWER(V323)="disbursed",ISNUMBER(SEARCH("Disbursed",W323&amp;""))),"Disbursed",IF(OR(LOWER(V323)="loan proccessed/accepted",ISNUMBER(SEARCH("sanctioned",LOWER(W323&amp;"")))),"Sanctioned",IF(OR(LOWER(V323)="rejected",ISNUMBER(SEARCH("Not eligbile",W323&amp;"")),ISNUMBER(SEARCH("Not eligible",W323&amp;""))),"Rejected",IF(ISNUMBER(SEARCH("Docs Pending",W323&amp;"")),"Documents Pending",IF(AND(LOWER(H323)="yes",LOWER(V323)="ongoing"),"Processing",IF(AND(LOWER(H323)="yes",Q323&gt;0,OR(V323="",LOWER(V323)="not even started")),"Vendor Assigned",IF(AND(LOWER(H323)="yes",LOWER(V323)="not even started"),"Need Loan",IF(LOWER(H323)="yes","Loan Started",IF(LOWER(H323)="not sure","Interested",IF(OR(LOWER(H323)="no",LOWER(V323)="not required"),"Not Required","Unclassified")))))))))))))</f>
        <v/>
      </c>
      <c r="Y323">
        <f>IF(A323="","",IF(OR(X323="Sanctioned",X323="Disbursed",X323="Approved"),"Approved",IF(X323="Rejected","Rejected",IF(OR(X323="Processing",X323="Documents Pending",X323="Vendor Assigned"),"In Progress",IF(X323="Need Loan","Pending Start","—"))))</f>
        <v/>
      </c>
      <c r="Z323">
        <f>IF(A323="","",IF(X323="Disbursed","Disbursed",IF(X323="Sanctioned","Sanctioned - Awaiting Disbursement","Not Disbursed")))</f>
        <v/>
      </c>
      <c r="AA323">
        <f>IF(A323="","",IF(LOWER(TRIM('01_Master_Data'!AI323&amp;""))="yes","Need FLDG",IF(LOWER(TRIM('01_Master_Data'!AK323&amp;""))="yes","Need Vidyalakshmi",IF(LOWER(TRIM('01_Master_Data'!AJ323&amp;""))="yes","Need Review",IF(LOWER(J323)="critical","Critical",IF(LOWER(U323)="risk","Risk Case",IF(X323="Refund","Refund","Normal")))))))</f>
        <v/>
      </c>
      <c r="AB323">
        <f>IF(A323="","",IF(OR(LOWER(J323)="critical",LOWER(TRIM('01_Master_Data'!AI323&amp;""))="yes",LOWER(TRIM('01_Master_Data'!AK323&amp;""))="yes",LOWER(U323)="risk"),"Yes","No"))</f>
        <v/>
      </c>
      <c r="AC323">
        <f>IF(A323="","",IF(LOWER(TRIM('01_Master_Data'!AI323&amp;""))="yes","Yes","No"))</f>
        <v/>
      </c>
      <c r="AD323">
        <f>IF(A323="","",IF(LOWER(TRIM('01_Master_Data'!AK323&amp;""))="yes","Yes","No"))</f>
        <v/>
      </c>
      <c r="AE323">
        <f>IF(A323="","",IF(LOWER(TRIM('01_Master_Data'!AJ323&amp;""))="yes","Yes","No"))</f>
        <v/>
      </c>
      <c r="AF323">
        <f>IF(A323="","",TRIM('01_Master_Data'!AL323&amp;""))</f>
        <v/>
      </c>
      <c r="AG323">
        <f>IF(A323="","",IF(AF323="","—",IF(ISNUMBER(SEARCH("DNP",AF323)),"Unreachable / DNP",IF(ISNUMBER(SEARCH("interest",LOWER(AF323))),"High Interest / Terms",IF(OR(ISNUMBER(SEARCH("eligib",LOWER(AF323))),ISNUMBER(SEARCH("income",LOWER(AF323)))),"Eligibility / Income",IF(OR(ISNUMBER(SEARCH("start",LOWER(AF323))),ISNUMBER(SEARCH("Newer",AF323)),ISNUMBER(SEARCH("Will start",AF323))),"Process Yet to Start",IF(ISNUMBER(SEARCH("sure",LOWER(AF323))),"Undecided",IF(OR(ISNUMBER(SEARCH("reject",LOWER(AF323))),ISNUMBER(SEARCH("SBI",AF323))),"Rejected Elsewhere",IF(ISNUMBER(SEARCH("call",LOWER(AF323))),"Bank Communication",IF(OR(ISNUMBER(SEARCH("father",LOWER(AF323))),ISNUMBER(SEARCH("sister",LOWER(AF323)))),"Family / Dependency","Other"))))))))))</f>
        <v/>
      </c>
      <c r="AH323">
        <f>IF(A323="","",'01_Master_Data'!AC323)</f>
        <v/>
      </c>
      <c r="AI323">
        <f>IF(A323="","",IF(OR(AH323="",NOT(ISNUMBER(AH323))),"",MAX(0,'02_Configuration'!$B$82-AH323)))</f>
        <v/>
      </c>
      <c r="AJ323">
        <f>IF(A323="","",IF(AI323="","Unknown",IF(AI323&lt;=3,"0–3 Days",IF(AI323&lt;=7,"4–7 Days",IF(AI323&lt;=15,"8–15 Days",IF(AI323&lt;=30,"16–30 Days","30+ Days"))))))</f>
        <v/>
      </c>
      <c r="AK323">
        <f>IF(A323="","",IF(LOWER(H323)="yes","Yes","No"))</f>
        <v/>
      </c>
      <c r="AL323">
        <f>IF(A323="","",'01_Master_Data'!T323)</f>
        <v/>
      </c>
      <c r="AM323">
        <f>IF(A323="","",'01_Master_Data'!S323)</f>
        <v/>
      </c>
      <c r="AN323">
        <f>IF(A323="","",'01_Master_Data'!I323)</f>
        <v/>
      </c>
      <c r="AO323">
        <f>IF(A323="","",'01_Master_Data'!M323)</f>
        <v/>
      </c>
      <c r="AP323">
        <f>IF(A323="","",IF(ISNUMBER(SEARCH("Icici",W323&amp;"")),1,0))</f>
        <v/>
      </c>
      <c r="AQ323">
        <f>IF(A323="","",IF(ISNUMBER(SEARCH("Propelld",W323&amp;"")),1,0))</f>
        <v/>
      </c>
      <c r="AR323">
        <f>IF(A323="","",IF(ISNUMBER(SEARCH("GyanDhan",W323&amp;"")),1,0))</f>
        <v/>
      </c>
      <c r="AS323">
        <f>IF(A323="","",IF(ISNUMBER(SEARCH("vidyalakshmi",LOWER(W323&amp;""))),1,0))</f>
        <v/>
      </c>
      <c r="AT323">
        <f>IF(A323="","",IF(ISNUMBER(SEARCH("other bank",LOWER(W323&amp;""))),1,0))</f>
        <v/>
      </c>
      <c r="AU323">
        <f>IF(A323="","",IF(ISNUMBER(SEARCH("sanctioned",LOWER(W323&amp;""))),1,0))</f>
        <v/>
      </c>
      <c r="AV323">
        <f>IF(A323="","",IF(ISNUMBER(SEARCH("Docs Pending",W323&amp;"")),1,0))</f>
        <v/>
      </c>
      <c r="AW323">
        <f>IF(A323="","",IF(OR(X323="Rejected",ISNUMBER(SEARCH("Not eligbile",W323&amp;""))),1,0))</f>
        <v/>
      </c>
    </row>
    <row r="324">
      <c r="A324">
        <f>IF('01_Master_Data'!B324="","",323)</f>
        <v/>
      </c>
      <c r="B324">
        <f>IF('01_Master_Data'!B324="","",IF('01_Master_Data'!C324&lt;&gt;"","MOB|"&amp;TEXT('01_Master_Data'!C324,"0"),IF('01_Master_Data'!D324&lt;&gt;"","PID|"&amp;TRIM('01_Master_Data'!D324&amp;""),"")))</f>
        <v/>
      </c>
      <c r="C324">
        <f>IF('01_Master_Data'!B324="","",'01_Master_Data'!B324)</f>
        <v/>
      </c>
      <c r="D324">
        <f>IF('01_Master_Data'!B324="","",'01_Master_Data'!C324)</f>
        <v/>
      </c>
      <c r="E324">
        <f>IF('01_Master_Data'!B324="","",'01_Master_Data'!D324)</f>
        <v/>
      </c>
      <c r="F324">
        <f>IF('01_Master_Data'!B324="","",'01_Master_Data'!E324)</f>
        <v/>
      </c>
      <c r="G324">
        <f>IF('01_Master_Data'!B324="","",IFERROR(VLOOKUP(TRIM('01_Master_Data'!E324&amp;""),'02_Configuration'!$A$40:$B$44,2,FALSE),UPPER(TRIM('01_Master_Data'!E324&amp;""))))</f>
        <v/>
      </c>
      <c r="H324">
        <f>IF('01_Master_Data'!B324="","",IF('01_Master_Data'!U324="","",TRIM('01_Master_Data'!U324&amp;"")))</f>
        <v/>
      </c>
      <c r="I324">
        <f>IF('01_Master_Data'!B324="","",TRIM('01_Master_Data'!F324&amp;""))</f>
        <v/>
      </c>
      <c r="J324">
        <f>IF('01_Master_Data'!B324="","",TRIM('01_Master_Data'!G324&amp;""))</f>
        <v/>
      </c>
      <c r="K324">
        <f>IF('01_Master_Data'!B324="","",'01_Master_Data'!H324)</f>
        <v/>
      </c>
      <c r="L324">
        <f>IF('01_Master_Data'!B324="","",IF(LOWER(TRIM('01_Master_Data'!V324&amp;""))="yes",1,0))</f>
        <v/>
      </c>
      <c r="M324">
        <f>IF('01_Master_Data'!B324="","",IF(LOWER(TRIM('01_Master_Data'!W324&amp;""))="yes",1,0))</f>
        <v/>
      </c>
      <c r="N324">
        <f>IF('01_Master_Data'!B324="","",IF(LOWER(TRIM('01_Master_Data'!X324&amp;""))="yes",1,0))</f>
        <v/>
      </c>
      <c r="O324">
        <f>IF('01_Master_Data'!B324="","",IF(LOWER(TRIM('01_Master_Data'!Y324&amp;""))="yes",1,0))</f>
        <v/>
      </c>
      <c r="P324">
        <f>IF('01_Master_Data'!B324="","",IF(LOWER(TRIM('01_Master_Data'!Z324&amp;""))="yes",1,0))</f>
        <v/>
      </c>
      <c r="Q324">
        <f>IF(A324="","",L324+M324+N324+O324+P324)</f>
        <v/>
      </c>
      <c r="R324">
        <f>IF(A324="","",IF(Q324&gt;1,"Yes","No"))</f>
        <v/>
      </c>
      <c r="S324">
        <f>IF(A324="","",TEXTJOIN(", ",TRUE,IF(L324=1,"ICICI",""),IF(M324=1,"Propelld",""),IF(N324=1,"Study4Buddy",""),IF(O324=1,"Poonawala Fincorp",""),IF(P324=1,"GyanDhan","")))</f>
        <v/>
      </c>
      <c r="T324">
        <f>IF(A324="","",IF(L324=1,"ICICI",IF(M324=1,"Propelld",IF(P324=1,"GyanDhan",IF(N324=1,"Study4Buddy",IF(O324=1,"Poonawala Fincorp",IF(ISNUMBER(SEARCH("GyanDhan",W324&amp;"")),"GyanDhan",IF(ISNUMBER(SEARCH("Icici",W324&amp;"")),"ICICI",IF(ISNUMBER(SEARCH("Propelld",W324&amp;"")),"Propelld",IF(ISNUMBER(SEARCH("vidyalakshmi",LOWER(W324&amp;"")),"PM Vidyalakshmi","—"))))))))))</f>
        <v/>
      </c>
      <c r="U324">
        <f>IF(A324="","",TRIM('01_Master_Data'!AA324&amp;""))</f>
        <v/>
      </c>
      <c r="V324">
        <f>IF(A324="","",TRIM('01_Master_Data'!AG324&amp;""))</f>
        <v/>
      </c>
      <c r="W324">
        <f>IF(A324="","",TRIM('01_Master_Data'!AH324&amp;""))</f>
        <v/>
      </c>
      <c r="X324">
        <f>IF(A324="","",IF(OR(LOWER(H324)="refund",LOWER(U324)="refund case"),"Refund",IF(OR(LOWER(H324)="dnp",LOWER(U324)="dnp"),"DNP",IF(OR(LOWER(V324)="disbursed",ISNUMBER(SEARCH("Disbursed",W324&amp;""))),"Disbursed",IF(OR(LOWER(V324)="loan proccessed/accepted",ISNUMBER(SEARCH("sanctioned",LOWER(W324&amp;"")))),"Sanctioned",IF(OR(LOWER(V324)="rejected",ISNUMBER(SEARCH("Not eligbile",W324&amp;"")),ISNUMBER(SEARCH("Not eligible",W324&amp;""))),"Rejected",IF(ISNUMBER(SEARCH("Docs Pending",W324&amp;"")),"Documents Pending",IF(AND(LOWER(H324)="yes",LOWER(V324)="ongoing"),"Processing",IF(AND(LOWER(H324)="yes",Q324&gt;0,OR(V324="",LOWER(V324)="not even started")),"Vendor Assigned",IF(AND(LOWER(H324)="yes",LOWER(V324)="not even started"),"Need Loan",IF(LOWER(H324)="yes","Loan Started",IF(LOWER(H324)="not sure","Interested",IF(OR(LOWER(H324)="no",LOWER(V324)="not required"),"Not Required","Unclassified")))))))))))))</f>
        <v/>
      </c>
      <c r="Y324">
        <f>IF(A324="","",IF(OR(X324="Sanctioned",X324="Disbursed",X324="Approved"),"Approved",IF(X324="Rejected","Rejected",IF(OR(X324="Processing",X324="Documents Pending",X324="Vendor Assigned"),"In Progress",IF(X324="Need Loan","Pending Start","—"))))</f>
        <v/>
      </c>
      <c r="Z324">
        <f>IF(A324="","",IF(X324="Disbursed","Disbursed",IF(X324="Sanctioned","Sanctioned - Awaiting Disbursement","Not Disbursed")))</f>
        <v/>
      </c>
      <c r="AA324">
        <f>IF(A324="","",IF(LOWER(TRIM('01_Master_Data'!AI324&amp;""))="yes","Need FLDG",IF(LOWER(TRIM('01_Master_Data'!AK324&amp;""))="yes","Need Vidyalakshmi",IF(LOWER(TRIM('01_Master_Data'!AJ324&amp;""))="yes","Need Review",IF(LOWER(J324)="critical","Critical",IF(LOWER(U324)="risk","Risk Case",IF(X324="Refund","Refund","Normal")))))))</f>
        <v/>
      </c>
      <c r="AB324">
        <f>IF(A324="","",IF(OR(LOWER(J324)="critical",LOWER(TRIM('01_Master_Data'!AI324&amp;""))="yes",LOWER(TRIM('01_Master_Data'!AK324&amp;""))="yes",LOWER(U324)="risk"),"Yes","No"))</f>
        <v/>
      </c>
      <c r="AC324">
        <f>IF(A324="","",IF(LOWER(TRIM('01_Master_Data'!AI324&amp;""))="yes","Yes","No"))</f>
        <v/>
      </c>
      <c r="AD324">
        <f>IF(A324="","",IF(LOWER(TRIM('01_Master_Data'!AK324&amp;""))="yes","Yes","No"))</f>
        <v/>
      </c>
      <c r="AE324">
        <f>IF(A324="","",IF(LOWER(TRIM('01_Master_Data'!AJ324&amp;""))="yes","Yes","No"))</f>
        <v/>
      </c>
      <c r="AF324">
        <f>IF(A324="","",TRIM('01_Master_Data'!AL324&amp;""))</f>
        <v/>
      </c>
      <c r="AG324">
        <f>IF(A324="","",IF(AF324="","—",IF(ISNUMBER(SEARCH("DNP",AF324)),"Unreachable / DNP",IF(ISNUMBER(SEARCH("interest",LOWER(AF324))),"High Interest / Terms",IF(OR(ISNUMBER(SEARCH("eligib",LOWER(AF324))),ISNUMBER(SEARCH("income",LOWER(AF324)))),"Eligibility / Income",IF(OR(ISNUMBER(SEARCH("start",LOWER(AF324))),ISNUMBER(SEARCH("Newer",AF324)),ISNUMBER(SEARCH("Will start",AF324))),"Process Yet to Start",IF(ISNUMBER(SEARCH("sure",LOWER(AF324))),"Undecided",IF(OR(ISNUMBER(SEARCH("reject",LOWER(AF324))),ISNUMBER(SEARCH("SBI",AF324))),"Rejected Elsewhere",IF(ISNUMBER(SEARCH("call",LOWER(AF324))),"Bank Communication",IF(OR(ISNUMBER(SEARCH("father",LOWER(AF324))),ISNUMBER(SEARCH("sister",LOWER(AF324)))),"Family / Dependency","Other"))))))))))</f>
        <v/>
      </c>
      <c r="AH324">
        <f>IF(A324="","",'01_Master_Data'!AC324)</f>
        <v/>
      </c>
      <c r="AI324">
        <f>IF(A324="","",IF(OR(AH324="",NOT(ISNUMBER(AH324))),"",MAX(0,'02_Configuration'!$B$82-AH324)))</f>
        <v/>
      </c>
      <c r="AJ324">
        <f>IF(A324="","",IF(AI324="","Unknown",IF(AI324&lt;=3,"0–3 Days",IF(AI324&lt;=7,"4–7 Days",IF(AI324&lt;=15,"8–15 Days",IF(AI324&lt;=30,"16–30 Days","30+ Days"))))))</f>
        <v/>
      </c>
      <c r="AK324">
        <f>IF(A324="","",IF(LOWER(H324)="yes","Yes","No"))</f>
        <v/>
      </c>
      <c r="AL324">
        <f>IF(A324="","",'01_Master_Data'!T324)</f>
        <v/>
      </c>
      <c r="AM324">
        <f>IF(A324="","",'01_Master_Data'!S324)</f>
        <v/>
      </c>
      <c r="AN324">
        <f>IF(A324="","",'01_Master_Data'!I324)</f>
        <v/>
      </c>
      <c r="AO324">
        <f>IF(A324="","",'01_Master_Data'!M324)</f>
        <v/>
      </c>
      <c r="AP324">
        <f>IF(A324="","",IF(ISNUMBER(SEARCH("Icici",W324&amp;"")),1,0))</f>
        <v/>
      </c>
      <c r="AQ324">
        <f>IF(A324="","",IF(ISNUMBER(SEARCH("Propelld",W324&amp;"")),1,0))</f>
        <v/>
      </c>
      <c r="AR324">
        <f>IF(A324="","",IF(ISNUMBER(SEARCH("GyanDhan",W324&amp;"")),1,0))</f>
        <v/>
      </c>
      <c r="AS324">
        <f>IF(A324="","",IF(ISNUMBER(SEARCH("vidyalakshmi",LOWER(W324&amp;""))),1,0))</f>
        <v/>
      </c>
      <c r="AT324">
        <f>IF(A324="","",IF(ISNUMBER(SEARCH("other bank",LOWER(W324&amp;""))),1,0))</f>
        <v/>
      </c>
      <c r="AU324">
        <f>IF(A324="","",IF(ISNUMBER(SEARCH("sanctioned",LOWER(W324&amp;""))),1,0))</f>
        <v/>
      </c>
      <c r="AV324">
        <f>IF(A324="","",IF(ISNUMBER(SEARCH("Docs Pending",W324&amp;"")),1,0))</f>
        <v/>
      </c>
      <c r="AW324">
        <f>IF(A324="","",IF(OR(X324="Rejected",ISNUMBER(SEARCH("Not eligbile",W324&amp;""))),1,0))</f>
        <v/>
      </c>
    </row>
    <row r="325">
      <c r="A325">
        <f>IF('01_Master_Data'!B325="","",324)</f>
        <v/>
      </c>
      <c r="B325">
        <f>IF('01_Master_Data'!B325="","",IF('01_Master_Data'!C325&lt;&gt;"","MOB|"&amp;TEXT('01_Master_Data'!C325,"0"),IF('01_Master_Data'!D325&lt;&gt;"","PID|"&amp;TRIM('01_Master_Data'!D325&amp;""),"")))</f>
        <v/>
      </c>
      <c r="C325">
        <f>IF('01_Master_Data'!B325="","",'01_Master_Data'!B325)</f>
        <v/>
      </c>
      <c r="D325">
        <f>IF('01_Master_Data'!B325="","",'01_Master_Data'!C325)</f>
        <v/>
      </c>
      <c r="E325">
        <f>IF('01_Master_Data'!B325="","",'01_Master_Data'!D325)</f>
        <v/>
      </c>
      <c r="F325">
        <f>IF('01_Master_Data'!B325="","",'01_Master_Data'!E325)</f>
        <v/>
      </c>
      <c r="G325">
        <f>IF('01_Master_Data'!B325="","",IFERROR(VLOOKUP(TRIM('01_Master_Data'!E325&amp;""),'02_Configuration'!$A$40:$B$44,2,FALSE),UPPER(TRIM('01_Master_Data'!E325&amp;""))))</f>
        <v/>
      </c>
      <c r="H325">
        <f>IF('01_Master_Data'!B325="","",IF('01_Master_Data'!U325="","",TRIM('01_Master_Data'!U325&amp;"")))</f>
        <v/>
      </c>
      <c r="I325">
        <f>IF('01_Master_Data'!B325="","",TRIM('01_Master_Data'!F325&amp;""))</f>
        <v/>
      </c>
      <c r="J325">
        <f>IF('01_Master_Data'!B325="","",TRIM('01_Master_Data'!G325&amp;""))</f>
        <v/>
      </c>
      <c r="K325">
        <f>IF('01_Master_Data'!B325="","",'01_Master_Data'!H325)</f>
        <v/>
      </c>
      <c r="L325">
        <f>IF('01_Master_Data'!B325="","",IF(LOWER(TRIM('01_Master_Data'!V325&amp;""))="yes",1,0))</f>
        <v/>
      </c>
      <c r="M325">
        <f>IF('01_Master_Data'!B325="","",IF(LOWER(TRIM('01_Master_Data'!W325&amp;""))="yes",1,0))</f>
        <v/>
      </c>
      <c r="N325">
        <f>IF('01_Master_Data'!B325="","",IF(LOWER(TRIM('01_Master_Data'!X325&amp;""))="yes",1,0))</f>
        <v/>
      </c>
      <c r="O325">
        <f>IF('01_Master_Data'!B325="","",IF(LOWER(TRIM('01_Master_Data'!Y325&amp;""))="yes",1,0))</f>
        <v/>
      </c>
      <c r="P325">
        <f>IF('01_Master_Data'!B325="","",IF(LOWER(TRIM('01_Master_Data'!Z325&amp;""))="yes",1,0))</f>
        <v/>
      </c>
      <c r="Q325">
        <f>IF(A325="","",L325+M325+N325+O325+P325)</f>
        <v/>
      </c>
      <c r="R325">
        <f>IF(A325="","",IF(Q325&gt;1,"Yes","No"))</f>
        <v/>
      </c>
      <c r="S325">
        <f>IF(A325="","",TEXTJOIN(", ",TRUE,IF(L325=1,"ICICI",""),IF(M325=1,"Propelld",""),IF(N325=1,"Study4Buddy",""),IF(O325=1,"Poonawala Fincorp",""),IF(P325=1,"GyanDhan","")))</f>
        <v/>
      </c>
      <c r="T325">
        <f>IF(A325="","",IF(L325=1,"ICICI",IF(M325=1,"Propelld",IF(P325=1,"GyanDhan",IF(N325=1,"Study4Buddy",IF(O325=1,"Poonawala Fincorp",IF(ISNUMBER(SEARCH("GyanDhan",W325&amp;"")),"GyanDhan",IF(ISNUMBER(SEARCH("Icici",W325&amp;"")),"ICICI",IF(ISNUMBER(SEARCH("Propelld",W325&amp;"")),"Propelld",IF(ISNUMBER(SEARCH("vidyalakshmi",LOWER(W325&amp;"")),"PM Vidyalakshmi","—"))))))))))</f>
        <v/>
      </c>
      <c r="U325">
        <f>IF(A325="","",TRIM('01_Master_Data'!AA325&amp;""))</f>
        <v/>
      </c>
      <c r="V325">
        <f>IF(A325="","",TRIM('01_Master_Data'!AG325&amp;""))</f>
        <v/>
      </c>
      <c r="W325">
        <f>IF(A325="","",TRIM('01_Master_Data'!AH325&amp;""))</f>
        <v/>
      </c>
      <c r="X325">
        <f>IF(A325="","",IF(OR(LOWER(H325)="refund",LOWER(U325)="refund case"),"Refund",IF(OR(LOWER(H325)="dnp",LOWER(U325)="dnp"),"DNP",IF(OR(LOWER(V325)="disbursed",ISNUMBER(SEARCH("Disbursed",W325&amp;""))),"Disbursed",IF(OR(LOWER(V325)="loan proccessed/accepted",ISNUMBER(SEARCH("sanctioned",LOWER(W325&amp;"")))),"Sanctioned",IF(OR(LOWER(V325)="rejected",ISNUMBER(SEARCH("Not eligbile",W325&amp;"")),ISNUMBER(SEARCH("Not eligible",W325&amp;""))),"Rejected",IF(ISNUMBER(SEARCH("Docs Pending",W325&amp;"")),"Documents Pending",IF(AND(LOWER(H325)="yes",LOWER(V325)="ongoing"),"Processing",IF(AND(LOWER(H325)="yes",Q325&gt;0,OR(V325="",LOWER(V325)="not even started")),"Vendor Assigned",IF(AND(LOWER(H325)="yes",LOWER(V325)="not even started"),"Need Loan",IF(LOWER(H325)="yes","Loan Started",IF(LOWER(H325)="not sure","Interested",IF(OR(LOWER(H325)="no",LOWER(V325)="not required"),"Not Required","Unclassified")))))))))))))</f>
        <v/>
      </c>
      <c r="Y325">
        <f>IF(A325="","",IF(OR(X325="Sanctioned",X325="Disbursed",X325="Approved"),"Approved",IF(X325="Rejected","Rejected",IF(OR(X325="Processing",X325="Documents Pending",X325="Vendor Assigned"),"In Progress",IF(X325="Need Loan","Pending Start","—"))))</f>
        <v/>
      </c>
      <c r="Z325">
        <f>IF(A325="","",IF(X325="Disbursed","Disbursed",IF(X325="Sanctioned","Sanctioned - Awaiting Disbursement","Not Disbursed")))</f>
        <v/>
      </c>
      <c r="AA325">
        <f>IF(A325="","",IF(LOWER(TRIM('01_Master_Data'!AI325&amp;""))="yes","Need FLDG",IF(LOWER(TRIM('01_Master_Data'!AK325&amp;""))="yes","Need Vidyalakshmi",IF(LOWER(TRIM('01_Master_Data'!AJ325&amp;""))="yes","Need Review",IF(LOWER(J325)="critical","Critical",IF(LOWER(U325)="risk","Risk Case",IF(X325="Refund","Refund","Normal")))))))</f>
        <v/>
      </c>
      <c r="AB325">
        <f>IF(A325="","",IF(OR(LOWER(J325)="critical",LOWER(TRIM('01_Master_Data'!AI325&amp;""))="yes",LOWER(TRIM('01_Master_Data'!AK325&amp;""))="yes",LOWER(U325)="risk"),"Yes","No"))</f>
        <v/>
      </c>
      <c r="AC325">
        <f>IF(A325="","",IF(LOWER(TRIM('01_Master_Data'!AI325&amp;""))="yes","Yes","No"))</f>
        <v/>
      </c>
      <c r="AD325">
        <f>IF(A325="","",IF(LOWER(TRIM('01_Master_Data'!AK325&amp;""))="yes","Yes","No"))</f>
        <v/>
      </c>
      <c r="AE325">
        <f>IF(A325="","",IF(LOWER(TRIM('01_Master_Data'!AJ325&amp;""))="yes","Yes","No"))</f>
        <v/>
      </c>
      <c r="AF325">
        <f>IF(A325="","",TRIM('01_Master_Data'!AL325&amp;""))</f>
        <v/>
      </c>
      <c r="AG325">
        <f>IF(A325="","",IF(AF325="","—",IF(ISNUMBER(SEARCH("DNP",AF325)),"Unreachable / DNP",IF(ISNUMBER(SEARCH("interest",LOWER(AF325))),"High Interest / Terms",IF(OR(ISNUMBER(SEARCH("eligib",LOWER(AF325))),ISNUMBER(SEARCH("income",LOWER(AF325)))),"Eligibility / Income",IF(OR(ISNUMBER(SEARCH("start",LOWER(AF325))),ISNUMBER(SEARCH("Newer",AF325)),ISNUMBER(SEARCH("Will start",AF325))),"Process Yet to Start",IF(ISNUMBER(SEARCH("sure",LOWER(AF325))),"Undecided",IF(OR(ISNUMBER(SEARCH("reject",LOWER(AF325))),ISNUMBER(SEARCH("SBI",AF325))),"Rejected Elsewhere",IF(ISNUMBER(SEARCH("call",LOWER(AF325))),"Bank Communication",IF(OR(ISNUMBER(SEARCH("father",LOWER(AF325))),ISNUMBER(SEARCH("sister",LOWER(AF325)))),"Family / Dependency","Other"))))))))))</f>
        <v/>
      </c>
      <c r="AH325">
        <f>IF(A325="","",'01_Master_Data'!AC325)</f>
        <v/>
      </c>
      <c r="AI325">
        <f>IF(A325="","",IF(OR(AH325="",NOT(ISNUMBER(AH325))),"",MAX(0,'02_Configuration'!$B$82-AH325)))</f>
        <v/>
      </c>
      <c r="AJ325">
        <f>IF(A325="","",IF(AI325="","Unknown",IF(AI325&lt;=3,"0–3 Days",IF(AI325&lt;=7,"4–7 Days",IF(AI325&lt;=15,"8–15 Days",IF(AI325&lt;=30,"16–30 Days","30+ Days"))))))</f>
        <v/>
      </c>
      <c r="AK325">
        <f>IF(A325="","",IF(LOWER(H325)="yes","Yes","No"))</f>
        <v/>
      </c>
      <c r="AL325">
        <f>IF(A325="","",'01_Master_Data'!T325)</f>
        <v/>
      </c>
      <c r="AM325">
        <f>IF(A325="","",'01_Master_Data'!S325)</f>
        <v/>
      </c>
      <c r="AN325">
        <f>IF(A325="","",'01_Master_Data'!I325)</f>
        <v/>
      </c>
      <c r="AO325">
        <f>IF(A325="","",'01_Master_Data'!M325)</f>
        <v/>
      </c>
      <c r="AP325">
        <f>IF(A325="","",IF(ISNUMBER(SEARCH("Icici",W325&amp;"")),1,0))</f>
        <v/>
      </c>
      <c r="AQ325">
        <f>IF(A325="","",IF(ISNUMBER(SEARCH("Propelld",W325&amp;"")),1,0))</f>
        <v/>
      </c>
      <c r="AR325">
        <f>IF(A325="","",IF(ISNUMBER(SEARCH("GyanDhan",W325&amp;"")),1,0))</f>
        <v/>
      </c>
      <c r="AS325">
        <f>IF(A325="","",IF(ISNUMBER(SEARCH("vidyalakshmi",LOWER(W325&amp;""))),1,0))</f>
        <v/>
      </c>
      <c r="AT325">
        <f>IF(A325="","",IF(ISNUMBER(SEARCH("other bank",LOWER(W325&amp;""))),1,0))</f>
        <v/>
      </c>
      <c r="AU325">
        <f>IF(A325="","",IF(ISNUMBER(SEARCH("sanctioned",LOWER(W325&amp;""))),1,0))</f>
        <v/>
      </c>
      <c r="AV325">
        <f>IF(A325="","",IF(ISNUMBER(SEARCH("Docs Pending",W325&amp;"")),1,0))</f>
        <v/>
      </c>
      <c r="AW325">
        <f>IF(A325="","",IF(OR(X325="Rejected",ISNUMBER(SEARCH("Not eligbile",W325&amp;""))),1,0))</f>
        <v/>
      </c>
    </row>
    <row r="326">
      <c r="A326">
        <f>IF('01_Master_Data'!B326="","",325)</f>
        <v/>
      </c>
      <c r="B326">
        <f>IF('01_Master_Data'!B326="","",IF('01_Master_Data'!C326&lt;&gt;"","MOB|"&amp;TEXT('01_Master_Data'!C326,"0"),IF('01_Master_Data'!D326&lt;&gt;"","PID|"&amp;TRIM('01_Master_Data'!D326&amp;""),"")))</f>
        <v/>
      </c>
      <c r="C326">
        <f>IF('01_Master_Data'!B326="","",'01_Master_Data'!B326)</f>
        <v/>
      </c>
      <c r="D326">
        <f>IF('01_Master_Data'!B326="","",'01_Master_Data'!C326)</f>
        <v/>
      </c>
      <c r="E326">
        <f>IF('01_Master_Data'!B326="","",'01_Master_Data'!D326)</f>
        <v/>
      </c>
      <c r="F326">
        <f>IF('01_Master_Data'!B326="","",'01_Master_Data'!E326)</f>
        <v/>
      </c>
      <c r="G326">
        <f>IF('01_Master_Data'!B326="","",IFERROR(VLOOKUP(TRIM('01_Master_Data'!E326&amp;""),'02_Configuration'!$A$40:$B$44,2,FALSE),UPPER(TRIM('01_Master_Data'!E326&amp;""))))</f>
        <v/>
      </c>
      <c r="H326">
        <f>IF('01_Master_Data'!B326="","",IF('01_Master_Data'!U326="","",TRIM('01_Master_Data'!U326&amp;"")))</f>
        <v/>
      </c>
      <c r="I326">
        <f>IF('01_Master_Data'!B326="","",TRIM('01_Master_Data'!F326&amp;""))</f>
        <v/>
      </c>
      <c r="J326">
        <f>IF('01_Master_Data'!B326="","",TRIM('01_Master_Data'!G326&amp;""))</f>
        <v/>
      </c>
      <c r="K326">
        <f>IF('01_Master_Data'!B326="","",'01_Master_Data'!H326)</f>
        <v/>
      </c>
      <c r="L326">
        <f>IF('01_Master_Data'!B326="","",IF(LOWER(TRIM('01_Master_Data'!V326&amp;""))="yes",1,0))</f>
        <v/>
      </c>
      <c r="M326">
        <f>IF('01_Master_Data'!B326="","",IF(LOWER(TRIM('01_Master_Data'!W326&amp;""))="yes",1,0))</f>
        <v/>
      </c>
      <c r="N326">
        <f>IF('01_Master_Data'!B326="","",IF(LOWER(TRIM('01_Master_Data'!X326&amp;""))="yes",1,0))</f>
        <v/>
      </c>
      <c r="O326">
        <f>IF('01_Master_Data'!B326="","",IF(LOWER(TRIM('01_Master_Data'!Y326&amp;""))="yes",1,0))</f>
        <v/>
      </c>
      <c r="P326">
        <f>IF('01_Master_Data'!B326="","",IF(LOWER(TRIM('01_Master_Data'!Z326&amp;""))="yes",1,0))</f>
        <v/>
      </c>
      <c r="Q326">
        <f>IF(A326="","",L326+M326+N326+O326+P326)</f>
        <v/>
      </c>
      <c r="R326">
        <f>IF(A326="","",IF(Q326&gt;1,"Yes","No"))</f>
        <v/>
      </c>
      <c r="S326">
        <f>IF(A326="","",TEXTJOIN(", ",TRUE,IF(L326=1,"ICICI",""),IF(M326=1,"Propelld",""),IF(N326=1,"Study4Buddy",""),IF(O326=1,"Poonawala Fincorp",""),IF(P326=1,"GyanDhan","")))</f>
        <v/>
      </c>
      <c r="T326">
        <f>IF(A326="","",IF(L326=1,"ICICI",IF(M326=1,"Propelld",IF(P326=1,"GyanDhan",IF(N326=1,"Study4Buddy",IF(O326=1,"Poonawala Fincorp",IF(ISNUMBER(SEARCH("GyanDhan",W326&amp;"")),"GyanDhan",IF(ISNUMBER(SEARCH("Icici",W326&amp;"")),"ICICI",IF(ISNUMBER(SEARCH("Propelld",W326&amp;"")),"Propelld",IF(ISNUMBER(SEARCH("vidyalakshmi",LOWER(W326&amp;"")),"PM Vidyalakshmi","—"))))))))))</f>
        <v/>
      </c>
      <c r="U326">
        <f>IF(A326="","",TRIM('01_Master_Data'!AA326&amp;""))</f>
        <v/>
      </c>
      <c r="V326">
        <f>IF(A326="","",TRIM('01_Master_Data'!AG326&amp;""))</f>
        <v/>
      </c>
      <c r="W326">
        <f>IF(A326="","",TRIM('01_Master_Data'!AH326&amp;""))</f>
        <v/>
      </c>
      <c r="X326">
        <f>IF(A326="","",IF(OR(LOWER(H326)="refund",LOWER(U326)="refund case"),"Refund",IF(OR(LOWER(H326)="dnp",LOWER(U326)="dnp"),"DNP",IF(OR(LOWER(V326)="disbursed",ISNUMBER(SEARCH("Disbursed",W326&amp;""))),"Disbursed",IF(OR(LOWER(V326)="loan proccessed/accepted",ISNUMBER(SEARCH("sanctioned",LOWER(W326&amp;"")))),"Sanctioned",IF(OR(LOWER(V326)="rejected",ISNUMBER(SEARCH("Not eligbile",W326&amp;"")),ISNUMBER(SEARCH("Not eligible",W326&amp;""))),"Rejected",IF(ISNUMBER(SEARCH("Docs Pending",W326&amp;"")),"Documents Pending",IF(AND(LOWER(H326)="yes",LOWER(V326)="ongoing"),"Processing",IF(AND(LOWER(H326)="yes",Q326&gt;0,OR(V326="",LOWER(V326)="not even started")),"Vendor Assigned",IF(AND(LOWER(H326)="yes",LOWER(V326)="not even started"),"Need Loan",IF(LOWER(H326)="yes","Loan Started",IF(LOWER(H326)="not sure","Interested",IF(OR(LOWER(H326)="no",LOWER(V326)="not required"),"Not Required","Unclassified")))))))))))))</f>
        <v/>
      </c>
      <c r="Y326">
        <f>IF(A326="","",IF(OR(X326="Sanctioned",X326="Disbursed",X326="Approved"),"Approved",IF(X326="Rejected","Rejected",IF(OR(X326="Processing",X326="Documents Pending",X326="Vendor Assigned"),"In Progress",IF(X326="Need Loan","Pending Start","—"))))</f>
        <v/>
      </c>
      <c r="Z326">
        <f>IF(A326="","",IF(X326="Disbursed","Disbursed",IF(X326="Sanctioned","Sanctioned - Awaiting Disbursement","Not Disbursed")))</f>
        <v/>
      </c>
      <c r="AA326">
        <f>IF(A326="","",IF(LOWER(TRIM('01_Master_Data'!AI326&amp;""))="yes","Need FLDG",IF(LOWER(TRIM('01_Master_Data'!AK326&amp;""))="yes","Need Vidyalakshmi",IF(LOWER(TRIM('01_Master_Data'!AJ326&amp;""))="yes","Need Review",IF(LOWER(J326)="critical","Critical",IF(LOWER(U326)="risk","Risk Case",IF(X326="Refund","Refund","Normal")))))))</f>
        <v/>
      </c>
      <c r="AB326">
        <f>IF(A326="","",IF(OR(LOWER(J326)="critical",LOWER(TRIM('01_Master_Data'!AI326&amp;""))="yes",LOWER(TRIM('01_Master_Data'!AK326&amp;""))="yes",LOWER(U326)="risk"),"Yes","No"))</f>
        <v/>
      </c>
      <c r="AC326">
        <f>IF(A326="","",IF(LOWER(TRIM('01_Master_Data'!AI326&amp;""))="yes","Yes","No"))</f>
        <v/>
      </c>
      <c r="AD326">
        <f>IF(A326="","",IF(LOWER(TRIM('01_Master_Data'!AK326&amp;""))="yes","Yes","No"))</f>
        <v/>
      </c>
      <c r="AE326">
        <f>IF(A326="","",IF(LOWER(TRIM('01_Master_Data'!AJ326&amp;""))="yes","Yes","No"))</f>
        <v/>
      </c>
      <c r="AF326">
        <f>IF(A326="","",TRIM('01_Master_Data'!AL326&amp;""))</f>
        <v/>
      </c>
      <c r="AG326">
        <f>IF(A326="","",IF(AF326="","—",IF(ISNUMBER(SEARCH("DNP",AF326)),"Unreachable / DNP",IF(ISNUMBER(SEARCH("interest",LOWER(AF326))),"High Interest / Terms",IF(OR(ISNUMBER(SEARCH("eligib",LOWER(AF326))),ISNUMBER(SEARCH("income",LOWER(AF326)))),"Eligibility / Income",IF(OR(ISNUMBER(SEARCH("start",LOWER(AF326))),ISNUMBER(SEARCH("Newer",AF326)),ISNUMBER(SEARCH("Will start",AF326))),"Process Yet to Start",IF(ISNUMBER(SEARCH("sure",LOWER(AF326))),"Undecided",IF(OR(ISNUMBER(SEARCH("reject",LOWER(AF326))),ISNUMBER(SEARCH("SBI",AF326))),"Rejected Elsewhere",IF(ISNUMBER(SEARCH("call",LOWER(AF326))),"Bank Communication",IF(OR(ISNUMBER(SEARCH("father",LOWER(AF326))),ISNUMBER(SEARCH("sister",LOWER(AF326)))),"Family / Dependency","Other"))))))))))</f>
        <v/>
      </c>
      <c r="AH326">
        <f>IF(A326="","",'01_Master_Data'!AC326)</f>
        <v/>
      </c>
      <c r="AI326">
        <f>IF(A326="","",IF(OR(AH326="",NOT(ISNUMBER(AH326))),"",MAX(0,'02_Configuration'!$B$82-AH326)))</f>
        <v/>
      </c>
      <c r="AJ326">
        <f>IF(A326="","",IF(AI326="","Unknown",IF(AI326&lt;=3,"0–3 Days",IF(AI326&lt;=7,"4–7 Days",IF(AI326&lt;=15,"8–15 Days",IF(AI326&lt;=30,"16–30 Days","30+ Days"))))))</f>
        <v/>
      </c>
      <c r="AK326">
        <f>IF(A326="","",IF(LOWER(H326)="yes","Yes","No"))</f>
        <v/>
      </c>
      <c r="AL326">
        <f>IF(A326="","",'01_Master_Data'!T326)</f>
        <v/>
      </c>
      <c r="AM326">
        <f>IF(A326="","",'01_Master_Data'!S326)</f>
        <v/>
      </c>
      <c r="AN326">
        <f>IF(A326="","",'01_Master_Data'!I326)</f>
        <v/>
      </c>
      <c r="AO326">
        <f>IF(A326="","",'01_Master_Data'!M326)</f>
        <v/>
      </c>
      <c r="AP326">
        <f>IF(A326="","",IF(ISNUMBER(SEARCH("Icici",W326&amp;"")),1,0))</f>
        <v/>
      </c>
      <c r="AQ326">
        <f>IF(A326="","",IF(ISNUMBER(SEARCH("Propelld",W326&amp;"")),1,0))</f>
        <v/>
      </c>
      <c r="AR326">
        <f>IF(A326="","",IF(ISNUMBER(SEARCH("GyanDhan",W326&amp;"")),1,0))</f>
        <v/>
      </c>
      <c r="AS326">
        <f>IF(A326="","",IF(ISNUMBER(SEARCH("vidyalakshmi",LOWER(W326&amp;""))),1,0))</f>
        <v/>
      </c>
      <c r="AT326">
        <f>IF(A326="","",IF(ISNUMBER(SEARCH("other bank",LOWER(W326&amp;""))),1,0))</f>
        <v/>
      </c>
      <c r="AU326">
        <f>IF(A326="","",IF(ISNUMBER(SEARCH("sanctioned",LOWER(W326&amp;""))),1,0))</f>
        <v/>
      </c>
      <c r="AV326">
        <f>IF(A326="","",IF(ISNUMBER(SEARCH("Docs Pending",W326&amp;"")),1,0))</f>
        <v/>
      </c>
      <c r="AW326">
        <f>IF(A326="","",IF(OR(X326="Rejected",ISNUMBER(SEARCH("Not eligbile",W326&amp;""))),1,0))</f>
        <v/>
      </c>
    </row>
    <row r="327">
      <c r="A327">
        <f>IF('01_Master_Data'!B327="","",326)</f>
        <v/>
      </c>
      <c r="B327">
        <f>IF('01_Master_Data'!B327="","",IF('01_Master_Data'!C327&lt;&gt;"","MOB|"&amp;TEXT('01_Master_Data'!C327,"0"),IF('01_Master_Data'!D327&lt;&gt;"","PID|"&amp;TRIM('01_Master_Data'!D327&amp;""),"")))</f>
        <v/>
      </c>
      <c r="C327">
        <f>IF('01_Master_Data'!B327="","",'01_Master_Data'!B327)</f>
        <v/>
      </c>
      <c r="D327">
        <f>IF('01_Master_Data'!B327="","",'01_Master_Data'!C327)</f>
        <v/>
      </c>
      <c r="E327">
        <f>IF('01_Master_Data'!B327="","",'01_Master_Data'!D327)</f>
        <v/>
      </c>
      <c r="F327">
        <f>IF('01_Master_Data'!B327="","",'01_Master_Data'!E327)</f>
        <v/>
      </c>
      <c r="G327">
        <f>IF('01_Master_Data'!B327="","",IFERROR(VLOOKUP(TRIM('01_Master_Data'!E327&amp;""),'02_Configuration'!$A$40:$B$44,2,FALSE),UPPER(TRIM('01_Master_Data'!E327&amp;""))))</f>
        <v/>
      </c>
      <c r="H327">
        <f>IF('01_Master_Data'!B327="","",IF('01_Master_Data'!U327="","",TRIM('01_Master_Data'!U327&amp;"")))</f>
        <v/>
      </c>
      <c r="I327">
        <f>IF('01_Master_Data'!B327="","",TRIM('01_Master_Data'!F327&amp;""))</f>
        <v/>
      </c>
      <c r="J327">
        <f>IF('01_Master_Data'!B327="","",TRIM('01_Master_Data'!G327&amp;""))</f>
        <v/>
      </c>
      <c r="K327">
        <f>IF('01_Master_Data'!B327="","",'01_Master_Data'!H327)</f>
        <v/>
      </c>
      <c r="L327">
        <f>IF('01_Master_Data'!B327="","",IF(LOWER(TRIM('01_Master_Data'!V327&amp;""))="yes",1,0))</f>
        <v/>
      </c>
      <c r="M327">
        <f>IF('01_Master_Data'!B327="","",IF(LOWER(TRIM('01_Master_Data'!W327&amp;""))="yes",1,0))</f>
        <v/>
      </c>
      <c r="N327">
        <f>IF('01_Master_Data'!B327="","",IF(LOWER(TRIM('01_Master_Data'!X327&amp;""))="yes",1,0))</f>
        <v/>
      </c>
      <c r="O327">
        <f>IF('01_Master_Data'!B327="","",IF(LOWER(TRIM('01_Master_Data'!Y327&amp;""))="yes",1,0))</f>
        <v/>
      </c>
      <c r="P327">
        <f>IF('01_Master_Data'!B327="","",IF(LOWER(TRIM('01_Master_Data'!Z327&amp;""))="yes",1,0))</f>
        <v/>
      </c>
      <c r="Q327">
        <f>IF(A327="","",L327+M327+N327+O327+P327)</f>
        <v/>
      </c>
      <c r="R327">
        <f>IF(A327="","",IF(Q327&gt;1,"Yes","No"))</f>
        <v/>
      </c>
      <c r="S327">
        <f>IF(A327="","",TEXTJOIN(", ",TRUE,IF(L327=1,"ICICI",""),IF(M327=1,"Propelld",""),IF(N327=1,"Study4Buddy",""),IF(O327=1,"Poonawala Fincorp",""),IF(P327=1,"GyanDhan","")))</f>
        <v/>
      </c>
      <c r="T327">
        <f>IF(A327="","",IF(L327=1,"ICICI",IF(M327=1,"Propelld",IF(P327=1,"GyanDhan",IF(N327=1,"Study4Buddy",IF(O327=1,"Poonawala Fincorp",IF(ISNUMBER(SEARCH("GyanDhan",W327&amp;"")),"GyanDhan",IF(ISNUMBER(SEARCH("Icici",W327&amp;"")),"ICICI",IF(ISNUMBER(SEARCH("Propelld",W327&amp;"")),"Propelld",IF(ISNUMBER(SEARCH("vidyalakshmi",LOWER(W327&amp;"")),"PM Vidyalakshmi","—"))))))))))</f>
        <v/>
      </c>
      <c r="U327">
        <f>IF(A327="","",TRIM('01_Master_Data'!AA327&amp;""))</f>
        <v/>
      </c>
      <c r="V327">
        <f>IF(A327="","",TRIM('01_Master_Data'!AG327&amp;""))</f>
        <v/>
      </c>
      <c r="W327">
        <f>IF(A327="","",TRIM('01_Master_Data'!AH327&amp;""))</f>
        <v/>
      </c>
      <c r="X327">
        <f>IF(A327="","",IF(OR(LOWER(H327)="refund",LOWER(U327)="refund case"),"Refund",IF(OR(LOWER(H327)="dnp",LOWER(U327)="dnp"),"DNP",IF(OR(LOWER(V327)="disbursed",ISNUMBER(SEARCH("Disbursed",W327&amp;""))),"Disbursed",IF(OR(LOWER(V327)="loan proccessed/accepted",ISNUMBER(SEARCH("sanctioned",LOWER(W327&amp;"")))),"Sanctioned",IF(OR(LOWER(V327)="rejected",ISNUMBER(SEARCH("Not eligbile",W327&amp;"")),ISNUMBER(SEARCH("Not eligible",W327&amp;""))),"Rejected",IF(ISNUMBER(SEARCH("Docs Pending",W327&amp;"")),"Documents Pending",IF(AND(LOWER(H327)="yes",LOWER(V327)="ongoing"),"Processing",IF(AND(LOWER(H327)="yes",Q327&gt;0,OR(V327="",LOWER(V327)="not even started")),"Vendor Assigned",IF(AND(LOWER(H327)="yes",LOWER(V327)="not even started"),"Need Loan",IF(LOWER(H327)="yes","Loan Started",IF(LOWER(H327)="not sure","Interested",IF(OR(LOWER(H327)="no",LOWER(V327)="not required"),"Not Required","Unclassified")))))))))))))</f>
        <v/>
      </c>
      <c r="Y327">
        <f>IF(A327="","",IF(OR(X327="Sanctioned",X327="Disbursed",X327="Approved"),"Approved",IF(X327="Rejected","Rejected",IF(OR(X327="Processing",X327="Documents Pending",X327="Vendor Assigned"),"In Progress",IF(X327="Need Loan","Pending Start","—"))))</f>
        <v/>
      </c>
      <c r="Z327">
        <f>IF(A327="","",IF(X327="Disbursed","Disbursed",IF(X327="Sanctioned","Sanctioned - Awaiting Disbursement","Not Disbursed")))</f>
        <v/>
      </c>
      <c r="AA327">
        <f>IF(A327="","",IF(LOWER(TRIM('01_Master_Data'!AI327&amp;""))="yes","Need FLDG",IF(LOWER(TRIM('01_Master_Data'!AK327&amp;""))="yes","Need Vidyalakshmi",IF(LOWER(TRIM('01_Master_Data'!AJ327&amp;""))="yes","Need Review",IF(LOWER(J327)="critical","Critical",IF(LOWER(U327)="risk","Risk Case",IF(X327="Refund","Refund","Normal")))))))</f>
        <v/>
      </c>
      <c r="AB327">
        <f>IF(A327="","",IF(OR(LOWER(J327)="critical",LOWER(TRIM('01_Master_Data'!AI327&amp;""))="yes",LOWER(TRIM('01_Master_Data'!AK327&amp;""))="yes",LOWER(U327)="risk"),"Yes","No"))</f>
        <v/>
      </c>
      <c r="AC327">
        <f>IF(A327="","",IF(LOWER(TRIM('01_Master_Data'!AI327&amp;""))="yes","Yes","No"))</f>
        <v/>
      </c>
      <c r="AD327">
        <f>IF(A327="","",IF(LOWER(TRIM('01_Master_Data'!AK327&amp;""))="yes","Yes","No"))</f>
        <v/>
      </c>
      <c r="AE327">
        <f>IF(A327="","",IF(LOWER(TRIM('01_Master_Data'!AJ327&amp;""))="yes","Yes","No"))</f>
        <v/>
      </c>
      <c r="AF327">
        <f>IF(A327="","",TRIM('01_Master_Data'!AL327&amp;""))</f>
        <v/>
      </c>
      <c r="AG327">
        <f>IF(A327="","",IF(AF327="","—",IF(ISNUMBER(SEARCH("DNP",AF327)),"Unreachable / DNP",IF(ISNUMBER(SEARCH("interest",LOWER(AF327))),"High Interest / Terms",IF(OR(ISNUMBER(SEARCH("eligib",LOWER(AF327))),ISNUMBER(SEARCH("income",LOWER(AF327)))),"Eligibility / Income",IF(OR(ISNUMBER(SEARCH("start",LOWER(AF327))),ISNUMBER(SEARCH("Newer",AF327)),ISNUMBER(SEARCH("Will start",AF327))),"Process Yet to Start",IF(ISNUMBER(SEARCH("sure",LOWER(AF327))),"Undecided",IF(OR(ISNUMBER(SEARCH("reject",LOWER(AF327))),ISNUMBER(SEARCH("SBI",AF327))),"Rejected Elsewhere",IF(ISNUMBER(SEARCH("call",LOWER(AF327))),"Bank Communication",IF(OR(ISNUMBER(SEARCH("father",LOWER(AF327))),ISNUMBER(SEARCH("sister",LOWER(AF327)))),"Family / Dependency","Other"))))))))))</f>
        <v/>
      </c>
      <c r="AH327">
        <f>IF(A327="","",'01_Master_Data'!AC327)</f>
        <v/>
      </c>
      <c r="AI327">
        <f>IF(A327="","",IF(OR(AH327="",NOT(ISNUMBER(AH327))),"",MAX(0,'02_Configuration'!$B$82-AH327)))</f>
        <v/>
      </c>
      <c r="AJ327">
        <f>IF(A327="","",IF(AI327="","Unknown",IF(AI327&lt;=3,"0–3 Days",IF(AI327&lt;=7,"4–7 Days",IF(AI327&lt;=15,"8–15 Days",IF(AI327&lt;=30,"16–30 Days","30+ Days"))))))</f>
        <v/>
      </c>
      <c r="AK327">
        <f>IF(A327="","",IF(LOWER(H327)="yes","Yes","No"))</f>
        <v/>
      </c>
      <c r="AL327">
        <f>IF(A327="","",'01_Master_Data'!T327)</f>
        <v/>
      </c>
      <c r="AM327">
        <f>IF(A327="","",'01_Master_Data'!S327)</f>
        <v/>
      </c>
      <c r="AN327">
        <f>IF(A327="","",'01_Master_Data'!I327)</f>
        <v/>
      </c>
      <c r="AO327">
        <f>IF(A327="","",'01_Master_Data'!M327)</f>
        <v/>
      </c>
      <c r="AP327">
        <f>IF(A327="","",IF(ISNUMBER(SEARCH("Icici",W327&amp;"")),1,0))</f>
        <v/>
      </c>
      <c r="AQ327">
        <f>IF(A327="","",IF(ISNUMBER(SEARCH("Propelld",W327&amp;"")),1,0))</f>
        <v/>
      </c>
      <c r="AR327">
        <f>IF(A327="","",IF(ISNUMBER(SEARCH("GyanDhan",W327&amp;"")),1,0))</f>
        <v/>
      </c>
      <c r="AS327">
        <f>IF(A327="","",IF(ISNUMBER(SEARCH("vidyalakshmi",LOWER(W327&amp;""))),1,0))</f>
        <v/>
      </c>
      <c r="AT327">
        <f>IF(A327="","",IF(ISNUMBER(SEARCH("other bank",LOWER(W327&amp;""))),1,0))</f>
        <v/>
      </c>
      <c r="AU327">
        <f>IF(A327="","",IF(ISNUMBER(SEARCH("sanctioned",LOWER(W327&amp;""))),1,0))</f>
        <v/>
      </c>
      <c r="AV327">
        <f>IF(A327="","",IF(ISNUMBER(SEARCH("Docs Pending",W327&amp;"")),1,0))</f>
        <v/>
      </c>
      <c r="AW327">
        <f>IF(A327="","",IF(OR(X327="Rejected",ISNUMBER(SEARCH("Not eligbile",W327&amp;""))),1,0))</f>
        <v/>
      </c>
    </row>
    <row r="328">
      <c r="A328">
        <f>IF('01_Master_Data'!B328="","",327)</f>
        <v/>
      </c>
      <c r="B328">
        <f>IF('01_Master_Data'!B328="","",IF('01_Master_Data'!C328&lt;&gt;"","MOB|"&amp;TEXT('01_Master_Data'!C328,"0"),IF('01_Master_Data'!D328&lt;&gt;"","PID|"&amp;TRIM('01_Master_Data'!D328&amp;""),"")))</f>
        <v/>
      </c>
      <c r="C328">
        <f>IF('01_Master_Data'!B328="","",'01_Master_Data'!B328)</f>
        <v/>
      </c>
      <c r="D328">
        <f>IF('01_Master_Data'!B328="","",'01_Master_Data'!C328)</f>
        <v/>
      </c>
      <c r="E328">
        <f>IF('01_Master_Data'!B328="","",'01_Master_Data'!D328)</f>
        <v/>
      </c>
      <c r="F328">
        <f>IF('01_Master_Data'!B328="","",'01_Master_Data'!E328)</f>
        <v/>
      </c>
      <c r="G328">
        <f>IF('01_Master_Data'!B328="","",IFERROR(VLOOKUP(TRIM('01_Master_Data'!E328&amp;""),'02_Configuration'!$A$40:$B$44,2,FALSE),UPPER(TRIM('01_Master_Data'!E328&amp;""))))</f>
        <v/>
      </c>
      <c r="H328">
        <f>IF('01_Master_Data'!B328="","",IF('01_Master_Data'!U328="","",TRIM('01_Master_Data'!U328&amp;"")))</f>
        <v/>
      </c>
      <c r="I328">
        <f>IF('01_Master_Data'!B328="","",TRIM('01_Master_Data'!F328&amp;""))</f>
        <v/>
      </c>
      <c r="J328">
        <f>IF('01_Master_Data'!B328="","",TRIM('01_Master_Data'!G328&amp;""))</f>
        <v/>
      </c>
      <c r="K328">
        <f>IF('01_Master_Data'!B328="","",'01_Master_Data'!H328)</f>
        <v/>
      </c>
      <c r="L328">
        <f>IF('01_Master_Data'!B328="","",IF(LOWER(TRIM('01_Master_Data'!V328&amp;""))="yes",1,0))</f>
        <v/>
      </c>
      <c r="M328">
        <f>IF('01_Master_Data'!B328="","",IF(LOWER(TRIM('01_Master_Data'!W328&amp;""))="yes",1,0))</f>
        <v/>
      </c>
      <c r="N328">
        <f>IF('01_Master_Data'!B328="","",IF(LOWER(TRIM('01_Master_Data'!X328&amp;""))="yes",1,0))</f>
        <v/>
      </c>
      <c r="O328">
        <f>IF('01_Master_Data'!B328="","",IF(LOWER(TRIM('01_Master_Data'!Y328&amp;""))="yes",1,0))</f>
        <v/>
      </c>
      <c r="P328">
        <f>IF('01_Master_Data'!B328="","",IF(LOWER(TRIM('01_Master_Data'!Z328&amp;""))="yes",1,0))</f>
        <v/>
      </c>
      <c r="Q328">
        <f>IF(A328="","",L328+M328+N328+O328+P328)</f>
        <v/>
      </c>
      <c r="R328">
        <f>IF(A328="","",IF(Q328&gt;1,"Yes","No"))</f>
        <v/>
      </c>
      <c r="S328">
        <f>IF(A328="","",TEXTJOIN(", ",TRUE,IF(L328=1,"ICICI",""),IF(M328=1,"Propelld",""),IF(N328=1,"Study4Buddy",""),IF(O328=1,"Poonawala Fincorp",""),IF(P328=1,"GyanDhan","")))</f>
        <v/>
      </c>
      <c r="T328">
        <f>IF(A328="","",IF(L328=1,"ICICI",IF(M328=1,"Propelld",IF(P328=1,"GyanDhan",IF(N328=1,"Study4Buddy",IF(O328=1,"Poonawala Fincorp",IF(ISNUMBER(SEARCH("GyanDhan",W328&amp;"")),"GyanDhan",IF(ISNUMBER(SEARCH("Icici",W328&amp;"")),"ICICI",IF(ISNUMBER(SEARCH("Propelld",W328&amp;"")),"Propelld",IF(ISNUMBER(SEARCH("vidyalakshmi",LOWER(W328&amp;"")),"PM Vidyalakshmi","—"))))))))))</f>
        <v/>
      </c>
      <c r="U328">
        <f>IF(A328="","",TRIM('01_Master_Data'!AA328&amp;""))</f>
        <v/>
      </c>
      <c r="V328">
        <f>IF(A328="","",TRIM('01_Master_Data'!AG328&amp;""))</f>
        <v/>
      </c>
      <c r="W328">
        <f>IF(A328="","",TRIM('01_Master_Data'!AH328&amp;""))</f>
        <v/>
      </c>
      <c r="X328">
        <f>IF(A328="","",IF(OR(LOWER(H328)="refund",LOWER(U328)="refund case"),"Refund",IF(OR(LOWER(H328)="dnp",LOWER(U328)="dnp"),"DNP",IF(OR(LOWER(V328)="disbursed",ISNUMBER(SEARCH("Disbursed",W328&amp;""))),"Disbursed",IF(OR(LOWER(V328)="loan proccessed/accepted",ISNUMBER(SEARCH("sanctioned",LOWER(W328&amp;"")))),"Sanctioned",IF(OR(LOWER(V328)="rejected",ISNUMBER(SEARCH("Not eligbile",W328&amp;"")),ISNUMBER(SEARCH("Not eligible",W328&amp;""))),"Rejected",IF(ISNUMBER(SEARCH("Docs Pending",W328&amp;"")),"Documents Pending",IF(AND(LOWER(H328)="yes",LOWER(V328)="ongoing"),"Processing",IF(AND(LOWER(H328)="yes",Q328&gt;0,OR(V328="",LOWER(V328)="not even started")),"Vendor Assigned",IF(AND(LOWER(H328)="yes",LOWER(V328)="not even started"),"Need Loan",IF(LOWER(H328)="yes","Loan Started",IF(LOWER(H328)="not sure","Interested",IF(OR(LOWER(H328)="no",LOWER(V328)="not required"),"Not Required","Unclassified")))))))))))))</f>
        <v/>
      </c>
      <c r="Y328">
        <f>IF(A328="","",IF(OR(X328="Sanctioned",X328="Disbursed",X328="Approved"),"Approved",IF(X328="Rejected","Rejected",IF(OR(X328="Processing",X328="Documents Pending",X328="Vendor Assigned"),"In Progress",IF(X328="Need Loan","Pending Start","—"))))</f>
        <v/>
      </c>
      <c r="Z328">
        <f>IF(A328="","",IF(X328="Disbursed","Disbursed",IF(X328="Sanctioned","Sanctioned - Awaiting Disbursement","Not Disbursed")))</f>
        <v/>
      </c>
      <c r="AA328">
        <f>IF(A328="","",IF(LOWER(TRIM('01_Master_Data'!AI328&amp;""))="yes","Need FLDG",IF(LOWER(TRIM('01_Master_Data'!AK328&amp;""))="yes","Need Vidyalakshmi",IF(LOWER(TRIM('01_Master_Data'!AJ328&amp;""))="yes","Need Review",IF(LOWER(J328)="critical","Critical",IF(LOWER(U328)="risk","Risk Case",IF(X328="Refund","Refund","Normal")))))))</f>
        <v/>
      </c>
      <c r="AB328">
        <f>IF(A328="","",IF(OR(LOWER(J328)="critical",LOWER(TRIM('01_Master_Data'!AI328&amp;""))="yes",LOWER(TRIM('01_Master_Data'!AK328&amp;""))="yes",LOWER(U328)="risk"),"Yes","No"))</f>
        <v/>
      </c>
      <c r="AC328">
        <f>IF(A328="","",IF(LOWER(TRIM('01_Master_Data'!AI328&amp;""))="yes","Yes","No"))</f>
        <v/>
      </c>
      <c r="AD328">
        <f>IF(A328="","",IF(LOWER(TRIM('01_Master_Data'!AK328&amp;""))="yes","Yes","No"))</f>
        <v/>
      </c>
      <c r="AE328">
        <f>IF(A328="","",IF(LOWER(TRIM('01_Master_Data'!AJ328&amp;""))="yes","Yes","No"))</f>
        <v/>
      </c>
      <c r="AF328">
        <f>IF(A328="","",TRIM('01_Master_Data'!AL328&amp;""))</f>
        <v/>
      </c>
      <c r="AG328">
        <f>IF(A328="","",IF(AF328="","—",IF(ISNUMBER(SEARCH("DNP",AF328)),"Unreachable / DNP",IF(ISNUMBER(SEARCH("interest",LOWER(AF328))),"High Interest / Terms",IF(OR(ISNUMBER(SEARCH("eligib",LOWER(AF328))),ISNUMBER(SEARCH("income",LOWER(AF328)))),"Eligibility / Income",IF(OR(ISNUMBER(SEARCH("start",LOWER(AF328))),ISNUMBER(SEARCH("Newer",AF328)),ISNUMBER(SEARCH("Will start",AF328))),"Process Yet to Start",IF(ISNUMBER(SEARCH("sure",LOWER(AF328))),"Undecided",IF(OR(ISNUMBER(SEARCH("reject",LOWER(AF328))),ISNUMBER(SEARCH("SBI",AF328))),"Rejected Elsewhere",IF(ISNUMBER(SEARCH("call",LOWER(AF328))),"Bank Communication",IF(OR(ISNUMBER(SEARCH("father",LOWER(AF328))),ISNUMBER(SEARCH("sister",LOWER(AF328)))),"Family / Dependency","Other"))))))))))</f>
        <v/>
      </c>
      <c r="AH328">
        <f>IF(A328="","",'01_Master_Data'!AC328)</f>
        <v/>
      </c>
      <c r="AI328">
        <f>IF(A328="","",IF(OR(AH328="",NOT(ISNUMBER(AH328))),"",MAX(0,'02_Configuration'!$B$82-AH328)))</f>
        <v/>
      </c>
      <c r="AJ328">
        <f>IF(A328="","",IF(AI328="","Unknown",IF(AI328&lt;=3,"0–3 Days",IF(AI328&lt;=7,"4–7 Days",IF(AI328&lt;=15,"8–15 Days",IF(AI328&lt;=30,"16–30 Days","30+ Days"))))))</f>
        <v/>
      </c>
      <c r="AK328">
        <f>IF(A328="","",IF(LOWER(H328)="yes","Yes","No"))</f>
        <v/>
      </c>
      <c r="AL328">
        <f>IF(A328="","",'01_Master_Data'!T328)</f>
        <v/>
      </c>
      <c r="AM328">
        <f>IF(A328="","",'01_Master_Data'!S328)</f>
        <v/>
      </c>
      <c r="AN328">
        <f>IF(A328="","",'01_Master_Data'!I328)</f>
        <v/>
      </c>
      <c r="AO328">
        <f>IF(A328="","",'01_Master_Data'!M328)</f>
        <v/>
      </c>
      <c r="AP328">
        <f>IF(A328="","",IF(ISNUMBER(SEARCH("Icici",W328&amp;"")),1,0))</f>
        <v/>
      </c>
      <c r="AQ328">
        <f>IF(A328="","",IF(ISNUMBER(SEARCH("Propelld",W328&amp;"")),1,0))</f>
        <v/>
      </c>
      <c r="AR328">
        <f>IF(A328="","",IF(ISNUMBER(SEARCH("GyanDhan",W328&amp;"")),1,0))</f>
        <v/>
      </c>
      <c r="AS328">
        <f>IF(A328="","",IF(ISNUMBER(SEARCH("vidyalakshmi",LOWER(W328&amp;""))),1,0))</f>
        <v/>
      </c>
      <c r="AT328">
        <f>IF(A328="","",IF(ISNUMBER(SEARCH("other bank",LOWER(W328&amp;""))),1,0))</f>
        <v/>
      </c>
      <c r="AU328">
        <f>IF(A328="","",IF(ISNUMBER(SEARCH("sanctioned",LOWER(W328&amp;""))),1,0))</f>
        <v/>
      </c>
      <c r="AV328">
        <f>IF(A328="","",IF(ISNUMBER(SEARCH("Docs Pending",W328&amp;"")),1,0))</f>
        <v/>
      </c>
      <c r="AW328">
        <f>IF(A328="","",IF(OR(X328="Rejected",ISNUMBER(SEARCH("Not eligbile",W328&amp;""))),1,0))</f>
        <v/>
      </c>
    </row>
    <row r="329">
      <c r="A329">
        <f>IF('01_Master_Data'!B329="","",328)</f>
        <v/>
      </c>
      <c r="B329">
        <f>IF('01_Master_Data'!B329="","",IF('01_Master_Data'!C329&lt;&gt;"","MOB|"&amp;TEXT('01_Master_Data'!C329,"0"),IF('01_Master_Data'!D329&lt;&gt;"","PID|"&amp;TRIM('01_Master_Data'!D329&amp;""),"")))</f>
        <v/>
      </c>
      <c r="C329">
        <f>IF('01_Master_Data'!B329="","",'01_Master_Data'!B329)</f>
        <v/>
      </c>
      <c r="D329">
        <f>IF('01_Master_Data'!B329="","",'01_Master_Data'!C329)</f>
        <v/>
      </c>
      <c r="E329">
        <f>IF('01_Master_Data'!B329="","",'01_Master_Data'!D329)</f>
        <v/>
      </c>
      <c r="F329">
        <f>IF('01_Master_Data'!B329="","",'01_Master_Data'!E329)</f>
        <v/>
      </c>
      <c r="G329">
        <f>IF('01_Master_Data'!B329="","",IFERROR(VLOOKUP(TRIM('01_Master_Data'!E329&amp;""),'02_Configuration'!$A$40:$B$44,2,FALSE),UPPER(TRIM('01_Master_Data'!E329&amp;""))))</f>
        <v/>
      </c>
      <c r="H329">
        <f>IF('01_Master_Data'!B329="","",IF('01_Master_Data'!U329="","",TRIM('01_Master_Data'!U329&amp;"")))</f>
        <v/>
      </c>
      <c r="I329">
        <f>IF('01_Master_Data'!B329="","",TRIM('01_Master_Data'!F329&amp;""))</f>
        <v/>
      </c>
      <c r="J329">
        <f>IF('01_Master_Data'!B329="","",TRIM('01_Master_Data'!G329&amp;""))</f>
        <v/>
      </c>
      <c r="K329">
        <f>IF('01_Master_Data'!B329="","",'01_Master_Data'!H329)</f>
        <v/>
      </c>
      <c r="L329">
        <f>IF('01_Master_Data'!B329="","",IF(LOWER(TRIM('01_Master_Data'!V329&amp;""))="yes",1,0))</f>
        <v/>
      </c>
      <c r="M329">
        <f>IF('01_Master_Data'!B329="","",IF(LOWER(TRIM('01_Master_Data'!W329&amp;""))="yes",1,0))</f>
        <v/>
      </c>
      <c r="N329">
        <f>IF('01_Master_Data'!B329="","",IF(LOWER(TRIM('01_Master_Data'!X329&amp;""))="yes",1,0))</f>
        <v/>
      </c>
      <c r="O329">
        <f>IF('01_Master_Data'!B329="","",IF(LOWER(TRIM('01_Master_Data'!Y329&amp;""))="yes",1,0))</f>
        <v/>
      </c>
      <c r="P329">
        <f>IF('01_Master_Data'!B329="","",IF(LOWER(TRIM('01_Master_Data'!Z329&amp;""))="yes",1,0))</f>
        <v/>
      </c>
      <c r="Q329">
        <f>IF(A329="","",L329+M329+N329+O329+P329)</f>
        <v/>
      </c>
      <c r="R329">
        <f>IF(A329="","",IF(Q329&gt;1,"Yes","No"))</f>
        <v/>
      </c>
      <c r="S329">
        <f>IF(A329="","",TEXTJOIN(", ",TRUE,IF(L329=1,"ICICI",""),IF(M329=1,"Propelld",""),IF(N329=1,"Study4Buddy",""),IF(O329=1,"Poonawala Fincorp",""),IF(P329=1,"GyanDhan","")))</f>
        <v/>
      </c>
      <c r="T329">
        <f>IF(A329="","",IF(L329=1,"ICICI",IF(M329=1,"Propelld",IF(P329=1,"GyanDhan",IF(N329=1,"Study4Buddy",IF(O329=1,"Poonawala Fincorp",IF(ISNUMBER(SEARCH("GyanDhan",W329&amp;"")),"GyanDhan",IF(ISNUMBER(SEARCH("Icici",W329&amp;"")),"ICICI",IF(ISNUMBER(SEARCH("Propelld",W329&amp;"")),"Propelld",IF(ISNUMBER(SEARCH("vidyalakshmi",LOWER(W329&amp;"")),"PM Vidyalakshmi","—"))))))))))</f>
        <v/>
      </c>
      <c r="U329">
        <f>IF(A329="","",TRIM('01_Master_Data'!AA329&amp;""))</f>
        <v/>
      </c>
      <c r="V329">
        <f>IF(A329="","",TRIM('01_Master_Data'!AG329&amp;""))</f>
        <v/>
      </c>
      <c r="W329">
        <f>IF(A329="","",TRIM('01_Master_Data'!AH329&amp;""))</f>
        <v/>
      </c>
      <c r="X329">
        <f>IF(A329="","",IF(OR(LOWER(H329)="refund",LOWER(U329)="refund case"),"Refund",IF(OR(LOWER(H329)="dnp",LOWER(U329)="dnp"),"DNP",IF(OR(LOWER(V329)="disbursed",ISNUMBER(SEARCH("Disbursed",W329&amp;""))),"Disbursed",IF(OR(LOWER(V329)="loan proccessed/accepted",ISNUMBER(SEARCH("sanctioned",LOWER(W329&amp;"")))),"Sanctioned",IF(OR(LOWER(V329)="rejected",ISNUMBER(SEARCH("Not eligbile",W329&amp;"")),ISNUMBER(SEARCH("Not eligible",W329&amp;""))),"Rejected",IF(ISNUMBER(SEARCH("Docs Pending",W329&amp;"")),"Documents Pending",IF(AND(LOWER(H329)="yes",LOWER(V329)="ongoing"),"Processing",IF(AND(LOWER(H329)="yes",Q329&gt;0,OR(V329="",LOWER(V329)="not even started")),"Vendor Assigned",IF(AND(LOWER(H329)="yes",LOWER(V329)="not even started"),"Need Loan",IF(LOWER(H329)="yes","Loan Started",IF(LOWER(H329)="not sure","Interested",IF(OR(LOWER(H329)="no",LOWER(V329)="not required"),"Not Required","Unclassified")))))))))))))</f>
        <v/>
      </c>
      <c r="Y329">
        <f>IF(A329="","",IF(OR(X329="Sanctioned",X329="Disbursed",X329="Approved"),"Approved",IF(X329="Rejected","Rejected",IF(OR(X329="Processing",X329="Documents Pending",X329="Vendor Assigned"),"In Progress",IF(X329="Need Loan","Pending Start","—"))))</f>
        <v/>
      </c>
      <c r="Z329">
        <f>IF(A329="","",IF(X329="Disbursed","Disbursed",IF(X329="Sanctioned","Sanctioned - Awaiting Disbursement","Not Disbursed")))</f>
        <v/>
      </c>
      <c r="AA329">
        <f>IF(A329="","",IF(LOWER(TRIM('01_Master_Data'!AI329&amp;""))="yes","Need FLDG",IF(LOWER(TRIM('01_Master_Data'!AK329&amp;""))="yes","Need Vidyalakshmi",IF(LOWER(TRIM('01_Master_Data'!AJ329&amp;""))="yes","Need Review",IF(LOWER(J329)="critical","Critical",IF(LOWER(U329)="risk","Risk Case",IF(X329="Refund","Refund","Normal")))))))</f>
        <v/>
      </c>
      <c r="AB329">
        <f>IF(A329="","",IF(OR(LOWER(J329)="critical",LOWER(TRIM('01_Master_Data'!AI329&amp;""))="yes",LOWER(TRIM('01_Master_Data'!AK329&amp;""))="yes",LOWER(U329)="risk"),"Yes","No"))</f>
        <v/>
      </c>
      <c r="AC329">
        <f>IF(A329="","",IF(LOWER(TRIM('01_Master_Data'!AI329&amp;""))="yes","Yes","No"))</f>
        <v/>
      </c>
      <c r="AD329">
        <f>IF(A329="","",IF(LOWER(TRIM('01_Master_Data'!AK329&amp;""))="yes","Yes","No"))</f>
        <v/>
      </c>
      <c r="AE329">
        <f>IF(A329="","",IF(LOWER(TRIM('01_Master_Data'!AJ329&amp;""))="yes","Yes","No"))</f>
        <v/>
      </c>
      <c r="AF329">
        <f>IF(A329="","",TRIM('01_Master_Data'!AL329&amp;""))</f>
        <v/>
      </c>
      <c r="AG329">
        <f>IF(A329="","",IF(AF329="","—",IF(ISNUMBER(SEARCH("DNP",AF329)),"Unreachable / DNP",IF(ISNUMBER(SEARCH("interest",LOWER(AF329))),"High Interest / Terms",IF(OR(ISNUMBER(SEARCH("eligib",LOWER(AF329))),ISNUMBER(SEARCH("income",LOWER(AF329)))),"Eligibility / Income",IF(OR(ISNUMBER(SEARCH("start",LOWER(AF329))),ISNUMBER(SEARCH("Newer",AF329)),ISNUMBER(SEARCH("Will start",AF329))),"Process Yet to Start",IF(ISNUMBER(SEARCH("sure",LOWER(AF329))),"Undecided",IF(OR(ISNUMBER(SEARCH("reject",LOWER(AF329))),ISNUMBER(SEARCH("SBI",AF329))),"Rejected Elsewhere",IF(ISNUMBER(SEARCH("call",LOWER(AF329))),"Bank Communication",IF(OR(ISNUMBER(SEARCH("father",LOWER(AF329))),ISNUMBER(SEARCH("sister",LOWER(AF329)))),"Family / Dependency","Other"))))))))))</f>
        <v/>
      </c>
      <c r="AH329">
        <f>IF(A329="","",'01_Master_Data'!AC329)</f>
        <v/>
      </c>
      <c r="AI329">
        <f>IF(A329="","",IF(OR(AH329="",NOT(ISNUMBER(AH329))),"",MAX(0,'02_Configuration'!$B$82-AH329)))</f>
        <v/>
      </c>
      <c r="AJ329">
        <f>IF(A329="","",IF(AI329="","Unknown",IF(AI329&lt;=3,"0–3 Days",IF(AI329&lt;=7,"4–7 Days",IF(AI329&lt;=15,"8–15 Days",IF(AI329&lt;=30,"16–30 Days","30+ Days"))))))</f>
        <v/>
      </c>
      <c r="AK329">
        <f>IF(A329="","",IF(LOWER(H329)="yes","Yes","No"))</f>
        <v/>
      </c>
      <c r="AL329">
        <f>IF(A329="","",'01_Master_Data'!T329)</f>
        <v/>
      </c>
      <c r="AM329">
        <f>IF(A329="","",'01_Master_Data'!S329)</f>
        <v/>
      </c>
      <c r="AN329">
        <f>IF(A329="","",'01_Master_Data'!I329)</f>
        <v/>
      </c>
      <c r="AO329">
        <f>IF(A329="","",'01_Master_Data'!M329)</f>
        <v/>
      </c>
      <c r="AP329">
        <f>IF(A329="","",IF(ISNUMBER(SEARCH("Icici",W329&amp;"")),1,0))</f>
        <v/>
      </c>
      <c r="AQ329">
        <f>IF(A329="","",IF(ISNUMBER(SEARCH("Propelld",W329&amp;"")),1,0))</f>
        <v/>
      </c>
      <c r="AR329">
        <f>IF(A329="","",IF(ISNUMBER(SEARCH("GyanDhan",W329&amp;"")),1,0))</f>
        <v/>
      </c>
      <c r="AS329">
        <f>IF(A329="","",IF(ISNUMBER(SEARCH("vidyalakshmi",LOWER(W329&amp;""))),1,0))</f>
        <v/>
      </c>
      <c r="AT329">
        <f>IF(A329="","",IF(ISNUMBER(SEARCH("other bank",LOWER(W329&amp;""))),1,0))</f>
        <v/>
      </c>
      <c r="AU329">
        <f>IF(A329="","",IF(ISNUMBER(SEARCH("sanctioned",LOWER(W329&amp;""))),1,0))</f>
        <v/>
      </c>
      <c r="AV329">
        <f>IF(A329="","",IF(ISNUMBER(SEARCH("Docs Pending",W329&amp;"")),1,0))</f>
        <v/>
      </c>
      <c r="AW329">
        <f>IF(A329="","",IF(OR(X329="Rejected",ISNUMBER(SEARCH("Not eligbile",W329&amp;""))),1,0))</f>
        <v/>
      </c>
    </row>
    <row r="330">
      <c r="A330">
        <f>IF('01_Master_Data'!B330="","",329)</f>
        <v/>
      </c>
      <c r="B330">
        <f>IF('01_Master_Data'!B330="","",IF('01_Master_Data'!C330&lt;&gt;"","MOB|"&amp;TEXT('01_Master_Data'!C330,"0"),IF('01_Master_Data'!D330&lt;&gt;"","PID|"&amp;TRIM('01_Master_Data'!D330&amp;""),"")))</f>
        <v/>
      </c>
      <c r="C330">
        <f>IF('01_Master_Data'!B330="","",'01_Master_Data'!B330)</f>
        <v/>
      </c>
      <c r="D330">
        <f>IF('01_Master_Data'!B330="","",'01_Master_Data'!C330)</f>
        <v/>
      </c>
      <c r="E330">
        <f>IF('01_Master_Data'!B330="","",'01_Master_Data'!D330)</f>
        <v/>
      </c>
      <c r="F330">
        <f>IF('01_Master_Data'!B330="","",'01_Master_Data'!E330)</f>
        <v/>
      </c>
      <c r="G330">
        <f>IF('01_Master_Data'!B330="","",IFERROR(VLOOKUP(TRIM('01_Master_Data'!E330&amp;""),'02_Configuration'!$A$40:$B$44,2,FALSE),UPPER(TRIM('01_Master_Data'!E330&amp;""))))</f>
        <v/>
      </c>
      <c r="H330">
        <f>IF('01_Master_Data'!B330="","",IF('01_Master_Data'!U330="","",TRIM('01_Master_Data'!U330&amp;"")))</f>
        <v/>
      </c>
      <c r="I330">
        <f>IF('01_Master_Data'!B330="","",TRIM('01_Master_Data'!F330&amp;""))</f>
        <v/>
      </c>
      <c r="J330">
        <f>IF('01_Master_Data'!B330="","",TRIM('01_Master_Data'!G330&amp;""))</f>
        <v/>
      </c>
      <c r="K330">
        <f>IF('01_Master_Data'!B330="","",'01_Master_Data'!H330)</f>
        <v/>
      </c>
      <c r="L330">
        <f>IF('01_Master_Data'!B330="","",IF(LOWER(TRIM('01_Master_Data'!V330&amp;""))="yes",1,0))</f>
        <v/>
      </c>
      <c r="M330">
        <f>IF('01_Master_Data'!B330="","",IF(LOWER(TRIM('01_Master_Data'!W330&amp;""))="yes",1,0))</f>
        <v/>
      </c>
      <c r="N330">
        <f>IF('01_Master_Data'!B330="","",IF(LOWER(TRIM('01_Master_Data'!X330&amp;""))="yes",1,0))</f>
        <v/>
      </c>
      <c r="O330">
        <f>IF('01_Master_Data'!B330="","",IF(LOWER(TRIM('01_Master_Data'!Y330&amp;""))="yes",1,0))</f>
        <v/>
      </c>
      <c r="P330">
        <f>IF('01_Master_Data'!B330="","",IF(LOWER(TRIM('01_Master_Data'!Z330&amp;""))="yes",1,0))</f>
        <v/>
      </c>
      <c r="Q330">
        <f>IF(A330="","",L330+M330+N330+O330+P330)</f>
        <v/>
      </c>
      <c r="R330">
        <f>IF(A330="","",IF(Q330&gt;1,"Yes","No"))</f>
        <v/>
      </c>
      <c r="S330">
        <f>IF(A330="","",TEXTJOIN(", ",TRUE,IF(L330=1,"ICICI",""),IF(M330=1,"Propelld",""),IF(N330=1,"Study4Buddy",""),IF(O330=1,"Poonawala Fincorp",""),IF(P330=1,"GyanDhan","")))</f>
        <v/>
      </c>
      <c r="T330">
        <f>IF(A330="","",IF(L330=1,"ICICI",IF(M330=1,"Propelld",IF(P330=1,"GyanDhan",IF(N330=1,"Study4Buddy",IF(O330=1,"Poonawala Fincorp",IF(ISNUMBER(SEARCH("GyanDhan",W330&amp;"")),"GyanDhan",IF(ISNUMBER(SEARCH("Icici",W330&amp;"")),"ICICI",IF(ISNUMBER(SEARCH("Propelld",W330&amp;"")),"Propelld",IF(ISNUMBER(SEARCH("vidyalakshmi",LOWER(W330&amp;"")),"PM Vidyalakshmi","—"))))))))))</f>
        <v/>
      </c>
      <c r="U330">
        <f>IF(A330="","",TRIM('01_Master_Data'!AA330&amp;""))</f>
        <v/>
      </c>
      <c r="V330">
        <f>IF(A330="","",TRIM('01_Master_Data'!AG330&amp;""))</f>
        <v/>
      </c>
      <c r="W330">
        <f>IF(A330="","",TRIM('01_Master_Data'!AH330&amp;""))</f>
        <v/>
      </c>
      <c r="X330">
        <f>IF(A330="","",IF(OR(LOWER(H330)="refund",LOWER(U330)="refund case"),"Refund",IF(OR(LOWER(H330)="dnp",LOWER(U330)="dnp"),"DNP",IF(OR(LOWER(V330)="disbursed",ISNUMBER(SEARCH("Disbursed",W330&amp;""))),"Disbursed",IF(OR(LOWER(V330)="loan proccessed/accepted",ISNUMBER(SEARCH("sanctioned",LOWER(W330&amp;"")))),"Sanctioned",IF(OR(LOWER(V330)="rejected",ISNUMBER(SEARCH("Not eligbile",W330&amp;"")),ISNUMBER(SEARCH("Not eligible",W330&amp;""))),"Rejected",IF(ISNUMBER(SEARCH("Docs Pending",W330&amp;"")),"Documents Pending",IF(AND(LOWER(H330)="yes",LOWER(V330)="ongoing"),"Processing",IF(AND(LOWER(H330)="yes",Q330&gt;0,OR(V330="",LOWER(V330)="not even started")),"Vendor Assigned",IF(AND(LOWER(H330)="yes",LOWER(V330)="not even started"),"Need Loan",IF(LOWER(H330)="yes","Loan Started",IF(LOWER(H330)="not sure","Interested",IF(OR(LOWER(H330)="no",LOWER(V330)="not required"),"Not Required","Unclassified")))))))))))))</f>
        <v/>
      </c>
      <c r="Y330">
        <f>IF(A330="","",IF(OR(X330="Sanctioned",X330="Disbursed",X330="Approved"),"Approved",IF(X330="Rejected","Rejected",IF(OR(X330="Processing",X330="Documents Pending",X330="Vendor Assigned"),"In Progress",IF(X330="Need Loan","Pending Start","—"))))</f>
        <v/>
      </c>
      <c r="Z330">
        <f>IF(A330="","",IF(X330="Disbursed","Disbursed",IF(X330="Sanctioned","Sanctioned - Awaiting Disbursement","Not Disbursed")))</f>
        <v/>
      </c>
      <c r="AA330">
        <f>IF(A330="","",IF(LOWER(TRIM('01_Master_Data'!AI330&amp;""))="yes","Need FLDG",IF(LOWER(TRIM('01_Master_Data'!AK330&amp;""))="yes","Need Vidyalakshmi",IF(LOWER(TRIM('01_Master_Data'!AJ330&amp;""))="yes","Need Review",IF(LOWER(J330)="critical","Critical",IF(LOWER(U330)="risk","Risk Case",IF(X330="Refund","Refund","Normal")))))))</f>
        <v/>
      </c>
      <c r="AB330">
        <f>IF(A330="","",IF(OR(LOWER(J330)="critical",LOWER(TRIM('01_Master_Data'!AI330&amp;""))="yes",LOWER(TRIM('01_Master_Data'!AK330&amp;""))="yes",LOWER(U330)="risk"),"Yes","No"))</f>
        <v/>
      </c>
      <c r="AC330">
        <f>IF(A330="","",IF(LOWER(TRIM('01_Master_Data'!AI330&amp;""))="yes","Yes","No"))</f>
        <v/>
      </c>
      <c r="AD330">
        <f>IF(A330="","",IF(LOWER(TRIM('01_Master_Data'!AK330&amp;""))="yes","Yes","No"))</f>
        <v/>
      </c>
      <c r="AE330">
        <f>IF(A330="","",IF(LOWER(TRIM('01_Master_Data'!AJ330&amp;""))="yes","Yes","No"))</f>
        <v/>
      </c>
      <c r="AF330">
        <f>IF(A330="","",TRIM('01_Master_Data'!AL330&amp;""))</f>
        <v/>
      </c>
      <c r="AG330">
        <f>IF(A330="","",IF(AF330="","—",IF(ISNUMBER(SEARCH("DNP",AF330)),"Unreachable / DNP",IF(ISNUMBER(SEARCH("interest",LOWER(AF330))),"High Interest / Terms",IF(OR(ISNUMBER(SEARCH("eligib",LOWER(AF330))),ISNUMBER(SEARCH("income",LOWER(AF330)))),"Eligibility / Income",IF(OR(ISNUMBER(SEARCH("start",LOWER(AF330))),ISNUMBER(SEARCH("Newer",AF330)),ISNUMBER(SEARCH("Will start",AF330))),"Process Yet to Start",IF(ISNUMBER(SEARCH("sure",LOWER(AF330))),"Undecided",IF(OR(ISNUMBER(SEARCH("reject",LOWER(AF330))),ISNUMBER(SEARCH("SBI",AF330))),"Rejected Elsewhere",IF(ISNUMBER(SEARCH("call",LOWER(AF330))),"Bank Communication",IF(OR(ISNUMBER(SEARCH("father",LOWER(AF330))),ISNUMBER(SEARCH("sister",LOWER(AF330)))),"Family / Dependency","Other"))))))))))</f>
        <v/>
      </c>
      <c r="AH330">
        <f>IF(A330="","",'01_Master_Data'!AC330)</f>
        <v/>
      </c>
      <c r="AI330">
        <f>IF(A330="","",IF(OR(AH330="",NOT(ISNUMBER(AH330))),"",MAX(0,'02_Configuration'!$B$82-AH330)))</f>
        <v/>
      </c>
      <c r="AJ330">
        <f>IF(A330="","",IF(AI330="","Unknown",IF(AI330&lt;=3,"0–3 Days",IF(AI330&lt;=7,"4–7 Days",IF(AI330&lt;=15,"8–15 Days",IF(AI330&lt;=30,"16–30 Days","30+ Days"))))))</f>
        <v/>
      </c>
      <c r="AK330">
        <f>IF(A330="","",IF(LOWER(H330)="yes","Yes","No"))</f>
        <v/>
      </c>
      <c r="AL330">
        <f>IF(A330="","",'01_Master_Data'!T330)</f>
        <v/>
      </c>
      <c r="AM330">
        <f>IF(A330="","",'01_Master_Data'!S330)</f>
        <v/>
      </c>
      <c r="AN330">
        <f>IF(A330="","",'01_Master_Data'!I330)</f>
        <v/>
      </c>
      <c r="AO330">
        <f>IF(A330="","",'01_Master_Data'!M330)</f>
        <v/>
      </c>
      <c r="AP330">
        <f>IF(A330="","",IF(ISNUMBER(SEARCH("Icici",W330&amp;"")),1,0))</f>
        <v/>
      </c>
      <c r="AQ330">
        <f>IF(A330="","",IF(ISNUMBER(SEARCH("Propelld",W330&amp;"")),1,0))</f>
        <v/>
      </c>
      <c r="AR330">
        <f>IF(A330="","",IF(ISNUMBER(SEARCH("GyanDhan",W330&amp;"")),1,0))</f>
        <v/>
      </c>
      <c r="AS330">
        <f>IF(A330="","",IF(ISNUMBER(SEARCH("vidyalakshmi",LOWER(W330&amp;""))),1,0))</f>
        <v/>
      </c>
      <c r="AT330">
        <f>IF(A330="","",IF(ISNUMBER(SEARCH("other bank",LOWER(W330&amp;""))),1,0))</f>
        <v/>
      </c>
      <c r="AU330">
        <f>IF(A330="","",IF(ISNUMBER(SEARCH("sanctioned",LOWER(W330&amp;""))),1,0))</f>
        <v/>
      </c>
      <c r="AV330">
        <f>IF(A330="","",IF(ISNUMBER(SEARCH("Docs Pending",W330&amp;"")),1,0))</f>
        <v/>
      </c>
      <c r="AW330">
        <f>IF(A330="","",IF(OR(X330="Rejected",ISNUMBER(SEARCH("Not eligbile",W330&amp;""))),1,0))</f>
        <v/>
      </c>
    </row>
    <row r="331">
      <c r="A331">
        <f>IF('01_Master_Data'!B331="","",330)</f>
        <v/>
      </c>
      <c r="B331">
        <f>IF('01_Master_Data'!B331="","",IF('01_Master_Data'!C331&lt;&gt;"","MOB|"&amp;TEXT('01_Master_Data'!C331,"0"),IF('01_Master_Data'!D331&lt;&gt;"","PID|"&amp;TRIM('01_Master_Data'!D331&amp;""),"")))</f>
        <v/>
      </c>
      <c r="C331">
        <f>IF('01_Master_Data'!B331="","",'01_Master_Data'!B331)</f>
        <v/>
      </c>
      <c r="D331">
        <f>IF('01_Master_Data'!B331="","",'01_Master_Data'!C331)</f>
        <v/>
      </c>
      <c r="E331">
        <f>IF('01_Master_Data'!B331="","",'01_Master_Data'!D331)</f>
        <v/>
      </c>
      <c r="F331">
        <f>IF('01_Master_Data'!B331="","",'01_Master_Data'!E331)</f>
        <v/>
      </c>
      <c r="G331">
        <f>IF('01_Master_Data'!B331="","",IFERROR(VLOOKUP(TRIM('01_Master_Data'!E331&amp;""),'02_Configuration'!$A$40:$B$44,2,FALSE),UPPER(TRIM('01_Master_Data'!E331&amp;""))))</f>
        <v/>
      </c>
      <c r="H331">
        <f>IF('01_Master_Data'!B331="","",IF('01_Master_Data'!U331="","",TRIM('01_Master_Data'!U331&amp;"")))</f>
        <v/>
      </c>
      <c r="I331">
        <f>IF('01_Master_Data'!B331="","",TRIM('01_Master_Data'!F331&amp;""))</f>
        <v/>
      </c>
      <c r="J331">
        <f>IF('01_Master_Data'!B331="","",TRIM('01_Master_Data'!G331&amp;""))</f>
        <v/>
      </c>
      <c r="K331">
        <f>IF('01_Master_Data'!B331="","",'01_Master_Data'!H331)</f>
        <v/>
      </c>
      <c r="L331">
        <f>IF('01_Master_Data'!B331="","",IF(LOWER(TRIM('01_Master_Data'!V331&amp;""))="yes",1,0))</f>
        <v/>
      </c>
      <c r="M331">
        <f>IF('01_Master_Data'!B331="","",IF(LOWER(TRIM('01_Master_Data'!W331&amp;""))="yes",1,0))</f>
        <v/>
      </c>
      <c r="N331">
        <f>IF('01_Master_Data'!B331="","",IF(LOWER(TRIM('01_Master_Data'!X331&amp;""))="yes",1,0))</f>
        <v/>
      </c>
      <c r="O331">
        <f>IF('01_Master_Data'!B331="","",IF(LOWER(TRIM('01_Master_Data'!Y331&amp;""))="yes",1,0))</f>
        <v/>
      </c>
      <c r="P331">
        <f>IF('01_Master_Data'!B331="","",IF(LOWER(TRIM('01_Master_Data'!Z331&amp;""))="yes",1,0))</f>
        <v/>
      </c>
      <c r="Q331">
        <f>IF(A331="","",L331+M331+N331+O331+P331)</f>
        <v/>
      </c>
      <c r="R331">
        <f>IF(A331="","",IF(Q331&gt;1,"Yes","No"))</f>
        <v/>
      </c>
      <c r="S331">
        <f>IF(A331="","",TEXTJOIN(", ",TRUE,IF(L331=1,"ICICI",""),IF(M331=1,"Propelld",""),IF(N331=1,"Study4Buddy",""),IF(O331=1,"Poonawala Fincorp",""),IF(P331=1,"GyanDhan","")))</f>
        <v/>
      </c>
      <c r="T331">
        <f>IF(A331="","",IF(L331=1,"ICICI",IF(M331=1,"Propelld",IF(P331=1,"GyanDhan",IF(N331=1,"Study4Buddy",IF(O331=1,"Poonawala Fincorp",IF(ISNUMBER(SEARCH("GyanDhan",W331&amp;"")),"GyanDhan",IF(ISNUMBER(SEARCH("Icici",W331&amp;"")),"ICICI",IF(ISNUMBER(SEARCH("Propelld",W331&amp;"")),"Propelld",IF(ISNUMBER(SEARCH("vidyalakshmi",LOWER(W331&amp;"")),"PM Vidyalakshmi","—"))))))))))</f>
        <v/>
      </c>
      <c r="U331">
        <f>IF(A331="","",TRIM('01_Master_Data'!AA331&amp;""))</f>
        <v/>
      </c>
      <c r="V331">
        <f>IF(A331="","",TRIM('01_Master_Data'!AG331&amp;""))</f>
        <v/>
      </c>
      <c r="W331">
        <f>IF(A331="","",TRIM('01_Master_Data'!AH331&amp;""))</f>
        <v/>
      </c>
      <c r="X331">
        <f>IF(A331="","",IF(OR(LOWER(H331)="refund",LOWER(U331)="refund case"),"Refund",IF(OR(LOWER(H331)="dnp",LOWER(U331)="dnp"),"DNP",IF(OR(LOWER(V331)="disbursed",ISNUMBER(SEARCH("Disbursed",W331&amp;""))),"Disbursed",IF(OR(LOWER(V331)="loan proccessed/accepted",ISNUMBER(SEARCH("sanctioned",LOWER(W331&amp;"")))),"Sanctioned",IF(OR(LOWER(V331)="rejected",ISNUMBER(SEARCH("Not eligbile",W331&amp;"")),ISNUMBER(SEARCH("Not eligible",W331&amp;""))),"Rejected",IF(ISNUMBER(SEARCH("Docs Pending",W331&amp;"")),"Documents Pending",IF(AND(LOWER(H331)="yes",LOWER(V331)="ongoing"),"Processing",IF(AND(LOWER(H331)="yes",Q331&gt;0,OR(V331="",LOWER(V331)="not even started")),"Vendor Assigned",IF(AND(LOWER(H331)="yes",LOWER(V331)="not even started"),"Need Loan",IF(LOWER(H331)="yes","Loan Started",IF(LOWER(H331)="not sure","Interested",IF(OR(LOWER(H331)="no",LOWER(V331)="not required"),"Not Required","Unclassified")))))))))))))</f>
        <v/>
      </c>
      <c r="Y331">
        <f>IF(A331="","",IF(OR(X331="Sanctioned",X331="Disbursed",X331="Approved"),"Approved",IF(X331="Rejected","Rejected",IF(OR(X331="Processing",X331="Documents Pending",X331="Vendor Assigned"),"In Progress",IF(X331="Need Loan","Pending Start","—"))))</f>
        <v/>
      </c>
      <c r="Z331">
        <f>IF(A331="","",IF(X331="Disbursed","Disbursed",IF(X331="Sanctioned","Sanctioned - Awaiting Disbursement","Not Disbursed")))</f>
        <v/>
      </c>
      <c r="AA331">
        <f>IF(A331="","",IF(LOWER(TRIM('01_Master_Data'!AI331&amp;""))="yes","Need FLDG",IF(LOWER(TRIM('01_Master_Data'!AK331&amp;""))="yes","Need Vidyalakshmi",IF(LOWER(TRIM('01_Master_Data'!AJ331&amp;""))="yes","Need Review",IF(LOWER(J331)="critical","Critical",IF(LOWER(U331)="risk","Risk Case",IF(X331="Refund","Refund","Normal")))))))</f>
        <v/>
      </c>
      <c r="AB331">
        <f>IF(A331="","",IF(OR(LOWER(J331)="critical",LOWER(TRIM('01_Master_Data'!AI331&amp;""))="yes",LOWER(TRIM('01_Master_Data'!AK331&amp;""))="yes",LOWER(U331)="risk"),"Yes","No"))</f>
        <v/>
      </c>
      <c r="AC331">
        <f>IF(A331="","",IF(LOWER(TRIM('01_Master_Data'!AI331&amp;""))="yes","Yes","No"))</f>
        <v/>
      </c>
      <c r="AD331">
        <f>IF(A331="","",IF(LOWER(TRIM('01_Master_Data'!AK331&amp;""))="yes","Yes","No"))</f>
        <v/>
      </c>
      <c r="AE331">
        <f>IF(A331="","",IF(LOWER(TRIM('01_Master_Data'!AJ331&amp;""))="yes","Yes","No"))</f>
        <v/>
      </c>
      <c r="AF331">
        <f>IF(A331="","",TRIM('01_Master_Data'!AL331&amp;""))</f>
        <v/>
      </c>
      <c r="AG331">
        <f>IF(A331="","",IF(AF331="","—",IF(ISNUMBER(SEARCH("DNP",AF331)),"Unreachable / DNP",IF(ISNUMBER(SEARCH("interest",LOWER(AF331))),"High Interest / Terms",IF(OR(ISNUMBER(SEARCH("eligib",LOWER(AF331))),ISNUMBER(SEARCH("income",LOWER(AF331)))),"Eligibility / Income",IF(OR(ISNUMBER(SEARCH("start",LOWER(AF331))),ISNUMBER(SEARCH("Newer",AF331)),ISNUMBER(SEARCH("Will start",AF331))),"Process Yet to Start",IF(ISNUMBER(SEARCH("sure",LOWER(AF331))),"Undecided",IF(OR(ISNUMBER(SEARCH("reject",LOWER(AF331))),ISNUMBER(SEARCH("SBI",AF331))),"Rejected Elsewhere",IF(ISNUMBER(SEARCH("call",LOWER(AF331))),"Bank Communication",IF(OR(ISNUMBER(SEARCH("father",LOWER(AF331))),ISNUMBER(SEARCH("sister",LOWER(AF331)))),"Family / Dependency","Other"))))))))))</f>
        <v/>
      </c>
      <c r="AH331">
        <f>IF(A331="","",'01_Master_Data'!AC331)</f>
        <v/>
      </c>
      <c r="AI331">
        <f>IF(A331="","",IF(OR(AH331="",NOT(ISNUMBER(AH331))),"",MAX(0,'02_Configuration'!$B$82-AH331)))</f>
        <v/>
      </c>
      <c r="AJ331">
        <f>IF(A331="","",IF(AI331="","Unknown",IF(AI331&lt;=3,"0–3 Days",IF(AI331&lt;=7,"4–7 Days",IF(AI331&lt;=15,"8–15 Days",IF(AI331&lt;=30,"16–30 Days","30+ Days"))))))</f>
        <v/>
      </c>
      <c r="AK331">
        <f>IF(A331="","",IF(LOWER(H331)="yes","Yes","No"))</f>
        <v/>
      </c>
      <c r="AL331">
        <f>IF(A331="","",'01_Master_Data'!T331)</f>
        <v/>
      </c>
      <c r="AM331">
        <f>IF(A331="","",'01_Master_Data'!S331)</f>
        <v/>
      </c>
      <c r="AN331">
        <f>IF(A331="","",'01_Master_Data'!I331)</f>
        <v/>
      </c>
      <c r="AO331">
        <f>IF(A331="","",'01_Master_Data'!M331)</f>
        <v/>
      </c>
      <c r="AP331">
        <f>IF(A331="","",IF(ISNUMBER(SEARCH("Icici",W331&amp;"")),1,0))</f>
        <v/>
      </c>
      <c r="AQ331">
        <f>IF(A331="","",IF(ISNUMBER(SEARCH("Propelld",W331&amp;"")),1,0))</f>
        <v/>
      </c>
      <c r="AR331">
        <f>IF(A331="","",IF(ISNUMBER(SEARCH("GyanDhan",W331&amp;"")),1,0))</f>
        <v/>
      </c>
      <c r="AS331">
        <f>IF(A331="","",IF(ISNUMBER(SEARCH("vidyalakshmi",LOWER(W331&amp;""))),1,0))</f>
        <v/>
      </c>
      <c r="AT331">
        <f>IF(A331="","",IF(ISNUMBER(SEARCH("other bank",LOWER(W331&amp;""))),1,0))</f>
        <v/>
      </c>
      <c r="AU331">
        <f>IF(A331="","",IF(ISNUMBER(SEARCH("sanctioned",LOWER(W331&amp;""))),1,0))</f>
        <v/>
      </c>
      <c r="AV331">
        <f>IF(A331="","",IF(ISNUMBER(SEARCH("Docs Pending",W331&amp;"")),1,0))</f>
        <v/>
      </c>
      <c r="AW331">
        <f>IF(A331="","",IF(OR(X331="Rejected",ISNUMBER(SEARCH("Not eligbile",W331&amp;""))),1,0))</f>
        <v/>
      </c>
    </row>
    <row r="332">
      <c r="A332">
        <f>IF('01_Master_Data'!B332="","",331)</f>
        <v/>
      </c>
      <c r="B332">
        <f>IF('01_Master_Data'!B332="","",IF('01_Master_Data'!C332&lt;&gt;"","MOB|"&amp;TEXT('01_Master_Data'!C332,"0"),IF('01_Master_Data'!D332&lt;&gt;"","PID|"&amp;TRIM('01_Master_Data'!D332&amp;""),"")))</f>
        <v/>
      </c>
      <c r="C332">
        <f>IF('01_Master_Data'!B332="","",'01_Master_Data'!B332)</f>
        <v/>
      </c>
      <c r="D332">
        <f>IF('01_Master_Data'!B332="","",'01_Master_Data'!C332)</f>
        <v/>
      </c>
      <c r="E332">
        <f>IF('01_Master_Data'!B332="","",'01_Master_Data'!D332)</f>
        <v/>
      </c>
      <c r="F332">
        <f>IF('01_Master_Data'!B332="","",'01_Master_Data'!E332)</f>
        <v/>
      </c>
      <c r="G332">
        <f>IF('01_Master_Data'!B332="","",IFERROR(VLOOKUP(TRIM('01_Master_Data'!E332&amp;""),'02_Configuration'!$A$40:$B$44,2,FALSE),UPPER(TRIM('01_Master_Data'!E332&amp;""))))</f>
        <v/>
      </c>
      <c r="H332">
        <f>IF('01_Master_Data'!B332="","",IF('01_Master_Data'!U332="","",TRIM('01_Master_Data'!U332&amp;"")))</f>
        <v/>
      </c>
      <c r="I332">
        <f>IF('01_Master_Data'!B332="","",TRIM('01_Master_Data'!F332&amp;""))</f>
        <v/>
      </c>
      <c r="J332">
        <f>IF('01_Master_Data'!B332="","",TRIM('01_Master_Data'!G332&amp;""))</f>
        <v/>
      </c>
      <c r="K332">
        <f>IF('01_Master_Data'!B332="","",'01_Master_Data'!H332)</f>
        <v/>
      </c>
      <c r="L332">
        <f>IF('01_Master_Data'!B332="","",IF(LOWER(TRIM('01_Master_Data'!V332&amp;""))="yes",1,0))</f>
        <v/>
      </c>
      <c r="M332">
        <f>IF('01_Master_Data'!B332="","",IF(LOWER(TRIM('01_Master_Data'!W332&amp;""))="yes",1,0))</f>
        <v/>
      </c>
      <c r="N332">
        <f>IF('01_Master_Data'!B332="","",IF(LOWER(TRIM('01_Master_Data'!X332&amp;""))="yes",1,0))</f>
        <v/>
      </c>
      <c r="O332">
        <f>IF('01_Master_Data'!B332="","",IF(LOWER(TRIM('01_Master_Data'!Y332&amp;""))="yes",1,0))</f>
        <v/>
      </c>
      <c r="P332">
        <f>IF('01_Master_Data'!B332="","",IF(LOWER(TRIM('01_Master_Data'!Z332&amp;""))="yes",1,0))</f>
        <v/>
      </c>
      <c r="Q332">
        <f>IF(A332="","",L332+M332+N332+O332+P332)</f>
        <v/>
      </c>
      <c r="R332">
        <f>IF(A332="","",IF(Q332&gt;1,"Yes","No"))</f>
        <v/>
      </c>
      <c r="S332">
        <f>IF(A332="","",TEXTJOIN(", ",TRUE,IF(L332=1,"ICICI",""),IF(M332=1,"Propelld",""),IF(N332=1,"Study4Buddy",""),IF(O332=1,"Poonawala Fincorp",""),IF(P332=1,"GyanDhan","")))</f>
        <v/>
      </c>
      <c r="T332">
        <f>IF(A332="","",IF(L332=1,"ICICI",IF(M332=1,"Propelld",IF(P332=1,"GyanDhan",IF(N332=1,"Study4Buddy",IF(O332=1,"Poonawala Fincorp",IF(ISNUMBER(SEARCH("GyanDhan",W332&amp;"")),"GyanDhan",IF(ISNUMBER(SEARCH("Icici",W332&amp;"")),"ICICI",IF(ISNUMBER(SEARCH("Propelld",W332&amp;"")),"Propelld",IF(ISNUMBER(SEARCH("vidyalakshmi",LOWER(W332&amp;"")),"PM Vidyalakshmi","—"))))))))))</f>
        <v/>
      </c>
      <c r="U332">
        <f>IF(A332="","",TRIM('01_Master_Data'!AA332&amp;""))</f>
        <v/>
      </c>
      <c r="V332">
        <f>IF(A332="","",TRIM('01_Master_Data'!AG332&amp;""))</f>
        <v/>
      </c>
      <c r="W332">
        <f>IF(A332="","",TRIM('01_Master_Data'!AH332&amp;""))</f>
        <v/>
      </c>
      <c r="X332">
        <f>IF(A332="","",IF(OR(LOWER(H332)="refund",LOWER(U332)="refund case"),"Refund",IF(OR(LOWER(H332)="dnp",LOWER(U332)="dnp"),"DNP",IF(OR(LOWER(V332)="disbursed",ISNUMBER(SEARCH("Disbursed",W332&amp;""))),"Disbursed",IF(OR(LOWER(V332)="loan proccessed/accepted",ISNUMBER(SEARCH("sanctioned",LOWER(W332&amp;"")))),"Sanctioned",IF(OR(LOWER(V332)="rejected",ISNUMBER(SEARCH("Not eligbile",W332&amp;"")),ISNUMBER(SEARCH("Not eligible",W332&amp;""))),"Rejected",IF(ISNUMBER(SEARCH("Docs Pending",W332&amp;"")),"Documents Pending",IF(AND(LOWER(H332)="yes",LOWER(V332)="ongoing"),"Processing",IF(AND(LOWER(H332)="yes",Q332&gt;0,OR(V332="",LOWER(V332)="not even started")),"Vendor Assigned",IF(AND(LOWER(H332)="yes",LOWER(V332)="not even started"),"Need Loan",IF(LOWER(H332)="yes","Loan Started",IF(LOWER(H332)="not sure","Interested",IF(OR(LOWER(H332)="no",LOWER(V332)="not required"),"Not Required","Unclassified")))))))))))))</f>
        <v/>
      </c>
      <c r="Y332">
        <f>IF(A332="","",IF(OR(X332="Sanctioned",X332="Disbursed",X332="Approved"),"Approved",IF(X332="Rejected","Rejected",IF(OR(X332="Processing",X332="Documents Pending",X332="Vendor Assigned"),"In Progress",IF(X332="Need Loan","Pending Start","—"))))</f>
        <v/>
      </c>
      <c r="Z332">
        <f>IF(A332="","",IF(X332="Disbursed","Disbursed",IF(X332="Sanctioned","Sanctioned - Awaiting Disbursement","Not Disbursed")))</f>
        <v/>
      </c>
      <c r="AA332">
        <f>IF(A332="","",IF(LOWER(TRIM('01_Master_Data'!AI332&amp;""))="yes","Need FLDG",IF(LOWER(TRIM('01_Master_Data'!AK332&amp;""))="yes","Need Vidyalakshmi",IF(LOWER(TRIM('01_Master_Data'!AJ332&amp;""))="yes","Need Review",IF(LOWER(J332)="critical","Critical",IF(LOWER(U332)="risk","Risk Case",IF(X332="Refund","Refund","Normal")))))))</f>
        <v/>
      </c>
      <c r="AB332">
        <f>IF(A332="","",IF(OR(LOWER(J332)="critical",LOWER(TRIM('01_Master_Data'!AI332&amp;""))="yes",LOWER(TRIM('01_Master_Data'!AK332&amp;""))="yes",LOWER(U332)="risk"),"Yes","No"))</f>
        <v/>
      </c>
      <c r="AC332">
        <f>IF(A332="","",IF(LOWER(TRIM('01_Master_Data'!AI332&amp;""))="yes","Yes","No"))</f>
        <v/>
      </c>
      <c r="AD332">
        <f>IF(A332="","",IF(LOWER(TRIM('01_Master_Data'!AK332&amp;""))="yes","Yes","No"))</f>
        <v/>
      </c>
      <c r="AE332">
        <f>IF(A332="","",IF(LOWER(TRIM('01_Master_Data'!AJ332&amp;""))="yes","Yes","No"))</f>
        <v/>
      </c>
      <c r="AF332">
        <f>IF(A332="","",TRIM('01_Master_Data'!AL332&amp;""))</f>
        <v/>
      </c>
      <c r="AG332">
        <f>IF(A332="","",IF(AF332="","—",IF(ISNUMBER(SEARCH("DNP",AF332)),"Unreachable / DNP",IF(ISNUMBER(SEARCH("interest",LOWER(AF332))),"High Interest / Terms",IF(OR(ISNUMBER(SEARCH("eligib",LOWER(AF332))),ISNUMBER(SEARCH("income",LOWER(AF332)))),"Eligibility / Income",IF(OR(ISNUMBER(SEARCH("start",LOWER(AF332))),ISNUMBER(SEARCH("Newer",AF332)),ISNUMBER(SEARCH("Will start",AF332))),"Process Yet to Start",IF(ISNUMBER(SEARCH("sure",LOWER(AF332))),"Undecided",IF(OR(ISNUMBER(SEARCH("reject",LOWER(AF332))),ISNUMBER(SEARCH("SBI",AF332))),"Rejected Elsewhere",IF(ISNUMBER(SEARCH("call",LOWER(AF332))),"Bank Communication",IF(OR(ISNUMBER(SEARCH("father",LOWER(AF332))),ISNUMBER(SEARCH("sister",LOWER(AF332)))),"Family / Dependency","Other"))))))))))</f>
        <v/>
      </c>
      <c r="AH332">
        <f>IF(A332="","",'01_Master_Data'!AC332)</f>
        <v/>
      </c>
      <c r="AI332">
        <f>IF(A332="","",IF(OR(AH332="",NOT(ISNUMBER(AH332))),"",MAX(0,'02_Configuration'!$B$82-AH332)))</f>
        <v/>
      </c>
      <c r="AJ332">
        <f>IF(A332="","",IF(AI332="","Unknown",IF(AI332&lt;=3,"0–3 Days",IF(AI332&lt;=7,"4–7 Days",IF(AI332&lt;=15,"8–15 Days",IF(AI332&lt;=30,"16–30 Days","30+ Days"))))))</f>
        <v/>
      </c>
      <c r="AK332">
        <f>IF(A332="","",IF(LOWER(H332)="yes","Yes","No"))</f>
        <v/>
      </c>
      <c r="AL332">
        <f>IF(A332="","",'01_Master_Data'!T332)</f>
        <v/>
      </c>
      <c r="AM332">
        <f>IF(A332="","",'01_Master_Data'!S332)</f>
        <v/>
      </c>
      <c r="AN332">
        <f>IF(A332="","",'01_Master_Data'!I332)</f>
        <v/>
      </c>
      <c r="AO332">
        <f>IF(A332="","",'01_Master_Data'!M332)</f>
        <v/>
      </c>
      <c r="AP332">
        <f>IF(A332="","",IF(ISNUMBER(SEARCH("Icici",W332&amp;"")),1,0))</f>
        <v/>
      </c>
      <c r="AQ332">
        <f>IF(A332="","",IF(ISNUMBER(SEARCH("Propelld",W332&amp;"")),1,0))</f>
        <v/>
      </c>
      <c r="AR332">
        <f>IF(A332="","",IF(ISNUMBER(SEARCH("GyanDhan",W332&amp;"")),1,0))</f>
        <v/>
      </c>
      <c r="AS332">
        <f>IF(A332="","",IF(ISNUMBER(SEARCH("vidyalakshmi",LOWER(W332&amp;""))),1,0))</f>
        <v/>
      </c>
      <c r="AT332">
        <f>IF(A332="","",IF(ISNUMBER(SEARCH("other bank",LOWER(W332&amp;""))),1,0))</f>
        <v/>
      </c>
      <c r="AU332">
        <f>IF(A332="","",IF(ISNUMBER(SEARCH("sanctioned",LOWER(W332&amp;""))),1,0))</f>
        <v/>
      </c>
      <c r="AV332">
        <f>IF(A332="","",IF(ISNUMBER(SEARCH("Docs Pending",W332&amp;"")),1,0))</f>
        <v/>
      </c>
      <c r="AW332">
        <f>IF(A332="","",IF(OR(X332="Rejected",ISNUMBER(SEARCH("Not eligbile",W332&amp;""))),1,0))</f>
        <v/>
      </c>
    </row>
    <row r="333">
      <c r="A333">
        <f>IF('01_Master_Data'!B333="","",332)</f>
        <v/>
      </c>
      <c r="B333">
        <f>IF('01_Master_Data'!B333="","",IF('01_Master_Data'!C333&lt;&gt;"","MOB|"&amp;TEXT('01_Master_Data'!C333,"0"),IF('01_Master_Data'!D333&lt;&gt;"","PID|"&amp;TRIM('01_Master_Data'!D333&amp;""),"")))</f>
        <v/>
      </c>
      <c r="C333">
        <f>IF('01_Master_Data'!B333="","",'01_Master_Data'!B333)</f>
        <v/>
      </c>
      <c r="D333">
        <f>IF('01_Master_Data'!B333="","",'01_Master_Data'!C333)</f>
        <v/>
      </c>
      <c r="E333">
        <f>IF('01_Master_Data'!B333="","",'01_Master_Data'!D333)</f>
        <v/>
      </c>
      <c r="F333">
        <f>IF('01_Master_Data'!B333="","",'01_Master_Data'!E333)</f>
        <v/>
      </c>
      <c r="G333">
        <f>IF('01_Master_Data'!B333="","",IFERROR(VLOOKUP(TRIM('01_Master_Data'!E333&amp;""),'02_Configuration'!$A$40:$B$44,2,FALSE),UPPER(TRIM('01_Master_Data'!E333&amp;""))))</f>
        <v/>
      </c>
      <c r="H333">
        <f>IF('01_Master_Data'!B333="","",IF('01_Master_Data'!U333="","",TRIM('01_Master_Data'!U333&amp;"")))</f>
        <v/>
      </c>
      <c r="I333">
        <f>IF('01_Master_Data'!B333="","",TRIM('01_Master_Data'!F333&amp;""))</f>
        <v/>
      </c>
      <c r="J333">
        <f>IF('01_Master_Data'!B333="","",TRIM('01_Master_Data'!G333&amp;""))</f>
        <v/>
      </c>
      <c r="K333">
        <f>IF('01_Master_Data'!B333="","",'01_Master_Data'!H333)</f>
        <v/>
      </c>
      <c r="L333">
        <f>IF('01_Master_Data'!B333="","",IF(LOWER(TRIM('01_Master_Data'!V333&amp;""))="yes",1,0))</f>
        <v/>
      </c>
      <c r="M333">
        <f>IF('01_Master_Data'!B333="","",IF(LOWER(TRIM('01_Master_Data'!W333&amp;""))="yes",1,0))</f>
        <v/>
      </c>
      <c r="N333">
        <f>IF('01_Master_Data'!B333="","",IF(LOWER(TRIM('01_Master_Data'!X333&amp;""))="yes",1,0))</f>
        <v/>
      </c>
      <c r="O333">
        <f>IF('01_Master_Data'!B333="","",IF(LOWER(TRIM('01_Master_Data'!Y333&amp;""))="yes",1,0))</f>
        <v/>
      </c>
      <c r="P333">
        <f>IF('01_Master_Data'!B333="","",IF(LOWER(TRIM('01_Master_Data'!Z333&amp;""))="yes",1,0))</f>
        <v/>
      </c>
      <c r="Q333">
        <f>IF(A333="","",L333+M333+N333+O333+P333)</f>
        <v/>
      </c>
      <c r="R333">
        <f>IF(A333="","",IF(Q333&gt;1,"Yes","No"))</f>
        <v/>
      </c>
      <c r="S333">
        <f>IF(A333="","",TEXTJOIN(", ",TRUE,IF(L333=1,"ICICI",""),IF(M333=1,"Propelld",""),IF(N333=1,"Study4Buddy",""),IF(O333=1,"Poonawala Fincorp",""),IF(P333=1,"GyanDhan","")))</f>
        <v/>
      </c>
      <c r="T333">
        <f>IF(A333="","",IF(L333=1,"ICICI",IF(M333=1,"Propelld",IF(P333=1,"GyanDhan",IF(N333=1,"Study4Buddy",IF(O333=1,"Poonawala Fincorp",IF(ISNUMBER(SEARCH("GyanDhan",W333&amp;"")),"GyanDhan",IF(ISNUMBER(SEARCH("Icici",W333&amp;"")),"ICICI",IF(ISNUMBER(SEARCH("Propelld",W333&amp;"")),"Propelld",IF(ISNUMBER(SEARCH("vidyalakshmi",LOWER(W333&amp;"")),"PM Vidyalakshmi","—"))))))))))</f>
        <v/>
      </c>
      <c r="U333">
        <f>IF(A333="","",TRIM('01_Master_Data'!AA333&amp;""))</f>
        <v/>
      </c>
      <c r="V333">
        <f>IF(A333="","",TRIM('01_Master_Data'!AG333&amp;""))</f>
        <v/>
      </c>
      <c r="W333">
        <f>IF(A333="","",TRIM('01_Master_Data'!AH333&amp;""))</f>
        <v/>
      </c>
      <c r="X333">
        <f>IF(A333="","",IF(OR(LOWER(H333)="refund",LOWER(U333)="refund case"),"Refund",IF(OR(LOWER(H333)="dnp",LOWER(U333)="dnp"),"DNP",IF(OR(LOWER(V333)="disbursed",ISNUMBER(SEARCH("Disbursed",W333&amp;""))),"Disbursed",IF(OR(LOWER(V333)="loan proccessed/accepted",ISNUMBER(SEARCH("sanctioned",LOWER(W333&amp;"")))),"Sanctioned",IF(OR(LOWER(V333)="rejected",ISNUMBER(SEARCH("Not eligbile",W333&amp;"")),ISNUMBER(SEARCH("Not eligible",W333&amp;""))),"Rejected",IF(ISNUMBER(SEARCH("Docs Pending",W333&amp;"")),"Documents Pending",IF(AND(LOWER(H333)="yes",LOWER(V333)="ongoing"),"Processing",IF(AND(LOWER(H333)="yes",Q333&gt;0,OR(V333="",LOWER(V333)="not even started")),"Vendor Assigned",IF(AND(LOWER(H333)="yes",LOWER(V333)="not even started"),"Need Loan",IF(LOWER(H333)="yes","Loan Started",IF(LOWER(H333)="not sure","Interested",IF(OR(LOWER(H333)="no",LOWER(V333)="not required"),"Not Required","Unclassified")))))))))))))</f>
        <v/>
      </c>
      <c r="Y333">
        <f>IF(A333="","",IF(OR(X333="Sanctioned",X333="Disbursed",X333="Approved"),"Approved",IF(X333="Rejected","Rejected",IF(OR(X333="Processing",X333="Documents Pending",X333="Vendor Assigned"),"In Progress",IF(X333="Need Loan","Pending Start","—"))))</f>
        <v/>
      </c>
      <c r="Z333">
        <f>IF(A333="","",IF(X333="Disbursed","Disbursed",IF(X333="Sanctioned","Sanctioned - Awaiting Disbursement","Not Disbursed")))</f>
        <v/>
      </c>
      <c r="AA333">
        <f>IF(A333="","",IF(LOWER(TRIM('01_Master_Data'!AI333&amp;""))="yes","Need FLDG",IF(LOWER(TRIM('01_Master_Data'!AK333&amp;""))="yes","Need Vidyalakshmi",IF(LOWER(TRIM('01_Master_Data'!AJ333&amp;""))="yes","Need Review",IF(LOWER(J333)="critical","Critical",IF(LOWER(U333)="risk","Risk Case",IF(X333="Refund","Refund","Normal")))))))</f>
        <v/>
      </c>
      <c r="AB333">
        <f>IF(A333="","",IF(OR(LOWER(J333)="critical",LOWER(TRIM('01_Master_Data'!AI333&amp;""))="yes",LOWER(TRIM('01_Master_Data'!AK333&amp;""))="yes",LOWER(U333)="risk"),"Yes","No"))</f>
        <v/>
      </c>
      <c r="AC333">
        <f>IF(A333="","",IF(LOWER(TRIM('01_Master_Data'!AI333&amp;""))="yes","Yes","No"))</f>
        <v/>
      </c>
      <c r="AD333">
        <f>IF(A333="","",IF(LOWER(TRIM('01_Master_Data'!AK333&amp;""))="yes","Yes","No"))</f>
        <v/>
      </c>
      <c r="AE333">
        <f>IF(A333="","",IF(LOWER(TRIM('01_Master_Data'!AJ333&amp;""))="yes","Yes","No"))</f>
        <v/>
      </c>
      <c r="AF333">
        <f>IF(A333="","",TRIM('01_Master_Data'!AL333&amp;""))</f>
        <v/>
      </c>
      <c r="AG333">
        <f>IF(A333="","",IF(AF333="","—",IF(ISNUMBER(SEARCH("DNP",AF333)),"Unreachable / DNP",IF(ISNUMBER(SEARCH("interest",LOWER(AF333))),"High Interest / Terms",IF(OR(ISNUMBER(SEARCH("eligib",LOWER(AF333))),ISNUMBER(SEARCH("income",LOWER(AF333)))),"Eligibility / Income",IF(OR(ISNUMBER(SEARCH("start",LOWER(AF333))),ISNUMBER(SEARCH("Newer",AF333)),ISNUMBER(SEARCH("Will start",AF333))),"Process Yet to Start",IF(ISNUMBER(SEARCH("sure",LOWER(AF333))),"Undecided",IF(OR(ISNUMBER(SEARCH("reject",LOWER(AF333))),ISNUMBER(SEARCH("SBI",AF333))),"Rejected Elsewhere",IF(ISNUMBER(SEARCH("call",LOWER(AF333))),"Bank Communication",IF(OR(ISNUMBER(SEARCH("father",LOWER(AF333))),ISNUMBER(SEARCH("sister",LOWER(AF333)))),"Family / Dependency","Other"))))))))))</f>
        <v/>
      </c>
      <c r="AH333">
        <f>IF(A333="","",'01_Master_Data'!AC333)</f>
        <v/>
      </c>
      <c r="AI333">
        <f>IF(A333="","",IF(OR(AH333="",NOT(ISNUMBER(AH333))),"",MAX(0,'02_Configuration'!$B$82-AH333)))</f>
        <v/>
      </c>
      <c r="AJ333">
        <f>IF(A333="","",IF(AI333="","Unknown",IF(AI333&lt;=3,"0–3 Days",IF(AI333&lt;=7,"4–7 Days",IF(AI333&lt;=15,"8–15 Days",IF(AI333&lt;=30,"16–30 Days","30+ Days"))))))</f>
        <v/>
      </c>
      <c r="AK333">
        <f>IF(A333="","",IF(LOWER(H333)="yes","Yes","No"))</f>
        <v/>
      </c>
      <c r="AL333">
        <f>IF(A333="","",'01_Master_Data'!T333)</f>
        <v/>
      </c>
      <c r="AM333">
        <f>IF(A333="","",'01_Master_Data'!S333)</f>
        <v/>
      </c>
      <c r="AN333">
        <f>IF(A333="","",'01_Master_Data'!I333)</f>
        <v/>
      </c>
      <c r="AO333">
        <f>IF(A333="","",'01_Master_Data'!M333)</f>
        <v/>
      </c>
      <c r="AP333">
        <f>IF(A333="","",IF(ISNUMBER(SEARCH("Icici",W333&amp;"")),1,0))</f>
        <v/>
      </c>
      <c r="AQ333">
        <f>IF(A333="","",IF(ISNUMBER(SEARCH("Propelld",W333&amp;"")),1,0))</f>
        <v/>
      </c>
      <c r="AR333">
        <f>IF(A333="","",IF(ISNUMBER(SEARCH("GyanDhan",W333&amp;"")),1,0))</f>
        <v/>
      </c>
      <c r="AS333">
        <f>IF(A333="","",IF(ISNUMBER(SEARCH("vidyalakshmi",LOWER(W333&amp;""))),1,0))</f>
        <v/>
      </c>
      <c r="AT333">
        <f>IF(A333="","",IF(ISNUMBER(SEARCH("other bank",LOWER(W333&amp;""))),1,0))</f>
        <v/>
      </c>
      <c r="AU333">
        <f>IF(A333="","",IF(ISNUMBER(SEARCH("sanctioned",LOWER(W333&amp;""))),1,0))</f>
        <v/>
      </c>
      <c r="AV333">
        <f>IF(A333="","",IF(ISNUMBER(SEARCH("Docs Pending",W333&amp;"")),1,0))</f>
        <v/>
      </c>
      <c r="AW333">
        <f>IF(A333="","",IF(OR(X333="Rejected",ISNUMBER(SEARCH("Not eligbile",W333&amp;""))),1,0))</f>
        <v/>
      </c>
    </row>
    <row r="334">
      <c r="A334">
        <f>IF('01_Master_Data'!B334="","",333)</f>
        <v/>
      </c>
      <c r="B334">
        <f>IF('01_Master_Data'!B334="","",IF('01_Master_Data'!C334&lt;&gt;"","MOB|"&amp;TEXT('01_Master_Data'!C334,"0"),IF('01_Master_Data'!D334&lt;&gt;"","PID|"&amp;TRIM('01_Master_Data'!D334&amp;""),"")))</f>
        <v/>
      </c>
      <c r="C334">
        <f>IF('01_Master_Data'!B334="","",'01_Master_Data'!B334)</f>
        <v/>
      </c>
      <c r="D334">
        <f>IF('01_Master_Data'!B334="","",'01_Master_Data'!C334)</f>
        <v/>
      </c>
      <c r="E334">
        <f>IF('01_Master_Data'!B334="","",'01_Master_Data'!D334)</f>
        <v/>
      </c>
      <c r="F334">
        <f>IF('01_Master_Data'!B334="","",'01_Master_Data'!E334)</f>
        <v/>
      </c>
      <c r="G334">
        <f>IF('01_Master_Data'!B334="","",IFERROR(VLOOKUP(TRIM('01_Master_Data'!E334&amp;""),'02_Configuration'!$A$40:$B$44,2,FALSE),UPPER(TRIM('01_Master_Data'!E334&amp;""))))</f>
        <v/>
      </c>
      <c r="H334">
        <f>IF('01_Master_Data'!B334="","",IF('01_Master_Data'!U334="","",TRIM('01_Master_Data'!U334&amp;"")))</f>
        <v/>
      </c>
      <c r="I334">
        <f>IF('01_Master_Data'!B334="","",TRIM('01_Master_Data'!F334&amp;""))</f>
        <v/>
      </c>
      <c r="J334">
        <f>IF('01_Master_Data'!B334="","",TRIM('01_Master_Data'!G334&amp;""))</f>
        <v/>
      </c>
      <c r="K334">
        <f>IF('01_Master_Data'!B334="","",'01_Master_Data'!H334)</f>
        <v/>
      </c>
      <c r="L334">
        <f>IF('01_Master_Data'!B334="","",IF(LOWER(TRIM('01_Master_Data'!V334&amp;""))="yes",1,0))</f>
        <v/>
      </c>
      <c r="M334">
        <f>IF('01_Master_Data'!B334="","",IF(LOWER(TRIM('01_Master_Data'!W334&amp;""))="yes",1,0))</f>
        <v/>
      </c>
      <c r="N334">
        <f>IF('01_Master_Data'!B334="","",IF(LOWER(TRIM('01_Master_Data'!X334&amp;""))="yes",1,0))</f>
        <v/>
      </c>
      <c r="O334">
        <f>IF('01_Master_Data'!B334="","",IF(LOWER(TRIM('01_Master_Data'!Y334&amp;""))="yes",1,0))</f>
        <v/>
      </c>
      <c r="P334">
        <f>IF('01_Master_Data'!B334="","",IF(LOWER(TRIM('01_Master_Data'!Z334&amp;""))="yes",1,0))</f>
        <v/>
      </c>
      <c r="Q334">
        <f>IF(A334="","",L334+M334+N334+O334+P334)</f>
        <v/>
      </c>
      <c r="R334">
        <f>IF(A334="","",IF(Q334&gt;1,"Yes","No"))</f>
        <v/>
      </c>
      <c r="S334">
        <f>IF(A334="","",TEXTJOIN(", ",TRUE,IF(L334=1,"ICICI",""),IF(M334=1,"Propelld",""),IF(N334=1,"Study4Buddy",""),IF(O334=1,"Poonawala Fincorp",""),IF(P334=1,"GyanDhan","")))</f>
        <v/>
      </c>
      <c r="T334">
        <f>IF(A334="","",IF(L334=1,"ICICI",IF(M334=1,"Propelld",IF(P334=1,"GyanDhan",IF(N334=1,"Study4Buddy",IF(O334=1,"Poonawala Fincorp",IF(ISNUMBER(SEARCH("GyanDhan",W334&amp;"")),"GyanDhan",IF(ISNUMBER(SEARCH("Icici",W334&amp;"")),"ICICI",IF(ISNUMBER(SEARCH("Propelld",W334&amp;"")),"Propelld",IF(ISNUMBER(SEARCH("vidyalakshmi",LOWER(W334&amp;"")),"PM Vidyalakshmi","—"))))))))))</f>
        <v/>
      </c>
      <c r="U334">
        <f>IF(A334="","",TRIM('01_Master_Data'!AA334&amp;""))</f>
        <v/>
      </c>
      <c r="V334">
        <f>IF(A334="","",TRIM('01_Master_Data'!AG334&amp;""))</f>
        <v/>
      </c>
      <c r="W334">
        <f>IF(A334="","",TRIM('01_Master_Data'!AH334&amp;""))</f>
        <v/>
      </c>
      <c r="X334">
        <f>IF(A334="","",IF(OR(LOWER(H334)="refund",LOWER(U334)="refund case"),"Refund",IF(OR(LOWER(H334)="dnp",LOWER(U334)="dnp"),"DNP",IF(OR(LOWER(V334)="disbursed",ISNUMBER(SEARCH("Disbursed",W334&amp;""))),"Disbursed",IF(OR(LOWER(V334)="loan proccessed/accepted",ISNUMBER(SEARCH("sanctioned",LOWER(W334&amp;"")))),"Sanctioned",IF(OR(LOWER(V334)="rejected",ISNUMBER(SEARCH("Not eligbile",W334&amp;"")),ISNUMBER(SEARCH("Not eligible",W334&amp;""))),"Rejected",IF(ISNUMBER(SEARCH("Docs Pending",W334&amp;"")),"Documents Pending",IF(AND(LOWER(H334)="yes",LOWER(V334)="ongoing"),"Processing",IF(AND(LOWER(H334)="yes",Q334&gt;0,OR(V334="",LOWER(V334)="not even started")),"Vendor Assigned",IF(AND(LOWER(H334)="yes",LOWER(V334)="not even started"),"Need Loan",IF(LOWER(H334)="yes","Loan Started",IF(LOWER(H334)="not sure","Interested",IF(OR(LOWER(H334)="no",LOWER(V334)="not required"),"Not Required","Unclassified")))))))))))))</f>
        <v/>
      </c>
      <c r="Y334">
        <f>IF(A334="","",IF(OR(X334="Sanctioned",X334="Disbursed",X334="Approved"),"Approved",IF(X334="Rejected","Rejected",IF(OR(X334="Processing",X334="Documents Pending",X334="Vendor Assigned"),"In Progress",IF(X334="Need Loan","Pending Start","—"))))</f>
        <v/>
      </c>
      <c r="Z334">
        <f>IF(A334="","",IF(X334="Disbursed","Disbursed",IF(X334="Sanctioned","Sanctioned - Awaiting Disbursement","Not Disbursed")))</f>
        <v/>
      </c>
      <c r="AA334">
        <f>IF(A334="","",IF(LOWER(TRIM('01_Master_Data'!AI334&amp;""))="yes","Need FLDG",IF(LOWER(TRIM('01_Master_Data'!AK334&amp;""))="yes","Need Vidyalakshmi",IF(LOWER(TRIM('01_Master_Data'!AJ334&amp;""))="yes","Need Review",IF(LOWER(J334)="critical","Critical",IF(LOWER(U334)="risk","Risk Case",IF(X334="Refund","Refund","Normal")))))))</f>
        <v/>
      </c>
      <c r="AB334">
        <f>IF(A334="","",IF(OR(LOWER(J334)="critical",LOWER(TRIM('01_Master_Data'!AI334&amp;""))="yes",LOWER(TRIM('01_Master_Data'!AK334&amp;""))="yes",LOWER(U334)="risk"),"Yes","No"))</f>
        <v/>
      </c>
      <c r="AC334">
        <f>IF(A334="","",IF(LOWER(TRIM('01_Master_Data'!AI334&amp;""))="yes","Yes","No"))</f>
        <v/>
      </c>
      <c r="AD334">
        <f>IF(A334="","",IF(LOWER(TRIM('01_Master_Data'!AK334&amp;""))="yes","Yes","No"))</f>
        <v/>
      </c>
      <c r="AE334">
        <f>IF(A334="","",IF(LOWER(TRIM('01_Master_Data'!AJ334&amp;""))="yes","Yes","No"))</f>
        <v/>
      </c>
      <c r="AF334">
        <f>IF(A334="","",TRIM('01_Master_Data'!AL334&amp;""))</f>
        <v/>
      </c>
      <c r="AG334">
        <f>IF(A334="","",IF(AF334="","—",IF(ISNUMBER(SEARCH("DNP",AF334)),"Unreachable / DNP",IF(ISNUMBER(SEARCH("interest",LOWER(AF334))),"High Interest / Terms",IF(OR(ISNUMBER(SEARCH("eligib",LOWER(AF334))),ISNUMBER(SEARCH("income",LOWER(AF334)))),"Eligibility / Income",IF(OR(ISNUMBER(SEARCH("start",LOWER(AF334))),ISNUMBER(SEARCH("Newer",AF334)),ISNUMBER(SEARCH("Will start",AF334))),"Process Yet to Start",IF(ISNUMBER(SEARCH("sure",LOWER(AF334))),"Undecided",IF(OR(ISNUMBER(SEARCH("reject",LOWER(AF334))),ISNUMBER(SEARCH("SBI",AF334))),"Rejected Elsewhere",IF(ISNUMBER(SEARCH("call",LOWER(AF334))),"Bank Communication",IF(OR(ISNUMBER(SEARCH("father",LOWER(AF334))),ISNUMBER(SEARCH("sister",LOWER(AF334)))),"Family / Dependency","Other"))))))))))</f>
        <v/>
      </c>
      <c r="AH334">
        <f>IF(A334="","",'01_Master_Data'!AC334)</f>
        <v/>
      </c>
      <c r="AI334">
        <f>IF(A334="","",IF(OR(AH334="",NOT(ISNUMBER(AH334))),"",MAX(0,'02_Configuration'!$B$82-AH334)))</f>
        <v/>
      </c>
      <c r="AJ334">
        <f>IF(A334="","",IF(AI334="","Unknown",IF(AI334&lt;=3,"0–3 Days",IF(AI334&lt;=7,"4–7 Days",IF(AI334&lt;=15,"8–15 Days",IF(AI334&lt;=30,"16–30 Days","30+ Days"))))))</f>
        <v/>
      </c>
      <c r="AK334">
        <f>IF(A334="","",IF(LOWER(H334)="yes","Yes","No"))</f>
        <v/>
      </c>
      <c r="AL334">
        <f>IF(A334="","",'01_Master_Data'!T334)</f>
        <v/>
      </c>
      <c r="AM334">
        <f>IF(A334="","",'01_Master_Data'!S334)</f>
        <v/>
      </c>
      <c r="AN334">
        <f>IF(A334="","",'01_Master_Data'!I334)</f>
        <v/>
      </c>
      <c r="AO334">
        <f>IF(A334="","",'01_Master_Data'!M334)</f>
        <v/>
      </c>
      <c r="AP334">
        <f>IF(A334="","",IF(ISNUMBER(SEARCH("Icici",W334&amp;"")),1,0))</f>
        <v/>
      </c>
      <c r="AQ334">
        <f>IF(A334="","",IF(ISNUMBER(SEARCH("Propelld",W334&amp;"")),1,0))</f>
        <v/>
      </c>
      <c r="AR334">
        <f>IF(A334="","",IF(ISNUMBER(SEARCH("GyanDhan",W334&amp;"")),1,0))</f>
        <v/>
      </c>
      <c r="AS334">
        <f>IF(A334="","",IF(ISNUMBER(SEARCH("vidyalakshmi",LOWER(W334&amp;""))),1,0))</f>
        <v/>
      </c>
      <c r="AT334">
        <f>IF(A334="","",IF(ISNUMBER(SEARCH("other bank",LOWER(W334&amp;""))),1,0))</f>
        <v/>
      </c>
      <c r="AU334">
        <f>IF(A334="","",IF(ISNUMBER(SEARCH("sanctioned",LOWER(W334&amp;""))),1,0))</f>
        <v/>
      </c>
      <c r="AV334">
        <f>IF(A334="","",IF(ISNUMBER(SEARCH("Docs Pending",W334&amp;"")),1,0))</f>
        <v/>
      </c>
      <c r="AW334">
        <f>IF(A334="","",IF(OR(X334="Rejected",ISNUMBER(SEARCH("Not eligbile",W334&amp;""))),1,0))</f>
        <v/>
      </c>
    </row>
    <row r="335">
      <c r="A335">
        <f>IF('01_Master_Data'!B335="","",334)</f>
        <v/>
      </c>
      <c r="B335">
        <f>IF('01_Master_Data'!B335="","",IF('01_Master_Data'!C335&lt;&gt;"","MOB|"&amp;TEXT('01_Master_Data'!C335,"0"),IF('01_Master_Data'!D335&lt;&gt;"","PID|"&amp;TRIM('01_Master_Data'!D335&amp;""),"")))</f>
        <v/>
      </c>
      <c r="C335">
        <f>IF('01_Master_Data'!B335="","",'01_Master_Data'!B335)</f>
        <v/>
      </c>
      <c r="D335">
        <f>IF('01_Master_Data'!B335="","",'01_Master_Data'!C335)</f>
        <v/>
      </c>
      <c r="E335">
        <f>IF('01_Master_Data'!B335="","",'01_Master_Data'!D335)</f>
        <v/>
      </c>
      <c r="F335">
        <f>IF('01_Master_Data'!B335="","",'01_Master_Data'!E335)</f>
        <v/>
      </c>
      <c r="G335">
        <f>IF('01_Master_Data'!B335="","",IFERROR(VLOOKUP(TRIM('01_Master_Data'!E335&amp;""),'02_Configuration'!$A$40:$B$44,2,FALSE),UPPER(TRIM('01_Master_Data'!E335&amp;""))))</f>
        <v/>
      </c>
      <c r="H335">
        <f>IF('01_Master_Data'!B335="","",IF('01_Master_Data'!U335="","",TRIM('01_Master_Data'!U335&amp;"")))</f>
        <v/>
      </c>
      <c r="I335">
        <f>IF('01_Master_Data'!B335="","",TRIM('01_Master_Data'!F335&amp;""))</f>
        <v/>
      </c>
      <c r="J335">
        <f>IF('01_Master_Data'!B335="","",TRIM('01_Master_Data'!G335&amp;""))</f>
        <v/>
      </c>
      <c r="K335">
        <f>IF('01_Master_Data'!B335="","",'01_Master_Data'!H335)</f>
        <v/>
      </c>
      <c r="L335">
        <f>IF('01_Master_Data'!B335="","",IF(LOWER(TRIM('01_Master_Data'!V335&amp;""))="yes",1,0))</f>
        <v/>
      </c>
      <c r="M335">
        <f>IF('01_Master_Data'!B335="","",IF(LOWER(TRIM('01_Master_Data'!W335&amp;""))="yes",1,0))</f>
        <v/>
      </c>
      <c r="N335">
        <f>IF('01_Master_Data'!B335="","",IF(LOWER(TRIM('01_Master_Data'!X335&amp;""))="yes",1,0))</f>
        <v/>
      </c>
      <c r="O335">
        <f>IF('01_Master_Data'!B335="","",IF(LOWER(TRIM('01_Master_Data'!Y335&amp;""))="yes",1,0))</f>
        <v/>
      </c>
      <c r="P335">
        <f>IF('01_Master_Data'!B335="","",IF(LOWER(TRIM('01_Master_Data'!Z335&amp;""))="yes",1,0))</f>
        <v/>
      </c>
      <c r="Q335">
        <f>IF(A335="","",L335+M335+N335+O335+P335)</f>
        <v/>
      </c>
      <c r="R335">
        <f>IF(A335="","",IF(Q335&gt;1,"Yes","No"))</f>
        <v/>
      </c>
      <c r="S335">
        <f>IF(A335="","",TEXTJOIN(", ",TRUE,IF(L335=1,"ICICI",""),IF(M335=1,"Propelld",""),IF(N335=1,"Study4Buddy",""),IF(O335=1,"Poonawala Fincorp",""),IF(P335=1,"GyanDhan","")))</f>
        <v/>
      </c>
      <c r="T335">
        <f>IF(A335="","",IF(L335=1,"ICICI",IF(M335=1,"Propelld",IF(P335=1,"GyanDhan",IF(N335=1,"Study4Buddy",IF(O335=1,"Poonawala Fincorp",IF(ISNUMBER(SEARCH("GyanDhan",W335&amp;"")),"GyanDhan",IF(ISNUMBER(SEARCH("Icici",W335&amp;"")),"ICICI",IF(ISNUMBER(SEARCH("Propelld",W335&amp;"")),"Propelld",IF(ISNUMBER(SEARCH("vidyalakshmi",LOWER(W335&amp;"")),"PM Vidyalakshmi","—"))))))))))</f>
        <v/>
      </c>
      <c r="U335">
        <f>IF(A335="","",TRIM('01_Master_Data'!AA335&amp;""))</f>
        <v/>
      </c>
      <c r="V335">
        <f>IF(A335="","",TRIM('01_Master_Data'!AG335&amp;""))</f>
        <v/>
      </c>
      <c r="W335">
        <f>IF(A335="","",TRIM('01_Master_Data'!AH335&amp;""))</f>
        <v/>
      </c>
      <c r="X335">
        <f>IF(A335="","",IF(OR(LOWER(H335)="refund",LOWER(U335)="refund case"),"Refund",IF(OR(LOWER(H335)="dnp",LOWER(U335)="dnp"),"DNP",IF(OR(LOWER(V335)="disbursed",ISNUMBER(SEARCH("Disbursed",W335&amp;""))),"Disbursed",IF(OR(LOWER(V335)="loan proccessed/accepted",ISNUMBER(SEARCH("sanctioned",LOWER(W335&amp;"")))),"Sanctioned",IF(OR(LOWER(V335)="rejected",ISNUMBER(SEARCH("Not eligbile",W335&amp;"")),ISNUMBER(SEARCH("Not eligible",W335&amp;""))),"Rejected",IF(ISNUMBER(SEARCH("Docs Pending",W335&amp;"")),"Documents Pending",IF(AND(LOWER(H335)="yes",LOWER(V335)="ongoing"),"Processing",IF(AND(LOWER(H335)="yes",Q335&gt;0,OR(V335="",LOWER(V335)="not even started")),"Vendor Assigned",IF(AND(LOWER(H335)="yes",LOWER(V335)="not even started"),"Need Loan",IF(LOWER(H335)="yes","Loan Started",IF(LOWER(H335)="not sure","Interested",IF(OR(LOWER(H335)="no",LOWER(V335)="not required"),"Not Required","Unclassified")))))))))))))</f>
        <v/>
      </c>
      <c r="Y335">
        <f>IF(A335="","",IF(OR(X335="Sanctioned",X335="Disbursed",X335="Approved"),"Approved",IF(X335="Rejected","Rejected",IF(OR(X335="Processing",X335="Documents Pending",X335="Vendor Assigned"),"In Progress",IF(X335="Need Loan","Pending Start","—"))))</f>
        <v/>
      </c>
      <c r="Z335">
        <f>IF(A335="","",IF(X335="Disbursed","Disbursed",IF(X335="Sanctioned","Sanctioned - Awaiting Disbursement","Not Disbursed")))</f>
        <v/>
      </c>
      <c r="AA335">
        <f>IF(A335="","",IF(LOWER(TRIM('01_Master_Data'!AI335&amp;""))="yes","Need FLDG",IF(LOWER(TRIM('01_Master_Data'!AK335&amp;""))="yes","Need Vidyalakshmi",IF(LOWER(TRIM('01_Master_Data'!AJ335&amp;""))="yes","Need Review",IF(LOWER(J335)="critical","Critical",IF(LOWER(U335)="risk","Risk Case",IF(X335="Refund","Refund","Normal")))))))</f>
        <v/>
      </c>
      <c r="AB335">
        <f>IF(A335="","",IF(OR(LOWER(J335)="critical",LOWER(TRIM('01_Master_Data'!AI335&amp;""))="yes",LOWER(TRIM('01_Master_Data'!AK335&amp;""))="yes",LOWER(U335)="risk"),"Yes","No"))</f>
        <v/>
      </c>
      <c r="AC335">
        <f>IF(A335="","",IF(LOWER(TRIM('01_Master_Data'!AI335&amp;""))="yes","Yes","No"))</f>
        <v/>
      </c>
      <c r="AD335">
        <f>IF(A335="","",IF(LOWER(TRIM('01_Master_Data'!AK335&amp;""))="yes","Yes","No"))</f>
        <v/>
      </c>
      <c r="AE335">
        <f>IF(A335="","",IF(LOWER(TRIM('01_Master_Data'!AJ335&amp;""))="yes","Yes","No"))</f>
        <v/>
      </c>
      <c r="AF335">
        <f>IF(A335="","",TRIM('01_Master_Data'!AL335&amp;""))</f>
        <v/>
      </c>
      <c r="AG335">
        <f>IF(A335="","",IF(AF335="","—",IF(ISNUMBER(SEARCH("DNP",AF335)),"Unreachable / DNP",IF(ISNUMBER(SEARCH("interest",LOWER(AF335))),"High Interest / Terms",IF(OR(ISNUMBER(SEARCH("eligib",LOWER(AF335))),ISNUMBER(SEARCH("income",LOWER(AF335)))),"Eligibility / Income",IF(OR(ISNUMBER(SEARCH("start",LOWER(AF335))),ISNUMBER(SEARCH("Newer",AF335)),ISNUMBER(SEARCH("Will start",AF335))),"Process Yet to Start",IF(ISNUMBER(SEARCH("sure",LOWER(AF335))),"Undecided",IF(OR(ISNUMBER(SEARCH("reject",LOWER(AF335))),ISNUMBER(SEARCH("SBI",AF335))),"Rejected Elsewhere",IF(ISNUMBER(SEARCH("call",LOWER(AF335))),"Bank Communication",IF(OR(ISNUMBER(SEARCH("father",LOWER(AF335))),ISNUMBER(SEARCH("sister",LOWER(AF335)))),"Family / Dependency","Other"))))))))))</f>
        <v/>
      </c>
      <c r="AH335">
        <f>IF(A335="","",'01_Master_Data'!AC335)</f>
        <v/>
      </c>
      <c r="AI335">
        <f>IF(A335="","",IF(OR(AH335="",NOT(ISNUMBER(AH335))),"",MAX(0,'02_Configuration'!$B$82-AH335)))</f>
        <v/>
      </c>
      <c r="AJ335">
        <f>IF(A335="","",IF(AI335="","Unknown",IF(AI335&lt;=3,"0–3 Days",IF(AI335&lt;=7,"4–7 Days",IF(AI335&lt;=15,"8–15 Days",IF(AI335&lt;=30,"16–30 Days","30+ Days"))))))</f>
        <v/>
      </c>
      <c r="AK335">
        <f>IF(A335="","",IF(LOWER(H335)="yes","Yes","No"))</f>
        <v/>
      </c>
      <c r="AL335">
        <f>IF(A335="","",'01_Master_Data'!T335)</f>
        <v/>
      </c>
      <c r="AM335">
        <f>IF(A335="","",'01_Master_Data'!S335)</f>
        <v/>
      </c>
      <c r="AN335">
        <f>IF(A335="","",'01_Master_Data'!I335)</f>
        <v/>
      </c>
      <c r="AO335">
        <f>IF(A335="","",'01_Master_Data'!M335)</f>
        <v/>
      </c>
      <c r="AP335">
        <f>IF(A335="","",IF(ISNUMBER(SEARCH("Icici",W335&amp;"")),1,0))</f>
        <v/>
      </c>
      <c r="AQ335">
        <f>IF(A335="","",IF(ISNUMBER(SEARCH("Propelld",W335&amp;"")),1,0))</f>
        <v/>
      </c>
      <c r="AR335">
        <f>IF(A335="","",IF(ISNUMBER(SEARCH("GyanDhan",W335&amp;"")),1,0))</f>
        <v/>
      </c>
      <c r="AS335">
        <f>IF(A335="","",IF(ISNUMBER(SEARCH("vidyalakshmi",LOWER(W335&amp;""))),1,0))</f>
        <v/>
      </c>
      <c r="AT335">
        <f>IF(A335="","",IF(ISNUMBER(SEARCH("other bank",LOWER(W335&amp;""))),1,0))</f>
        <v/>
      </c>
      <c r="AU335">
        <f>IF(A335="","",IF(ISNUMBER(SEARCH("sanctioned",LOWER(W335&amp;""))),1,0))</f>
        <v/>
      </c>
      <c r="AV335">
        <f>IF(A335="","",IF(ISNUMBER(SEARCH("Docs Pending",W335&amp;"")),1,0))</f>
        <v/>
      </c>
      <c r="AW335">
        <f>IF(A335="","",IF(OR(X335="Rejected",ISNUMBER(SEARCH("Not eligbile",W335&amp;""))),1,0))</f>
        <v/>
      </c>
    </row>
    <row r="336">
      <c r="A336">
        <f>IF('01_Master_Data'!B336="","",335)</f>
        <v/>
      </c>
      <c r="B336">
        <f>IF('01_Master_Data'!B336="","",IF('01_Master_Data'!C336&lt;&gt;"","MOB|"&amp;TEXT('01_Master_Data'!C336,"0"),IF('01_Master_Data'!D336&lt;&gt;"","PID|"&amp;TRIM('01_Master_Data'!D336&amp;""),"")))</f>
        <v/>
      </c>
      <c r="C336">
        <f>IF('01_Master_Data'!B336="","",'01_Master_Data'!B336)</f>
        <v/>
      </c>
      <c r="D336">
        <f>IF('01_Master_Data'!B336="","",'01_Master_Data'!C336)</f>
        <v/>
      </c>
      <c r="E336">
        <f>IF('01_Master_Data'!B336="","",'01_Master_Data'!D336)</f>
        <v/>
      </c>
      <c r="F336">
        <f>IF('01_Master_Data'!B336="","",'01_Master_Data'!E336)</f>
        <v/>
      </c>
      <c r="G336">
        <f>IF('01_Master_Data'!B336="","",IFERROR(VLOOKUP(TRIM('01_Master_Data'!E336&amp;""),'02_Configuration'!$A$40:$B$44,2,FALSE),UPPER(TRIM('01_Master_Data'!E336&amp;""))))</f>
        <v/>
      </c>
      <c r="H336">
        <f>IF('01_Master_Data'!B336="","",IF('01_Master_Data'!U336="","",TRIM('01_Master_Data'!U336&amp;"")))</f>
        <v/>
      </c>
      <c r="I336">
        <f>IF('01_Master_Data'!B336="","",TRIM('01_Master_Data'!F336&amp;""))</f>
        <v/>
      </c>
      <c r="J336">
        <f>IF('01_Master_Data'!B336="","",TRIM('01_Master_Data'!G336&amp;""))</f>
        <v/>
      </c>
      <c r="K336">
        <f>IF('01_Master_Data'!B336="","",'01_Master_Data'!H336)</f>
        <v/>
      </c>
      <c r="L336">
        <f>IF('01_Master_Data'!B336="","",IF(LOWER(TRIM('01_Master_Data'!V336&amp;""))="yes",1,0))</f>
        <v/>
      </c>
      <c r="M336">
        <f>IF('01_Master_Data'!B336="","",IF(LOWER(TRIM('01_Master_Data'!W336&amp;""))="yes",1,0))</f>
        <v/>
      </c>
      <c r="N336">
        <f>IF('01_Master_Data'!B336="","",IF(LOWER(TRIM('01_Master_Data'!X336&amp;""))="yes",1,0))</f>
        <v/>
      </c>
      <c r="O336">
        <f>IF('01_Master_Data'!B336="","",IF(LOWER(TRIM('01_Master_Data'!Y336&amp;""))="yes",1,0))</f>
        <v/>
      </c>
      <c r="P336">
        <f>IF('01_Master_Data'!B336="","",IF(LOWER(TRIM('01_Master_Data'!Z336&amp;""))="yes",1,0))</f>
        <v/>
      </c>
      <c r="Q336">
        <f>IF(A336="","",L336+M336+N336+O336+P336)</f>
        <v/>
      </c>
      <c r="R336">
        <f>IF(A336="","",IF(Q336&gt;1,"Yes","No"))</f>
        <v/>
      </c>
      <c r="S336">
        <f>IF(A336="","",TEXTJOIN(", ",TRUE,IF(L336=1,"ICICI",""),IF(M336=1,"Propelld",""),IF(N336=1,"Study4Buddy",""),IF(O336=1,"Poonawala Fincorp",""),IF(P336=1,"GyanDhan","")))</f>
        <v/>
      </c>
      <c r="T336">
        <f>IF(A336="","",IF(L336=1,"ICICI",IF(M336=1,"Propelld",IF(P336=1,"GyanDhan",IF(N336=1,"Study4Buddy",IF(O336=1,"Poonawala Fincorp",IF(ISNUMBER(SEARCH("GyanDhan",W336&amp;"")),"GyanDhan",IF(ISNUMBER(SEARCH("Icici",W336&amp;"")),"ICICI",IF(ISNUMBER(SEARCH("Propelld",W336&amp;"")),"Propelld",IF(ISNUMBER(SEARCH("vidyalakshmi",LOWER(W336&amp;"")),"PM Vidyalakshmi","—"))))))))))</f>
        <v/>
      </c>
      <c r="U336">
        <f>IF(A336="","",TRIM('01_Master_Data'!AA336&amp;""))</f>
        <v/>
      </c>
      <c r="V336">
        <f>IF(A336="","",TRIM('01_Master_Data'!AG336&amp;""))</f>
        <v/>
      </c>
      <c r="W336">
        <f>IF(A336="","",TRIM('01_Master_Data'!AH336&amp;""))</f>
        <v/>
      </c>
      <c r="X336">
        <f>IF(A336="","",IF(OR(LOWER(H336)="refund",LOWER(U336)="refund case"),"Refund",IF(OR(LOWER(H336)="dnp",LOWER(U336)="dnp"),"DNP",IF(OR(LOWER(V336)="disbursed",ISNUMBER(SEARCH("Disbursed",W336&amp;""))),"Disbursed",IF(OR(LOWER(V336)="loan proccessed/accepted",ISNUMBER(SEARCH("sanctioned",LOWER(W336&amp;"")))),"Sanctioned",IF(OR(LOWER(V336)="rejected",ISNUMBER(SEARCH("Not eligbile",W336&amp;"")),ISNUMBER(SEARCH("Not eligible",W336&amp;""))),"Rejected",IF(ISNUMBER(SEARCH("Docs Pending",W336&amp;"")),"Documents Pending",IF(AND(LOWER(H336)="yes",LOWER(V336)="ongoing"),"Processing",IF(AND(LOWER(H336)="yes",Q336&gt;0,OR(V336="",LOWER(V336)="not even started")),"Vendor Assigned",IF(AND(LOWER(H336)="yes",LOWER(V336)="not even started"),"Need Loan",IF(LOWER(H336)="yes","Loan Started",IF(LOWER(H336)="not sure","Interested",IF(OR(LOWER(H336)="no",LOWER(V336)="not required"),"Not Required","Unclassified")))))))))))))</f>
        <v/>
      </c>
      <c r="Y336">
        <f>IF(A336="","",IF(OR(X336="Sanctioned",X336="Disbursed",X336="Approved"),"Approved",IF(X336="Rejected","Rejected",IF(OR(X336="Processing",X336="Documents Pending",X336="Vendor Assigned"),"In Progress",IF(X336="Need Loan","Pending Start","—"))))</f>
        <v/>
      </c>
      <c r="Z336">
        <f>IF(A336="","",IF(X336="Disbursed","Disbursed",IF(X336="Sanctioned","Sanctioned - Awaiting Disbursement","Not Disbursed")))</f>
        <v/>
      </c>
      <c r="AA336">
        <f>IF(A336="","",IF(LOWER(TRIM('01_Master_Data'!AI336&amp;""))="yes","Need FLDG",IF(LOWER(TRIM('01_Master_Data'!AK336&amp;""))="yes","Need Vidyalakshmi",IF(LOWER(TRIM('01_Master_Data'!AJ336&amp;""))="yes","Need Review",IF(LOWER(J336)="critical","Critical",IF(LOWER(U336)="risk","Risk Case",IF(X336="Refund","Refund","Normal")))))))</f>
        <v/>
      </c>
      <c r="AB336">
        <f>IF(A336="","",IF(OR(LOWER(J336)="critical",LOWER(TRIM('01_Master_Data'!AI336&amp;""))="yes",LOWER(TRIM('01_Master_Data'!AK336&amp;""))="yes",LOWER(U336)="risk"),"Yes","No"))</f>
        <v/>
      </c>
      <c r="AC336">
        <f>IF(A336="","",IF(LOWER(TRIM('01_Master_Data'!AI336&amp;""))="yes","Yes","No"))</f>
        <v/>
      </c>
      <c r="AD336">
        <f>IF(A336="","",IF(LOWER(TRIM('01_Master_Data'!AK336&amp;""))="yes","Yes","No"))</f>
        <v/>
      </c>
      <c r="AE336">
        <f>IF(A336="","",IF(LOWER(TRIM('01_Master_Data'!AJ336&amp;""))="yes","Yes","No"))</f>
        <v/>
      </c>
      <c r="AF336">
        <f>IF(A336="","",TRIM('01_Master_Data'!AL336&amp;""))</f>
        <v/>
      </c>
      <c r="AG336">
        <f>IF(A336="","",IF(AF336="","—",IF(ISNUMBER(SEARCH("DNP",AF336)),"Unreachable / DNP",IF(ISNUMBER(SEARCH("interest",LOWER(AF336))),"High Interest / Terms",IF(OR(ISNUMBER(SEARCH("eligib",LOWER(AF336))),ISNUMBER(SEARCH("income",LOWER(AF336)))),"Eligibility / Income",IF(OR(ISNUMBER(SEARCH("start",LOWER(AF336))),ISNUMBER(SEARCH("Newer",AF336)),ISNUMBER(SEARCH("Will start",AF336))),"Process Yet to Start",IF(ISNUMBER(SEARCH("sure",LOWER(AF336))),"Undecided",IF(OR(ISNUMBER(SEARCH("reject",LOWER(AF336))),ISNUMBER(SEARCH("SBI",AF336))),"Rejected Elsewhere",IF(ISNUMBER(SEARCH("call",LOWER(AF336))),"Bank Communication",IF(OR(ISNUMBER(SEARCH("father",LOWER(AF336))),ISNUMBER(SEARCH("sister",LOWER(AF336)))),"Family / Dependency","Other"))))))))))</f>
        <v/>
      </c>
      <c r="AH336">
        <f>IF(A336="","",'01_Master_Data'!AC336)</f>
        <v/>
      </c>
      <c r="AI336">
        <f>IF(A336="","",IF(OR(AH336="",NOT(ISNUMBER(AH336))),"",MAX(0,'02_Configuration'!$B$82-AH336)))</f>
        <v/>
      </c>
      <c r="AJ336">
        <f>IF(A336="","",IF(AI336="","Unknown",IF(AI336&lt;=3,"0–3 Days",IF(AI336&lt;=7,"4–7 Days",IF(AI336&lt;=15,"8–15 Days",IF(AI336&lt;=30,"16–30 Days","30+ Days"))))))</f>
        <v/>
      </c>
      <c r="AK336">
        <f>IF(A336="","",IF(LOWER(H336)="yes","Yes","No"))</f>
        <v/>
      </c>
      <c r="AL336">
        <f>IF(A336="","",'01_Master_Data'!T336)</f>
        <v/>
      </c>
      <c r="AM336">
        <f>IF(A336="","",'01_Master_Data'!S336)</f>
        <v/>
      </c>
      <c r="AN336">
        <f>IF(A336="","",'01_Master_Data'!I336)</f>
        <v/>
      </c>
      <c r="AO336">
        <f>IF(A336="","",'01_Master_Data'!M336)</f>
        <v/>
      </c>
      <c r="AP336">
        <f>IF(A336="","",IF(ISNUMBER(SEARCH("Icici",W336&amp;"")),1,0))</f>
        <v/>
      </c>
      <c r="AQ336">
        <f>IF(A336="","",IF(ISNUMBER(SEARCH("Propelld",W336&amp;"")),1,0))</f>
        <v/>
      </c>
      <c r="AR336">
        <f>IF(A336="","",IF(ISNUMBER(SEARCH("GyanDhan",W336&amp;"")),1,0))</f>
        <v/>
      </c>
      <c r="AS336">
        <f>IF(A336="","",IF(ISNUMBER(SEARCH("vidyalakshmi",LOWER(W336&amp;""))),1,0))</f>
        <v/>
      </c>
      <c r="AT336">
        <f>IF(A336="","",IF(ISNUMBER(SEARCH("other bank",LOWER(W336&amp;""))),1,0))</f>
        <v/>
      </c>
      <c r="AU336">
        <f>IF(A336="","",IF(ISNUMBER(SEARCH("sanctioned",LOWER(W336&amp;""))),1,0))</f>
        <v/>
      </c>
      <c r="AV336">
        <f>IF(A336="","",IF(ISNUMBER(SEARCH("Docs Pending",W336&amp;"")),1,0))</f>
        <v/>
      </c>
      <c r="AW336">
        <f>IF(A336="","",IF(OR(X336="Rejected",ISNUMBER(SEARCH("Not eligbile",W336&amp;""))),1,0))</f>
        <v/>
      </c>
    </row>
    <row r="337">
      <c r="A337">
        <f>IF('01_Master_Data'!B337="","",336)</f>
        <v/>
      </c>
      <c r="B337">
        <f>IF('01_Master_Data'!B337="","",IF('01_Master_Data'!C337&lt;&gt;"","MOB|"&amp;TEXT('01_Master_Data'!C337,"0"),IF('01_Master_Data'!D337&lt;&gt;"","PID|"&amp;TRIM('01_Master_Data'!D337&amp;""),"")))</f>
        <v/>
      </c>
      <c r="C337">
        <f>IF('01_Master_Data'!B337="","",'01_Master_Data'!B337)</f>
        <v/>
      </c>
      <c r="D337">
        <f>IF('01_Master_Data'!B337="","",'01_Master_Data'!C337)</f>
        <v/>
      </c>
      <c r="E337">
        <f>IF('01_Master_Data'!B337="","",'01_Master_Data'!D337)</f>
        <v/>
      </c>
      <c r="F337">
        <f>IF('01_Master_Data'!B337="","",'01_Master_Data'!E337)</f>
        <v/>
      </c>
      <c r="G337">
        <f>IF('01_Master_Data'!B337="","",IFERROR(VLOOKUP(TRIM('01_Master_Data'!E337&amp;""),'02_Configuration'!$A$40:$B$44,2,FALSE),UPPER(TRIM('01_Master_Data'!E337&amp;""))))</f>
        <v/>
      </c>
      <c r="H337">
        <f>IF('01_Master_Data'!B337="","",IF('01_Master_Data'!U337="","",TRIM('01_Master_Data'!U337&amp;"")))</f>
        <v/>
      </c>
      <c r="I337">
        <f>IF('01_Master_Data'!B337="","",TRIM('01_Master_Data'!F337&amp;""))</f>
        <v/>
      </c>
      <c r="J337">
        <f>IF('01_Master_Data'!B337="","",TRIM('01_Master_Data'!G337&amp;""))</f>
        <v/>
      </c>
      <c r="K337">
        <f>IF('01_Master_Data'!B337="","",'01_Master_Data'!H337)</f>
        <v/>
      </c>
      <c r="L337">
        <f>IF('01_Master_Data'!B337="","",IF(LOWER(TRIM('01_Master_Data'!V337&amp;""))="yes",1,0))</f>
        <v/>
      </c>
      <c r="M337">
        <f>IF('01_Master_Data'!B337="","",IF(LOWER(TRIM('01_Master_Data'!W337&amp;""))="yes",1,0))</f>
        <v/>
      </c>
      <c r="N337">
        <f>IF('01_Master_Data'!B337="","",IF(LOWER(TRIM('01_Master_Data'!X337&amp;""))="yes",1,0))</f>
        <v/>
      </c>
      <c r="O337">
        <f>IF('01_Master_Data'!B337="","",IF(LOWER(TRIM('01_Master_Data'!Y337&amp;""))="yes",1,0))</f>
        <v/>
      </c>
      <c r="P337">
        <f>IF('01_Master_Data'!B337="","",IF(LOWER(TRIM('01_Master_Data'!Z337&amp;""))="yes",1,0))</f>
        <v/>
      </c>
      <c r="Q337">
        <f>IF(A337="","",L337+M337+N337+O337+P337)</f>
        <v/>
      </c>
      <c r="R337">
        <f>IF(A337="","",IF(Q337&gt;1,"Yes","No"))</f>
        <v/>
      </c>
      <c r="S337">
        <f>IF(A337="","",TEXTJOIN(", ",TRUE,IF(L337=1,"ICICI",""),IF(M337=1,"Propelld",""),IF(N337=1,"Study4Buddy",""),IF(O337=1,"Poonawala Fincorp",""),IF(P337=1,"GyanDhan","")))</f>
        <v/>
      </c>
      <c r="T337">
        <f>IF(A337="","",IF(L337=1,"ICICI",IF(M337=1,"Propelld",IF(P337=1,"GyanDhan",IF(N337=1,"Study4Buddy",IF(O337=1,"Poonawala Fincorp",IF(ISNUMBER(SEARCH("GyanDhan",W337&amp;"")),"GyanDhan",IF(ISNUMBER(SEARCH("Icici",W337&amp;"")),"ICICI",IF(ISNUMBER(SEARCH("Propelld",W337&amp;"")),"Propelld",IF(ISNUMBER(SEARCH("vidyalakshmi",LOWER(W337&amp;"")),"PM Vidyalakshmi","—"))))))))))</f>
        <v/>
      </c>
      <c r="U337">
        <f>IF(A337="","",TRIM('01_Master_Data'!AA337&amp;""))</f>
        <v/>
      </c>
      <c r="V337">
        <f>IF(A337="","",TRIM('01_Master_Data'!AG337&amp;""))</f>
        <v/>
      </c>
      <c r="W337">
        <f>IF(A337="","",TRIM('01_Master_Data'!AH337&amp;""))</f>
        <v/>
      </c>
      <c r="X337">
        <f>IF(A337="","",IF(OR(LOWER(H337)="refund",LOWER(U337)="refund case"),"Refund",IF(OR(LOWER(H337)="dnp",LOWER(U337)="dnp"),"DNP",IF(OR(LOWER(V337)="disbursed",ISNUMBER(SEARCH("Disbursed",W337&amp;""))),"Disbursed",IF(OR(LOWER(V337)="loan proccessed/accepted",ISNUMBER(SEARCH("sanctioned",LOWER(W337&amp;"")))),"Sanctioned",IF(OR(LOWER(V337)="rejected",ISNUMBER(SEARCH("Not eligbile",W337&amp;"")),ISNUMBER(SEARCH("Not eligible",W337&amp;""))),"Rejected",IF(ISNUMBER(SEARCH("Docs Pending",W337&amp;"")),"Documents Pending",IF(AND(LOWER(H337)="yes",LOWER(V337)="ongoing"),"Processing",IF(AND(LOWER(H337)="yes",Q337&gt;0,OR(V337="",LOWER(V337)="not even started")),"Vendor Assigned",IF(AND(LOWER(H337)="yes",LOWER(V337)="not even started"),"Need Loan",IF(LOWER(H337)="yes","Loan Started",IF(LOWER(H337)="not sure","Interested",IF(OR(LOWER(H337)="no",LOWER(V337)="not required"),"Not Required","Unclassified")))))))))))))</f>
        <v/>
      </c>
      <c r="Y337">
        <f>IF(A337="","",IF(OR(X337="Sanctioned",X337="Disbursed",X337="Approved"),"Approved",IF(X337="Rejected","Rejected",IF(OR(X337="Processing",X337="Documents Pending",X337="Vendor Assigned"),"In Progress",IF(X337="Need Loan","Pending Start","—"))))</f>
        <v/>
      </c>
      <c r="Z337">
        <f>IF(A337="","",IF(X337="Disbursed","Disbursed",IF(X337="Sanctioned","Sanctioned - Awaiting Disbursement","Not Disbursed")))</f>
        <v/>
      </c>
      <c r="AA337">
        <f>IF(A337="","",IF(LOWER(TRIM('01_Master_Data'!AI337&amp;""))="yes","Need FLDG",IF(LOWER(TRIM('01_Master_Data'!AK337&amp;""))="yes","Need Vidyalakshmi",IF(LOWER(TRIM('01_Master_Data'!AJ337&amp;""))="yes","Need Review",IF(LOWER(J337)="critical","Critical",IF(LOWER(U337)="risk","Risk Case",IF(X337="Refund","Refund","Normal")))))))</f>
        <v/>
      </c>
      <c r="AB337">
        <f>IF(A337="","",IF(OR(LOWER(J337)="critical",LOWER(TRIM('01_Master_Data'!AI337&amp;""))="yes",LOWER(TRIM('01_Master_Data'!AK337&amp;""))="yes",LOWER(U337)="risk"),"Yes","No"))</f>
        <v/>
      </c>
      <c r="AC337">
        <f>IF(A337="","",IF(LOWER(TRIM('01_Master_Data'!AI337&amp;""))="yes","Yes","No"))</f>
        <v/>
      </c>
      <c r="AD337">
        <f>IF(A337="","",IF(LOWER(TRIM('01_Master_Data'!AK337&amp;""))="yes","Yes","No"))</f>
        <v/>
      </c>
      <c r="AE337">
        <f>IF(A337="","",IF(LOWER(TRIM('01_Master_Data'!AJ337&amp;""))="yes","Yes","No"))</f>
        <v/>
      </c>
      <c r="AF337">
        <f>IF(A337="","",TRIM('01_Master_Data'!AL337&amp;""))</f>
        <v/>
      </c>
      <c r="AG337">
        <f>IF(A337="","",IF(AF337="","—",IF(ISNUMBER(SEARCH("DNP",AF337)),"Unreachable / DNP",IF(ISNUMBER(SEARCH("interest",LOWER(AF337))),"High Interest / Terms",IF(OR(ISNUMBER(SEARCH("eligib",LOWER(AF337))),ISNUMBER(SEARCH("income",LOWER(AF337)))),"Eligibility / Income",IF(OR(ISNUMBER(SEARCH("start",LOWER(AF337))),ISNUMBER(SEARCH("Newer",AF337)),ISNUMBER(SEARCH("Will start",AF337))),"Process Yet to Start",IF(ISNUMBER(SEARCH("sure",LOWER(AF337))),"Undecided",IF(OR(ISNUMBER(SEARCH("reject",LOWER(AF337))),ISNUMBER(SEARCH("SBI",AF337))),"Rejected Elsewhere",IF(ISNUMBER(SEARCH("call",LOWER(AF337))),"Bank Communication",IF(OR(ISNUMBER(SEARCH("father",LOWER(AF337))),ISNUMBER(SEARCH("sister",LOWER(AF337)))),"Family / Dependency","Other"))))))))))</f>
        <v/>
      </c>
      <c r="AH337">
        <f>IF(A337="","",'01_Master_Data'!AC337)</f>
        <v/>
      </c>
      <c r="AI337">
        <f>IF(A337="","",IF(OR(AH337="",NOT(ISNUMBER(AH337))),"",MAX(0,'02_Configuration'!$B$82-AH337)))</f>
        <v/>
      </c>
      <c r="AJ337">
        <f>IF(A337="","",IF(AI337="","Unknown",IF(AI337&lt;=3,"0–3 Days",IF(AI337&lt;=7,"4–7 Days",IF(AI337&lt;=15,"8–15 Days",IF(AI337&lt;=30,"16–30 Days","30+ Days"))))))</f>
        <v/>
      </c>
      <c r="AK337">
        <f>IF(A337="","",IF(LOWER(H337)="yes","Yes","No"))</f>
        <v/>
      </c>
      <c r="AL337">
        <f>IF(A337="","",'01_Master_Data'!T337)</f>
        <v/>
      </c>
      <c r="AM337">
        <f>IF(A337="","",'01_Master_Data'!S337)</f>
        <v/>
      </c>
      <c r="AN337">
        <f>IF(A337="","",'01_Master_Data'!I337)</f>
        <v/>
      </c>
      <c r="AO337">
        <f>IF(A337="","",'01_Master_Data'!M337)</f>
        <v/>
      </c>
      <c r="AP337">
        <f>IF(A337="","",IF(ISNUMBER(SEARCH("Icici",W337&amp;"")),1,0))</f>
        <v/>
      </c>
      <c r="AQ337">
        <f>IF(A337="","",IF(ISNUMBER(SEARCH("Propelld",W337&amp;"")),1,0))</f>
        <v/>
      </c>
      <c r="AR337">
        <f>IF(A337="","",IF(ISNUMBER(SEARCH("GyanDhan",W337&amp;"")),1,0))</f>
        <v/>
      </c>
      <c r="AS337">
        <f>IF(A337="","",IF(ISNUMBER(SEARCH("vidyalakshmi",LOWER(W337&amp;""))),1,0))</f>
        <v/>
      </c>
      <c r="AT337">
        <f>IF(A337="","",IF(ISNUMBER(SEARCH("other bank",LOWER(W337&amp;""))),1,0))</f>
        <v/>
      </c>
      <c r="AU337">
        <f>IF(A337="","",IF(ISNUMBER(SEARCH("sanctioned",LOWER(W337&amp;""))),1,0))</f>
        <v/>
      </c>
      <c r="AV337">
        <f>IF(A337="","",IF(ISNUMBER(SEARCH("Docs Pending",W337&amp;"")),1,0))</f>
        <v/>
      </c>
      <c r="AW337">
        <f>IF(A337="","",IF(OR(X337="Rejected",ISNUMBER(SEARCH("Not eligbile",W337&amp;""))),1,0))</f>
        <v/>
      </c>
    </row>
    <row r="338">
      <c r="A338">
        <f>IF('01_Master_Data'!B338="","",337)</f>
        <v/>
      </c>
      <c r="B338">
        <f>IF('01_Master_Data'!B338="","",IF('01_Master_Data'!C338&lt;&gt;"","MOB|"&amp;TEXT('01_Master_Data'!C338,"0"),IF('01_Master_Data'!D338&lt;&gt;"","PID|"&amp;TRIM('01_Master_Data'!D338&amp;""),"")))</f>
        <v/>
      </c>
      <c r="C338">
        <f>IF('01_Master_Data'!B338="","",'01_Master_Data'!B338)</f>
        <v/>
      </c>
      <c r="D338">
        <f>IF('01_Master_Data'!B338="","",'01_Master_Data'!C338)</f>
        <v/>
      </c>
      <c r="E338">
        <f>IF('01_Master_Data'!B338="","",'01_Master_Data'!D338)</f>
        <v/>
      </c>
      <c r="F338">
        <f>IF('01_Master_Data'!B338="","",'01_Master_Data'!E338)</f>
        <v/>
      </c>
      <c r="G338">
        <f>IF('01_Master_Data'!B338="","",IFERROR(VLOOKUP(TRIM('01_Master_Data'!E338&amp;""),'02_Configuration'!$A$40:$B$44,2,FALSE),UPPER(TRIM('01_Master_Data'!E338&amp;""))))</f>
        <v/>
      </c>
      <c r="H338">
        <f>IF('01_Master_Data'!B338="","",IF('01_Master_Data'!U338="","",TRIM('01_Master_Data'!U338&amp;"")))</f>
        <v/>
      </c>
      <c r="I338">
        <f>IF('01_Master_Data'!B338="","",TRIM('01_Master_Data'!F338&amp;""))</f>
        <v/>
      </c>
      <c r="J338">
        <f>IF('01_Master_Data'!B338="","",TRIM('01_Master_Data'!G338&amp;""))</f>
        <v/>
      </c>
      <c r="K338">
        <f>IF('01_Master_Data'!B338="","",'01_Master_Data'!H338)</f>
        <v/>
      </c>
      <c r="L338">
        <f>IF('01_Master_Data'!B338="","",IF(LOWER(TRIM('01_Master_Data'!V338&amp;""))="yes",1,0))</f>
        <v/>
      </c>
      <c r="M338">
        <f>IF('01_Master_Data'!B338="","",IF(LOWER(TRIM('01_Master_Data'!W338&amp;""))="yes",1,0))</f>
        <v/>
      </c>
      <c r="N338">
        <f>IF('01_Master_Data'!B338="","",IF(LOWER(TRIM('01_Master_Data'!X338&amp;""))="yes",1,0))</f>
        <v/>
      </c>
      <c r="O338">
        <f>IF('01_Master_Data'!B338="","",IF(LOWER(TRIM('01_Master_Data'!Y338&amp;""))="yes",1,0))</f>
        <v/>
      </c>
      <c r="P338">
        <f>IF('01_Master_Data'!B338="","",IF(LOWER(TRIM('01_Master_Data'!Z338&amp;""))="yes",1,0))</f>
        <v/>
      </c>
      <c r="Q338">
        <f>IF(A338="","",L338+M338+N338+O338+P338)</f>
        <v/>
      </c>
      <c r="R338">
        <f>IF(A338="","",IF(Q338&gt;1,"Yes","No"))</f>
        <v/>
      </c>
      <c r="S338">
        <f>IF(A338="","",TEXTJOIN(", ",TRUE,IF(L338=1,"ICICI",""),IF(M338=1,"Propelld",""),IF(N338=1,"Study4Buddy",""),IF(O338=1,"Poonawala Fincorp",""),IF(P338=1,"GyanDhan","")))</f>
        <v/>
      </c>
      <c r="T338">
        <f>IF(A338="","",IF(L338=1,"ICICI",IF(M338=1,"Propelld",IF(P338=1,"GyanDhan",IF(N338=1,"Study4Buddy",IF(O338=1,"Poonawala Fincorp",IF(ISNUMBER(SEARCH("GyanDhan",W338&amp;"")),"GyanDhan",IF(ISNUMBER(SEARCH("Icici",W338&amp;"")),"ICICI",IF(ISNUMBER(SEARCH("Propelld",W338&amp;"")),"Propelld",IF(ISNUMBER(SEARCH("vidyalakshmi",LOWER(W338&amp;"")),"PM Vidyalakshmi","—"))))))))))</f>
        <v/>
      </c>
      <c r="U338">
        <f>IF(A338="","",TRIM('01_Master_Data'!AA338&amp;""))</f>
        <v/>
      </c>
      <c r="V338">
        <f>IF(A338="","",TRIM('01_Master_Data'!AG338&amp;""))</f>
        <v/>
      </c>
      <c r="W338">
        <f>IF(A338="","",TRIM('01_Master_Data'!AH338&amp;""))</f>
        <v/>
      </c>
      <c r="X338">
        <f>IF(A338="","",IF(OR(LOWER(H338)="refund",LOWER(U338)="refund case"),"Refund",IF(OR(LOWER(H338)="dnp",LOWER(U338)="dnp"),"DNP",IF(OR(LOWER(V338)="disbursed",ISNUMBER(SEARCH("Disbursed",W338&amp;""))),"Disbursed",IF(OR(LOWER(V338)="loan proccessed/accepted",ISNUMBER(SEARCH("sanctioned",LOWER(W338&amp;"")))),"Sanctioned",IF(OR(LOWER(V338)="rejected",ISNUMBER(SEARCH("Not eligbile",W338&amp;"")),ISNUMBER(SEARCH("Not eligible",W338&amp;""))),"Rejected",IF(ISNUMBER(SEARCH("Docs Pending",W338&amp;"")),"Documents Pending",IF(AND(LOWER(H338)="yes",LOWER(V338)="ongoing"),"Processing",IF(AND(LOWER(H338)="yes",Q338&gt;0,OR(V338="",LOWER(V338)="not even started")),"Vendor Assigned",IF(AND(LOWER(H338)="yes",LOWER(V338)="not even started"),"Need Loan",IF(LOWER(H338)="yes","Loan Started",IF(LOWER(H338)="not sure","Interested",IF(OR(LOWER(H338)="no",LOWER(V338)="not required"),"Not Required","Unclassified")))))))))))))</f>
        <v/>
      </c>
      <c r="Y338">
        <f>IF(A338="","",IF(OR(X338="Sanctioned",X338="Disbursed",X338="Approved"),"Approved",IF(X338="Rejected","Rejected",IF(OR(X338="Processing",X338="Documents Pending",X338="Vendor Assigned"),"In Progress",IF(X338="Need Loan","Pending Start","—"))))</f>
        <v/>
      </c>
      <c r="Z338">
        <f>IF(A338="","",IF(X338="Disbursed","Disbursed",IF(X338="Sanctioned","Sanctioned - Awaiting Disbursement","Not Disbursed")))</f>
        <v/>
      </c>
      <c r="AA338">
        <f>IF(A338="","",IF(LOWER(TRIM('01_Master_Data'!AI338&amp;""))="yes","Need FLDG",IF(LOWER(TRIM('01_Master_Data'!AK338&amp;""))="yes","Need Vidyalakshmi",IF(LOWER(TRIM('01_Master_Data'!AJ338&amp;""))="yes","Need Review",IF(LOWER(J338)="critical","Critical",IF(LOWER(U338)="risk","Risk Case",IF(X338="Refund","Refund","Normal")))))))</f>
        <v/>
      </c>
      <c r="AB338">
        <f>IF(A338="","",IF(OR(LOWER(J338)="critical",LOWER(TRIM('01_Master_Data'!AI338&amp;""))="yes",LOWER(TRIM('01_Master_Data'!AK338&amp;""))="yes",LOWER(U338)="risk"),"Yes","No"))</f>
        <v/>
      </c>
      <c r="AC338">
        <f>IF(A338="","",IF(LOWER(TRIM('01_Master_Data'!AI338&amp;""))="yes","Yes","No"))</f>
        <v/>
      </c>
      <c r="AD338">
        <f>IF(A338="","",IF(LOWER(TRIM('01_Master_Data'!AK338&amp;""))="yes","Yes","No"))</f>
        <v/>
      </c>
      <c r="AE338">
        <f>IF(A338="","",IF(LOWER(TRIM('01_Master_Data'!AJ338&amp;""))="yes","Yes","No"))</f>
        <v/>
      </c>
      <c r="AF338">
        <f>IF(A338="","",TRIM('01_Master_Data'!AL338&amp;""))</f>
        <v/>
      </c>
      <c r="AG338">
        <f>IF(A338="","",IF(AF338="","—",IF(ISNUMBER(SEARCH("DNP",AF338)),"Unreachable / DNP",IF(ISNUMBER(SEARCH("interest",LOWER(AF338))),"High Interest / Terms",IF(OR(ISNUMBER(SEARCH("eligib",LOWER(AF338))),ISNUMBER(SEARCH("income",LOWER(AF338)))),"Eligibility / Income",IF(OR(ISNUMBER(SEARCH("start",LOWER(AF338))),ISNUMBER(SEARCH("Newer",AF338)),ISNUMBER(SEARCH("Will start",AF338))),"Process Yet to Start",IF(ISNUMBER(SEARCH("sure",LOWER(AF338))),"Undecided",IF(OR(ISNUMBER(SEARCH("reject",LOWER(AF338))),ISNUMBER(SEARCH("SBI",AF338))),"Rejected Elsewhere",IF(ISNUMBER(SEARCH("call",LOWER(AF338))),"Bank Communication",IF(OR(ISNUMBER(SEARCH("father",LOWER(AF338))),ISNUMBER(SEARCH("sister",LOWER(AF338)))),"Family / Dependency","Other"))))))))))</f>
        <v/>
      </c>
      <c r="AH338">
        <f>IF(A338="","",'01_Master_Data'!AC338)</f>
        <v/>
      </c>
      <c r="AI338">
        <f>IF(A338="","",IF(OR(AH338="",NOT(ISNUMBER(AH338))),"",MAX(0,'02_Configuration'!$B$82-AH338)))</f>
        <v/>
      </c>
      <c r="AJ338">
        <f>IF(A338="","",IF(AI338="","Unknown",IF(AI338&lt;=3,"0–3 Days",IF(AI338&lt;=7,"4–7 Days",IF(AI338&lt;=15,"8–15 Days",IF(AI338&lt;=30,"16–30 Days","30+ Days"))))))</f>
        <v/>
      </c>
      <c r="AK338">
        <f>IF(A338="","",IF(LOWER(H338)="yes","Yes","No"))</f>
        <v/>
      </c>
      <c r="AL338">
        <f>IF(A338="","",'01_Master_Data'!T338)</f>
        <v/>
      </c>
      <c r="AM338">
        <f>IF(A338="","",'01_Master_Data'!S338)</f>
        <v/>
      </c>
      <c r="AN338">
        <f>IF(A338="","",'01_Master_Data'!I338)</f>
        <v/>
      </c>
      <c r="AO338">
        <f>IF(A338="","",'01_Master_Data'!M338)</f>
        <v/>
      </c>
      <c r="AP338">
        <f>IF(A338="","",IF(ISNUMBER(SEARCH("Icici",W338&amp;"")),1,0))</f>
        <v/>
      </c>
      <c r="AQ338">
        <f>IF(A338="","",IF(ISNUMBER(SEARCH("Propelld",W338&amp;"")),1,0))</f>
        <v/>
      </c>
      <c r="AR338">
        <f>IF(A338="","",IF(ISNUMBER(SEARCH("GyanDhan",W338&amp;"")),1,0))</f>
        <v/>
      </c>
      <c r="AS338">
        <f>IF(A338="","",IF(ISNUMBER(SEARCH("vidyalakshmi",LOWER(W338&amp;""))),1,0))</f>
        <v/>
      </c>
      <c r="AT338">
        <f>IF(A338="","",IF(ISNUMBER(SEARCH("other bank",LOWER(W338&amp;""))),1,0))</f>
        <v/>
      </c>
      <c r="AU338">
        <f>IF(A338="","",IF(ISNUMBER(SEARCH("sanctioned",LOWER(W338&amp;""))),1,0))</f>
        <v/>
      </c>
      <c r="AV338">
        <f>IF(A338="","",IF(ISNUMBER(SEARCH("Docs Pending",W338&amp;"")),1,0))</f>
        <v/>
      </c>
      <c r="AW338">
        <f>IF(A338="","",IF(OR(X338="Rejected",ISNUMBER(SEARCH("Not eligbile",W338&amp;""))),1,0))</f>
        <v/>
      </c>
    </row>
    <row r="339">
      <c r="A339">
        <f>IF('01_Master_Data'!B339="","",338)</f>
        <v/>
      </c>
      <c r="B339">
        <f>IF('01_Master_Data'!B339="","",IF('01_Master_Data'!C339&lt;&gt;"","MOB|"&amp;TEXT('01_Master_Data'!C339,"0"),IF('01_Master_Data'!D339&lt;&gt;"","PID|"&amp;TRIM('01_Master_Data'!D339&amp;""),"")))</f>
        <v/>
      </c>
      <c r="C339">
        <f>IF('01_Master_Data'!B339="","",'01_Master_Data'!B339)</f>
        <v/>
      </c>
      <c r="D339">
        <f>IF('01_Master_Data'!B339="","",'01_Master_Data'!C339)</f>
        <v/>
      </c>
      <c r="E339">
        <f>IF('01_Master_Data'!B339="","",'01_Master_Data'!D339)</f>
        <v/>
      </c>
      <c r="F339">
        <f>IF('01_Master_Data'!B339="","",'01_Master_Data'!E339)</f>
        <v/>
      </c>
      <c r="G339">
        <f>IF('01_Master_Data'!B339="","",IFERROR(VLOOKUP(TRIM('01_Master_Data'!E339&amp;""),'02_Configuration'!$A$40:$B$44,2,FALSE),UPPER(TRIM('01_Master_Data'!E339&amp;""))))</f>
        <v/>
      </c>
      <c r="H339">
        <f>IF('01_Master_Data'!B339="","",IF('01_Master_Data'!U339="","",TRIM('01_Master_Data'!U339&amp;"")))</f>
        <v/>
      </c>
      <c r="I339">
        <f>IF('01_Master_Data'!B339="","",TRIM('01_Master_Data'!F339&amp;""))</f>
        <v/>
      </c>
      <c r="J339">
        <f>IF('01_Master_Data'!B339="","",TRIM('01_Master_Data'!G339&amp;""))</f>
        <v/>
      </c>
      <c r="K339">
        <f>IF('01_Master_Data'!B339="","",'01_Master_Data'!H339)</f>
        <v/>
      </c>
      <c r="L339">
        <f>IF('01_Master_Data'!B339="","",IF(LOWER(TRIM('01_Master_Data'!V339&amp;""))="yes",1,0))</f>
        <v/>
      </c>
      <c r="M339">
        <f>IF('01_Master_Data'!B339="","",IF(LOWER(TRIM('01_Master_Data'!W339&amp;""))="yes",1,0))</f>
        <v/>
      </c>
      <c r="N339">
        <f>IF('01_Master_Data'!B339="","",IF(LOWER(TRIM('01_Master_Data'!X339&amp;""))="yes",1,0))</f>
        <v/>
      </c>
      <c r="O339">
        <f>IF('01_Master_Data'!B339="","",IF(LOWER(TRIM('01_Master_Data'!Y339&amp;""))="yes",1,0))</f>
        <v/>
      </c>
      <c r="P339">
        <f>IF('01_Master_Data'!B339="","",IF(LOWER(TRIM('01_Master_Data'!Z339&amp;""))="yes",1,0))</f>
        <v/>
      </c>
      <c r="Q339">
        <f>IF(A339="","",L339+M339+N339+O339+P339)</f>
        <v/>
      </c>
      <c r="R339">
        <f>IF(A339="","",IF(Q339&gt;1,"Yes","No"))</f>
        <v/>
      </c>
      <c r="S339">
        <f>IF(A339="","",TEXTJOIN(", ",TRUE,IF(L339=1,"ICICI",""),IF(M339=1,"Propelld",""),IF(N339=1,"Study4Buddy",""),IF(O339=1,"Poonawala Fincorp",""),IF(P339=1,"GyanDhan","")))</f>
        <v/>
      </c>
      <c r="T339">
        <f>IF(A339="","",IF(L339=1,"ICICI",IF(M339=1,"Propelld",IF(P339=1,"GyanDhan",IF(N339=1,"Study4Buddy",IF(O339=1,"Poonawala Fincorp",IF(ISNUMBER(SEARCH("GyanDhan",W339&amp;"")),"GyanDhan",IF(ISNUMBER(SEARCH("Icici",W339&amp;"")),"ICICI",IF(ISNUMBER(SEARCH("Propelld",W339&amp;"")),"Propelld",IF(ISNUMBER(SEARCH("vidyalakshmi",LOWER(W339&amp;"")),"PM Vidyalakshmi","—"))))))))))</f>
        <v/>
      </c>
      <c r="U339">
        <f>IF(A339="","",TRIM('01_Master_Data'!AA339&amp;""))</f>
        <v/>
      </c>
      <c r="V339">
        <f>IF(A339="","",TRIM('01_Master_Data'!AG339&amp;""))</f>
        <v/>
      </c>
      <c r="W339">
        <f>IF(A339="","",TRIM('01_Master_Data'!AH339&amp;""))</f>
        <v/>
      </c>
      <c r="X339">
        <f>IF(A339="","",IF(OR(LOWER(H339)="refund",LOWER(U339)="refund case"),"Refund",IF(OR(LOWER(H339)="dnp",LOWER(U339)="dnp"),"DNP",IF(OR(LOWER(V339)="disbursed",ISNUMBER(SEARCH("Disbursed",W339&amp;""))),"Disbursed",IF(OR(LOWER(V339)="loan proccessed/accepted",ISNUMBER(SEARCH("sanctioned",LOWER(W339&amp;"")))),"Sanctioned",IF(OR(LOWER(V339)="rejected",ISNUMBER(SEARCH("Not eligbile",W339&amp;"")),ISNUMBER(SEARCH("Not eligible",W339&amp;""))),"Rejected",IF(ISNUMBER(SEARCH("Docs Pending",W339&amp;"")),"Documents Pending",IF(AND(LOWER(H339)="yes",LOWER(V339)="ongoing"),"Processing",IF(AND(LOWER(H339)="yes",Q339&gt;0,OR(V339="",LOWER(V339)="not even started")),"Vendor Assigned",IF(AND(LOWER(H339)="yes",LOWER(V339)="not even started"),"Need Loan",IF(LOWER(H339)="yes","Loan Started",IF(LOWER(H339)="not sure","Interested",IF(OR(LOWER(H339)="no",LOWER(V339)="not required"),"Not Required","Unclassified")))))))))))))</f>
        <v/>
      </c>
      <c r="Y339">
        <f>IF(A339="","",IF(OR(X339="Sanctioned",X339="Disbursed",X339="Approved"),"Approved",IF(X339="Rejected","Rejected",IF(OR(X339="Processing",X339="Documents Pending",X339="Vendor Assigned"),"In Progress",IF(X339="Need Loan","Pending Start","—"))))</f>
        <v/>
      </c>
      <c r="Z339">
        <f>IF(A339="","",IF(X339="Disbursed","Disbursed",IF(X339="Sanctioned","Sanctioned - Awaiting Disbursement","Not Disbursed")))</f>
        <v/>
      </c>
      <c r="AA339">
        <f>IF(A339="","",IF(LOWER(TRIM('01_Master_Data'!AI339&amp;""))="yes","Need FLDG",IF(LOWER(TRIM('01_Master_Data'!AK339&amp;""))="yes","Need Vidyalakshmi",IF(LOWER(TRIM('01_Master_Data'!AJ339&amp;""))="yes","Need Review",IF(LOWER(J339)="critical","Critical",IF(LOWER(U339)="risk","Risk Case",IF(X339="Refund","Refund","Normal")))))))</f>
        <v/>
      </c>
      <c r="AB339">
        <f>IF(A339="","",IF(OR(LOWER(J339)="critical",LOWER(TRIM('01_Master_Data'!AI339&amp;""))="yes",LOWER(TRIM('01_Master_Data'!AK339&amp;""))="yes",LOWER(U339)="risk"),"Yes","No"))</f>
        <v/>
      </c>
      <c r="AC339">
        <f>IF(A339="","",IF(LOWER(TRIM('01_Master_Data'!AI339&amp;""))="yes","Yes","No"))</f>
        <v/>
      </c>
      <c r="AD339">
        <f>IF(A339="","",IF(LOWER(TRIM('01_Master_Data'!AK339&amp;""))="yes","Yes","No"))</f>
        <v/>
      </c>
      <c r="AE339">
        <f>IF(A339="","",IF(LOWER(TRIM('01_Master_Data'!AJ339&amp;""))="yes","Yes","No"))</f>
        <v/>
      </c>
      <c r="AF339">
        <f>IF(A339="","",TRIM('01_Master_Data'!AL339&amp;""))</f>
        <v/>
      </c>
      <c r="AG339">
        <f>IF(A339="","",IF(AF339="","—",IF(ISNUMBER(SEARCH("DNP",AF339)),"Unreachable / DNP",IF(ISNUMBER(SEARCH("interest",LOWER(AF339))),"High Interest / Terms",IF(OR(ISNUMBER(SEARCH("eligib",LOWER(AF339))),ISNUMBER(SEARCH("income",LOWER(AF339)))),"Eligibility / Income",IF(OR(ISNUMBER(SEARCH("start",LOWER(AF339))),ISNUMBER(SEARCH("Newer",AF339)),ISNUMBER(SEARCH("Will start",AF339))),"Process Yet to Start",IF(ISNUMBER(SEARCH("sure",LOWER(AF339))),"Undecided",IF(OR(ISNUMBER(SEARCH("reject",LOWER(AF339))),ISNUMBER(SEARCH("SBI",AF339))),"Rejected Elsewhere",IF(ISNUMBER(SEARCH("call",LOWER(AF339))),"Bank Communication",IF(OR(ISNUMBER(SEARCH("father",LOWER(AF339))),ISNUMBER(SEARCH("sister",LOWER(AF339)))),"Family / Dependency","Other"))))))))))</f>
        <v/>
      </c>
      <c r="AH339">
        <f>IF(A339="","",'01_Master_Data'!AC339)</f>
        <v/>
      </c>
      <c r="AI339">
        <f>IF(A339="","",IF(OR(AH339="",NOT(ISNUMBER(AH339))),"",MAX(0,'02_Configuration'!$B$82-AH339)))</f>
        <v/>
      </c>
      <c r="AJ339">
        <f>IF(A339="","",IF(AI339="","Unknown",IF(AI339&lt;=3,"0–3 Days",IF(AI339&lt;=7,"4–7 Days",IF(AI339&lt;=15,"8–15 Days",IF(AI339&lt;=30,"16–30 Days","30+ Days"))))))</f>
        <v/>
      </c>
      <c r="AK339">
        <f>IF(A339="","",IF(LOWER(H339)="yes","Yes","No"))</f>
        <v/>
      </c>
      <c r="AL339">
        <f>IF(A339="","",'01_Master_Data'!T339)</f>
        <v/>
      </c>
      <c r="AM339">
        <f>IF(A339="","",'01_Master_Data'!S339)</f>
        <v/>
      </c>
      <c r="AN339">
        <f>IF(A339="","",'01_Master_Data'!I339)</f>
        <v/>
      </c>
      <c r="AO339">
        <f>IF(A339="","",'01_Master_Data'!M339)</f>
        <v/>
      </c>
      <c r="AP339">
        <f>IF(A339="","",IF(ISNUMBER(SEARCH("Icici",W339&amp;"")),1,0))</f>
        <v/>
      </c>
      <c r="AQ339">
        <f>IF(A339="","",IF(ISNUMBER(SEARCH("Propelld",W339&amp;"")),1,0))</f>
        <v/>
      </c>
      <c r="AR339">
        <f>IF(A339="","",IF(ISNUMBER(SEARCH("GyanDhan",W339&amp;"")),1,0))</f>
        <v/>
      </c>
      <c r="AS339">
        <f>IF(A339="","",IF(ISNUMBER(SEARCH("vidyalakshmi",LOWER(W339&amp;""))),1,0))</f>
        <v/>
      </c>
      <c r="AT339">
        <f>IF(A339="","",IF(ISNUMBER(SEARCH("other bank",LOWER(W339&amp;""))),1,0))</f>
        <v/>
      </c>
      <c r="AU339">
        <f>IF(A339="","",IF(ISNUMBER(SEARCH("sanctioned",LOWER(W339&amp;""))),1,0))</f>
        <v/>
      </c>
      <c r="AV339">
        <f>IF(A339="","",IF(ISNUMBER(SEARCH("Docs Pending",W339&amp;"")),1,0))</f>
        <v/>
      </c>
      <c r="AW339">
        <f>IF(A339="","",IF(OR(X339="Rejected",ISNUMBER(SEARCH("Not eligbile",W339&amp;""))),1,0))</f>
        <v/>
      </c>
    </row>
    <row r="340">
      <c r="A340">
        <f>IF('01_Master_Data'!B340="","",339)</f>
        <v/>
      </c>
      <c r="B340">
        <f>IF('01_Master_Data'!B340="","",IF('01_Master_Data'!C340&lt;&gt;"","MOB|"&amp;TEXT('01_Master_Data'!C340,"0"),IF('01_Master_Data'!D340&lt;&gt;"","PID|"&amp;TRIM('01_Master_Data'!D340&amp;""),"")))</f>
        <v/>
      </c>
      <c r="C340">
        <f>IF('01_Master_Data'!B340="","",'01_Master_Data'!B340)</f>
        <v/>
      </c>
      <c r="D340">
        <f>IF('01_Master_Data'!B340="","",'01_Master_Data'!C340)</f>
        <v/>
      </c>
      <c r="E340">
        <f>IF('01_Master_Data'!B340="","",'01_Master_Data'!D340)</f>
        <v/>
      </c>
      <c r="F340">
        <f>IF('01_Master_Data'!B340="","",'01_Master_Data'!E340)</f>
        <v/>
      </c>
      <c r="G340">
        <f>IF('01_Master_Data'!B340="","",IFERROR(VLOOKUP(TRIM('01_Master_Data'!E340&amp;""),'02_Configuration'!$A$40:$B$44,2,FALSE),UPPER(TRIM('01_Master_Data'!E340&amp;""))))</f>
        <v/>
      </c>
      <c r="H340">
        <f>IF('01_Master_Data'!B340="","",IF('01_Master_Data'!U340="","",TRIM('01_Master_Data'!U340&amp;"")))</f>
        <v/>
      </c>
      <c r="I340">
        <f>IF('01_Master_Data'!B340="","",TRIM('01_Master_Data'!F340&amp;""))</f>
        <v/>
      </c>
      <c r="J340">
        <f>IF('01_Master_Data'!B340="","",TRIM('01_Master_Data'!G340&amp;""))</f>
        <v/>
      </c>
      <c r="K340">
        <f>IF('01_Master_Data'!B340="","",'01_Master_Data'!H340)</f>
        <v/>
      </c>
      <c r="L340">
        <f>IF('01_Master_Data'!B340="","",IF(LOWER(TRIM('01_Master_Data'!V340&amp;""))="yes",1,0))</f>
        <v/>
      </c>
      <c r="M340">
        <f>IF('01_Master_Data'!B340="","",IF(LOWER(TRIM('01_Master_Data'!W340&amp;""))="yes",1,0))</f>
        <v/>
      </c>
      <c r="N340">
        <f>IF('01_Master_Data'!B340="","",IF(LOWER(TRIM('01_Master_Data'!X340&amp;""))="yes",1,0))</f>
        <v/>
      </c>
      <c r="O340">
        <f>IF('01_Master_Data'!B340="","",IF(LOWER(TRIM('01_Master_Data'!Y340&amp;""))="yes",1,0))</f>
        <v/>
      </c>
      <c r="P340">
        <f>IF('01_Master_Data'!B340="","",IF(LOWER(TRIM('01_Master_Data'!Z340&amp;""))="yes",1,0))</f>
        <v/>
      </c>
      <c r="Q340">
        <f>IF(A340="","",L340+M340+N340+O340+P340)</f>
        <v/>
      </c>
      <c r="R340">
        <f>IF(A340="","",IF(Q340&gt;1,"Yes","No"))</f>
        <v/>
      </c>
      <c r="S340">
        <f>IF(A340="","",TEXTJOIN(", ",TRUE,IF(L340=1,"ICICI",""),IF(M340=1,"Propelld",""),IF(N340=1,"Study4Buddy",""),IF(O340=1,"Poonawala Fincorp",""),IF(P340=1,"GyanDhan","")))</f>
        <v/>
      </c>
      <c r="T340">
        <f>IF(A340="","",IF(L340=1,"ICICI",IF(M340=1,"Propelld",IF(P340=1,"GyanDhan",IF(N340=1,"Study4Buddy",IF(O340=1,"Poonawala Fincorp",IF(ISNUMBER(SEARCH("GyanDhan",W340&amp;"")),"GyanDhan",IF(ISNUMBER(SEARCH("Icici",W340&amp;"")),"ICICI",IF(ISNUMBER(SEARCH("Propelld",W340&amp;"")),"Propelld",IF(ISNUMBER(SEARCH("vidyalakshmi",LOWER(W340&amp;"")),"PM Vidyalakshmi","—"))))))))))</f>
        <v/>
      </c>
      <c r="U340">
        <f>IF(A340="","",TRIM('01_Master_Data'!AA340&amp;""))</f>
        <v/>
      </c>
      <c r="V340">
        <f>IF(A340="","",TRIM('01_Master_Data'!AG340&amp;""))</f>
        <v/>
      </c>
      <c r="W340">
        <f>IF(A340="","",TRIM('01_Master_Data'!AH340&amp;""))</f>
        <v/>
      </c>
      <c r="X340">
        <f>IF(A340="","",IF(OR(LOWER(H340)="refund",LOWER(U340)="refund case"),"Refund",IF(OR(LOWER(H340)="dnp",LOWER(U340)="dnp"),"DNP",IF(OR(LOWER(V340)="disbursed",ISNUMBER(SEARCH("Disbursed",W340&amp;""))),"Disbursed",IF(OR(LOWER(V340)="loan proccessed/accepted",ISNUMBER(SEARCH("sanctioned",LOWER(W340&amp;"")))),"Sanctioned",IF(OR(LOWER(V340)="rejected",ISNUMBER(SEARCH("Not eligbile",W340&amp;"")),ISNUMBER(SEARCH("Not eligible",W340&amp;""))),"Rejected",IF(ISNUMBER(SEARCH("Docs Pending",W340&amp;"")),"Documents Pending",IF(AND(LOWER(H340)="yes",LOWER(V340)="ongoing"),"Processing",IF(AND(LOWER(H340)="yes",Q340&gt;0,OR(V340="",LOWER(V340)="not even started")),"Vendor Assigned",IF(AND(LOWER(H340)="yes",LOWER(V340)="not even started"),"Need Loan",IF(LOWER(H340)="yes","Loan Started",IF(LOWER(H340)="not sure","Interested",IF(OR(LOWER(H340)="no",LOWER(V340)="not required"),"Not Required","Unclassified")))))))))))))</f>
        <v/>
      </c>
      <c r="Y340">
        <f>IF(A340="","",IF(OR(X340="Sanctioned",X340="Disbursed",X340="Approved"),"Approved",IF(X340="Rejected","Rejected",IF(OR(X340="Processing",X340="Documents Pending",X340="Vendor Assigned"),"In Progress",IF(X340="Need Loan","Pending Start","—"))))</f>
        <v/>
      </c>
      <c r="Z340">
        <f>IF(A340="","",IF(X340="Disbursed","Disbursed",IF(X340="Sanctioned","Sanctioned - Awaiting Disbursement","Not Disbursed")))</f>
        <v/>
      </c>
      <c r="AA340">
        <f>IF(A340="","",IF(LOWER(TRIM('01_Master_Data'!AI340&amp;""))="yes","Need FLDG",IF(LOWER(TRIM('01_Master_Data'!AK340&amp;""))="yes","Need Vidyalakshmi",IF(LOWER(TRIM('01_Master_Data'!AJ340&amp;""))="yes","Need Review",IF(LOWER(J340)="critical","Critical",IF(LOWER(U340)="risk","Risk Case",IF(X340="Refund","Refund","Normal")))))))</f>
        <v/>
      </c>
      <c r="AB340">
        <f>IF(A340="","",IF(OR(LOWER(J340)="critical",LOWER(TRIM('01_Master_Data'!AI340&amp;""))="yes",LOWER(TRIM('01_Master_Data'!AK340&amp;""))="yes",LOWER(U340)="risk"),"Yes","No"))</f>
        <v/>
      </c>
      <c r="AC340">
        <f>IF(A340="","",IF(LOWER(TRIM('01_Master_Data'!AI340&amp;""))="yes","Yes","No"))</f>
        <v/>
      </c>
      <c r="AD340">
        <f>IF(A340="","",IF(LOWER(TRIM('01_Master_Data'!AK340&amp;""))="yes","Yes","No"))</f>
        <v/>
      </c>
      <c r="AE340">
        <f>IF(A340="","",IF(LOWER(TRIM('01_Master_Data'!AJ340&amp;""))="yes","Yes","No"))</f>
        <v/>
      </c>
      <c r="AF340">
        <f>IF(A340="","",TRIM('01_Master_Data'!AL340&amp;""))</f>
        <v/>
      </c>
      <c r="AG340">
        <f>IF(A340="","",IF(AF340="","—",IF(ISNUMBER(SEARCH("DNP",AF340)),"Unreachable / DNP",IF(ISNUMBER(SEARCH("interest",LOWER(AF340))),"High Interest / Terms",IF(OR(ISNUMBER(SEARCH("eligib",LOWER(AF340))),ISNUMBER(SEARCH("income",LOWER(AF340)))),"Eligibility / Income",IF(OR(ISNUMBER(SEARCH("start",LOWER(AF340))),ISNUMBER(SEARCH("Newer",AF340)),ISNUMBER(SEARCH("Will start",AF340))),"Process Yet to Start",IF(ISNUMBER(SEARCH("sure",LOWER(AF340))),"Undecided",IF(OR(ISNUMBER(SEARCH("reject",LOWER(AF340))),ISNUMBER(SEARCH("SBI",AF340))),"Rejected Elsewhere",IF(ISNUMBER(SEARCH("call",LOWER(AF340))),"Bank Communication",IF(OR(ISNUMBER(SEARCH("father",LOWER(AF340))),ISNUMBER(SEARCH("sister",LOWER(AF340)))),"Family / Dependency","Other"))))))))))</f>
        <v/>
      </c>
      <c r="AH340">
        <f>IF(A340="","",'01_Master_Data'!AC340)</f>
        <v/>
      </c>
      <c r="AI340">
        <f>IF(A340="","",IF(OR(AH340="",NOT(ISNUMBER(AH340))),"",MAX(0,'02_Configuration'!$B$82-AH340)))</f>
        <v/>
      </c>
      <c r="AJ340">
        <f>IF(A340="","",IF(AI340="","Unknown",IF(AI340&lt;=3,"0–3 Days",IF(AI340&lt;=7,"4–7 Days",IF(AI340&lt;=15,"8–15 Days",IF(AI340&lt;=30,"16–30 Days","30+ Days"))))))</f>
        <v/>
      </c>
      <c r="AK340">
        <f>IF(A340="","",IF(LOWER(H340)="yes","Yes","No"))</f>
        <v/>
      </c>
      <c r="AL340">
        <f>IF(A340="","",'01_Master_Data'!T340)</f>
        <v/>
      </c>
      <c r="AM340">
        <f>IF(A340="","",'01_Master_Data'!S340)</f>
        <v/>
      </c>
      <c r="AN340">
        <f>IF(A340="","",'01_Master_Data'!I340)</f>
        <v/>
      </c>
      <c r="AO340">
        <f>IF(A340="","",'01_Master_Data'!M340)</f>
        <v/>
      </c>
      <c r="AP340">
        <f>IF(A340="","",IF(ISNUMBER(SEARCH("Icici",W340&amp;"")),1,0))</f>
        <v/>
      </c>
      <c r="AQ340">
        <f>IF(A340="","",IF(ISNUMBER(SEARCH("Propelld",W340&amp;"")),1,0))</f>
        <v/>
      </c>
      <c r="AR340">
        <f>IF(A340="","",IF(ISNUMBER(SEARCH("GyanDhan",W340&amp;"")),1,0))</f>
        <v/>
      </c>
      <c r="AS340">
        <f>IF(A340="","",IF(ISNUMBER(SEARCH("vidyalakshmi",LOWER(W340&amp;""))),1,0))</f>
        <v/>
      </c>
      <c r="AT340">
        <f>IF(A340="","",IF(ISNUMBER(SEARCH("other bank",LOWER(W340&amp;""))),1,0))</f>
        <v/>
      </c>
      <c r="AU340">
        <f>IF(A340="","",IF(ISNUMBER(SEARCH("sanctioned",LOWER(W340&amp;""))),1,0))</f>
        <v/>
      </c>
      <c r="AV340">
        <f>IF(A340="","",IF(ISNUMBER(SEARCH("Docs Pending",W340&amp;"")),1,0))</f>
        <v/>
      </c>
      <c r="AW340">
        <f>IF(A340="","",IF(OR(X340="Rejected",ISNUMBER(SEARCH("Not eligbile",W340&amp;""))),1,0))</f>
        <v/>
      </c>
    </row>
    <row r="341">
      <c r="A341">
        <f>IF('01_Master_Data'!B341="","",340)</f>
        <v/>
      </c>
      <c r="B341">
        <f>IF('01_Master_Data'!B341="","",IF('01_Master_Data'!C341&lt;&gt;"","MOB|"&amp;TEXT('01_Master_Data'!C341,"0"),IF('01_Master_Data'!D341&lt;&gt;"","PID|"&amp;TRIM('01_Master_Data'!D341&amp;""),"")))</f>
        <v/>
      </c>
      <c r="C341">
        <f>IF('01_Master_Data'!B341="","",'01_Master_Data'!B341)</f>
        <v/>
      </c>
      <c r="D341">
        <f>IF('01_Master_Data'!B341="","",'01_Master_Data'!C341)</f>
        <v/>
      </c>
      <c r="E341">
        <f>IF('01_Master_Data'!B341="","",'01_Master_Data'!D341)</f>
        <v/>
      </c>
      <c r="F341">
        <f>IF('01_Master_Data'!B341="","",'01_Master_Data'!E341)</f>
        <v/>
      </c>
      <c r="G341">
        <f>IF('01_Master_Data'!B341="","",IFERROR(VLOOKUP(TRIM('01_Master_Data'!E341&amp;""),'02_Configuration'!$A$40:$B$44,2,FALSE),UPPER(TRIM('01_Master_Data'!E341&amp;""))))</f>
        <v/>
      </c>
      <c r="H341">
        <f>IF('01_Master_Data'!B341="","",IF('01_Master_Data'!U341="","",TRIM('01_Master_Data'!U341&amp;"")))</f>
        <v/>
      </c>
      <c r="I341">
        <f>IF('01_Master_Data'!B341="","",TRIM('01_Master_Data'!F341&amp;""))</f>
        <v/>
      </c>
      <c r="J341">
        <f>IF('01_Master_Data'!B341="","",TRIM('01_Master_Data'!G341&amp;""))</f>
        <v/>
      </c>
      <c r="K341">
        <f>IF('01_Master_Data'!B341="","",'01_Master_Data'!H341)</f>
        <v/>
      </c>
      <c r="L341">
        <f>IF('01_Master_Data'!B341="","",IF(LOWER(TRIM('01_Master_Data'!V341&amp;""))="yes",1,0))</f>
        <v/>
      </c>
      <c r="M341">
        <f>IF('01_Master_Data'!B341="","",IF(LOWER(TRIM('01_Master_Data'!W341&amp;""))="yes",1,0))</f>
        <v/>
      </c>
      <c r="N341">
        <f>IF('01_Master_Data'!B341="","",IF(LOWER(TRIM('01_Master_Data'!X341&amp;""))="yes",1,0))</f>
        <v/>
      </c>
      <c r="O341">
        <f>IF('01_Master_Data'!B341="","",IF(LOWER(TRIM('01_Master_Data'!Y341&amp;""))="yes",1,0))</f>
        <v/>
      </c>
      <c r="P341">
        <f>IF('01_Master_Data'!B341="","",IF(LOWER(TRIM('01_Master_Data'!Z341&amp;""))="yes",1,0))</f>
        <v/>
      </c>
      <c r="Q341">
        <f>IF(A341="","",L341+M341+N341+O341+P341)</f>
        <v/>
      </c>
      <c r="R341">
        <f>IF(A341="","",IF(Q341&gt;1,"Yes","No"))</f>
        <v/>
      </c>
      <c r="S341">
        <f>IF(A341="","",TEXTJOIN(", ",TRUE,IF(L341=1,"ICICI",""),IF(M341=1,"Propelld",""),IF(N341=1,"Study4Buddy",""),IF(O341=1,"Poonawala Fincorp",""),IF(P341=1,"GyanDhan","")))</f>
        <v/>
      </c>
      <c r="T341">
        <f>IF(A341="","",IF(L341=1,"ICICI",IF(M341=1,"Propelld",IF(P341=1,"GyanDhan",IF(N341=1,"Study4Buddy",IF(O341=1,"Poonawala Fincorp",IF(ISNUMBER(SEARCH("GyanDhan",W341&amp;"")),"GyanDhan",IF(ISNUMBER(SEARCH("Icici",W341&amp;"")),"ICICI",IF(ISNUMBER(SEARCH("Propelld",W341&amp;"")),"Propelld",IF(ISNUMBER(SEARCH("vidyalakshmi",LOWER(W341&amp;"")),"PM Vidyalakshmi","—"))))))))))</f>
        <v/>
      </c>
      <c r="U341">
        <f>IF(A341="","",TRIM('01_Master_Data'!AA341&amp;""))</f>
        <v/>
      </c>
      <c r="V341">
        <f>IF(A341="","",TRIM('01_Master_Data'!AG341&amp;""))</f>
        <v/>
      </c>
      <c r="W341">
        <f>IF(A341="","",TRIM('01_Master_Data'!AH341&amp;""))</f>
        <v/>
      </c>
      <c r="X341">
        <f>IF(A341="","",IF(OR(LOWER(H341)="refund",LOWER(U341)="refund case"),"Refund",IF(OR(LOWER(H341)="dnp",LOWER(U341)="dnp"),"DNP",IF(OR(LOWER(V341)="disbursed",ISNUMBER(SEARCH("Disbursed",W341&amp;""))),"Disbursed",IF(OR(LOWER(V341)="loan proccessed/accepted",ISNUMBER(SEARCH("sanctioned",LOWER(W341&amp;"")))),"Sanctioned",IF(OR(LOWER(V341)="rejected",ISNUMBER(SEARCH("Not eligbile",W341&amp;"")),ISNUMBER(SEARCH("Not eligible",W341&amp;""))),"Rejected",IF(ISNUMBER(SEARCH("Docs Pending",W341&amp;"")),"Documents Pending",IF(AND(LOWER(H341)="yes",LOWER(V341)="ongoing"),"Processing",IF(AND(LOWER(H341)="yes",Q341&gt;0,OR(V341="",LOWER(V341)="not even started")),"Vendor Assigned",IF(AND(LOWER(H341)="yes",LOWER(V341)="not even started"),"Need Loan",IF(LOWER(H341)="yes","Loan Started",IF(LOWER(H341)="not sure","Interested",IF(OR(LOWER(H341)="no",LOWER(V341)="not required"),"Not Required","Unclassified")))))))))))))</f>
        <v/>
      </c>
      <c r="Y341">
        <f>IF(A341="","",IF(OR(X341="Sanctioned",X341="Disbursed",X341="Approved"),"Approved",IF(X341="Rejected","Rejected",IF(OR(X341="Processing",X341="Documents Pending",X341="Vendor Assigned"),"In Progress",IF(X341="Need Loan","Pending Start","—"))))</f>
        <v/>
      </c>
      <c r="Z341">
        <f>IF(A341="","",IF(X341="Disbursed","Disbursed",IF(X341="Sanctioned","Sanctioned - Awaiting Disbursement","Not Disbursed")))</f>
        <v/>
      </c>
      <c r="AA341">
        <f>IF(A341="","",IF(LOWER(TRIM('01_Master_Data'!AI341&amp;""))="yes","Need FLDG",IF(LOWER(TRIM('01_Master_Data'!AK341&amp;""))="yes","Need Vidyalakshmi",IF(LOWER(TRIM('01_Master_Data'!AJ341&amp;""))="yes","Need Review",IF(LOWER(J341)="critical","Critical",IF(LOWER(U341)="risk","Risk Case",IF(X341="Refund","Refund","Normal")))))))</f>
        <v/>
      </c>
      <c r="AB341">
        <f>IF(A341="","",IF(OR(LOWER(J341)="critical",LOWER(TRIM('01_Master_Data'!AI341&amp;""))="yes",LOWER(TRIM('01_Master_Data'!AK341&amp;""))="yes",LOWER(U341)="risk"),"Yes","No"))</f>
        <v/>
      </c>
      <c r="AC341">
        <f>IF(A341="","",IF(LOWER(TRIM('01_Master_Data'!AI341&amp;""))="yes","Yes","No"))</f>
        <v/>
      </c>
      <c r="AD341">
        <f>IF(A341="","",IF(LOWER(TRIM('01_Master_Data'!AK341&amp;""))="yes","Yes","No"))</f>
        <v/>
      </c>
      <c r="AE341">
        <f>IF(A341="","",IF(LOWER(TRIM('01_Master_Data'!AJ341&amp;""))="yes","Yes","No"))</f>
        <v/>
      </c>
      <c r="AF341">
        <f>IF(A341="","",TRIM('01_Master_Data'!AL341&amp;""))</f>
        <v/>
      </c>
      <c r="AG341">
        <f>IF(A341="","",IF(AF341="","—",IF(ISNUMBER(SEARCH("DNP",AF341)),"Unreachable / DNP",IF(ISNUMBER(SEARCH("interest",LOWER(AF341))),"High Interest / Terms",IF(OR(ISNUMBER(SEARCH("eligib",LOWER(AF341))),ISNUMBER(SEARCH("income",LOWER(AF341)))),"Eligibility / Income",IF(OR(ISNUMBER(SEARCH("start",LOWER(AF341))),ISNUMBER(SEARCH("Newer",AF341)),ISNUMBER(SEARCH("Will start",AF341))),"Process Yet to Start",IF(ISNUMBER(SEARCH("sure",LOWER(AF341))),"Undecided",IF(OR(ISNUMBER(SEARCH("reject",LOWER(AF341))),ISNUMBER(SEARCH("SBI",AF341))),"Rejected Elsewhere",IF(ISNUMBER(SEARCH("call",LOWER(AF341))),"Bank Communication",IF(OR(ISNUMBER(SEARCH("father",LOWER(AF341))),ISNUMBER(SEARCH("sister",LOWER(AF341)))),"Family / Dependency","Other"))))))))))</f>
        <v/>
      </c>
      <c r="AH341">
        <f>IF(A341="","",'01_Master_Data'!AC341)</f>
        <v/>
      </c>
      <c r="AI341">
        <f>IF(A341="","",IF(OR(AH341="",NOT(ISNUMBER(AH341))),"",MAX(0,'02_Configuration'!$B$82-AH341)))</f>
        <v/>
      </c>
      <c r="AJ341">
        <f>IF(A341="","",IF(AI341="","Unknown",IF(AI341&lt;=3,"0–3 Days",IF(AI341&lt;=7,"4–7 Days",IF(AI341&lt;=15,"8–15 Days",IF(AI341&lt;=30,"16–30 Days","30+ Days"))))))</f>
        <v/>
      </c>
      <c r="AK341">
        <f>IF(A341="","",IF(LOWER(H341)="yes","Yes","No"))</f>
        <v/>
      </c>
      <c r="AL341">
        <f>IF(A341="","",'01_Master_Data'!T341)</f>
        <v/>
      </c>
      <c r="AM341">
        <f>IF(A341="","",'01_Master_Data'!S341)</f>
        <v/>
      </c>
      <c r="AN341">
        <f>IF(A341="","",'01_Master_Data'!I341)</f>
        <v/>
      </c>
      <c r="AO341">
        <f>IF(A341="","",'01_Master_Data'!M341)</f>
        <v/>
      </c>
      <c r="AP341">
        <f>IF(A341="","",IF(ISNUMBER(SEARCH("Icici",W341&amp;"")),1,0))</f>
        <v/>
      </c>
      <c r="AQ341">
        <f>IF(A341="","",IF(ISNUMBER(SEARCH("Propelld",W341&amp;"")),1,0))</f>
        <v/>
      </c>
      <c r="AR341">
        <f>IF(A341="","",IF(ISNUMBER(SEARCH("GyanDhan",W341&amp;"")),1,0))</f>
        <v/>
      </c>
      <c r="AS341">
        <f>IF(A341="","",IF(ISNUMBER(SEARCH("vidyalakshmi",LOWER(W341&amp;""))),1,0))</f>
        <v/>
      </c>
      <c r="AT341">
        <f>IF(A341="","",IF(ISNUMBER(SEARCH("other bank",LOWER(W341&amp;""))),1,0))</f>
        <v/>
      </c>
      <c r="AU341">
        <f>IF(A341="","",IF(ISNUMBER(SEARCH("sanctioned",LOWER(W341&amp;""))),1,0))</f>
        <v/>
      </c>
      <c r="AV341">
        <f>IF(A341="","",IF(ISNUMBER(SEARCH("Docs Pending",W341&amp;"")),1,0))</f>
        <v/>
      </c>
      <c r="AW341">
        <f>IF(A341="","",IF(OR(X341="Rejected",ISNUMBER(SEARCH("Not eligbile",W341&amp;""))),1,0))</f>
        <v/>
      </c>
    </row>
    <row r="342">
      <c r="A342">
        <f>IF('01_Master_Data'!B342="","",341)</f>
        <v/>
      </c>
      <c r="B342">
        <f>IF('01_Master_Data'!B342="","",IF('01_Master_Data'!C342&lt;&gt;"","MOB|"&amp;TEXT('01_Master_Data'!C342,"0"),IF('01_Master_Data'!D342&lt;&gt;"","PID|"&amp;TRIM('01_Master_Data'!D342&amp;""),"")))</f>
        <v/>
      </c>
      <c r="C342">
        <f>IF('01_Master_Data'!B342="","",'01_Master_Data'!B342)</f>
        <v/>
      </c>
      <c r="D342">
        <f>IF('01_Master_Data'!B342="","",'01_Master_Data'!C342)</f>
        <v/>
      </c>
      <c r="E342">
        <f>IF('01_Master_Data'!B342="","",'01_Master_Data'!D342)</f>
        <v/>
      </c>
      <c r="F342">
        <f>IF('01_Master_Data'!B342="","",'01_Master_Data'!E342)</f>
        <v/>
      </c>
      <c r="G342">
        <f>IF('01_Master_Data'!B342="","",IFERROR(VLOOKUP(TRIM('01_Master_Data'!E342&amp;""),'02_Configuration'!$A$40:$B$44,2,FALSE),UPPER(TRIM('01_Master_Data'!E342&amp;""))))</f>
        <v/>
      </c>
      <c r="H342">
        <f>IF('01_Master_Data'!B342="","",IF('01_Master_Data'!U342="","",TRIM('01_Master_Data'!U342&amp;"")))</f>
        <v/>
      </c>
      <c r="I342">
        <f>IF('01_Master_Data'!B342="","",TRIM('01_Master_Data'!F342&amp;""))</f>
        <v/>
      </c>
      <c r="J342">
        <f>IF('01_Master_Data'!B342="","",TRIM('01_Master_Data'!G342&amp;""))</f>
        <v/>
      </c>
      <c r="K342">
        <f>IF('01_Master_Data'!B342="","",'01_Master_Data'!H342)</f>
        <v/>
      </c>
      <c r="L342">
        <f>IF('01_Master_Data'!B342="","",IF(LOWER(TRIM('01_Master_Data'!V342&amp;""))="yes",1,0))</f>
        <v/>
      </c>
      <c r="M342">
        <f>IF('01_Master_Data'!B342="","",IF(LOWER(TRIM('01_Master_Data'!W342&amp;""))="yes",1,0))</f>
        <v/>
      </c>
      <c r="N342">
        <f>IF('01_Master_Data'!B342="","",IF(LOWER(TRIM('01_Master_Data'!X342&amp;""))="yes",1,0))</f>
        <v/>
      </c>
      <c r="O342">
        <f>IF('01_Master_Data'!B342="","",IF(LOWER(TRIM('01_Master_Data'!Y342&amp;""))="yes",1,0))</f>
        <v/>
      </c>
      <c r="P342">
        <f>IF('01_Master_Data'!B342="","",IF(LOWER(TRIM('01_Master_Data'!Z342&amp;""))="yes",1,0))</f>
        <v/>
      </c>
      <c r="Q342">
        <f>IF(A342="","",L342+M342+N342+O342+P342)</f>
        <v/>
      </c>
      <c r="R342">
        <f>IF(A342="","",IF(Q342&gt;1,"Yes","No"))</f>
        <v/>
      </c>
      <c r="S342">
        <f>IF(A342="","",TEXTJOIN(", ",TRUE,IF(L342=1,"ICICI",""),IF(M342=1,"Propelld",""),IF(N342=1,"Study4Buddy",""),IF(O342=1,"Poonawala Fincorp",""),IF(P342=1,"GyanDhan","")))</f>
        <v/>
      </c>
      <c r="T342">
        <f>IF(A342="","",IF(L342=1,"ICICI",IF(M342=1,"Propelld",IF(P342=1,"GyanDhan",IF(N342=1,"Study4Buddy",IF(O342=1,"Poonawala Fincorp",IF(ISNUMBER(SEARCH("GyanDhan",W342&amp;"")),"GyanDhan",IF(ISNUMBER(SEARCH("Icici",W342&amp;"")),"ICICI",IF(ISNUMBER(SEARCH("Propelld",W342&amp;"")),"Propelld",IF(ISNUMBER(SEARCH("vidyalakshmi",LOWER(W342&amp;"")),"PM Vidyalakshmi","—"))))))))))</f>
        <v/>
      </c>
      <c r="U342">
        <f>IF(A342="","",TRIM('01_Master_Data'!AA342&amp;""))</f>
        <v/>
      </c>
      <c r="V342">
        <f>IF(A342="","",TRIM('01_Master_Data'!AG342&amp;""))</f>
        <v/>
      </c>
      <c r="W342">
        <f>IF(A342="","",TRIM('01_Master_Data'!AH342&amp;""))</f>
        <v/>
      </c>
      <c r="X342">
        <f>IF(A342="","",IF(OR(LOWER(H342)="refund",LOWER(U342)="refund case"),"Refund",IF(OR(LOWER(H342)="dnp",LOWER(U342)="dnp"),"DNP",IF(OR(LOWER(V342)="disbursed",ISNUMBER(SEARCH("Disbursed",W342&amp;""))),"Disbursed",IF(OR(LOWER(V342)="loan proccessed/accepted",ISNUMBER(SEARCH("sanctioned",LOWER(W342&amp;"")))),"Sanctioned",IF(OR(LOWER(V342)="rejected",ISNUMBER(SEARCH("Not eligbile",W342&amp;"")),ISNUMBER(SEARCH("Not eligible",W342&amp;""))),"Rejected",IF(ISNUMBER(SEARCH("Docs Pending",W342&amp;"")),"Documents Pending",IF(AND(LOWER(H342)="yes",LOWER(V342)="ongoing"),"Processing",IF(AND(LOWER(H342)="yes",Q342&gt;0,OR(V342="",LOWER(V342)="not even started")),"Vendor Assigned",IF(AND(LOWER(H342)="yes",LOWER(V342)="not even started"),"Need Loan",IF(LOWER(H342)="yes","Loan Started",IF(LOWER(H342)="not sure","Interested",IF(OR(LOWER(H342)="no",LOWER(V342)="not required"),"Not Required","Unclassified")))))))))))))</f>
        <v/>
      </c>
      <c r="Y342">
        <f>IF(A342="","",IF(OR(X342="Sanctioned",X342="Disbursed",X342="Approved"),"Approved",IF(X342="Rejected","Rejected",IF(OR(X342="Processing",X342="Documents Pending",X342="Vendor Assigned"),"In Progress",IF(X342="Need Loan","Pending Start","—"))))</f>
        <v/>
      </c>
      <c r="Z342">
        <f>IF(A342="","",IF(X342="Disbursed","Disbursed",IF(X342="Sanctioned","Sanctioned - Awaiting Disbursement","Not Disbursed")))</f>
        <v/>
      </c>
      <c r="AA342">
        <f>IF(A342="","",IF(LOWER(TRIM('01_Master_Data'!AI342&amp;""))="yes","Need FLDG",IF(LOWER(TRIM('01_Master_Data'!AK342&amp;""))="yes","Need Vidyalakshmi",IF(LOWER(TRIM('01_Master_Data'!AJ342&amp;""))="yes","Need Review",IF(LOWER(J342)="critical","Critical",IF(LOWER(U342)="risk","Risk Case",IF(X342="Refund","Refund","Normal")))))))</f>
        <v/>
      </c>
      <c r="AB342">
        <f>IF(A342="","",IF(OR(LOWER(J342)="critical",LOWER(TRIM('01_Master_Data'!AI342&amp;""))="yes",LOWER(TRIM('01_Master_Data'!AK342&amp;""))="yes",LOWER(U342)="risk"),"Yes","No"))</f>
        <v/>
      </c>
      <c r="AC342">
        <f>IF(A342="","",IF(LOWER(TRIM('01_Master_Data'!AI342&amp;""))="yes","Yes","No"))</f>
        <v/>
      </c>
      <c r="AD342">
        <f>IF(A342="","",IF(LOWER(TRIM('01_Master_Data'!AK342&amp;""))="yes","Yes","No"))</f>
        <v/>
      </c>
      <c r="AE342">
        <f>IF(A342="","",IF(LOWER(TRIM('01_Master_Data'!AJ342&amp;""))="yes","Yes","No"))</f>
        <v/>
      </c>
      <c r="AF342">
        <f>IF(A342="","",TRIM('01_Master_Data'!AL342&amp;""))</f>
        <v/>
      </c>
      <c r="AG342">
        <f>IF(A342="","",IF(AF342="","—",IF(ISNUMBER(SEARCH("DNP",AF342)),"Unreachable / DNP",IF(ISNUMBER(SEARCH("interest",LOWER(AF342))),"High Interest / Terms",IF(OR(ISNUMBER(SEARCH("eligib",LOWER(AF342))),ISNUMBER(SEARCH("income",LOWER(AF342)))),"Eligibility / Income",IF(OR(ISNUMBER(SEARCH("start",LOWER(AF342))),ISNUMBER(SEARCH("Newer",AF342)),ISNUMBER(SEARCH("Will start",AF342))),"Process Yet to Start",IF(ISNUMBER(SEARCH("sure",LOWER(AF342))),"Undecided",IF(OR(ISNUMBER(SEARCH("reject",LOWER(AF342))),ISNUMBER(SEARCH("SBI",AF342))),"Rejected Elsewhere",IF(ISNUMBER(SEARCH("call",LOWER(AF342))),"Bank Communication",IF(OR(ISNUMBER(SEARCH("father",LOWER(AF342))),ISNUMBER(SEARCH("sister",LOWER(AF342)))),"Family / Dependency","Other"))))))))))</f>
        <v/>
      </c>
      <c r="AH342">
        <f>IF(A342="","",'01_Master_Data'!AC342)</f>
        <v/>
      </c>
      <c r="AI342">
        <f>IF(A342="","",IF(OR(AH342="",NOT(ISNUMBER(AH342))),"",MAX(0,'02_Configuration'!$B$82-AH342)))</f>
        <v/>
      </c>
      <c r="AJ342">
        <f>IF(A342="","",IF(AI342="","Unknown",IF(AI342&lt;=3,"0–3 Days",IF(AI342&lt;=7,"4–7 Days",IF(AI342&lt;=15,"8–15 Days",IF(AI342&lt;=30,"16–30 Days","30+ Days"))))))</f>
        <v/>
      </c>
      <c r="AK342">
        <f>IF(A342="","",IF(LOWER(H342)="yes","Yes","No"))</f>
        <v/>
      </c>
      <c r="AL342">
        <f>IF(A342="","",'01_Master_Data'!T342)</f>
        <v/>
      </c>
      <c r="AM342">
        <f>IF(A342="","",'01_Master_Data'!S342)</f>
        <v/>
      </c>
      <c r="AN342">
        <f>IF(A342="","",'01_Master_Data'!I342)</f>
        <v/>
      </c>
      <c r="AO342">
        <f>IF(A342="","",'01_Master_Data'!M342)</f>
        <v/>
      </c>
      <c r="AP342">
        <f>IF(A342="","",IF(ISNUMBER(SEARCH("Icici",W342&amp;"")),1,0))</f>
        <v/>
      </c>
      <c r="AQ342">
        <f>IF(A342="","",IF(ISNUMBER(SEARCH("Propelld",W342&amp;"")),1,0))</f>
        <v/>
      </c>
      <c r="AR342">
        <f>IF(A342="","",IF(ISNUMBER(SEARCH("GyanDhan",W342&amp;"")),1,0))</f>
        <v/>
      </c>
      <c r="AS342">
        <f>IF(A342="","",IF(ISNUMBER(SEARCH("vidyalakshmi",LOWER(W342&amp;""))),1,0))</f>
        <v/>
      </c>
      <c r="AT342">
        <f>IF(A342="","",IF(ISNUMBER(SEARCH("other bank",LOWER(W342&amp;""))),1,0))</f>
        <v/>
      </c>
      <c r="AU342">
        <f>IF(A342="","",IF(ISNUMBER(SEARCH("sanctioned",LOWER(W342&amp;""))),1,0))</f>
        <v/>
      </c>
      <c r="AV342">
        <f>IF(A342="","",IF(ISNUMBER(SEARCH("Docs Pending",W342&amp;"")),1,0))</f>
        <v/>
      </c>
      <c r="AW342">
        <f>IF(A342="","",IF(OR(X342="Rejected",ISNUMBER(SEARCH("Not eligbile",W342&amp;""))),1,0))</f>
        <v/>
      </c>
    </row>
    <row r="343">
      <c r="A343">
        <f>IF('01_Master_Data'!B343="","",342)</f>
        <v/>
      </c>
      <c r="B343">
        <f>IF('01_Master_Data'!B343="","",IF('01_Master_Data'!C343&lt;&gt;"","MOB|"&amp;TEXT('01_Master_Data'!C343,"0"),IF('01_Master_Data'!D343&lt;&gt;"","PID|"&amp;TRIM('01_Master_Data'!D343&amp;""),"")))</f>
        <v/>
      </c>
      <c r="C343">
        <f>IF('01_Master_Data'!B343="","",'01_Master_Data'!B343)</f>
        <v/>
      </c>
      <c r="D343">
        <f>IF('01_Master_Data'!B343="","",'01_Master_Data'!C343)</f>
        <v/>
      </c>
      <c r="E343">
        <f>IF('01_Master_Data'!B343="","",'01_Master_Data'!D343)</f>
        <v/>
      </c>
      <c r="F343">
        <f>IF('01_Master_Data'!B343="","",'01_Master_Data'!E343)</f>
        <v/>
      </c>
      <c r="G343">
        <f>IF('01_Master_Data'!B343="","",IFERROR(VLOOKUP(TRIM('01_Master_Data'!E343&amp;""),'02_Configuration'!$A$40:$B$44,2,FALSE),UPPER(TRIM('01_Master_Data'!E343&amp;""))))</f>
        <v/>
      </c>
      <c r="H343">
        <f>IF('01_Master_Data'!B343="","",IF('01_Master_Data'!U343="","",TRIM('01_Master_Data'!U343&amp;"")))</f>
        <v/>
      </c>
      <c r="I343">
        <f>IF('01_Master_Data'!B343="","",TRIM('01_Master_Data'!F343&amp;""))</f>
        <v/>
      </c>
      <c r="J343">
        <f>IF('01_Master_Data'!B343="","",TRIM('01_Master_Data'!G343&amp;""))</f>
        <v/>
      </c>
      <c r="K343">
        <f>IF('01_Master_Data'!B343="","",'01_Master_Data'!H343)</f>
        <v/>
      </c>
      <c r="L343">
        <f>IF('01_Master_Data'!B343="","",IF(LOWER(TRIM('01_Master_Data'!V343&amp;""))="yes",1,0))</f>
        <v/>
      </c>
      <c r="M343">
        <f>IF('01_Master_Data'!B343="","",IF(LOWER(TRIM('01_Master_Data'!W343&amp;""))="yes",1,0))</f>
        <v/>
      </c>
      <c r="N343">
        <f>IF('01_Master_Data'!B343="","",IF(LOWER(TRIM('01_Master_Data'!X343&amp;""))="yes",1,0))</f>
        <v/>
      </c>
      <c r="O343">
        <f>IF('01_Master_Data'!B343="","",IF(LOWER(TRIM('01_Master_Data'!Y343&amp;""))="yes",1,0))</f>
        <v/>
      </c>
      <c r="P343">
        <f>IF('01_Master_Data'!B343="","",IF(LOWER(TRIM('01_Master_Data'!Z343&amp;""))="yes",1,0))</f>
        <v/>
      </c>
      <c r="Q343">
        <f>IF(A343="","",L343+M343+N343+O343+P343)</f>
        <v/>
      </c>
      <c r="R343">
        <f>IF(A343="","",IF(Q343&gt;1,"Yes","No"))</f>
        <v/>
      </c>
      <c r="S343">
        <f>IF(A343="","",TEXTJOIN(", ",TRUE,IF(L343=1,"ICICI",""),IF(M343=1,"Propelld",""),IF(N343=1,"Study4Buddy",""),IF(O343=1,"Poonawala Fincorp",""),IF(P343=1,"GyanDhan","")))</f>
        <v/>
      </c>
      <c r="T343">
        <f>IF(A343="","",IF(L343=1,"ICICI",IF(M343=1,"Propelld",IF(P343=1,"GyanDhan",IF(N343=1,"Study4Buddy",IF(O343=1,"Poonawala Fincorp",IF(ISNUMBER(SEARCH("GyanDhan",W343&amp;"")),"GyanDhan",IF(ISNUMBER(SEARCH("Icici",W343&amp;"")),"ICICI",IF(ISNUMBER(SEARCH("Propelld",W343&amp;"")),"Propelld",IF(ISNUMBER(SEARCH("vidyalakshmi",LOWER(W343&amp;"")),"PM Vidyalakshmi","—"))))))))))</f>
        <v/>
      </c>
      <c r="U343">
        <f>IF(A343="","",TRIM('01_Master_Data'!AA343&amp;""))</f>
        <v/>
      </c>
      <c r="V343">
        <f>IF(A343="","",TRIM('01_Master_Data'!AG343&amp;""))</f>
        <v/>
      </c>
      <c r="W343">
        <f>IF(A343="","",TRIM('01_Master_Data'!AH343&amp;""))</f>
        <v/>
      </c>
      <c r="X343">
        <f>IF(A343="","",IF(OR(LOWER(H343)="refund",LOWER(U343)="refund case"),"Refund",IF(OR(LOWER(H343)="dnp",LOWER(U343)="dnp"),"DNP",IF(OR(LOWER(V343)="disbursed",ISNUMBER(SEARCH("Disbursed",W343&amp;""))),"Disbursed",IF(OR(LOWER(V343)="loan proccessed/accepted",ISNUMBER(SEARCH("sanctioned",LOWER(W343&amp;"")))),"Sanctioned",IF(OR(LOWER(V343)="rejected",ISNUMBER(SEARCH("Not eligbile",W343&amp;"")),ISNUMBER(SEARCH("Not eligible",W343&amp;""))),"Rejected",IF(ISNUMBER(SEARCH("Docs Pending",W343&amp;"")),"Documents Pending",IF(AND(LOWER(H343)="yes",LOWER(V343)="ongoing"),"Processing",IF(AND(LOWER(H343)="yes",Q343&gt;0,OR(V343="",LOWER(V343)="not even started")),"Vendor Assigned",IF(AND(LOWER(H343)="yes",LOWER(V343)="not even started"),"Need Loan",IF(LOWER(H343)="yes","Loan Started",IF(LOWER(H343)="not sure","Interested",IF(OR(LOWER(H343)="no",LOWER(V343)="not required"),"Not Required","Unclassified")))))))))))))</f>
        <v/>
      </c>
      <c r="Y343">
        <f>IF(A343="","",IF(OR(X343="Sanctioned",X343="Disbursed",X343="Approved"),"Approved",IF(X343="Rejected","Rejected",IF(OR(X343="Processing",X343="Documents Pending",X343="Vendor Assigned"),"In Progress",IF(X343="Need Loan","Pending Start","—"))))</f>
        <v/>
      </c>
      <c r="Z343">
        <f>IF(A343="","",IF(X343="Disbursed","Disbursed",IF(X343="Sanctioned","Sanctioned - Awaiting Disbursement","Not Disbursed")))</f>
        <v/>
      </c>
      <c r="AA343">
        <f>IF(A343="","",IF(LOWER(TRIM('01_Master_Data'!AI343&amp;""))="yes","Need FLDG",IF(LOWER(TRIM('01_Master_Data'!AK343&amp;""))="yes","Need Vidyalakshmi",IF(LOWER(TRIM('01_Master_Data'!AJ343&amp;""))="yes","Need Review",IF(LOWER(J343)="critical","Critical",IF(LOWER(U343)="risk","Risk Case",IF(X343="Refund","Refund","Normal")))))))</f>
        <v/>
      </c>
      <c r="AB343">
        <f>IF(A343="","",IF(OR(LOWER(J343)="critical",LOWER(TRIM('01_Master_Data'!AI343&amp;""))="yes",LOWER(TRIM('01_Master_Data'!AK343&amp;""))="yes",LOWER(U343)="risk"),"Yes","No"))</f>
        <v/>
      </c>
      <c r="AC343">
        <f>IF(A343="","",IF(LOWER(TRIM('01_Master_Data'!AI343&amp;""))="yes","Yes","No"))</f>
        <v/>
      </c>
      <c r="AD343">
        <f>IF(A343="","",IF(LOWER(TRIM('01_Master_Data'!AK343&amp;""))="yes","Yes","No"))</f>
        <v/>
      </c>
      <c r="AE343">
        <f>IF(A343="","",IF(LOWER(TRIM('01_Master_Data'!AJ343&amp;""))="yes","Yes","No"))</f>
        <v/>
      </c>
      <c r="AF343">
        <f>IF(A343="","",TRIM('01_Master_Data'!AL343&amp;""))</f>
        <v/>
      </c>
      <c r="AG343">
        <f>IF(A343="","",IF(AF343="","—",IF(ISNUMBER(SEARCH("DNP",AF343)),"Unreachable / DNP",IF(ISNUMBER(SEARCH("interest",LOWER(AF343))),"High Interest / Terms",IF(OR(ISNUMBER(SEARCH("eligib",LOWER(AF343))),ISNUMBER(SEARCH("income",LOWER(AF343)))),"Eligibility / Income",IF(OR(ISNUMBER(SEARCH("start",LOWER(AF343))),ISNUMBER(SEARCH("Newer",AF343)),ISNUMBER(SEARCH("Will start",AF343))),"Process Yet to Start",IF(ISNUMBER(SEARCH("sure",LOWER(AF343))),"Undecided",IF(OR(ISNUMBER(SEARCH("reject",LOWER(AF343))),ISNUMBER(SEARCH("SBI",AF343))),"Rejected Elsewhere",IF(ISNUMBER(SEARCH("call",LOWER(AF343))),"Bank Communication",IF(OR(ISNUMBER(SEARCH("father",LOWER(AF343))),ISNUMBER(SEARCH("sister",LOWER(AF343)))),"Family / Dependency","Other"))))))))))</f>
        <v/>
      </c>
      <c r="AH343">
        <f>IF(A343="","",'01_Master_Data'!AC343)</f>
        <v/>
      </c>
      <c r="AI343">
        <f>IF(A343="","",IF(OR(AH343="",NOT(ISNUMBER(AH343))),"",MAX(0,'02_Configuration'!$B$82-AH343)))</f>
        <v/>
      </c>
      <c r="AJ343">
        <f>IF(A343="","",IF(AI343="","Unknown",IF(AI343&lt;=3,"0–3 Days",IF(AI343&lt;=7,"4–7 Days",IF(AI343&lt;=15,"8–15 Days",IF(AI343&lt;=30,"16–30 Days","30+ Days"))))))</f>
        <v/>
      </c>
      <c r="AK343">
        <f>IF(A343="","",IF(LOWER(H343)="yes","Yes","No"))</f>
        <v/>
      </c>
      <c r="AL343">
        <f>IF(A343="","",'01_Master_Data'!T343)</f>
        <v/>
      </c>
      <c r="AM343">
        <f>IF(A343="","",'01_Master_Data'!S343)</f>
        <v/>
      </c>
      <c r="AN343">
        <f>IF(A343="","",'01_Master_Data'!I343)</f>
        <v/>
      </c>
      <c r="AO343">
        <f>IF(A343="","",'01_Master_Data'!M343)</f>
        <v/>
      </c>
      <c r="AP343">
        <f>IF(A343="","",IF(ISNUMBER(SEARCH("Icici",W343&amp;"")),1,0))</f>
        <v/>
      </c>
      <c r="AQ343">
        <f>IF(A343="","",IF(ISNUMBER(SEARCH("Propelld",W343&amp;"")),1,0))</f>
        <v/>
      </c>
      <c r="AR343">
        <f>IF(A343="","",IF(ISNUMBER(SEARCH("GyanDhan",W343&amp;"")),1,0))</f>
        <v/>
      </c>
      <c r="AS343">
        <f>IF(A343="","",IF(ISNUMBER(SEARCH("vidyalakshmi",LOWER(W343&amp;""))),1,0))</f>
        <v/>
      </c>
      <c r="AT343">
        <f>IF(A343="","",IF(ISNUMBER(SEARCH("other bank",LOWER(W343&amp;""))),1,0))</f>
        <v/>
      </c>
      <c r="AU343">
        <f>IF(A343="","",IF(ISNUMBER(SEARCH("sanctioned",LOWER(W343&amp;""))),1,0))</f>
        <v/>
      </c>
      <c r="AV343">
        <f>IF(A343="","",IF(ISNUMBER(SEARCH("Docs Pending",W343&amp;"")),1,0))</f>
        <v/>
      </c>
      <c r="AW343">
        <f>IF(A343="","",IF(OR(X343="Rejected",ISNUMBER(SEARCH("Not eligbile",W343&amp;""))),1,0))</f>
        <v/>
      </c>
    </row>
    <row r="344">
      <c r="A344">
        <f>IF('01_Master_Data'!B344="","",343)</f>
        <v/>
      </c>
      <c r="B344">
        <f>IF('01_Master_Data'!B344="","",IF('01_Master_Data'!C344&lt;&gt;"","MOB|"&amp;TEXT('01_Master_Data'!C344,"0"),IF('01_Master_Data'!D344&lt;&gt;"","PID|"&amp;TRIM('01_Master_Data'!D344&amp;""),"")))</f>
        <v/>
      </c>
      <c r="C344">
        <f>IF('01_Master_Data'!B344="","",'01_Master_Data'!B344)</f>
        <v/>
      </c>
      <c r="D344">
        <f>IF('01_Master_Data'!B344="","",'01_Master_Data'!C344)</f>
        <v/>
      </c>
      <c r="E344">
        <f>IF('01_Master_Data'!B344="","",'01_Master_Data'!D344)</f>
        <v/>
      </c>
      <c r="F344">
        <f>IF('01_Master_Data'!B344="","",'01_Master_Data'!E344)</f>
        <v/>
      </c>
      <c r="G344">
        <f>IF('01_Master_Data'!B344="","",IFERROR(VLOOKUP(TRIM('01_Master_Data'!E344&amp;""),'02_Configuration'!$A$40:$B$44,2,FALSE),UPPER(TRIM('01_Master_Data'!E344&amp;""))))</f>
        <v/>
      </c>
      <c r="H344">
        <f>IF('01_Master_Data'!B344="","",IF('01_Master_Data'!U344="","",TRIM('01_Master_Data'!U344&amp;"")))</f>
        <v/>
      </c>
      <c r="I344">
        <f>IF('01_Master_Data'!B344="","",TRIM('01_Master_Data'!F344&amp;""))</f>
        <v/>
      </c>
      <c r="J344">
        <f>IF('01_Master_Data'!B344="","",TRIM('01_Master_Data'!G344&amp;""))</f>
        <v/>
      </c>
      <c r="K344">
        <f>IF('01_Master_Data'!B344="","",'01_Master_Data'!H344)</f>
        <v/>
      </c>
      <c r="L344">
        <f>IF('01_Master_Data'!B344="","",IF(LOWER(TRIM('01_Master_Data'!V344&amp;""))="yes",1,0))</f>
        <v/>
      </c>
      <c r="M344">
        <f>IF('01_Master_Data'!B344="","",IF(LOWER(TRIM('01_Master_Data'!W344&amp;""))="yes",1,0))</f>
        <v/>
      </c>
      <c r="N344">
        <f>IF('01_Master_Data'!B344="","",IF(LOWER(TRIM('01_Master_Data'!X344&amp;""))="yes",1,0))</f>
        <v/>
      </c>
      <c r="O344">
        <f>IF('01_Master_Data'!B344="","",IF(LOWER(TRIM('01_Master_Data'!Y344&amp;""))="yes",1,0))</f>
        <v/>
      </c>
      <c r="P344">
        <f>IF('01_Master_Data'!B344="","",IF(LOWER(TRIM('01_Master_Data'!Z344&amp;""))="yes",1,0))</f>
        <v/>
      </c>
      <c r="Q344">
        <f>IF(A344="","",L344+M344+N344+O344+P344)</f>
        <v/>
      </c>
      <c r="R344">
        <f>IF(A344="","",IF(Q344&gt;1,"Yes","No"))</f>
        <v/>
      </c>
      <c r="S344">
        <f>IF(A344="","",TEXTJOIN(", ",TRUE,IF(L344=1,"ICICI",""),IF(M344=1,"Propelld",""),IF(N344=1,"Study4Buddy",""),IF(O344=1,"Poonawala Fincorp",""),IF(P344=1,"GyanDhan","")))</f>
        <v/>
      </c>
      <c r="T344">
        <f>IF(A344="","",IF(L344=1,"ICICI",IF(M344=1,"Propelld",IF(P344=1,"GyanDhan",IF(N344=1,"Study4Buddy",IF(O344=1,"Poonawala Fincorp",IF(ISNUMBER(SEARCH("GyanDhan",W344&amp;"")),"GyanDhan",IF(ISNUMBER(SEARCH("Icici",W344&amp;"")),"ICICI",IF(ISNUMBER(SEARCH("Propelld",W344&amp;"")),"Propelld",IF(ISNUMBER(SEARCH("vidyalakshmi",LOWER(W344&amp;"")),"PM Vidyalakshmi","—"))))))))))</f>
        <v/>
      </c>
      <c r="U344">
        <f>IF(A344="","",TRIM('01_Master_Data'!AA344&amp;""))</f>
        <v/>
      </c>
      <c r="V344">
        <f>IF(A344="","",TRIM('01_Master_Data'!AG344&amp;""))</f>
        <v/>
      </c>
      <c r="W344">
        <f>IF(A344="","",TRIM('01_Master_Data'!AH344&amp;""))</f>
        <v/>
      </c>
      <c r="X344">
        <f>IF(A344="","",IF(OR(LOWER(H344)="refund",LOWER(U344)="refund case"),"Refund",IF(OR(LOWER(H344)="dnp",LOWER(U344)="dnp"),"DNP",IF(OR(LOWER(V344)="disbursed",ISNUMBER(SEARCH("Disbursed",W344&amp;""))),"Disbursed",IF(OR(LOWER(V344)="loan proccessed/accepted",ISNUMBER(SEARCH("sanctioned",LOWER(W344&amp;"")))),"Sanctioned",IF(OR(LOWER(V344)="rejected",ISNUMBER(SEARCH("Not eligbile",W344&amp;"")),ISNUMBER(SEARCH("Not eligible",W344&amp;""))),"Rejected",IF(ISNUMBER(SEARCH("Docs Pending",W344&amp;"")),"Documents Pending",IF(AND(LOWER(H344)="yes",LOWER(V344)="ongoing"),"Processing",IF(AND(LOWER(H344)="yes",Q344&gt;0,OR(V344="",LOWER(V344)="not even started")),"Vendor Assigned",IF(AND(LOWER(H344)="yes",LOWER(V344)="not even started"),"Need Loan",IF(LOWER(H344)="yes","Loan Started",IF(LOWER(H344)="not sure","Interested",IF(OR(LOWER(H344)="no",LOWER(V344)="not required"),"Not Required","Unclassified")))))))))))))</f>
        <v/>
      </c>
      <c r="Y344">
        <f>IF(A344="","",IF(OR(X344="Sanctioned",X344="Disbursed",X344="Approved"),"Approved",IF(X344="Rejected","Rejected",IF(OR(X344="Processing",X344="Documents Pending",X344="Vendor Assigned"),"In Progress",IF(X344="Need Loan","Pending Start","—"))))</f>
        <v/>
      </c>
      <c r="Z344">
        <f>IF(A344="","",IF(X344="Disbursed","Disbursed",IF(X344="Sanctioned","Sanctioned - Awaiting Disbursement","Not Disbursed")))</f>
        <v/>
      </c>
      <c r="AA344">
        <f>IF(A344="","",IF(LOWER(TRIM('01_Master_Data'!AI344&amp;""))="yes","Need FLDG",IF(LOWER(TRIM('01_Master_Data'!AK344&amp;""))="yes","Need Vidyalakshmi",IF(LOWER(TRIM('01_Master_Data'!AJ344&amp;""))="yes","Need Review",IF(LOWER(J344)="critical","Critical",IF(LOWER(U344)="risk","Risk Case",IF(X344="Refund","Refund","Normal")))))))</f>
        <v/>
      </c>
      <c r="AB344">
        <f>IF(A344="","",IF(OR(LOWER(J344)="critical",LOWER(TRIM('01_Master_Data'!AI344&amp;""))="yes",LOWER(TRIM('01_Master_Data'!AK344&amp;""))="yes",LOWER(U344)="risk"),"Yes","No"))</f>
        <v/>
      </c>
      <c r="AC344">
        <f>IF(A344="","",IF(LOWER(TRIM('01_Master_Data'!AI344&amp;""))="yes","Yes","No"))</f>
        <v/>
      </c>
      <c r="AD344">
        <f>IF(A344="","",IF(LOWER(TRIM('01_Master_Data'!AK344&amp;""))="yes","Yes","No"))</f>
        <v/>
      </c>
      <c r="AE344">
        <f>IF(A344="","",IF(LOWER(TRIM('01_Master_Data'!AJ344&amp;""))="yes","Yes","No"))</f>
        <v/>
      </c>
      <c r="AF344">
        <f>IF(A344="","",TRIM('01_Master_Data'!AL344&amp;""))</f>
        <v/>
      </c>
      <c r="AG344">
        <f>IF(A344="","",IF(AF344="","—",IF(ISNUMBER(SEARCH("DNP",AF344)),"Unreachable / DNP",IF(ISNUMBER(SEARCH("interest",LOWER(AF344))),"High Interest / Terms",IF(OR(ISNUMBER(SEARCH("eligib",LOWER(AF344))),ISNUMBER(SEARCH("income",LOWER(AF344)))),"Eligibility / Income",IF(OR(ISNUMBER(SEARCH("start",LOWER(AF344))),ISNUMBER(SEARCH("Newer",AF344)),ISNUMBER(SEARCH("Will start",AF344))),"Process Yet to Start",IF(ISNUMBER(SEARCH("sure",LOWER(AF344))),"Undecided",IF(OR(ISNUMBER(SEARCH("reject",LOWER(AF344))),ISNUMBER(SEARCH("SBI",AF344))),"Rejected Elsewhere",IF(ISNUMBER(SEARCH("call",LOWER(AF344))),"Bank Communication",IF(OR(ISNUMBER(SEARCH("father",LOWER(AF344))),ISNUMBER(SEARCH("sister",LOWER(AF344)))),"Family / Dependency","Other"))))))))))</f>
        <v/>
      </c>
      <c r="AH344">
        <f>IF(A344="","",'01_Master_Data'!AC344)</f>
        <v/>
      </c>
      <c r="AI344">
        <f>IF(A344="","",IF(OR(AH344="",NOT(ISNUMBER(AH344))),"",MAX(0,'02_Configuration'!$B$82-AH344)))</f>
        <v/>
      </c>
      <c r="AJ344">
        <f>IF(A344="","",IF(AI344="","Unknown",IF(AI344&lt;=3,"0–3 Days",IF(AI344&lt;=7,"4–7 Days",IF(AI344&lt;=15,"8–15 Days",IF(AI344&lt;=30,"16–30 Days","30+ Days"))))))</f>
        <v/>
      </c>
      <c r="AK344">
        <f>IF(A344="","",IF(LOWER(H344)="yes","Yes","No"))</f>
        <v/>
      </c>
      <c r="AL344">
        <f>IF(A344="","",'01_Master_Data'!T344)</f>
        <v/>
      </c>
      <c r="AM344">
        <f>IF(A344="","",'01_Master_Data'!S344)</f>
        <v/>
      </c>
      <c r="AN344">
        <f>IF(A344="","",'01_Master_Data'!I344)</f>
        <v/>
      </c>
      <c r="AO344">
        <f>IF(A344="","",'01_Master_Data'!M344)</f>
        <v/>
      </c>
      <c r="AP344">
        <f>IF(A344="","",IF(ISNUMBER(SEARCH("Icici",W344&amp;"")),1,0))</f>
        <v/>
      </c>
      <c r="AQ344">
        <f>IF(A344="","",IF(ISNUMBER(SEARCH("Propelld",W344&amp;"")),1,0))</f>
        <v/>
      </c>
      <c r="AR344">
        <f>IF(A344="","",IF(ISNUMBER(SEARCH("GyanDhan",W344&amp;"")),1,0))</f>
        <v/>
      </c>
      <c r="AS344">
        <f>IF(A344="","",IF(ISNUMBER(SEARCH("vidyalakshmi",LOWER(W344&amp;""))),1,0))</f>
        <v/>
      </c>
      <c r="AT344">
        <f>IF(A344="","",IF(ISNUMBER(SEARCH("other bank",LOWER(W344&amp;""))),1,0))</f>
        <v/>
      </c>
      <c r="AU344">
        <f>IF(A344="","",IF(ISNUMBER(SEARCH("sanctioned",LOWER(W344&amp;""))),1,0))</f>
        <v/>
      </c>
      <c r="AV344">
        <f>IF(A344="","",IF(ISNUMBER(SEARCH("Docs Pending",W344&amp;"")),1,0))</f>
        <v/>
      </c>
      <c r="AW344">
        <f>IF(A344="","",IF(OR(X344="Rejected",ISNUMBER(SEARCH("Not eligbile",W344&amp;""))),1,0))</f>
        <v/>
      </c>
    </row>
    <row r="345">
      <c r="A345">
        <f>IF('01_Master_Data'!B345="","",344)</f>
        <v/>
      </c>
      <c r="B345">
        <f>IF('01_Master_Data'!B345="","",IF('01_Master_Data'!C345&lt;&gt;"","MOB|"&amp;TEXT('01_Master_Data'!C345,"0"),IF('01_Master_Data'!D345&lt;&gt;"","PID|"&amp;TRIM('01_Master_Data'!D345&amp;""),"")))</f>
        <v/>
      </c>
      <c r="C345">
        <f>IF('01_Master_Data'!B345="","",'01_Master_Data'!B345)</f>
        <v/>
      </c>
      <c r="D345">
        <f>IF('01_Master_Data'!B345="","",'01_Master_Data'!C345)</f>
        <v/>
      </c>
      <c r="E345">
        <f>IF('01_Master_Data'!B345="","",'01_Master_Data'!D345)</f>
        <v/>
      </c>
      <c r="F345">
        <f>IF('01_Master_Data'!B345="","",'01_Master_Data'!E345)</f>
        <v/>
      </c>
      <c r="G345">
        <f>IF('01_Master_Data'!B345="","",IFERROR(VLOOKUP(TRIM('01_Master_Data'!E345&amp;""),'02_Configuration'!$A$40:$B$44,2,FALSE),UPPER(TRIM('01_Master_Data'!E345&amp;""))))</f>
        <v/>
      </c>
      <c r="H345">
        <f>IF('01_Master_Data'!B345="","",IF('01_Master_Data'!U345="","",TRIM('01_Master_Data'!U345&amp;"")))</f>
        <v/>
      </c>
      <c r="I345">
        <f>IF('01_Master_Data'!B345="","",TRIM('01_Master_Data'!F345&amp;""))</f>
        <v/>
      </c>
      <c r="J345">
        <f>IF('01_Master_Data'!B345="","",TRIM('01_Master_Data'!G345&amp;""))</f>
        <v/>
      </c>
      <c r="K345">
        <f>IF('01_Master_Data'!B345="","",'01_Master_Data'!H345)</f>
        <v/>
      </c>
      <c r="L345">
        <f>IF('01_Master_Data'!B345="","",IF(LOWER(TRIM('01_Master_Data'!V345&amp;""))="yes",1,0))</f>
        <v/>
      </c>
      <c r="M345">
        <f>IF('01_Master_Data'!B345="","",IF(LOWER(TRIM('01_Master_Data'!W345&amp;""))="yes",1,0))</f>
        <v/>
      </c>
      <c r="N345">
        <f>IF('01_Master_Data'!B345="","",IF(LOWER(TRIM('01_Master_Data'!X345&amp;""))="yes",1,0))</f>
        <v/>
      </c>
      <c r="O345">
        <f>IF('01_Master_Data'!B345="","",IF(LOWER(TRIM('01_Master_Data'!Y345&amp;""))="yes",1,0))</f>
        <v/>
      </c>
      <c r="P345">
        <f>IF('01_Master_Data'!B345="","",IF(LOWER(TRIM('01_Master_Data'!Z345&amp;""))="yes",1,0))</f>
        <v/>
      </c>
      <c r="Q345">
        <f>IF(A345="","",L345+M345+N345+O345+P345)</f>
        <v/>
      </c>
      <c r="R345">
        <f>IF(A345="","",IF(Q345&gt;1,"Yes","No"))</f>
        <v/>
      </c>
      <c r="S345">
        <f>IF(A345="","",TEXTJOIN(", ",TRUE,IF(L345=1,"ICICI",""),IF(M345=1,"Propelld",""),IF(N345=1,"Study4Buddy",""),IF(O345=1,"Poonawala Fincorp",""),IF(P345=1,"GyanDhan","")))</f>
        <v/>
      </c>
      <c r="T345">
        <f>IF(A345="","",IF(L345=1,"ICICI",IF(M345=1,"Propelld",IF(P345=1,"GyanDhan",IF(N345=1,"Study4Buddy",IF(O345=1,"Poonawala Fincorp",IF(ISNUMBER(SEARCH("GyanDhan",W345&amp;"")),"GyanDhan",IF(ISNUMBER(SEARCH("Icici",W345&amp;"")),"ICICI",IF(ISNUMBER(SEARCH("Propelld",W345&amp;"")),"Propelld",IF(ISNUMBER(SEARCH("vidyalakshmi",LOWER(W345&amp;"")),"PM Vidyalakshmi","—"))))))))))</f>
        <v/>
      </c>
      <c r="U345">
        <f>IF(A345="","",TRIM('01_Master_Data'!AA345&amp;""))</f>
        <v/>
      </c>
      <c r="V345">
        <f>IF(A345="","",TRIM('01_Master_Data'!AG345&amp;""))</f>
        <v/>
      </c>
      <c r="W345">
        <f>IF(A345="","",TRIM('01_Master_Data'!AH345&amp;""))</f>
        <v/>
      </c>
      <c r="X345">
        <f>IF(A345="","",IF(OR(LOWER(H345)="refund",LOWER(U345)="refund case"),"Refund",IF(OR(LOWER(H345)="dnp",LOWER(U345)="dnp"),"DNP",IF(OR(LOWER(V345)="disbursed",ISNUMBER(SEARCH("Disbursed",W345&amp;""))),"Disbursed",IF(OR(LOWER(V345)="loan proccessed/accepted",ISNUMBER(SEARCH("sanctioned",LOWER(W345&amp;"")))),"Sanctioned",IF(OR(LOWER(V345)="rejected",ISNUMBER(SEARCH("Not eligbile",W345&amp;"")),ISNUMBER(SEARCH("Not eligible",W345&amp;""))),"Rejected",IF(ISNUMBER(SEARCH("Docs Pending",W345&amp;"")),"Documents Pending",IF(AND(LOWER(H345)="yes",LOWER(V345)="ongoing"),"Processing",IF(AND(LOWER(H345)="yes",Q345&gt;0,OR(V345="",LOWER(V345)="not even started")),"Vendor Assigned",IF(AND(LOWER(H345)="yes",LOWER(V345)="not even started"),"Need Loan",IF(LOWER(H345)="yes","Loan Started",IF(LOWER(H345)="not sure","Interested",IF(OR(LOWER(H345)="no",LOWER(V345)="not required"),"Not Required","Unclassified")))))))))))))</f>
        <v/>
      </c>
      <c r="Y345">
        <f>IF(A345="","",IF(OR(X345="Sanctioned",X345="Disbursed",X345="Approved"),"Approved",IF(X345="Rejected","Rejected",IF(OR(X345="Processing",X345="Documents Pending",X345="Vendor Assigned"),"In Progress",IF(X345="Need Loan","Pending Start","—"))))</f>
        <v/>
      </c>
      <c r="Z345">
        <f>IF(A345="","",IF(X345="Disbursed","Disbursed",IF(X345="Sanctioned","Sanctioned - Awaiting Disbursement","Not Disbursed")))</f>
        <v/>
      </c>
      <c r="AA345">
        <f>IF(A345="","",IF(LOWER(TRIM('01_Master_Data'!AI345&amp;""))="yes","Need FLDG",IF(LOWER(TRIM('01_Master_Data'!AK345&amp;""))="yes","Need Vidyalakshmi",IF(LOWER(TRIM('01_Master_Data'!AJ345&amp;""))="yes","Need Review",IF(LOWER(J345)="critical","Critical",IF(LOWER(U345)="risk","Risk Case",IF(X345="Refund","Refund","Normal")))))))</f>
        <v/>
      </c>
      <c r="AB345">
        <f>IF(A345="","",IF(OR(LOWER(J345)="critical",LOWER(TRIM('01_Master_Data'!AI345&amp;""))="yes",LOWER(TRIM('01_Master_Data'!AK345&amp;""))="yes",LOWER(U345)="risk"),"Yes","No"))</f>
        <v/>
      </c>
      <c r="AC345">
        <f>IF(A345="","",IF(LOWER(TRIM('01_Master_Data'!AI345&amp;""))="yes","Yes","No"))</f>
        <v/>
      </c>
      <c r="AD345">
        <f>IF(A345="","",IF(LOWER(TRIM('01_Master_Data'!AK345&amp;""))="yes","Yes","No"))</f>
        <v/>
      </c>
      <c r="AE345">
        <f>IF(A345="","",IF(LOWER(TRIM('01_Master_Data'!AJ345&amp;""))="yes","Yes","No"))</f>
        <v/>
      </c>
      <c r="AF345">
        <f>IF(A345="","",TRIM('01_Master_Data'!AL345&amp;""))</f>
        <v/>
      </c>
      <c r="AG345">
        <f>IF(A345="","",IF(AF345="","—",IF(ISNUMBER(SEARCH("DNP",AF345)),"Unreachable / DNP",IF(ISNUMBER(SEARCH("interest",LOWER(AF345))),"High Interest / Terms",IF(OR(ISNUMBER(SEARCH("eligib",LOWER(AF345))),ISNUMBER(SEARCH("income",LOWER(AF345)))),"Eligibility / Income",IF(OR(ISNUMBER(SEARCH("start",LOWER(AF345))),ISNUMBER(SEARCH("Newer",AF345)),ISNUMBER(SEARCH("Will start",AF345))),"Process Yet to Start",IF(ISNUMBER(SEARCH("sure",LOWER(AF345))),"Undecided",IF(OR(ISNUMBER(SEARCH("reject",LOWER(AF345))),ISNUMBER(SEARCH("SBI",AF345))),"Rejected Elsewhere",IF(ISNUMBER(SEARCH("call",LOWER(AF345))),"Bank Communication",IF(OR(ISNUMBER(SEARCH("father",LOWER(AF345))),ISNUMBER(SEARCH("sister",LOWER(AF345)))),"Family / Dependency","Other"))))))))))</f>
        <v/>
      </c>
      <c r="AH345">
        <f>IF(A345="","",'01_Master_Data'!AC345)</f>
        <v/>
      </c>
      <c r="AI345">
        <f>IF(A345="","",IF(OR(AH345="",NOT(ISNUMBER(AH345))),"",MAX(0,'02_Configuration'!$B$82-AH345)))</f>
        <v/>
      </c>
      <c r="AJ345">
        <f>IF(A345="","",IF(AI345="","Unknown",IF(AI345&lt;=3,"0–3 Days",IF(AI345&lt;=7,"4–7 Days",IF(AI345&lt;=15,"8–15 Days",IF(AI345&lt;=30,"16–30 Days","30+ Days"))))))</f>
        <v/>
      </c>
      <c r="AK345">
        <f>IF(A345="","",IF(LOWER(H345)="yes","Yes","No"))</f>
        <v/>
      </c>
      <c r="AL345">
        <f>IF(A345="","",'01_Master_Data'!T345)</f>
        <v/>
      </c>
      <c r="AM345">
        <f>IF(A345="","",'01_Master_Data'!S345)</f>
        <v/>
      </c>
      <c r="AN345">
        <f>IF(A345="","",'01_Master_Data'!I345)</f>
        <v/>
      </c>
      <c r="AO345">
        <f>IF(A345="","",'01_Master_Data'!M345)</f>
        <v/>
      </c>
      <c r="AP345">
        <f>IF(A345="","",IF(ISNUMBER(SEARCH("Icici",W345&amp;"")),1,0))</f>
        <v/>
      </c>
      <c r="AQ345">
        <f>IF(A345="","",IF(ISNUMBER(SEARCH("Propelld",W345&amp;"")),1,0))</f>
        <v/>
      </c>
      <c r="AR345">
        <f>IF(A345="","",IF(ISNUMBER(SEARCH("GyanDhan",W345&amp;"")),1,0))</f>
        <v/>
      </c>
      <c r="AS345">
        <f>IF(A345="","",IF(ISNUMBER(SEARCH("vidyalakshmi",LOWER(W345&amp;""))),1,0))</f>
        <v/>
      </c>
      <c r="AT345">
        <f>IF(A345="","",IF(ISNUMBER(SEARCH("other bank",LOWER(W345&amp;""))),1,0))</f>
        <v/>
      </c>
      <c r="AU345">
        <f>IF(A345="","",IF(ISNUMBER(SEARCH("sanctioned",LOWER(W345&amp;""))),1,0))</f>
        <v/>
      </c>
      <c r="AV345">
        <f>IF(A345="","",IF(ISNUMBER(SEARCH("Docs Pending",W345&amp;"")),1,0))</f>
        <v/>
      </c>
      <c r="AW345">
        <f>IF(A345="","",IF(OR(X345="Rejected",ISNUMBER(SEARCH("Not eligbile",W345&amp;""))),1,0))</f>
        <v/>
      </c>
    </row>
    <row r="346">
      <c r="A346">
        <f>IF('01_Master_Data'!B346="","",345)</f>
        <v/>
      </c>
      <c r="B346">
        <f>IF('01_Master_Data'!B346="","",IF('01_Master_Data'!C346&lt;&gt;"","MOB|"&amp;TEXT('01_Master_Data'!C346,"0"),IF('01_Master_Data'!D346&lt;&gt;"","PID|"&amp;TRIM('01_Master_Data'!D346&amp;""),"")))</f>
        <v/>
      </c>
      <c r="C346">
        <f>IF('01_Master_Data'!B346="","",'01_Master_Data'!B346)</f>
        <v/>
      </c>
      <c r="D346">
        <f>IF('01_Master_Data'!B346="","",'01_Master_Data'!C346)</f>
        <v/>
      </c>
      <c r="E346">
        <f>IF('01_Master_Data'!B346="","",'01_Master_Data'!D346)</f>
        <v/>
      </c>
      <c r="F346">
        <f>IF('01_Master_Data'!B346="","",'01_Master_Data'!E346)</f>
        <v/>
      </c>
      <c r="G346">
        <f>IF('01_Master_Data'!B346="","",IFERROR(VLOOKUP(TRIM('01_Master_Data'!E346&amp;""),'02_Configuration'!$A$40:$B$44,2,FALSE),UPPER(TRIM('01_Master_Data'!E346&amp;""))))</f>
        <v/>
      </c>
      <c r="H346">
        <f>IF('01_Master_Data'!B346="","",IF('01_Master_Data'!U346="","",TRIM('01_Master_Data'!U346&amp;"")))</f>
        <v/>
      </c>
      <c r="I346">
        <f>IF('01_Master_Data'!B346="","",TRIM('01_Master_Data'!F346&amp;""))</f>
        <v/>
      </c>
      <c r="J346">
        <f>IF('01_Master_Data'!B346="","",TRIM('01_Master_Data'!G346&amp;""))</f>
        <v/>
      </c>
      <c r="K346">
        <f>IF('01_Master_Data'!B346="","",'01_Master_Data'!H346)</f>
        <v/>
      </c>
      <c r="L346">
        <f>IF('01_Master_Data'!B346="","",IF(LOWER(TRIM('01_Master_Data'!V346&amp;""))="yes",1,0))</f>
        <v/>
      </c>
      <c r="M346">
        <f>IF('01_Master_Data'!B346="","",IF(LOWER(TRIM('01_Master_Data'!W346&amp;""))="yes",1,0))</f>
        <v/>
      </c>
      <c r="N346">
        <f>IF('01_Master_Data'!B346="","",IF(LOWER(TRIM('01_Master_Data'!X346&amp;""))="yes",1,0))</f>
        <v/>
      </c>
      <c r="O346">
        <f>IF('01_Master_Data'!B346="","",IF(LOWER(TRIM('01_Master_Data'!Y346&amp;""))="yes",1,0))</f>
        <v/>
      </c>
      <c r="P346">
        <f>IF('01_Master_Data'!B346="","",IF(LOWER(TRIM('01_Master_Data'!Z346&amp;""))="yes",1,0))</f>
        <v/>
      </c>
      <c r="Q346">
        <f>IF(A346="","",L346+M346+N346+O346+P346)</f>
        <v/>
      </c>
      <c r="R346">
        <f>IF(A346="","",IF(Q346&gt;1,"Yes","No"))</f>
        <v/>
      </c>
      <c r="S346">
        <f>IF(A346="","",TEXTJOIN(", ",TRUE,IF(L346=1,"ICICI",""),IF(M346=1,"Propelld",""),IF(N346=1,"Study4Buddy",""),IF(O346=1,"Poonawala Fincorp",""),IF(P346=1,"GyanDhan","")))</f>
        <v/>
      </c>
      <c r="T346">
        <f>IF(A346="","",IF(L346=1,"ICICI",IF(M346=1,"Propelld",IF(P346=1,"GyanDhan",IF(N346=1,"Study4Buddy",IF(O346=1,"Poonawala Fincorp",IF(ISNUMBER(SEARCH("GyanDhan",W346&amp;"")),"GyanDhan",IF(ISNUMBER(SEARCH("Icici",W346&amp;"")),"ICICI",IF(ISNUMBER(SEARCH("Propelld",W346&amp;"")),"Propelld",IF(ISNUMBER(SEARCH("vidyalakshmi",LOWER(W346&amp;"")),"PM Vidyalakshmi","—"))))))))))</f>
        <v/>
      </c>
      <c r="U346">
        <f>IF(A346="","",TRIM('01_Master_Data'!AA346&amp;""))</f>
        <v/>
      </c>
      <c r="V346">
        <f>IF(A346="","",TRIM('01_Master_Data'!AG346&amp;""))</f>
        <v/>
      </c>
      <c r="W346">
        <f>IF(A346="","",TRIM('01_Master_Data'!AH346&amp;""))</f>
        <v/>
      </c>
      <c r="X346">
        <f>IF(A346="","",IF(OR(LOWER(H346)="refund",LOWER(U346)="refund case"),"Refund",IF(OR(LOWER(H346)="dnp",LOWER(U346)="dnp"),"DNP",IF(OR(LOWER(V346)="disbursed",ISNUMBER(SEARCH("Disbursed",W346&amp;""))),"Disbursed",IF(OR(LOWER(V346)="loan proccessed/accepted",ISNUMBER(SEARCH("sanctioned",LOWER(W346&amp;"")))),"Sanctioned",IF(OR(LOWER(V346)="rejected",ISNUMBER(SEARCH("Not eligbile",W346&amp;"")),ISNUMBER(SEARCH("Not eligible",W346&amp;""))),"Rejected",IF(ISNUMBER(SEARCH("Docs Pending",W346&amp;"")),"Documents Pending",IF(AND(LOWER(H346)="yes",LOWER(V346)="ongoing"),"Processing",IF(AND(LOWER(H346)="yes",Q346&gt;0,OR(V346="",LOWER(V346)="not even started")),"Vendor Assigned",IF(AND(LOWER(H346)="yes",LOWER(V346)="not even started"),"Need Loan",IF(LOWER(H346)="yes","Loan Started",IF(LOWER(H346)="not sure","Interested",IF(OR(LOWER(H346)="no",LOWER(V346)="not required"),"Not Required","Unclassified")))))))))))))</f>
        <v/>
      </c>
      <c r="Y346">
        <f>IF(A346="","",IF(OR(X346="Sanctioned",X346="Disbursed",X346="Approved"),"Approved",IF(X346="Rejected","Rejected",IF(OR(X346="Processing",X346="Documents Pending",X346="Vendor Assigned"),"In Progress",IF(X346="Need Loan","Pending Start","—"))))</f>
        <v/>
      </c>
      <c r="Z346">
        <f>IF(A346="","",IF(X346="Disbursed","Disbursed",IF(X346="Sanctioned","Sanctioned - Awaiting Disbursement","Not Disbursed")))</f>
        <v/>
      </c>
      <c r="AA346">
        <f>IF(A346="","",IF(LOWER(TRIM('01_Master_Data'!AI346&amp;""))="yes","Need FLDG",IF(LOWER(TRIM('01_Master_Data'!AK346&amp;""))="yes","Need Vidyalakshmi",IF(LOWER(TRIM('01_Master_Data'!AJ346&amp;""))="yes","Need Review",IF(LOWER(J346)="critical","Critical",IF(LOWER(U346)="risk","Risk Case",IF(X346="Refund","Refund","Normal")))))))</f>
        <v/>
      </c>
      <c r="AB346">
        <f>IF(A346="","",IF(OR(LOWER(J346)="critical",LOWER(TRIM('01_Master_Data'!AI346&amp;""))="yes",LOWER(TRIM('01_Master_Data'!AK346&amp;""))="yes",LOWER(U346)="risk"),"Yes","No"))</f>
        <v/>
      </c>
      <c r="AC346">
        <f>IF(A346="","",IF(LOWER(TRIM('01_Master_Data'!AI346&amp;""))="yes","Yes","No"))</f>
        <v/>
      </c>
      <c r="AD346">
        <f>IF(A346="","",IF(LOWER(TRIM('01_Master_Data'!AK346&amp;""))="yes","Yes","No"))</f>
        <v/>
      </c>
      <c r="AE346">
        <f>IF(A346="","",IF(LOWER(TRIM('01_Master_Data'!AJ346&amp;""))="yes","Yes","No"))</f>
        <v/>
      </c>
      <c r="AF346">
        <f>IF(A346="","",TRIM('01_Master_Data'!AL346&amp;""))</f>
        <v/>
      </c>
      <c r="AG346">
        <f>IF(A346="","",IF(AF346="","—",IF(ISNUMBER(SEARCH("DNP",AF346)),"Unreachable / DNP",IF(ISNUMBER(SEARCH("interest",LOWER(AF346))),"High Interest / Terms",IF(OR(ISNUMBER(SEARCH("eligib",LOWER(AF346))),ISNUMBER(SEARCH("income",LOWER(AF346)))),"Eligibility / Income",IF(OR(ISNUMBER(SEARCH("start",LOWER(AF346))),ISNUMBER(SEARCH("Newer",AF346)),ISNUMBER(SEARCH("Will start",AF346))),"Process Yet to Start",IF(ISNUMBER(SEARCH("sure",LOWER(AF346))),"Undecided",IF(OR(ISNUMBER(SEARCH("reject",LOWER(AF346))),ISNUMBER(SEARCH("SBI",AF346))),"Rejected Elsewhere",IF(ISNUMBER(SEARCH("call",LOWER(AF346))),"Bank Communication",IF(OR(ISNUMBER(SEARCH("father",LOWER(AF346))),ISNUMBER(SEARCH("sister",LOWER(AF346)))),"Family / Dependency","Other"))))))))))</f>
        <v/>
      </c>
      <c r="AH346">
        <f>IF(A346="","",'01_Master_Data'!AC346)</f>
        <v/>
      </c>
      <c r="AI346">
        <f>IF(A346="","",IF(OR(AH346="",NOT(ISNUMBER(AH346))),"",MAX(0,'02_Configuration'!$B$82-AH346)))</f>
        <v/>
      </c>
      <c r="AJ346">
        <f>IF(A346="","",IF(AI346="","Unknown",IF(AI346&lt;=3,"0–3 Days",IF(AI346&lt;=7,"4–7 Days",IF(AI346&lt;=15,"8–15 Days",IF(AI346&lt;=30,"16–30 Days","30+ Days"))))))</f>
        <v/>
      </c>
      <c r="AK346">
        <f>IF(A346="","",IF(LOWER(H346)="yes","Yes","No"))</f>
        <v/>
      </c>
      <c r="AL346">
        <f>IF(A346="","",'01_Master_Data'!T346)</f>
        <v/>
      </c>
      <c r="AM346">
        <f>IF(A346="","",'01_Master_Data'!S346)</f>
        <v/>
      </c>
      <c r="AN346">
        <f>IF(A346="","",'01_Master_Data'!I346)</f>
        <v/>
      </c>
      <c r="AO346">
        <f>IF(A346="","",'01_Master_Data'!M346)</f>
        <v/>
      </c>
      <c r="AP346">
        <f>IF(A346="","",IF(ISNUMBER(SEARCH("Icici",W346&amp;"")),1,0))</f>
        <v/>
      </c>
      <c r="AQ346">
        <f>IF(A346="","",IF(ISNUMBER(SEARCH("Propelld",W346&amp;"")),1,0))</f>
        <v/>
      </c>
      <c r="AR346">
        <f>IF(A346="","",IF(ISNUMBER(SEARCH("GyanDhan",W346&amp;"")),1,0))</f>
        <v/>
      </c>
      <c r="AS346">
        <f>IF(A346="","",IF(ISNUMBER(SEARCH("vidyalakshmi",LOWER(W346&amp;""))),1,0))</f>
        <v/>
      </c>
      <c r="AT346">
        <f>IF(A346="","",IF(ISNUMBER(SEARCH("other bank",LOWER(W346&amp;""))),1,0))</f>
        <v/>
      </c>
      <c r="AU346">
        <f>IF(A346="","",IF(ISNUMBER(SEARCH("sanctioned",LOWER(W346&amp;""))),1,0))</f>
        <v/>
      </c>
      <c r="AV346">
        <f>IF(A346="","",IF(ISNUMBER(SEARCH("Docs Pending",W346&amp;"")),1,0))</f>
        <v/>
      </c>
      <c r="AW346">
        <f>IF(A346="","",IF(OR(X346="Rejected",ISNUMBER(SEARCH("Not eligbile",W346&amp;""))),1,0))</f>
        <v/>
      </c>
    </row>
    <row r="347">
      <c r="A347">
        <f>IF('01_Master_Data'!B347="","",346)</f>
        <v/>
      </c>
      <c r="B347">
        <f>IF('01_Master_Data'!B347="","",IF('01_Master_Data'!C347&lt;&gt;"","MOB|"&amp;TEXT('01_Master_Data'!C347,"0"),IF('01_Master_Data'!D347&lt;&gt;"","PID|"&amp;TRIM('01_Master_Data'!D347&amp;""),"")))</f>
        <v/>
      </c>
      <c r="C347">
        <f>IF('01_Master_Data'!B347="","",'01_Master_Data'!B347)</f>
        <v/>
      </c>
      <c r="D347">
        <f>IF('01_Master_Data'!B347="","",'01_Master_Data'!C347)</f>
        <v/>
      </c>
      <c r="E347">
        <f>IF('01_Master_Data'!B347="","",'01_Master_Data'!D347)</f>
        <v/>
      </c>
      <c r="F347">
        <f>IF('01_Master_Data'!B347="","",'01_Master_Data'!E347)</f>
        <v/>
      </c>
      <c r="G347">
        <f>IF('01_Master_Data'!B347="","",IFERROR(VLOOKUP(TRIM('01_Master_Data'!E347&amp;""),'02_Configuration'!$A$40:$B$44,2,FALSE),UPPER(TRIM('01_Master_Data'!E347&amp;""))))</f>
        <v/>
      </c>
      <c r="H347">
        <f>IF('01_Master_Data'!B347="","",IF('01_Master_Data'!U347="","",TRIM('01_Master_Data'!U347&amp;"")))</f>
        <v/>
      </c>
      <c r="I347">
        <f>IF('01_Master_Data'!B347="","",TRIM('01_Master_Data'!F347&amp;""))</f>
        <v/>
      </c>
      <c r="J347">
        <f>IF('01_Master_Data'!B347="","",TRIM('01_Master_Data'!G347&amp;""))</f>
        <v/>
      </c>
      <c r="K347">
        <f>IF('01_Master_Data'!B347="","",'01_Master_Data'!H347)</f>
        <v/>
      </c>
      <c r="L347">
        <f>IF('01_Master_Data'!B347="","",IF(LOWER(TRIM('01_Master_Data'!V347&amp;""))="yes",1,0))</f>
        <v/>
      </c>
      <c r="M347">
        <f>IF('01_Master_Data'!B347="","",IF(LOWER(TRIM('01_Master_Data'!W347&amp;""))="yes",1,0))</f>
        <v/>
      </c>
      <c r="N347">
        <f>IF('01_Master_Data'!B347="","",IF(LOWER(TRIM('01_Master_Data'!X347&amp;""))="yes",1,0))</f>
        <v/>
      </c>
      <c r="O347">
        <f>IF('01_Master_Data'!B347="","",IF(LOWER(TRIM('01_Master_Data'!Y347&amp;""))="yes",1,0))</f>
        <v/>
      </c>
      <c r="P347">
        <f>IF('01_Master_Data'!B347="","",IF(LOWER(TRIM('01_Master_Data'!Z347&amp;""))="yes",1,0))</f>
        <v/>
      </c>
      <c r="Q347">
        <f>IF(A347="","",L347+M347+N347+O347+P347)</f>
        <v/>
      </c>
      <c r="R347">
        <f>IF(A347="","",IF(Q347&gt;1,"Yes","No"))</f>
        <v/>
      </c>
      <c r="S347">
        <f>IF(A347="","",TEXTJOIN(", ",TRUE,IF(L347=1,"ICICI",""),IF(M347=1,"Propelld",""),IF(N347=1,"Study4Buddy",""),IF(O347=1,"Poonawala Fincorp",""),IF(P347=1,"GyanDhan","")))</f>
        <v/>
      </c>
      <c r="T347">
        <f>IF(A347="","",IF(L347=1,"ICICI",IF(M347=1,"Propelld",IF(P347=1,"GyanDhan",IF(N347=1,"Study4Buddy",IF(O347=1,"Poonawala Fincorp",IF(ISNUMBER(SEARCH("GyanDhan",W347&amp;"")),"GyanDhan",IF(ISNUMBER(SEARCH("Icici",W347&amp;"")),"ICICI",IF(ISNUMBER(SEARCH("Propelld",W347&amp;"")),"Propelld",IF(ISNUMBER(SEARCH("vidyalakshmi",LOWER(W347&amp;"")),"PM Vidyalakshmi","—"))))))))))</f>
        <v/>
      </c>
      <c r="U347">
        <f>IF(A347="","",TRIM('01_Master_Data'!AA347&amp;""))</f>
        <v/>
      </c>
      <c r="V347">
        <f>IF(A347="","",TRIM('01_Master_Data'!AG347&amp;""))</f>
        <v/>
      </c>
      <c r="W347">
        <f>IF(A347="","",TRIM('01_Master_Data'!AH347&amp;""))</f>
        <v/>
      </c>
      <c r="X347">
        <f>IF(A347="","",IF(OR(LOWER(H347)="refund",LOWER(U347)="refund case"),"Refund",IF(OR(LOWER(H347)="dnp",LOWER(U347)="dnp"),"DNP",IF(OR(LOWER(V347)="disbursed",ISNUMBER(SEARCH("Disbursed",W347&amp;""))),"Disbursed",IF(OR(LOWER(V347)="loan proccessed/accepted",ISNUMBER(SEARCH("sanctioned",LOWER(W347&amp;"")))),"Sanctioned",IF(OR(LOWER(V347)="rejected",ISNUMBER(SEARCH("Not eligbile",W347&amp;"")),ISNUMBER(SEARCH("Not eligible",W347&amp;""))),"Rejected",IF(ISNUMBER(SEARCH("Docs Pending",W347&amp;"")),"Documents Pending",IF(AND(LOWER(H347)="yes",LOWER(V347)="ongoing"),"Processing",IF(AND(LOWER(H347)="yes",Q347&gt;0,OR(V347="",LOWER(V347)="not even started")),"Vendor Assigned",IF(AND(LOWER(H347)="yes",LOWER(V347)="not even started"),"Need Loan",IF(LOWER(H347)="yes","Loan Started",IF(LOWER(H347)="not sure","Interested",IF(OR(LOWER(H347)="no",LOWER(V347)="not required"),"Not Required","Unclassified")))))))))))))</f>
        <v/>
      </c>
      <c r="Y347">
        <f>IF(A347="","",IF(OR(X347="Sanctioned",X347="Disbursed",X347="Approved"),"Approved",IF(X347="Rejected","Rejected",IF(OR(X347="Processing",X347="Documents Pending",X347="Vendor Assigned"),"In Progress",IF(X347="Need Loan","Pending Start","—"))))</f>
        <v/>
      </c>
      <c r="Z347">
        <f>IF(A347="","",IF(X347="Disbursed","Disbursed",IF(X347="Sanctioned","Sanctioned - Awaiting Disbursement","Not Disbursed")))</f>
        <v/>
      </c>
      <c r="AA347">
        <f>IF(A347="","",IF(LOWER(TRIM('01_Master_Data'!AI347&amp;""))="yes","Need FLDG",IF(LOWER(TRIM('01_Master_Data'!AK347&amp;""))="yes","Need Vidyalakshmi",IF(LOWER(TRIM('01_Master_Data'!AJ347&amp;""))="yes","Need Review",IF(LOWER(J347)="critical","Critical",IF(LOWER(U347)="risk","Risk Case",IF(X347="Refund","Refund","Normal")))))))</f>
        <v/>
      </c>
      <c r="AB347">
        <f>IF(A347="","",IF(OR(LOWER(J347)="critical",LOWER(TRIM('01_Master_Data'!AI347&amp;""))="yes",LOWER(TRIM('01_Master_Data'!AK347&amp;""))="yes",LOWER(U347)="risk"),"Yes","No"))</f>
        <v/>
      </c>
      <c r="AC347">
        <f>IF(A347="","",IF(LOWER(TRIM('01_Master_Data'!AI347&amp;""))="yes","Yes","No"))</f>
        <v/>
      </c>
      <c r="AD347">
        <f>IF(A347="","",IF(LOWER(TRIM('01_Master_Data'!AK347&amp;""))="yes","Yes","No"))</f>
        <v/>
      </c>
      <c r="AE347">
        <f>IF(A347="","",IF(LOWER(TRIM('01_Master_Data'!AJ347&amp;""))="yes","Yes","No"))</f>
        <v/>
      </c>
      <c r="AF347">
        <f>IF(A347="","",TRIM('01_Master_Data'!AL347&amp;""))</f>
        <v/>
      </c>
      <c r="AG347">
        <f>IF(A347="","",IF(AF347="","—",IF(ISNUMBER(SEARCH("DNP",AF347)),"Unreachable / DNP",IF(ISNUMBER(SEARCH("interest",LOWER(AF347))),"High Interest / Terms",IF(OR(ISNUMBER(SEARCH("eligib",LOWER(AF347))),ISNUMBER(SEARCH("income",LOWER(AF347)))),"Eligibility / Income",IF(OR(ISNUMBER(SEARCH("start",LOWER(AF347))),ISNUMBER(SEARCH("Newer",AF347)),ISNUMBER(SEARCH("Will start",AF347))),"Process Yet to Start",IF(ISNUMBER(SEARCH("sure",LOWER(AF347))),"Undecided",IF(OR(ISNUMBER(SEARCH("reject",LOWER(AF347))),ISNUMBER(SEARCH("SBI",AF347))),"Rejected Elsewhere",IF(ISNUMBER(SEARCH("call",LOWER(AF347))),"Bank Communication",IF(OR(ISNUMBER(SEARCH("father",LOWER(AF347))),ISNUMBER(SEARCH("sister",LOWER(AF347)))),"Family / Dependency","Other"))))))))))</f>
        <v/>
      </c>
      <c r="AH347">
        <f>IF(A347="","",'01_Master_Data'!AC347)</f>
        <v/>
      </c>
      <c r="AI347">
        <f>IF(A347="","",IF(OR(AH347="",NOT(ISNUMBER(AH347))),"",MAX(0,'02_Configuration'!$B$82-AH347)))</f>
        <v/>
      </c>
      <c r="AJ347">
        <f>IF(A347="","",IF(AI347="","Unknown",IF(AI347&lt;=3,"0–3 Days",IF(AI347&lt;=7,"4–7 Days",IF(AI347&lt;=15,"8–15 Days",IF(AI347&lt;=30,"16–30 Days","30+ Days"))))))</f>
        <v/>
      </c>
      <c r="AK347">
        <f>IF(A347="","",IF(LOWER(H347)="yes","Yes","No"))</f>
        <v/>
      </c>
      <c r="AL347">
        <f>IF(A347="","",'01_Master_Data'!T347)</f>
        <v/>
      </c>
      <c r="AM347">
        <f>IF(A347="","",'01_Master_Data'!S347)</f>
        <v/>
      </c>
      <c r="AN347">
        <f>IF(A347="","",'01_Master_Data'!I347)</f>
        <v/>
      </c>
      <c r="AO347">
        <f>IF(A347="","",'01_Master_Data'!M347)</f>
        <v/>
      </c>
      <c r="AP347">
        <f>IF(A347="","",IF(ISNUMBER(SEARCH("Icici",W347&amp;"")),1,0))</f>
        <v/>
      </c>
      <c r="AQ347">
        <f>IF(A347="","",IF(ISNUMBER(SEARCH("Propelld",W347&amp;"")),1,0))</f>
        <v/>
      </c>
      <c r="AR347">
        <f>IF(A347="","",IF(ISNUMBER(SEARCH("GyanDhan",W347&amp;"")),1,0))</f>
        <v/>
      </c>
      <c r="AS347">
        <f>IF(A347="","",IF(ISNUMBER(SEARCH("vidyalakshmi",LOWER(W347&amp;""))),1,0))</f>
        <v/>
      </c>
      <c r="AT347">
        <f>IF(A347="","",IF(ISNUMBER(SEARCH("other bank",LOWER(W347&amp;""))),1,0))</f>
        <v/>
      </c>
      <c r="AU347">
        <f>IF(A347="","",IF(ISNUMBER(SEARCH("sanctioned",LOWER(W347&amp;""))),1,0))</f>
        <v/>
      </c>
      <c r="AV347">
        <f>IF(A347="","",IF(ISNUMBER(SEARCH("Docs Pending",W347&amp;"")),1,0))</f>
        <v/>
      </c>
      <c r="AW347">
        <f>IF(A347="","",IF(OR(X347="Rejected",ISNUMBER(SEARCH("Not eligbile",W347&amp;""))),1,0))</f>
        <v/>
      </c>
    </row>
    <row r="348">
      <c r="A348">
        <f>IF('01_Master_Data'!B348="","",347)</f>
        <v/>
      </c>
      <c r="B348">
        <f>IF('01_Master_Data'!B348="","",IF('01_Master_Data'!C348&lt;&gt;"","MOB|"&amp;TEXT('01_Master_Data'!C348,"0"),IF('01_Master_Data'!D348&lt;&gt;"","PID|"&amp;TRIM('01_Master_Data'!D348&amp;""),"")))</f>
        <v/>
      </c>
      <c r="C348">
        <f>IF('01_Master_Data'!B348="","",'01_Master_Data'!B348)</f>
        <v/>
      </c>
      <c r="D348">
        <f>IF('01_Master_Data'!B348="","",'01_Master_Data'!C348)</f>
        <v/>
      </c>
      <c r="E348">
        <f>IF('01_Master_Data'!B348="","",'01_Master_Data'!D348)</f>
        <v/>
      </c>
      <c r="F348">
        <f>IF('01_Master_Data'!B348="","",'01_Master_Data'!E348)</f>
        <v/>
      </c>
      <c r="G348">
        <f>IF('01_Master_Data'!B348="","",IFERROR(VLOOKUP(TRIM('01_Master_Data'!E348&amp;""),'02_Configuration'!$A$40:$B$44,2,FALSE),UPPER(TRIM('01_Master_Data'!E348&amp;""))))</f>
        <v/>
      </c>
      <c r="H348">
        <f>IF('01_Master_Data'!B348="","",IF('01_Master_Data'!U348="","",TRIM('01_Master_Data'!U348&amp;"")))</f>
        <v/>
      </c>
      <c r="I348">
        <f>IF('01_Master_Data'!B348="","",TRIM('01_Master_Data'!F348&amp;""))</f>
        <v/>
      </c>
      <c r="J348">
        <f>IF('01_Master_Data'!B348="","",TRIM('01_Master_Data'!G348&amp;""))</f>
        <v/>
      </c>
      <c r="K348">
        <f>IF('01_Master_Data'!B348="","",'01_Master_Data'!H348)</f>
        <v/>
      </c>
      <c r="L348">
        <f>IF('01_Master_Data'!B348="","",IF(LOWER(TRIM('01_Master_Data'!V348&amp;""))="yes",1,0))</f>
        <v/>
      </c>
      <c r="M348">
        <f>IF('01_Master_Data'!B348="","",IF(LOWER(TRIM('01_Master_Data'!W348&amp;""))="yes",1,0))</f>
        <v/>
      </c>
      <c r="N348">
        <f>IF('01_Master_Data'!B348="","",IF(LOWER(TRIM('01_Master_Data'!X348&amp;""))="yes",1,0))</f>
        <v/>
      </c>
      <c r="O348">
        <f>IF('01_Master_Data'!B348="","",IF(LOWER(TRIM('01_Master_Data'!Y348&amp;""))="yes",1,0))</f>
        <v/>
      </c>
      <c r="P348">
        <f>IF('01_Master_Data'!B348="","",IF(LOWER(TRIM('01_Master_Data'!Z348&amp;""))="yes",1,0))</f>
        <v/>
      </c>
      <c r="Q348">
        <f>IF(A348="","",L348+M348+N348+O348+P348)</f>
        <v/>
      </c>
      <c r="R348">
        <f>IF(A348="","",IF(Q348&gt;1,"Yes","No"))</f>
        <v/>
      </c>
      <c r="S348">
        <f>IF(A348="","",TEXTJOIN(", ",TRUE,IF(L348=1,"ICICI",""),IF(M348=1,"Propelld",""),IF(N348=1,"Study4Buddy",""),IF(O348=1,"Poonawala Fincorp",""),IF(P348=1,"GyanDhan","")))</f>
        <v/>
      </c>
      <c r="T348">
        <f>IF(A348="","",IF(L348=1,"ICICI",IF(M348=1,"Propelld",IF(P348=1,"GyanDhan",IF(N348=1,"Study4Buddy",IF(O348=1,"Poonawala Fincorp",IF(ISNUMBER(SEARCH("GyanDhan",W348&amp;"")),"GyanDhan",IF(ISNUMBER(SEARCH("Icici",W348&amp;"")),"ICICI",IF(ISNUMBER(SEARCH("Propelld",W348&amp;"")),"Propelld",IF(ISNUMBER(SEARCH("vidyalakshmi",LOWER(W348&amp;"")),"PM Vidyalakshmi","—"))))))))))</f>
        <v/>
      </c>
      <c r="U348">
        <f>IF(A348="","",TRIM('01_Master_Data'!AA348&amp;""))</f>
        <v/>
      </c>
      <c r="V348">
        <f>IF(A348="","",TRIM('01_Master_Data'!AG348&amp;""))</f>
        <v/>
      </c>
      <c r="W348">
        <f>IF(A348="","",TRIM('01_Master_Data'!AH348&amp;""))</f>
        <v/>
      </c>
      <c r="X348">
        <f>IF(A348="","",IF(OR(LOWER(H348)="refund",LOWER(U348)="refund case"),"Refund",IF(OR(LOWER(H348)="dnp",LOWER(U348)="dnp"),"DNP",IF(OR(LOWER(V348)="disbursed",ISNUMBER(SEARCH("Disbursed",W348&amp;""))),"Disbursed",IF(OR(LOWER(V348)="loan proccessed/accepted",ISNUMBER(SEARCH("sanctioned",LOWER(W348&amp;"")))),"Sanctioned",IF(OR(LOWER(V348)="rejected",ISNUMBER(SEARCH("Not eligbile",W348&amp;"")),ISNUMBER(SEARCH("Not eligible",W348&amp;""))),"Rejected",IF(ISNUMBER(SEARCH("Docs Pending",W348&amp;"")),"Documents Pending",IF(AND(LOWER(H348)="yes",LOWER(V348)="ongoing"),"Processing",IF(AND(LOWER(H348)="yes",Q348&gt;0,OR(V348="",LOWER(V348)="not even started")),"Vendor Assigned",IF(AND(LOWER(H348)="yes",LOWER(V348)="not even started"),"Need Loan",IF(LOWER(H348)="yes","Loan Started",IF(LOWER(H348)="not sure","Interested",IF(OR(LOWER(H348)="no",LOWER(V348)="not required"),"Not Required","Unclassified")))))))))))))</f>
        <v/>
      </c>
      <c r="Y348">
        <f>IF(A348="","",IF(OR(X348="Sanctioned",X348="Disbursed",X348="Approved"),"Approved",IF(X348="Rejected","Rejected",IF(OR(X348="Processing",X348="Documents Pending",X348="Vendor Assigned"),"In Progress",IF(X348="Need Loan","Pending Start","—"))))</f>
        <v/>
      </c>
      <c r="Z348">
        <f>IF(A348="","",IF(X348="Disbursed","Disbursed",IF(X348="Sanctioned","Sanctioned - Awaiting Disbursement","Not Disbursed")))</f>
        <v/>
      </c>
      <c r="AA348">
        <f>IF(A348="","",IF(LOWER(TRIM('01_Master_Data'!AI348&amp;""))="yes","Need FLDG",IF(LOWER(TRIM('01_Master_Data'!AK348&amp;""))="yes","Need Vidyalakshmi",IF(LOWER(TRIM('01_Master_Data'!AJ348&amp;""))="yes","Need Review",IF(LOWER(J348)="critical","Critical",IF(LOWER(U348)="risk","Risk Case",IF(X348="Refund","Refund","Normal")))))))</f>
        <v/>
      </c>
      <c r="AB348">
        <f>IF(A348="","",IF(OR(LOWER(J348)="critical",LOWER(TRIM('01_Master_Data'!AI348&amp;""))="yes",LOWER(TRIM('01_Master_Data'!AK348&amp;""))="yes",LOWER(U348)="risk"),"Yes","No"))</f>
        <v/>
      </c>
      <c r="AC348">
        <f>IF(A348="","",IF(LOWER(TRIM('01_Master_Data'!AI348&amp;""))="yes","Yes","No"))</f>
        <v/>
      </c>
      <c r="AD348">
        <f>IF(A348="","",IF(LOWER(TRIM('01_Master_Data'!AK348&amp;""))="yes","Yes","No"))</f>
        <v/>
      </c>
      <c r="AE348">
        <f>IF(A348="","",IF(LOWER(TRIM('01_Master_Data'!AJ348&amp;""))="yes","Yes","No"))</f>
        <v/>
      </c>
      <c r="AF348">
        <f>IF(A348="","",TRIM('01_Master_Data'!AL348&amp;""))</f>
        <v/>
      </c>
      <c r="AG348">
        <f>IF(A348="","",IF(AF348="","—",IF(ISNUMBER(SEARCH("DNP",AF348)),"Unreachable / DNP",IF(ISNUMBER(SEARCH("interest",LOWER(AF348))),"High Interest / Terms",IF(OR(ISNUMBER(SEARCH("eligib",LOWER(AF348))),ISNUMBER(SEARCH("income",LOWER(AF348)))),"Eligibility / Income",IF(OR(ISNUMBER(SEARCH("start",LOWER(AF348))),ISNUMBER(SEARCH("Newer",AF348)),ISNUMBER(SEARCH("Will start",AF348))),"Process Yet to Start",IF(ISNUMBER(SEARCH("sure",LOWER(AF348))),"Undecided",IF(OR(ISNUMBER(SEARCH("reject",LOWER(AF348))),ISNUMBER(SEARCH("SBI",AF348))),"Rejected Elsewhere",IF(ISNUMBER(SEARCH("call",LOWER(AF348))),"Bank Communication",IF(OR(ISNUMBER(SEARCH("father",LOWER(AF348))),ISNUMBER(SEARCH("sister",LOWER(AF348)))),"Family / Dependency","Other"))))))))))</f>
        <v/>
      </c>
      <c r="AH348">
        <f>IF(A348="","",'01_Master_Data'!AC348)</f>
        <v/>
      </c>
      <c r="AI348">
        <f>IF(A348="","",IF(OR(AH348="",NOT(ISNUMBER(AH348))),"",MAX(0,'02_Configuration'!$B$82-AH348)))</f>
        <v/>
      </c>
      <c r="AJ348">
        <f>IF(A348="","",IF(AI348="","Unknown",IF(AI348&lt;=3,"0–3 Days",IF(AI348&lt;=7,"4–7 Days",IF(AI348&lt;=15,"8–15 Days",IF(AI348&lt;=30,"16–30 Days","30+ Days"))))))</f>
        <v/>
      </c>
      <c r="AK348">
        <f>IF(A348="","",IF(LOWER(H348)="yes","Yes","No"))</f>
        <v/>
      </c>
      <c r="AL348">
        <f>IF(A348="","",'01_Master_Data'!T348)</f>
        <v/>
      </c>
      <c r="AM348">
        <f>IF(A348="","",'01_Master_Data'!S348)</f>
        <v/>
      </c>
      <c r="AN348">
        <f>IF(A348="","",'01_Master_Data'!I348)</f>
        <v/>
      </c>
      <c r="AO348">
        <f>IF(A348="","",'01_Master_Data'!M348)</f>
        <v/>
      </c>
      <c r="AP348">
        <f>IF(A348="","",IF(ISNUMBER(SEARCH("Icici",W348&amp;"")),1,0))</f>
        <v/>
      </c>
      <c r="AQ348">
        <f>IF(A348="","",IF(ISNUMBER(SEARCH("Propelld",W348&amp;"")),1,0))</f>
        <v/>
      </c>
      <c r="AR348">
        <f>IF(A348="","",IF(ISNUMBER(SEARCH("GyanDhan",W348&amp;"")),1,0))</f>
        <v/>
      </c>
      <c r="AS348">
        <f>IF(A348="","",IF(ISNUMBER(SEARCH("vidyalakshmi",LOWER(W348&amp;""))),1,0))</f>
        <v/>
      </c>
      <c r="AT348">
        <f>IF(A348="","",IF(ISNUMBER(SEARCH("other bank",LOWER(W348&amp;""))),1,0))</f>
        <v/>
      </c>
      <c r="AU348">
        <f>IF(A348="","",IF(ISNUMBER(SEARCH("sanctioned",LOWER(W348&amp;""))),1,0))</f>
        <v/>
      </c>
      <c r="AV348">
        <f>IF(A348="","",IF(ISNUMBER(SEARCH("Docs Pending",W348&amp;"")),1,0))</f>
        <v/>
      </c>
      <c r="AW348">
        <f>IF(A348="","",IF(OR(X348="Rejected",ISNUMBER(SEARCH("Not eligbile",W348&amp;""))),1,0))</f>
        <v/>
      </c>
    </row>
    <row r="349">
      <c r="A349">
        <f>IF('01_Master_Data'!B349="","",348)</f>
        <v/>
      </c>
      <c r="B349">
        <f>IF('01_Master_Data'!B349="","",IF('01_Master_Data'!C349&lt;&gt;"","MOB|"&amp;TEXT('01_Master_Data'!C349,"0"),IF('01_Master_Data'!D349&lt;&gt;"","PID|"&amp;TRIM('01_Master_Data'!D349&amp;""),"")))</f>
        <v/>
      </c>
      <c r="C349">
        <f>IF('01_Master_Data'!B349="","",'01_Master_Data'!B349)</f>
        <v/>
      </c>
      <c r="D349">
        <f>IF('01_Master_Data'!B349="","",'01_Master_Data'!C349)</f>
        <v/>
      </c>
      <c r="E349">
        <f>IF('01_Master_Data'!B349="","",'01_Master_Data'!D349)</f>
        <v/>
      </c>
      <c r="F349">
        <f>IF('01_Master_Data'!B349="","",'01_Master_Data'!E349)</f>
        <v/>
      </c>
      <c r="G349">
        <f>IF('01_Master_Data'!B349="","",IFERROR(VLOOKUP(TRIM('01_Master_Data'!E349&amp;""),'02_Configuration'!$A$40:$B$44,2,FALSE),UPPER(TRIM('01_Master_Data'!E349&amp;""))))</f>
        <v/>
      </c>
      <c r="H349">
        <f>IF('01_Master_Data'!B349="","",IF('01_Master_Data'!U349="","",TRIM('01_Master_Data'!U349&amp;"")))</f>
        <v/>
      </c>
      <c r="I349">
        <f>IF('01_Master_Data'!B349="","",TRIM('01_Master_Data'!F349&amp;""))</f>
        <v/>
      </c>
      <c r="J349">
        <f>IF('01_Master_Data'!B349="","",TRIM('01_Master_Data'!G349&amp;""))</f>
        <v/>
      </c>
      <c r="K349">
        <f>IF('01_Master_Data'!B349="","",'01_Master_Data'!H349)</f>
        <v/>
      </c>
      <c r="L349">
        <f>IF('01_Master_Data'!B349="","",IF(LOWER(TRIM('01_Master_Data'!V349&amp;""))="yes",1,0))</f>
        <v/>
      </c>
      <c r="M349">
        <f>IF('01_Master_Data'!B349="","",IF(LOWER(TRIM('01_Master_Data'!W349&amp;""))="yes",1,0))</f>
        <v/>
      </c>
      <c r="N349">
        <f>IF('01_Master_Data'!B349="","",IF(LOWER(TRIM('01_Master_Data'!X349&amp;""))="yes",1,0))</f>
        <v/>
      </c>
      <c r="O349">
        <f>IF('01_Master_Data'!B349="","",IF(LOWER(TRIM('01_Master_Data'!Y349&amp;""))="yes",1,0))</f>
        <v/>
      </c>
      <c r="P349">
        <f>IF('01_Master_Data'!B349="","",IF(LOWER(TRIM('01_Master_Data'!Z349&amp;""))="yes",1,0))</f>
        <v/>
      </c>
      <c r="Q349">
        <f>IF(A349="","",L349+M349+N349+O349+P349)</f>
        <v/>
      </c>
      <c r="R349">
        <f>IF(A349="","",IF(Q349&gt;1,"Yes","No"))</f>
        <v/>
      </c>
      <c r="S349">
        <f>IF(A349="","",TEXTJOIN(", ",TRUE,IF(L349=1,"ICICI",""),IF(M349=1,"Propelld",""),IF(N349=1,"Study4Buddy",""),IF(O349=1,"Poonawala Fincorp",""),IF(P349=1,"GyanDhan","")))</f>
        <v/>
      </c>
      <c r="T349">
        <f>IF(A349="","",IF(L349=1,"ICICI",IF(M349=1,"Propelld",IF(P349=1,"GyanDhan",IF(N349=1,"Study4Buddy",IF(O349=1,"Poonawala Fincorp",IF(ISNUMBER(SEARCH("GyanDhan",W349&amp;"")),"GyanDhan",IF(ISNUMBER(SEARCH("Icici",W349&amp;"")),"ICICI",IF(ISNUMBER(SEARCH("Propelld",W349&amp;"")),"Propelld",IF(ISNUMBER(SEARCH("vidyalakshmi",LOWER(W349&amp;"")),"PM Vidyalakshmi","—"))))))))))</f>
        <v/>
      </c>
      <c r="U349">
        <f>IF(A349="","",TRIM('01_Master_Data'!AA349&amp;""))</f>
        <v/>
      </c>
      <c r="V349">
        <f>IF(A349="","",TRIM('01_Master_Data'!AG349&amp;""))</f>
        <v/>
      </c>
      <c r="W349">
        <f>IF(A349="","",TRIM('01_Master_Data'!AH349&amp;""))</f>
        <v/>
      </c>
      <c r="X349">
        <f>IF(A349="","",IF(OR(LOWER(H349)="refund",LOWER(U349)="refund case"),"Refund",IF(OR(LOWER(H349)="dnp",LOWER(U349)="dnp"),"DNP",IF(OR(LOWER(V349)="disbursed",ISNUMBER(SEARCH("Disbursed",W349&amp;""))),"Disbursed",IF(OR(LOWER(V349)="loan proccessed/accepted",ISNUMBER(SEARCH("sanctioned",LOWER(W349&amp;"")))),"Sanctioned",IF(OR(LOWER(V349)="rejected",ISNUMBER(SEARCH("Not eligbile",W349&amp;"")),ISNUMBER(SEARCH("Not eligible",W349&amp;""))),"Rejected",IF(ISNUMBER(SEARCH("Docs Pending",W349&amp;"")),"Documents Pending",IF(AND(LOWER(H349)="yes",LOWER(V349)="ongoing"),"Processing",IF(AND(LOWER(H349)="yes",Q349&gt;0,OR(V349="",LOWER(V349)="not even started")),"Vendor Assigned",IF(AND(LOWER(H349)="yes",LOWER(V349)="not even started"),"Need Loan",IF(LOWER(H349)="yes","Loan Started",IF(LOWER(H349)="not sure","Interested",IF(OR(LOWER(H349)="no",LOWER(V349)="not required"),"Not Required","Unclassified")))))))))))))</f>
        <v/>
      </c>
      <c r="Y349">
        <f>IF(A349="","",IF(OR(X349="Sanctioned",X349="Disbursed",X349="Approved"),"Approved",IF(X349="Rejected","Rejected",IF(OR(X349="Processing",X349="Documents Pending",X349="Vendor Assigned"),"In Progress",IF(X349="Need Loan","Pending Start","—"))))</f>
        <v/>
      </c>
      <c r="Z349">
        <f>IF(A349="","",IF(X349="Disbursed","Disbursed",IF(X349="Sanctioned","Sanctioned - Awaiting Disbursement","Not Disbursed")))</f>
        <v/>
      </c>
      <c r="AA349">
        <f>IF(A349="","",IF(LOWER(TRIM('01_Master_Data'!AI349&amp;""))="yes","Need FLDG",IF(LOWER(TRIM('01_Master_Data'!AK349&amp;""))="yes","Need Vidyalakshmi",IF(LOWER(TRIM('01_Master_Data'!AJ349&amp;""))="yes","Need Review",IF(LOWER(J349)="critical","Critical",IF(LOWER(U349)="risk","Risk Case",IF(X349="Refund","Refund","Normal")))))))</f>
        <v/>
      </c>
      <c r="AB349">
        <f>IF(A349="","",IF(OR(LOWER(J349)="critical",LOWER(TRIM('01_Master_Data'!AI349&amp;""))="yes",LOWER(TRIM('01_Master_Data'!AK349&amp;""))="yes",LOWER(U349)="risk"),"Yes","No"))</f>
        <v/>
      </c>
      <c r="AC349">
        <f>IF(A349="","",IF(LOWER(TRIM('01_Master_Data'!AI349&amp;""))="yes","Yes","No"))</f>
        <v/>
      </c>
      <c r="AD349">
        <f>IF(A349="","",IF(LOWER(TRIM('01_Master_Data'!AK349&amp;""))="yes","Yes","No"))</f>
        <v/>
      </c>
      <c r="AE349">
        <f>IF(A349="","",IF(LOWER(TRIM('01_Master_Data'!AJ349&amp;""))="yes","Yes","No"))</f>
        <v/>
      </c>
      <c r="AF349">
        <f>IF(A349="","",TRIM('01_Master_Data'!AL349&amp;""))</f>
        <v/>
      </c>
      <c r="AG349">
        <f>IF(A349="","",IF(AF349="","—",IF(ISNUMBER(SEARCH("DNP",AF349)),"Unreachable / DNP",IF(ISNUMBER(SEARCH("interest",LOWER(AF349))),"High Interest / Terms",IF(OR(ISNUMBER(SEARCH("eligib",LOWER(AF349))),ISNUMBER(SEARCH("income",LOWER(AF349)))),"Eligibility / Income",IF(OR(ISNUMBER(SEARCH("start",LOWER(AF349))),ISNUMBER(SEARCH("Newer",AF349)),ISNUMBER(SEARCH("Will start",AF349))),"Process Yet to Start",IF(ISNUMBER(SEARCH("sure",LOWER(AF349))),"Undecided",IF(OR(ISNUMBER(SEARCH("reject",LOWER(AF349))),ISNUMBER(SEARCH("SBI",AF349))),"Rejected Elsewhere",IF(ISNUMBER(SEARCH("call",LOWER(AF349))),"Bank Communication",IF(OR(ISNUMBER(SEARCH("father",LOWER(AF349))),ISNUMBER(SEARCH("sister",LOWER(AF349)))),"Family / Dependency","Other"))))))))))</f>
        <v/>
      </c>
      <c r="AH349">
        <f>IF(A349="","",'01_Master_Data'!AC349)</f>
        <v/>
      </c>
      <c r="AI349">
        <f>IF(A349="","",IF(OR(AH349="",NOT(ISNUMBER(AH349))),"",MAX(0,'02_Configuration'!$B$82-AH349)))</f>
        <v/>
      </c>
      <c r="AJ349">
        <f>IF(A349="","",IF(AI349="","Unknown",IF(AI349&lt;=3,"0–3 Days",IF(AI349&lt;=7,"4–7 Days",IF(AI349&lt;=15,"8–15 Days",IF(AI349&lt;=30,"16–30 Days","30+ Days"))))))</f>
        <v/>
      </c>
      <c r="AK349">
        <f>IF(A349="","",IF(LOWER(H349)="yes","Yes","No"))</f>
        <v/>
      </c>
      <c r="AL349">
        <f>IF(A349="","",'01_Master_Data'!T349)</f>
        <v/>
      </c>
      <c r="AM349">
        <f>IF(A349="","",'01_Master_Data'!S349)</f>
        <v/>
      </c>
      <c r="AN349">
        <f>IF(A349="","",'01_Master_Data'!I349)</f>
        <v/>
      </c>
      <c r="AO349">
        <f>IF(A349="","",'01_Master_Data'!M349)</f>
        <v/>
      </c>
      <c r="AP349">
        <f>IF(A349="","",IF(ISNUMBER(SEARCH("Icici",W349&amp;"")),1,0))</f>
        <v/>
      </c>
      <c r="AQ349">
        <f>IF(A349="","",IF(ISNUMBER(SEARCH("Propelld",W349&amp;"")),1,0))</f>
        <v/>
      </c>
      <c r="AR349">
        <f>IF(A349="","",IF(ISNUMBER(SEARCH("GyanDhan",W349&amp;"")),1,0))</f>
        <v/>
      </c>
      <c r="AS349">
        <f>IF(A349="","",IF(ISNUMBER(SEARCH("vidyalakshmi",LOWER(W349&amp;""))),1,0))</f>
        <v/>
      </c>
      <c r="AT349">
        <f>IF(A349="","",IF(ISNUMBER(SEARCH("other bank",LOWER(W349&amp;""))),1,0))</f>
        <v/>
      </c>
      <c r="AU349">
        <f>IF(A349="","",IF(ISNUMBER(SEARCH("sanctioned",LOWER(W349&amp;""))),1,0))</f>
        <v/>
      </c>
      <c r="AV349">
        <f>IF(A349="","",IF(ISNUMBER(SEARCH("Docs Pending",W349&amp;"")),1,0))</f>
        <v/>
      </c>
      <c r="AW349">
        <f>IF(A349="","",IF(OR(X349="Rejected",ISNUMBER(SEARCH("Not eligbile",W349&amp;""))),1,0))</f>
        <v/>
      </c>
    </row>
    <row r="350">
      <c r="A350">
        <f>IF('01_Master_Data'!B350="","",349)</f>
        <v/>
      </c>
      <c r="B350">
        <f>IF('01_Master_Data'!B350="","",IF('01_Master_Data'!C350&lt;&gt;"","MOB|"&amp;TEXT('01_Master_Data'!C350,"0"),IF('01_Master_Data'!D350&lt;&gt;"","PID|"&amp;TRIM('01_Master_Data'!D350&amp;""),"")))</f>
        <v/>
      </c>
      <c r="C350">
        <f>IF('01_Master_Data'!B350="","",'01_Master_Data'!B350)</f>
        <v/>
      </c>
      <c r="D350">
        <f>IF('01_Master_Data'!B350="","",'01_Master_Data'!C350)</f>
        <v/>
      </c>
      <c r="E350">
        <f>IF('01_Master_Data'!B350="","",'01_Master_Data'!D350)</f>
        <v/>
      </c>
      <c r="F350">
        <f>IF('01_Master_Data'!B350="","",'01_Master_Data'!E350)</f>
        <v/>
      </c>
      <c r="G350">
        <f>IF('01_Master_Data'!B350="","",IFERROR(VLOOKUP(TRIM('01_Master_Data'!E350&amp;""),'02_Configuration'!$A$40:$B$44,2,FALSE),UPPER(TRIM('01_Master_Data'!E350&amp;""))))</f>
        <v/>
      </c>
      <c r="H350">
        <f>IF('01_Master_Data'!B350="","",IF('01_Master_Data'!U350="","",TRIM('01_Master_Data'!U350&amp;"")))</f>
        <v/>
      </c>
      <c r="I350">
        <f>IF('01_Master_Data'!B350="","",TRIM('01_Master_Data'!F350&amp;""))</f>
        <v/>
      </c>
      <c r="J350">
        <f>IF('01_Master_Data'!B350="","",TRIM('01_Master_Data'!G350&amp;""))</f>
        <v/>
      </c>
      <c r="K350">
        <f>IF('01_Master_Data'!B350="","",'01_Master_Data'!H350)</f>
        <v/>
      </c>
      <c r="L350">
        <f>IF('01_Master_Data'!B350="","",IF(LOWER(TRIM('01_Master_Data'!V350&amp;""))="yes",1,0))</f>
        <v/>
      </c>
      <c r="M350">
        <f>IF('01_Master_Data'!B350="","",IF(LOWER(TRIM('01_Master_Data'!W350&amp;""))="yes",1,0))</f>
        <v/>
      </c>
      <c r="N350">
        <f>IF('01_Master_Data'!B350="","",IF(LOWER(TRIM('01_Master_Data'!X350&amp;""))="yes",1,0))</f>
        <v/>
      </c>
      <c r="O350">
        <f>IF('01_Master_Data'!B350="","",IF(LOWER(TRIM('01_Master_Data'!Y350&amp;""))="yes",1,0))</f>
        <v/>
      </c>
      <c r="P350">
        <f>IF('01_Master_Data'!B350="","",IF(LOWER(TRIM('01_Master_Data'!Z350&amp;""))="yes",1,0))</f>
        <v/>
      </c>
      <c r="Q350">
        <f>IF(A350="","",L350+M350+N350+O350+P350)</f>
        <v/>
      </c>
      <c r="R350">
        <f>IF(A350="","",IF(Q350&gt;1,"Yes","No"))</f>
        <v/>
      </c>
      <c r="S350">
        <f>IF(A350="","",TEXTJOIN(", ",TRUE,IF(L350=1,"ICICI",""),IF(M350=1,"Propelld",""),IF(N350=1,"Study4Buddy",""),IF(O350=1,"Poonawala Fincorp",""),IF(P350=1,"GyanDhan","")))</f>
        <v/>
      </c>
      <c r="T350">
        <f>IF(A350="","",IF(L350=1,"ICICI",IF(M350=1,"Propelld",IF(P350=1,"GyanDhan",IF(N350=1,"Study4Buddy",IF(O350=1,"Poonawala Fincorp",IF(ISNUMBER(SEARCH("GyanDhan",W350&amp;"")),"GyanDhan",IF(ISNUMBER(SEARCH("Icici",W350&amp;"")),"ICICI",IF(ISNUMBER(SEARCH("Propelld",W350&amp;"")),"Propelld",IF(ISNUMBER(SEARCH("vidyalakshmi",LOWER(W350&amp;"")),"PM Vidyalakshmi","—"))))))))))</f>
        <v/>
      </c>
      <c r="U350">
        <f>IF(A350="","",TRIM('01_Master_Data'!AA350&amp;""))</f>
        <v/>
      </c>
      <c r="V350">
        <f>IF(A350="","",TRIM('01_Master_Data'!AG350&amp;""))</f>
        <v/>
      </c>
      <c r="W350">
        <f>IF(A350="","",TRIM('01_Master_Data'!AH350&amp;""))</f>
        <v/>
      </c>
      <c r="X350">
        <f>IF(A350="","",IF(OR(LOWER(H350)="refund",LOWER(U350)="refund case"),"Refund",IF(OR(LOWER(H350)="dnp",LOWER(U350)="dnp"),"DNP",IF(OR(LOWER(V350)="disbursed",ISNUMBER(SEARCH("Disbursed",W350&amp;""))),"Disbursed",IF(OR(LOWER(V350)="loan proccessed/accepted",ISNUMBER(SEARCH("sanctioned",LOWER(W350&amp;"")))),"Sanctioned",IF(OR(LOWER(V350)="rejected",ISNUMBER(SEARCH("Not eligbile",W350&amp;"")),ISNUMBER(SEARCH("Not eligible",W350&amp;""))),"Rejected",IF(ISNUMBER(SEARCH("Docs Pending",W350&amp;"")),"Documents Pending",IF(AND(LOWER(H350)="yes",LOWER(V350)="ongoing"),"Processing",IF(AND(LOWER(H350)="yes",Q350&gt;0,OR(V350="",LOWER(V350)="not even started")),"Vendor Assigned",IF(AND(LOWER(H350)="yes",LOWER(V350)="not even started"),"Need Loan",IF(LOWER(H350)="yes","Loan Started",IF(LOWER(H350)="not sure","Interested",IF(OR(LOWER(H350)="no",LOWER(V350)="not required"),"Not Required","Unclassified")))))))))))))</f>
        <v/>
      </c>
      <c r="Y350">
        <f>IF(A350="","",IF(OR(X350="Sanctioned",X350="Disbursed",X350="Approved"),"Approved",IF(X350="Rejected","Rejected",IF(OR(X350="Processing",X350="Documents Pending",X350="Vendor Assigned"),"In Progress",IF(X350="Need Loan","Pending Start","—"))))</f>
        <v/>
      </c>
      <c r="Z350">
        <f>IF(A350="","",IF(X350="Disbursed","Disbursed",IF(X350="Sanctioned","Sanctioned - Awaiting Disbursement","Not Disbursed")))</f>
        <v/>
      </c>
      <c r="AA350">
        <f>IF(A350="","",IF(LOWER(TRIM('01_Master_Data'!AI350&amp;""))="yes","Need FLDG",IF(LOWER(TRIM('01_Master_Data'!AK350&amp;""))="yes","Need Vidyalakshmi",IF(LOWER(TRIM('01_Master_Data'!AJ350&amp;""))="yes","Need Review",IF(LOWER(J350)="critical","Critical",IF(LOWER(U350)="risk","Risk Case",IF(X350="Refund","Refund","Normal")))))))</f>
        <v/>
      </c>
      <c r="AB350">
        <f>IF(A350="","",IF(OR(LOWER(J350)="critical",LOWER(TRIM('01_Master_Data'!AI350&amp;""))="yes",LOWER(TRIM('01_Master_Data'!AK350&amp;""))="yes",LOWER(U350)="risk"),"Yes","No"))</f>
        <v/>
      </c>
      <c r="AC350">
        <f>IF(A350="","",IF(LOWER(TRIM('01_Master_Data'!AI350&amp;""))="yes","Yes","No"))</f>
        <v/>
      </c>
      <c r="AD350">
        <f>IF(A350="","",IF(LOWER(TRIM('01_Master_Data'!AK350&amp;""))="yes","Yes","No"))</f>
        <v/>
      </c>
      <c r="AE350">
        <f>IF(A350="","",IF(LOWER(TRIM('01_Master_Data'!AJ350&amp;""))="yes","Yes","No"))</f>
        <v/>
      </c>
      <c r="AF350">
        <f>IF(A350="","",TRIM('01_Master_Data'!AL350&amp;""))</f>
        <v/>
      </c>
      <c r="AG350">
        <f>IF(A350="","",IF(AF350="","—",IF(ISNUMBER(SEARCH("DNP",AF350)),"Unreachable / DNP",IF(ISNUMBER(SEARCH("interest",LOWER(AF350))),"High Interest / Terms",IF(OR(ISNUMBER(SEARCH("eligib",LOWER(AF350))),ISNUMBER(SEARCH("income",LOWER(AF350)))),"Eligibility / Income",IF(OR(ISNUMBER(SEARCH("start",LOWER(AF350))),ISNUMBER(SEARCH("Newer",AF350)),ISNUMBER(SEARCH("Will start",AF350))),"Process Yet to Start",IF(ISNUMBER(SEARCH("sure",LOWER(AF350))),"Undecided",IF(OR(ISNUMBER(SEARCH("reject",LOWER(AF350))),ISNUMBER(SEARCH("SBI",AF350))),"Rejected Elsewhere",IF(ISNUMBER(SEARCH("call",LOWER(AF350))),"Bank Communication",IF(OR(ISNUMBER(SEARCH("father",LOWER(AF350))),ISNUMBER(SEARCH("sister",LOWER(AF350)))),"Family / Dependency","Other"))))))))))</f>
        <v/>
      </c>
      <c r="AH350">
        <f>IF(A350="","",'01_Master_Data'!AC350)</f>
        <v/>
      </c>
      <c r="AI350">
        <f>IF(A350="","",IF(OR(AH350="",NOT(ISNUMBER(AH350))),"",MAX(0,'02_Configuration'!$B$82-AH350)))</f>
        <v/>
      </c>
      <c r="AJ350">
        <f>IF(A350="","",IF(AI350="","Unknown",IF(AI350&lt;=3,"0–3 Days",IF(AI350&lt;=7,"4–7 Days",IF(AI350&lt;=15,"8–15 Days",IF(AI350&lt;=30,"16–30 Days","30+ Days"))))))</f>
        <v/>
      </c>
      <c r="AK350">
        <f>IF(A350="","",IF(LOWER(H350)="yes","Yes","No"))</f>
        <v/>
      </c>
      <c r="AL350">
        <f>IF(A350="","",'01_Master_Data'!T350)</f>
        <v/>
      </c>
      <c r="AM350">
        <f>IF(A350="","",'01_Master_Data'!S350)</f>
        <v/>
      </c>
      <c r="AN350">
        <f>IF(A350="","",'01_Master_Data'!I350)</f>
        <v/>
      </c>
      <c r="AO350">
        <f>IF(A350="","",'01_Master_Data'!M350)</f>
        <v/>
      </c>
      <c r="AP350">
        <f>IF(A350="","",IF(ISNUMBER(SEARCH("Icici",W350&amp;"")),1,0))</f>
        <v/>
      </c>
      <c r="AQ350">
        <f>IF(A350="","",IF(ISNUMBER(SEARCH("Propelld",W350&amp;"")),1,0))</f>
        <v/>
      </c>
      <c r="AR350">
        <f>IF(A350="","",IF(ISNUMBER(SEARCH("GyanDhan",W350&amp;"")),1,0))</f>
        <v/>
      </c>
      <c r="AS350">
        <f>IF(A350="","",IF(ISNUMBER(SEARCH("vidyalakshmi",LOWER(W350&amp;""))),1,0))</f>
        <v/>
      </c>
      <c r="AT350">
        <f>IF(A350="","",IF(ISNUMBER(SEARCH("other bank",LOWER(W350&amp;""))),1,0))</f>
        <v/>
      </c>
      <c r="AU350">
        <f>IF(A350="","",IF(ISNUMBER(SEARCH("sanctioned",LOWER(W350&amp;""))),1,0))</f>
        <v/>
      </c>
      <c r="AV350">
        <f>IF(A350="","",IF(ISNUMBER(SEARCH("Docs Pending",W350&amp;"")),1,0))</f>
        <v/>
      </c>
      <c r="AW350">
        <f>IF(A350="","",IF(OR(X350="Rejected",ISNUMBER(SEARCH("Not eligbile",W350&amp;""))),1,0))</f>
        <v/>
      </c>
    </row>
    <row r="351">
      <c r="A351">
        <f>IF('01_Master_Data'!B351="","",350)</f>
        <v/>
      </c>
      <c r="B351">
        <f>IF('01_Master_Data'!B351="","",IF('01_Master_Data'!C351&lt;&gt;"","MOB|"&amp;TEXT('01_Master_Data'!C351,"0"),IF('01_Master_Data'!D351&lt;&gt;"","PID|"&amp;TRIM('01_Master_Data'!D351&amp;""),"")))</f>
        <v/>
      </c>
      <c r="C351">
        <f>IF('01_Master_Data'!B351="","",'01_Master_Data'!B351)</f>
        <v/>
      </c>
      <c r="D351">
        <f>IF('01_Master_Data'!B351="","",'01_Master_Data'!C351)</f>
        <v/>
      </c>
      <c r="E351">
        <f>IF('01_Master_Data'!B351="","",'01_Master_Data'!D351)</f>
        <v/>
      </c>
      <c r="F351">
        <f>IF('01_Master_Data'!B351="","",'01_Master_Data'!E351)</f>
        <v/>
      </c>
      <c r="G351">
        <f>IF('01_Master_Data'!B351="","",IFERROR(VLOOKUP(TRIM('01_Master_Data'!E351&amp;""),'02_Configuration'!$A$40:$B$44,2,FALSE),UPPER(TRIM('01_Master_Data'!E351&amp;""))))</f>
        <v/>
      </c>
      <c r="H351">
        <f>IF('01_Master_Data'!B351="","",IF('01_Master_Data'!U351="","",TRIM('01_Master_Data'!U351&amp;"")))</f>
        <v/>
      </c>
      <c r="I351">
        <f>IF('01_Master_Data'!B351="","",TRIM('01_Master_Data'!F351&amp;""))</f>
        <v/>
      </c>
      <c r="J351">
        <f>IF('01_Master_Data'!B351="","",TRIM('01_Master_Data'!G351&amp;""))</f>
        <v/>
      </c>
      <c r="K351">
        <f>IF('01_Master_Data'!B351="","",'01_Master_Data'!H351)</f>
        <v/>
      </c>
      <c r="L351">
        <f>IF('01_Master_Data'!B351="","",IF(LOWER(TRIM('01_Master_Data'!V351&amp;""))="yes",1,0))</f>
        <v/>
      </c>
      <c r="M351">
        <f>IF('01_Master_Data'!B351="","",IF(LOWER(TRIM('01_Master_Data'!W351&amp;""))="yes",1,0))</f>
        <v/>
      </c>
      <c r="N351">
        <f>IF('01_Master_Data'!B351="","",IF(LOWER(TRIM('01_Master_Data'!X351&amp;""))="yes",1,0))</f>
        <v/>
      </c>
      <c r="O351">
        <f>IF('01_Master_Data'!B351="","",IF(LOWER(TRIM('01_Master_Data'!Y351&amp;""))="yes",1,0))</f>
        <v/>
      </c>
      <c r="P351">
        <f>IF('01_Master_Data'!B351="","",IF(LOWER(TRIM('01_Master_Data'!Z351&amp;""))="yes",1,0))</f>
        <v/>
      </c>
      <c r="Q351">
        <f>IF(A351="","",L351+M351+N351+O351+P351)</f>
        <v/>
      </c>
      <c r="R351">
        <f>IF(A351="","",IF(Q351&gt;1,"Yes","No"))</f>
        <v/>
      </c>
      <c r="S351">
        <f>IF(A351="","",TEXTJOIN(", ",TRUE,IF(L351=1,"ICICI",""),IF(M351=1,"Propelld",""),IF(N351=1,"Study4Buddy",""),IF(O351=1,"Poonawala Fincorp",""),IF(P351=1,"GyanDhan","")))</f>
        <v/>
      </c>
      <c r="T351">
        <f>IF(A351="","",IF(L351=1,"ICICI",IF(M351=1,"Propelld",IF(P351=1,"GyanDhan",IF(N351=1,"Study4Buddy",IF(O351=1,"Poonawala Fincorp",IF(ISNUMBER(SEARCH("GyanDhan",W351&amp;"")),"GyanDhan",IF(ISNUMBER(SEARCH("Icici",W351&amp;"")),"ICICI",IF(ISNUMBER(SEARCH("Propelld",W351&amp;"")),"Propelld",IF(ISNUMBER(SEARCH("vidyalakshmi",LOWER(W351&amp;"")),"PM Vidyalakshmi","—"))))))))))</f>
        <v/>
      </c>
      <c r="U351">
        <f>IF(A351="","",TRIM('01_Master_Data'!AA351&amp;""))</f>
        <v/>
      </c>
      <c r="V351">
        <f>IF(A351="","",TRIM('01_Master_Data'!AG351&amp;""))</f>
        <v/>
      </c>
      <c r="W351">
        <f>IF(A351="","",TRIM('01_Master_Data'!AH351&amp;""))</f>
        <v/>
      </c>
      <c r="X351">
        <f>IF(A351="","",IF(OR(LOWER(H351)="refund",LOWER(U351)="refund case"),"Refund",IF(OR(LOWER(H351)="dnp",LOWER(U351)="dnp"),"DNP",IF(OR(LOWER(V351)="disbursed",ISNUMBER(SEARCH("Disbursed",W351&amp;""))),"Disbursed",IF(OR(LOWER(V351)="loan proccessed/accepted",ISNUMBER(SEARCH("sanctioned",LOWER(W351&amp;"")))),"Sanctioned",IF(OR(LOWER(V351)="rejected",ISNUMBER(SEARCH("Not eligbile",W351&amp;"")),ISNUMBER(SEARCH("Not eligible",W351&amp;""))),"Rejected",IF(ISNUMBER(SEARCH("Docs Pending",W351&amp;"")),"Documents Pending",IF(AND(LOWER(H351)="yes",LOWER(V351)="ongoing"),"Processing",IF(AND(LOWER(H351)="yes",Q351&gt;0,OR(V351="",LOWER(V351)="not even started")),"Vendor Assigned",IF(AND(LOWER(H351)="yes",LOWER(V351)="not even started"),"Need Loan",IF(LOWER(H351)="yes","Loan Started",IF(LOWER(H351)="not sure","Interested",IF(OR(LOWER(H351)="no",LOWER(V351)="not required"),"Not Required","Unclassified")))))))))))))</f>
        <v/>
      </c>
      <c r="Y351">
        <f>IF(A351="","",IF(OR(X351="Sanctioned",X351="Disbursed",X351="Approved"),"Approved",IF(X351="Rejected","Rejected",IF(OR(X351="Processing",X351="Documents Pending",X351="Vendor Assigned"),"In Progress",IF(X351="Need Loan","Pending Start","—"))))</f>
        <v/>
      </c>
      <c r="Z351">
        <f>IF(A351="","",IF(X351="Disbursed","Disbursed",IF(X351="Sanctioned","Sanctioned - Awaiting Disbursement","Not Disbursed")))</f>
        <v/>
      </c>
      <c r="AA351">
        <f>IF(A351="","",IF(LOWER(TRIM('01_Master_Data'!AI351&amp;""))="yes","Need FLDG",IF(LOWER(TRIM('01_Master_Data'!AK351&amp;""))="yes","Need Vidyalakshmi",IF(LOWER(TRIM('01_Master_Data'!AJ351&amp;""))="yes","Need Review",IF(LOWER(J351)="critical","Critical",IF(LOWER(U351)="risk","Risk Case",IF(X351="Refund","Refund","Normal")))))))</f>
        <v/>
      </c>
      <c r="AB351">
        <f>IF(A351="","",IF(OR(LOWER(J351)="critical",LOWER(TRIM('01_Master_Data'!AI351&amp;""))="yes",LOWER(TRIM('01_Master_Data'!AK351&amp;""))="yes",LOWER(U351)="risk"),"Yes","No"))</f>
        <v/>
      </c>
      <c r="AC351">
        <f>IF(A351="","",IF(LOWER(TRIM('01_Master_Data'!AI351&amp;""))="yes","Yes","No"))</f>
        <v/>
      </c>
      <c r="AD351">
        <f>IF(A351="","",IF(LOWER(TRIM('01_Master_Data'!AK351&amp;""))="yes","Yes","No"))</f>
        <v/>
      </c>
      <c r="AE351">
        <f>IF(A351="","",IF(LOWER(TRIM('01_Master_Data'!AJ351&amp;""))="yes","Yes","No"))</f>
        <v/>
      </c>
      <c r="AF351">
        <f>IF(A351="","",TRIM('01_Master_Data'!AL351&amp;""))</f>
        <v/>
      </c>
      <c r="AG351">
        <f>IF(A351="","",IF(AF351="","—",IF(ISNUMBER(SEARCH("DNP",AF351)),"Unreachable / DNP",IF(ISNUMBER(SEARCH("interest",LOWER(AF351))),"High Interest / Terms",IF(OR(ISNUMBER(SEARCH("eligib",LOWER(AF351))),ISNUMBER(SEARCH("income",LOWER(AF351)))),"Eligibility / Income",IF(OR(ISNUMBER(SEARCH("start",LOWER(AF351))),ISNUMBER(SEARCH("Newer",AF351)),ISNUMBER(SEARCH("Will start",AF351))),"Process Yet to Start",IF(ISNUMBER(SEARCH("sure",LOWER(AF351))),"Undecided",IF(OR(ISNUMBER(SEARCH("reject",LOWER(AF351))),ISNUMBER(SEARCH("SBI",AF351))),"Rejected Elsewhere",IF(ISNUMBER(SEARCH("call",LOWER(AF351))),"Bank Communication",IF(OR(ISNUMBER(SEARCH("father",LOWER(AF351))),ISNUMBER(SEARCH("sister",LOWER(AF351)))),"Family / Dependency","Other"))))))))))</f>
        <v/>
      </c>
      <c r="AH351">
        <f>IF(A351="","",'01_Master_Data'!AC351)</f>
        <v/>
      </c>
      <c r="AI351">
        <f>IF(A351="","",IF(OR(AH351="",NOT(ISNUMBER(AH351))),"",MAX(0,'02_Configuration'!$B$82-AH351)))</f>
        <v/>
      </c>
      <c r="AJ351">
        <f>IF(A351="","",IF(AI351="","Unknown",IF(AI351&lt;=3,"0–3 Days",IF(AI351&lt;=7,"4–7 Days",IF(AI351&lt;=15,"8–15 Days",IF(AI351&lt;=30,"16–30 Days","30+ Days"))))))</f>
        <v/>
      </c>
      <c r="AK351">
        <f>IF(A351="","",IF(LOWER(H351)="yes","Yes","No"))</f>
        <v/>
      </c>
      <c r="AL351">
        <f>IF(A351="","",'01_Master_Data'!T351)</f>
        <v/>
      </c>
      <c r="AM351">
        <f>IF(A351="","",'01_Master_Data'!S351)</f>
        <v/>
      </c>
      <c r="AN351">
        <f>IF(A351="","",'01_Master_Data'!I351)</f>
        <v/>
      </c>
      <c r="AO351">
        <f>IF(A351="","",'01_Master_Data'!M351)</f>
        <v/>
      </c>
      <c r="AP351">
        <f>IF(A351="","",IF(ISNUMBER(SEARCH("Icici",W351&amp;"")),1,0))</f>
        <v/>
      </c>
      <c r="AQ351">
        <f>IF(A351="","",IF(ISNUMBER(SEARCH("Propelld",W351&amp;"")),1,0))</f>
        <v/>
      </c>
      <c r="AR351">
        <f>IF(A351="","",IF(ISNUMBER(SEARCH("GyanDhan",W351&amp;"")),1,0))</f>
        <v/>
      </c>
      <c r="AS351">
        <f>IF(A351="","",IF(ISNUMBER(SEARCH("vidyalakshmi",LOWER(W351&amp;""))),1,0))</f>
        <v/>
      </c>
      <c r="AT351">
        <f>IF(A351="","",IF(ISNUMBER(SEARCH("other bank",LOWER(W351&amp;""))),1,0))</f>
        <v/>
      </c>
      <c r="AU351">
        <f>IF(A351="","",IF(ISNUMBER(SEARCH("sanctioned",LOWER(W351&amp;""))),1,0))</f>
        <v/>
      </c>
      <c r="AV351">
        <f>IF(A351="","",IF(ISNUMBER(SEARCH("Docs Pending",W351&amp;"")),1,0))</f>
        <v/>
      </c>
      <c r="AW351">
        <f>IF(A351="","",IF(OR(X351="Rejected",ISNUMBER(SEARCH("Not eligbile",W351&amp;""))),1,0))</f>
        <v/>
      </c>
    </row>
    <row r="352">
      <c r="A352">
        <f>IF('01_Master_Data'!B352="","",351)</f>
        <v/>
      </c>
      <c r="B352">
        <f>IF('01_Master_Data'!B352="","",IF('01_Master_Data'!C352&lt;&gt;"","MOB|"&amp;TEXT('01_Master_Data'!C352,"0"),IF('01_Master_Data'!D352&lt;&gt;"","PID|"&amp;TRIM('01_Master_Data'!D352&amp;""),"")))</f>
        <v/>
      </c>
      <c r="C352">
        <f>IF('01_Master_Data'!B352="","",'01_Master_Data'!B352)</f>
        <v/>
      </c>
      <c r="D352">
        <f>IF('01_Master_Data'!B352="","",'01_Master_Data'!C352)</f>
        <v/>
      </c>
      <c r="E352">
        <f>IF('01_Master_Data'!B352="","",'01_Master_Data'!D352)</f>
        <v/>
      </c>
      <c r="F352">
        <f>IF('01_Master_Data'!B352="","",'01_Master_Data'!E352)</f>
        <v/>
      </c>
      <c r="G352">
        <f>IF('01_Master_Data'!B352="","",IFERROR(VLOOKUP(TRIM('01_Master_Data'!E352&amp;""),'02_Configuration'!$A$40:$B$44,2,FALSE),UPPER(TRIM('01_Master_Data'!E352&amp;""))))</f>
        <v/>
      </c>
      <c r="H352">
        <f>IF('01_Master_Data'!B352="","",IF('01_Master_Data'!U352="","",TRIM('01_Master_Data'!U352&amp;"")))</f>
        <v/>
      </c>
      <c r="I352">
        <f>IF('01_Master_Data'!B352="","",TRIM('01_Master_Data'!F352&amp;""))</f>
        <v/>
      </c>
      <c r="J352">
        <f>IF('01_Master_Data'!B352="","",TRIM('01_Master_Data'!G352&amp;""))</f>
        <v/>
      </c>
      <c r="K352">
        <f>IF('01_Master_Data'!B352="","",'01_Master_Data'!H352)</f>
        <v/>
      </c>
      <c r="L352">
        <f>IF('01_Master_Data'!B352="","",IF(LOWER(TRIM('01_Master_Data'!V352&amp;""))="yes",1,0))</f>
        <v/>
      </c>
      <c r="M352">
        <f>IF('01_Master_Data'!B352="","",IF(LOWER(TRIM('01_Master_Data'!W352&amp;""))="yes",1,0))</f>
        <v/>
      </c>
      <c r="N352">
        <f>IF('01_Master_Data'!B352="","",IF(LOWER(TRIM('01_Master_Data'!X352&amp;""))="yes",1,0))</f>
        <v/>
      </c>
      <c r="O352">
        <f>IF('01_Master_Data'!B352="","",IF(LOWER(TRIM('01_Master_Data'!Y352&amp;""))="yes",1,0))</f>
        <v/>
      </c>
      <c r="P352">
        <f>IF('01_Master_Data'!B352="","",IF(LOWER(TRIM('01_Master_Data'!Z352&amp;""))="yes",1,0))</f>
        <v/>
      </c>
      <c r="Q352">
        <f>IF(A352="","",L352+M352+N352+O352+P352)</f>
        <v/>
      </c>
      <c r="R352">
        <f>IF(A352="","",IF(Q352&gt;1,"Yes","No"))</f>
        <v/>
      </c>
      <c r="S352">
        <f>IF(A352="","",TEXTJOIN(", ",TRUE,IF(L352=1,"ICICI",""),IF(M352=1,"Propelld",""),IF(N352=1,"Study4Buddy",""),IF(O352=1,"Poonawala Fincorp",""),IF(P352=1,"GyanDhan","")))</f>
        <v/>
      </c>
      <c r="T352">
        <f>IF(A352="","",IF(L352=1,"ICICI",IF(M352=1,"Propelld",IF(P352=1,"GyanDhan",IF(N352=1,"Study4Buddy",IF(O352=1,"Poonawala Fincorp",IF(ISNUMBER(SEARCH("GyanDhan",W352&amp;"")),"GyanDhan",IF(ISNUMBER(SEARCH("Icici",W352&amp;"")),"ICICI",IF(ISNUMBER(SEARCH("Propelld",W352&amp;"")),"Propelld",IF(ISNUMBER(SEARCH("vidyalakshmi",LOWER(W352&amp;"")),"PM Vidyalakshmi","—"))))))))))</f>
        <v/>
      </c>
      <c r="U352">
        <f>IF(A352="","",TRIM('01_Master_Data'!AA352&amp;""))</f>
        <v/>
      </c>
      <c r="V352">
        <f>IF(A352="","",TRIM('01_Master_Data'!AG352&amp;""))</f>
        <v/>
      </c>
      <c r="W352">
        <f>IF(A352="","",TRIM('01_Master_Data'!AH352&amp;""))</f>
        <v/>
      </c>
      <c r="X352">
        <f>IF(A352="","",IF(OR(LOWER(H352)="refund",LOWER(U352)="refund case"),"Refund",IF(OR(LOWER(H352)="dnp",LOWER(U352)="dnp"),"DNP",IF(OR(LOWER(V352)="disbursed",ISNUMBER(SEARCH("Disbursed",W352&amp;""))),"Disbursed",IF(OR(LOWER(V352)="loan proccessed/accepted",ISNUMBER(SEARCH("sanctioned",LOWER(W352&amp;"")))),"Sanctioned",IF(OR(LOWER(V352)="rejected",ISNUMBER(SEARCH("Not eligbile",W352&amp;"")),ISNUMBER(SEARCH("Not eligible",W352&amp;""))),"Rejected",IF(ISNUMBER(SEARCH("Docs Pending",W352&amp;"")),"Documents Pending",IF(AND(LOWER(H352)="yes",LOWER(V352)="ongoing"),"Processing",IF(AND(LOWER(H352)="yes",Q352&gt;0,OR(V352="",LOWER(V352)="not even started")),"Vendor Assigned",IF(AND(LOWER(H352)="yes",LOWER(V352)="not even started"),"Need Loan",IF(LOWER(H352)="yes","Loan Started",IF(LOWER(H352)="not sure","Interested",IF(OR(LOWER(H352)="no",LOWER(V352)="not required"),"Not Required","Unclassified")))))))))))))</f>
        <v/>
      </c>
      <c r="Y352">
        <f>IF(A352="","",IF(OR(X352="Sanctioned",X352="Disbursed",X352="Approved"),"Approved",IF(X352="Rejected","Rejected",IF(OR(X352="Processing",X352="Documents Pending",X352="Vendor Assigned"),"In Progress",IF(X352="Need Loan","Pending Start","—"))))</f>
        <v/>
      </c>
      <c r="Z352">
        <f>IF(A352="","",IF(X352="Disbursed","Disbursed",IF(X352="Sanctioned","Sanctioned - Awaiting Disbursement","Not Disbursed")))</f>
        <v/>
      </c>
      <c r="AA352">
        <f>IF(A352="","",IF(LOWER(TRIM('01_Master_Data'!AI352&amp;""))="yes","Need FLDG",IF(LOWER(TRIM('01_Master_Data'!AK352&amp;""))="yes","Need Vidyalakshmi",IF(LOWER(TRIM('01_Master_Data'!AJ352&amp;""))="yes","Need Review",IF(LOWER(J352)="critical","Critical",IF(LOWER(U352)="risk","Risk Case",IF(X352="Refund","Refund","Normal")))))))</f>
        <v/>
      </c>
      <c r="AB352">
        <f>IF(A352="","",IF(OR(LOWER(J352)="critical",LOWER(TRIM('01_Master_Data'!AI352&amp;""))="yes",LOWER(TRIM('01_Master_Data'!AK352&amp;""))="yes",LOWER(U352)="risk"),"Yes","No"))</f>
        <v/>
      </c>
      <c r="AC352">
        <f>IF(A352="","",IF(LOWER(TRIM('01_Master_Data'!AI352&amp;""))="yes","Yes","No"))</f>
        <v/>
      </c>
      <c r="AD352">
        <f>IF(A352="","",IF(LOWER(TRIM('01_Master_Data'!AK352&amp;""))="yes","Yes","No"))</f>
        <v/>
      </c>
      <c r="AE352">
        <f>IF(A352="","",IF(LOWER(TRIM('01_Master_Data'!AJ352&amp;""))="yes","Yes","No"))</f>
        <v/>
      </c>
      <c r="AF352">
        <f>IF(A352="","",TRIM('01_Master_Data'!AL352&amp;""))</f>
        <v/>
      </c>
      <c r="AG352">
        <f>IF(A352="","",IF(AF352="","—",IF(ISNUMBER(SEARCH("DNP",AF352)),"Unreachable / DNP",IF(ISNUMBER(SEARCH("interest",LOWER(AF352))),"High Interest / Terms",IF(OR(ISNUMBER(SEARCH("eligib",LOWER(AF352))),ISNUMBER(SEARCH("income",LOWER(AF352)))),"Eligibility / Income",IF(OR(ISNUMBER(SEARCH("start",LOWER(AF352))),ISNUMBER(SEARCH("Newer",AF352)),ISNUMBER(SEARCH("Will start",AF352))),"Process Yet to Start",IF(ISNUMBER(SEARCH("sure",LOWER(AF352))),"Undecided",IF(OR(ISNUMBER(SEARCH("reject",LOWER(AF352))),ISNUMBER(SEARCH("SBI",AF352))),"Rejected Elsewhere",IF(ISNUMBER(SEARCH("call",LOWER(AF352))),"Bank Communication",IF(OR(ISNUMBER(SEARCH("father",LOWER(AF352))),ISNUMBER(SEARCH("sister",LOWER(AF352)))),"Family / Dependency","Other"))))))))))</f>
        <v/>
      </c>
      <c r="AH352">
        <f>IF(A352="","",'01_Master_Data'!AC352)</f>
        <v/>
      </c>
      <c r="AI352">
        <f>IF(A352="","",IF(OR(AH352="",NOT(ISNUMBER(AH352))),"",MAX(0,'02_Configuration'!$B$82-AH352)))</f>
        <v/>
      </c>
      <c r="AJ352">
        <f>IF(A352="","",IF(AI352="","Unknown",IF(AI352&lt;=3,"0–3 Days",IF(AI352&lt;=7,"4–7 Days",IF(AI352&lt;=15,"8–15 Days",IF(AI352&lt;=30,"16–30 Days","30+ Days"))))))</f>
        <v/>
      </c>
      <c r="AK352">
        <f>IF(A352="","",IF(LOWER(H352)="yes","Yes","No"))</f>
        <v/>
      </c>
      <c r="AL352">
        <f>IF(A352="","",'01_Master_Data'!T352)</f>
        <v/>
      </c>
      <c r="AM352">
        <f>IF(A352="","",'01_Master_Data'!S352)</f>
        <v/>
      </c>
      <c r="AN352">
        <f>IF(A352="","",'01_Master_Data'!I352)</f>
        <v/>
      </c>
      <c r="AO352">
        <f>IF(A352="","",'01_Master_Data'!M352)</f>
        <v/>
      </c>
      <c r="AP352">
        <f>IF(A352="","",IF(ISNUMBER(SEARCH("Icici",W352&amp;"")),1,0))</f>
        <v/>
      </c>
      <c r="AQ352">
        <f>IF(A352="","",IF(ISNUMBER(SEARCH("Propelld",W352&amp;"")),1,0))</f>
        <v/>
      </c>
      <c r="AR352">
        <f>IF(A352="","",IF(ISNUMBER(SEARCH("GyanDhan",W352&amp;"")),1,0))</f>
        <v/>
      </c>
      <c r="AS352">
        <f>IF(A352="","",IF(ISNUMBER(SEARCH("vidyalakshmi",LOWER(W352&amp;""))),1,0))</f>
        <v/>
      </c>
      <c r="AT352">
        <f>IF(A352="","",IF(ISNUMBER(SEARCH("other bank",LOWER(W352&amp;""))),1,0))</f>
        <v/>
      </c>
      <c r="AU352">
        <f>IF(A352="","",IF(ISNUMBER(SEARCH("sanctioned",LOWER(W352&amp;""))),1,0))</f>
        <v/>
      </c>
      <c r="AV352">
        <f>IF(A352="","",IF(ISNUMBER(SEARCH("Docs Pending",W352&amp;"")),1,0))</f>
        <v/>
      </c>
      <c r="AW352">
        <f>IF(A352="","",IF(OR(X352="Rejected",ISNUMBER(SEARCH("Not eligbile",W352&amp;""))),1,0))</f>
        <v/>
      </c>
    </row>
    <row r="353">
      <c r="A353">
        <f>IF('01_Master_Data'!B353="","",352)</f>
        <v/>
      </c>
      <c r="B353">
        <f>IF('01_Master_Data'!B353="","",IF('01_Master_Data'!C353&lt;&gt;"","MOB|"&amp;TEXT('01_Master_Data'!C353,"0"),IF('01_Master_Data'!D353&lt;&gt;"","PID|"&amp;TRIM('01_Master_Data'!D353&amp;""),"")))</f>
        <v/>
      </c>
      <c r="C353">
        <f>IF('01_Master_Data'!B353="","",'01_Master_Data'!B353)</f>
        <v/>
      </c>
      <c r="D353">
        <f>IF('01_Master_Data'!B353="","",'01_Master_Data'!C353)</f>
        <v/>
      </c>
      <c r="E353">
        <f>IF('01_Master_Data'!B353="","",'01_Master_Data'!D353)</f>
        <v/>
      </c>
      <c r="F353">
        <f>IF('01_Master_Data'!B353="","",'01_Master_Data'!E353)</f>
        <v/>
      </c>
      <c r="G353">
        <f>IF('01_Master_Data'!B353="","",IFERROR(VLOOKUP(TRIM('01_Master_Data'!E353&amp;""),'02_Configuration'!$A$40:$B$44,2,FALSE),UPPER(TRIM('01_Master_Data'!E353&amp;""))))</f>
        <v/>
      </c>
      <c r="H353">
        <f>IF('01_Master_Data'!B353="","",IF('01_Master_Data'!U353="","",TRIM('01_Master_Data'!U353&amp;"")))</f>
        <v/>
      </c>
      <c r="I353">
        <f>IF('01_Master_Data'!B353="","",TRIM('01_Master_Data'!F353&amp;""))</f>
        <v/>
      </c>
      <c r="J353">
        <f>IF('01_Master_Data'!B353="","",TRIM('01_Master_Data'!G353&amp;""))</f>
        <v/>
      </c>
      <c r="K353">
        <f>IF('01_Master_Data'!B353="","",'01_Master_Data'!H353)</f>
        <v/>
      </c>
      <c r="L353">
        <f>IF('01_Master_Data'!B353="","",IF(LOWER(TRIM('01_Master_Data'!V353&amp;""))="yes",1,0))</f>
        <v/>
      </c>
      <c r="M353">
        <f>IF('01_Master_Data'!B353="","",IF(LOWER(TRIM('01_Master_Data'!W353&amp;""))="yes",1,0))</f>
        <v/>
      </c>
      <c r="N353">
        <f>IF('01_Master_Data'!B353="","",IF(LOWER(TRIM('01_Master_Data'!X353&amp;""))="yes",1,0))</f>
        <v/>
      </c>
      <c r="O353">
        <f>IF('01_Master_Data'!B353="","",IF(LOWER(TRIM('01_Master_Data'!Y353&amp;""))="yes",1,0))</f>
        <v/>
      </c>
      <c r="P353">
        <f>IF('01_Master_Data'!B353="","",IF(LOWER(TRIM('01_Master_Data'!Z353&amp;""))="yes",1,0))</f>
        <v/>
      </c>
      <c r="Q353">
        <f>IF(A353="","",L353+M353+N353+O353+P353)</f>
        <v/>
      </c>
      <c r="R353">
        <f>IF(A353="","",IF(Q353&gt;1,"Yes","No"))</f>
        <v/>
      </c>
      <c r="S353">
        <f>IF(A353="","",TEXTJOIN(", ",TRUE,IF(L353=1,"ICICI",""),IF(M353=1,"Propelld",""),IF(N353=1,"Study4Buddy",""),IF(O353=1,"Poonawala Fincorp",""),IF(P353=1,"GyanDhan","")))</f>
        <v/>
      </c>
      <c r="T353">
        <f>IF(A353="","",IF(L353=1,"ICICI",IF(M353=1,"Propelld",IF(P353=1,"GyanDhan",IF(N353=1,"Study4Buddy",IF(O353=1,"Poonawala Fincorp",IF(ISNUMBER(SEARCH("GyanDhan",W353&amp;"")),"GyanDhan",IF(ISNUMBER(SEARCH("Icici",W353&amp;"")),"ICICI",IF(ISNUMBER(SEARCH("Propelld",W353&amp;"")),"Propelld",IF(ISNUMBER(SEARCH("vidyalakshmi",LOWER(W353&amp;"")),"PM Vidyalakshmi","—"))))))))))</f>
        <v/>
      </c>
      <c r="U353">
        <f>IF(A353="","",TRIM('01_Master_Data'!AA353&amp;""))</f>
        <v/>
      </c>
      <c r="V353">
        <f>IF(A353="","",TRIM('01_Master_Data'!AG353&amp;""))</f>
        <v/>
      </c>
      <c r="W353">
        <f>IF(A353="","",TRIM('01_Master_Data'!AH353&amp;""))</f>
        <v/>
      </c>
      <c r="X353">
        <f>IF(A353="","",IF(OR(LOWER(H353)="refund",LOWER(U353)="refund case"),"Refund",IF(OR(LOWER(H353)="dnp",LOWER(U353)="dnp"),"DNP",IF(OR(LOWER(V353)="disbursed",ISNUMBER(SEARCH("Disbursed",W353&amp;""))),"Disbursed",IF(OR(LOWER(V353)="loan proccessed/accepted",ISNUMBER(SEARCH("sanctioned",LOWER(W353&amp;"")))),"Sanctioned",IF(OR(LOWER(V353)="rejected",ISNUMBER(SEARCH("Not eligbile",W353&amp;"")),ISNUMBER(SEARCH("Not eligible",W353&amp;""))),"Rejected",IF(ISNUMBER(SEARCH("Docs Pending",W353&amp;"")),"Documents Pending",IF(AND(LOWER(H353)="yes",LOWER(V353)="ongoing"),"Processing",IF(AND(LOWER(H353)="yes",Q353&gt;0,OR(V353="",LOWER(V353)="not even started")),"Vendor Assigned",IF(AND(LOWER(H353)="yes",LOWER(V353)="not even started"),"Need Loan",IF(LOWER(H353)="yes","Loan Started",IF(LOWER(H353)="not sure","Interested",IF(OR(LOWER(H353)="no",LOWER(V353)="not required"),"Not Required","Unclassified")))))))))))))</f>
        <v/>
      </c>
      <c r="Y353">
        <f>IF(A353="","",IF(OR(X353="Sanctioned",X353="Disbursed",X353="Approved"),"Approved",IF(X353="Rejected","Rejected",IF(OR(X353="Processing",X353="Documents Pending",X353="Vendor Assigned"),"In Progress",IF(X353="Need Loan","Pending Start","—"))))</f>
        <v/>
      </c>
      <c r="Z353">
        <f>IF(A353="","",IF(X353="Disbursed","Disbursed",IF(X353="Sanctioned","Sanctioned - Awaiting Disbursement","Not Disbursed")))</f>
        <v/>
      </c>
      <c r="AA353">
        <f>IF(A353="","",IF(LOWER(TRIM('01_Master_Data'!AI353&amp;""))="yes","Need FLDG",IF(LOWER(TRIM('01_Master_Data'!AK353&amp;""))="yes","Need Vidyalakshmi",IF(LOWER(TRIM('01_Master_Data'!AJ353&amp;""))="yes","Need Review",IF(LOWER(J353)="critical","Critical",IF(LOWER(U353)="risk","Risk Case",IF(X353="Refund","Refund","Normal")))))))</f>
        <v/>
      </c>
      <c r="AB353">
        <f>IF(A353="","",IF(OR(LOWER(J353)="critical",LOWER(TRIM('01_Master_Data'!AI353&amp;""))="yes",LOWER(TRIM('01_Master_Data'!AK353&amp;""))="yes",LOWER(U353)="risk"),"Yes","No"))</f>
        <v/>
      </c>
      <c r="AC353">
        <f>IF(A353="","",IF(LOWER(TRIM('01_Master_Data'!AI353&amp;""))="yes","Yes","No"))</f>
        <v/>
      </c>
      <c r="AD353">
        <f>IF(A353="","",IF(LOWER(TRIM('01_Master_Data'!AK353&amp;""))="yes","Yes","No"))</f>
        <v/>
      </c>
      <c r="AE353">
        <f>IF(A353="","",IF(LOWER(TRIM('01_Master_Data'!AJ353&amp;""))="yes","Yes","No"))</f>
        <v/>
      </c>
      <c r="AF353">
        <f>IF(A353="","",TRIM('01_Master_Data'!AL353&amp;""))</f>
        <v/>
      </c>
      <c r="AG353">
        <f>IF(A353="","",IF(AF353="","—",IF(ISNUMBER(SEARCH("DNP",AF353)),"Unreachable / DNP",IF(ISNUMBER(SEARCH("interest",LOWER(AF353))),"High Interest / Terms",IF(OR(ISNUMBER(SEARCH("eligib",LOWER(AF353))),ISNUMBER(SEARCH("income",LOWER(AF353)))),"Eligibility / Income",IF(OR(ISNUMBER(SEARCH("start",LOWER(AF353))),ISNUMBER(SEARCH("Newer",AF353)),ISNUMBER(SEARCH("Will start",AF353))),"Process Yet to Start",IF(ISNUMBER(SEARCH("sure",LOWER(AF353))),"Undecided",IF(OR(ISNUMBER(SEARCH("reject",LOWER(AF353))),ISNUMBER(SEARCH("SBI",AF353))),"Rejected Elsewhere",IF(ISNUMBER(SEARCH("call",LOWER(AF353))),"Bank Communication",IF(OR(ISNUMBER(SEARCH("father",LOWER(AF353))),ISNUMBER(SEARCH("sister",LOWER(AF353)))),"Family / Dependency","Other"))))))))))</f>
        <v/>
      </c>
      <c r="AH353">
        <f>IF(A353="","",'01_Master_Data'!AC353)</f>
        <v/>
      </c>
      <c r="AI353">
        <f>IF(A353="","",IF(OR(AH353="",NOT(ISNUMBER(AH353))),"",MAX(0,'02_Configuration'!$B$82-AH353)))</f>
        <v/>
      </c>
      <c r="AJ353">
        <f>IF(A353="","",IF(AI353="","Unknown",IF(AI353&lt;=3,"0–3 Days",IF(AI353&lt;=7,"4–7 Days",IF(AI353&lt;=15,"8–15 Days",IF(AI353&lt;=30,"16–30 Days","30+ Days"))))))</f>
        <v/>
      </c>
      <c r="AK353">
        <f>IF(A353="","",IF(LOWER(H353)="yes","Yes","No"))</f>
        <v/>
      </c>
      <c r="AL353">
        <f>IF(A353="","",'01_Master_Data'!T353)</f>
        <v/>
      </c>
      <c r="AM353">
        <f>IF(A353="","",'01_Master_Data'!S353)</f>
        <v/>
      </c>
      <c r="AN353">
        <f>IF(A353="","",'01_Master_Data'!I353)</f>
        <v/>
      </c>
      <c r="AO353">
        <f>IF(A353="","",'01_Master_Data'!M353)</f>
        <v/>
      </c>
      <c r="AP353">
        <f>IF(A353="","",IF(ISNUMBER(SEARCH("Icici",W353&amp;"")),1,0))</f>
        <v/>
      </c>
      <c r="AQ353">
        <f>IF(A353="","",IF(ISNUMBER(SEARCH("Propelld",W353&amp;"")),1,0))</f>
        <v/>
      </c>
      <c r="AR353">
        <f>IF(A353="","",IF(ISNUMBER(SEARCH("GyanDhan",W353&amp;"")),1,0))</f>
        <v/>
      </c>
      <c r="AS353">
        <f>IF(A353="","",IF(ISNUMBER(SEARCH("vidyalakshmi",LOWER(W353&amp;""))),1,0))</f>
        <v/>
      </c>
      <c r="AT353">
        <f>IF(A353="","",IF(ISNUMBER(SEARCH("other bank",LOWER(W353&amp;""))),1,0))</f>
        <v/>
      </c>
      <c r="AU353">
        <f>IF(A353="","",IF(ISNUMBER(SEARCH("sanctioned",LOWER(W353&amp;""))),1,0))</f>
        <v/>
      </c>
      <c r="AV353">
        <f>IF(A353="","",IF(ISNUMBER(SEARCH("Docs Pending",W353&amp;"")),1,0))</f>
        <v/>
      </c>
      <c r="AW353">
        <f>IF(A353="","",IF(OR(X353="Rejected",ISNUMBER(SEARCH("Not eligbile",W353&amp;""))),1,0))</f>
        <v/>
      </c>
    </row>
    <row r="354">
      <c r="A354">
        <f>IF('01_Master_Data'!B354="","",353)</f>
        <v/>
      </c>
      <c r="B354">
        <f>IF('01_Master_Data'!B354="","",IF('01_Master_Data'!C354&lt;&gt;"","MOB|"&amp;TEXT('01_Master_Data'!C354,"0"),IF('01_Master_Data'!D354&lt;&gt;"","PID|"&amp;TRIM('01_Master_Data'!D354&amp;""),"")))</f>
        <v/>
      </c>
      <c r="C354">
        <f>IF('01_Master_Data'!B354="","",'01_Master_Data'!B354)</f>
        <v/>
      </c>
      <c r="D354">
        <f>IF('01_Master_Data'!B354="","",'01_Master_Data'!C354)</f>
        <v/>
      </c>
      <c r="E354">
        <f>IF('01_Master_Data'!B354="","",'01_Master_Data'!D354)</f>
        <v/>
      </c>
      <c r="F354">
        <f>IF('01_Master_Data'!B354="","",'01_Master_Data'!E354)</f>
        <v/>
      </c>
      <c r="G354">
        <f>IF('01_Master_Data'!B354="","",IFERROR(VLOOKUP(TRIM('01_Master_Data'!E354&amp;""),'02_Configuration'!$A$40:$B$44,2,FALSE),UPPER(TRIM('01_Master_Data'!E354&amp;""))))</f>
        <v/>
      </c>
      <c r="H354">
        <f>IF('01_Master_Data'!B354="","",IF('01_Master_Data'!U354="","",TRIM('01_Master_Data'!U354&amp;"")))</f>
        <v/>
      </c>
      <c r="I354">
        <f>IF('01_Master_Data'!B354="","",TRIM('01_Master_Data'!F354&amp;""))</f>
        <v/>
      </c>
      <c r="J354">
        <f>IF('01_Master_Data'!B354="","",TRIM('01_Master_Data'!G354&amp;""))</f>
        <v/>
      </c>
      <c r="K354">
        <f>IF('01_Master_Data'!B354="","",'01_Master_Data'!H354)</f>
        <v/>
      </c>
      <c r="L354">
        <f>IF('01_Master_Data'!B354="","",IF(LOWER(TRIM('01_Master_Data'!V354&amp;""))="yes",1,0))</f>
        <v/>
      </c>
      <c r="M354">
        <f>IF('01_Master_Data'!B354="","",IF(LOWER(TRIM('01_Master_Data'!W354&amp;""))="yes",1,0))</f>
        <v/>
      </c>
      <c r="N354">
        <f>IF('01_Master_Data'!B354="","",IF(LOWER(TRIM('01_Master_Data'!X354&amp;""))="yes",1,0))</f>
        <v/>
      </c>
      <c r="O354">
        <f>IF('01_Master_Data'!B354="","",IF(LOWER(TRIM('01_Master_Data'!Y354&amp;""))="yes",1,0))</f>
        <v/>
      </c>
      <c r="P354">
        <f>IF('01_Master_Data'!B354="","",IF(LOWER(TRIM('01_Master_Data'!Z354&amp;""))="yes",1,0))</f>
        <v/>
      </c>
      <c r="Q354">
        <f>IF(A354="","",L354+M354+N354+O354+P354)</f>
        <v/>
      </c>
      <c r="R354">
        <f>IF(A354="","",IF(Q354&gt;1,"Yes","No"))</f>
        <v/>
      </c>
      <c r="S354">
        <f>IF(A354="","",TEXTJOIN(", ",TRUE,IF(L354=1,"ICICI",""),IF(M354=1,"Propelld",""),IF(N354=1,"Study4Buddy",""),IF(O354=1,"Poonawala Fincorp",""),IF(P354=1,"GyanDhan","")))</f>
        <v/>
      </c>
      <c r="T354">
        <f>IF(A354="","",IF(L354=1,"ICICI",IF(M354=1,"Propelld",IF(P354=1,"GyanDhan",IF(N354=1,"Study4Buddy",IF(O354=1,"Poonawala Fincorp",IF(ISNUMBER(SEARCH("GyanDhan",W354&amp;"")),"GyanDhan",IF(ISNUMBER(SEARCH("Icici",W354&amp;"")),"ICICI",IF(ISNUMBER(SEARCH("Propelld",W354&amp;"")),"Propelld",IF(ISNUMBER(SEARCH("vidyalakshmi",LOWER(W354&amp;"")),"PM Vidyalakshmi","—"))))))))))</f>
        <v/>
      </c>
      <c r="U354">
        <f>IF(A354="","",TRIM('01_Master_Data'!AA354&amp;""))</f>
        <v/>
      </c>
      <c r="V354">
        <f>IF(A354="","",TRIM('01_Master_Data'!AG354&amp;""))</f>
        <v/>
      </c>
      <c r="W354">
        <f>IF(A354="","",TRIM('01_Master_Data'!AH354&amp;""))</f>
        <v/>
      </c>
      <c r="X354">
        <f>IF(A354="","",IF(OR(LOWER(H354)="refund",LOWER(U354)="refund case"),"Refund",IF(OR(LOWER(H354)="dnp",LOWER(U354)="dnp"),"DNP",IF(OR(LOWER(V354)="disbursed",ISNUMBER(SEARCH("Disbursed",W354&amp;""))),"Disbursed",IF(OR(LOWER(V354)="loan proccessed/accepted",ISNUMBER(SEARCH("sanctioned",LOWER(W354&amp;"")))),"Sanctioned",IF(OR(LOWER(V354)="rejected",ISNUMBER(SEARCH("Not eligbile",W354&amp;"")),ISNUMBER(SEARCH("Not eligible",W354&amp;""))),"Rejected",IF(ISNUMBER(SEARCH("Docs Pending",W354&amp;"")),"Documents Pending",IF(AND(LOWER(H354)="yes",LOWER(V354)="ongoing"),"Processing",IF(AND(LOWER(H354)="yes",Q354&gt;0,OR(V354="",LOWER(V354)="not even started")),"Vendor Assigned",IF(AND(LOWER(H354)="yes",LOWER(V354)="not even started"),"Need Loan",IF(LOWER(H354)="yes","Loan Started",IF(LOWER(H354)="not sure","Interested",IF(OR(LOWER(H354)="no",LOWER(V354)="not required"),"Not Required","Unclassified")))))))))))))</f>
        <v/>
      </c>
      <c r="Y354">
        <f>IF(A354="","",IF(OR(X354="Sanctioned",X354="Disbursed",X354="Approved"),"Approved",IF(X354="Rejected","Rejected",IF(OR(X354="Processing",X354="Documents Pending",X354="Vendor Assigned"),"In Progress",IF(X354="Need Loan","Pending Start","—"))))</f>
        <v/>
      </c>
      <c r="Z354">
        <f>IF(A354="","",IF(X354="Disbursed","Disbursed",IF(X354="Sanctioned","Sanctioned - Awaiting Disbursement","Not Disbursed")))</f>
        <v/>
      </c>
      <c r="AA354">
        <f>IF(A354="","",IF(LOWER(TRIM('01_Master_Data'!AI354&amp;""))="yes","Need FLDG",IF(LOWER(TRIM('01_Master_Data'!AK354&amp;""))="yes","Need Vidyalakshmi",IF(LOWER(TRIM('01_Master_Data'!AJ354&amp;""))="yes","Need Review",IF(LOWER(J354)="critical","Critical",IF(LOWER(U354)="risk","Risk Case",IF(X354="Refund","Refund","Normal")))))))</f>
        <v/>
      </c>
      <c r="AB354">
        <f>IF(A354="","",IF(OR(LOWER(J354)="critical",LOWER(TRIM('01_Master_Data'!AI354&amp;""))="yes",LOWER(TRIM('01_Master_Data'!AK354&amp;""))="yes",LOWER(U354)="risk"),"Yes","No"))</f>
        <v/>
      </c>
      <c r="AC354">
        <f>IF(A354="","",IF(LOWER(TRIM('01_Master_Data'!AI354&amp;""))="yes","Yes","No"))</f>
        <v/>
      </c>
      <c r="AD354">
        <f>IF(A354="","",IF(LOWER(TRIM('01_Master_Data'!AK354&amp;""))="yes","Yes","No"))</f>
        <v/>
      </c>
      <c r="AE354">
        <f>IF(A354="","",IF(LOWER(TRIM('01_Master_Data'!AJ354&amp;""))="yes","Yes","No"))</f>
        <v/>
      </c>
      <c r="AF354">
        <f>IF(A354="","",TRIM('01_Master_Data'!AL354&amp;""))</f>
        <v/>
      </c>
      <c r="AG354">
        <f>IF(A354="","",IF(AF354="","—",IF(ISNUMBER(SEARCH("DNP",AF354)),"Unreachable / DNP",IF(ISNUMBER(SEARCH("interest",LOWER(AF354))),"High Interest / Terms",IF(OR(ISNUMBER(SEARCH("eligib",LOWER(AF354))),ISNUMBER(SEARCH("income",LOWER(AF354)))),"Eligibility / Income",IF(OR(ISNUMBER(SEARCH("start",LOWER(AF354))),ISNUMBER(SEARCH("Newer",AF354)),ISNUMBER(SEARCH("Will start",AF354))),"Process Yet to Start",IF(ISNUMBER(SEARCH("sure",LOWER(AF354))),"Undecided",IF(OR(ISNUMBER(SEARCH("reject",LOWER(AF354))),ISNUMBER(SEARCH("SBI",AF354))),"Rejected Elsewhere",IF(ISNUMBER(SEARCH("call",LOWER(AF354))),"Bank Communication",IF(OR(ISNUMBER(SEARCH("father",LOWER(AF354))),ISNUMBER(SEARCH("sister",LOWER(AF354)))),"Family / Dependency","Other"))))))))))</f>
        <v/>
      </c>
      <c r="AH354">
        <f>IF(A354="","",'01_Master_Data'!AC354)</f>
        <v/>
      </c>
      <c r="AI354">
        <f>IF(A354="","",IF(OR(AH354="",NOT(ISNUMBER(AH354))),"",MAX(0,'02_Configuration'!$B$82-AH354)))</f>
        <v/>
      </c>
      <c r="AJ354">
        <f>IF(A354="","",IF(AI354="","Unknown",IF(AI354&lt;=3,"0–3 Days",IF(AI354&lt;=7,"4–7 Days",IF(AI354&lt;=15,"8–15 Days",IF(AI354&lt;=30,"16–30 Days","30+ Days"))))))</f>
        <v/>
      </c>
      <c r="AK354">
        <f>IF(A354="","",IF(LOWER(H354)="yes","Yes","No"))</f>
        <v/>
      </c>
      <c r="AL354">
        <f>IF(A354="","",'01_Master_Data'!T354)</f>
        <v/>
      </c>
      <c r="AM354">
        <f>IF(A354="","",'01_Master_Data'!S354)</f>
        <v/>
      </c>
      <c r="AN354">
        <f>IF(A354="","",'01_Master_Data'!I354)</f>
        <v/>
      </c>
      <c r="AO354">
        <f>IF(A354="","",'01_Master_Data'!M354)</f>
        <v/>
      </c>
      <c r="AP354">
        <f>IF(A354="","",IF(ISNUMBER(SEARCH("Icici",W354&amp;"")),1,0))</f>
        <v/>
      </c>
      <c r="AQ354">
        <f>IF(A354="","",IF(ISNUMBER(SEARCH("Propelld",W354&amp;"")),1,0))</f>
        <v/>
      </c>
      <c r="AR354">
        <f>IF(A354="","",IF(ISNUMBER(SEARCH("GyanDhan",W354&amp;"")),1,0))</f>
        <v/>
      </c>
      <c r="AS354">
        <f>IF(A354="","",IF(ISNUMBER(SEARCH("vidyalakshmi",LOWER(W354&amp;""))),1,0))</f>
        <v/>
      </c>
      <c r="AT354">
        <f>IF(A354="","",IF(ISNUMBER(SEARCH("other bank",LOWER(W354&amp;""))),1,0))</f>
        <v/>
      </c>
      <c r="AU354">
        <f>IF(A354="","",IF(ISNUMBER(SEARCH("sanctioned",LOWER(W354&amp;""))),1,0))</f>
        <v/>
      </c>
      <c r="AV354">
        <f>IF(A354="","",IF(ISNUMBER(SEARCH("Docs Pending",W354&amp;"")),1,0))</f>
        <v/>
      </c>
      <c r="AW354">
        <f>IF(A354="","",IF(OR(X354="Rejected",ISNUMBER(SEARCH("Not eligbile",W354&amp;""))),1,0))</f>
        <v/>
      </c>
    </row>
    <row r="355">
      <c r="A355">
        <f>IF('01_Master_Data'!B355="","",354)</f>
        <v/>
      </c>
      <c r="B355">
        <f>IF('01_Master_Data'!B355="","",IF('01_Master_Data'!C355&lt;&gt;"","MOB|"&amp;TEXT('01_Master_Data'!C355,"0"),IF('01_Master_Data'!D355&lt;&gt;"","PID|"&amp;TRIM('01_Master_Data'!D355&amp;""),"")))</f>
        <v/>
      </c>
      <c r="C355">
        <f>IF('01_Master_Data'!B355="","",'01_Master_Data'!B355)</f>
        <v/>
      </c>
      <c r="D355">
        <f>IF('01_Master_Data'!B355="","",'01_Master_Data'!C355)</f>
        <v/>
      </c>
      <c r="E355">
        <f>IF('01_Master_Data'!B355="","",'01_Master_Data'!D355)</f>
        <v/>
      </c>
      <c r="F355">
        <f>IF('01_Master_Data'!B355="","",'01_Master_Data'!E355)</f>
        <v/>
      </c>
      <c r="G355">
        <f>IF('01_Master_Data'!B355="","",IFERROR(VLOOKUP(TRIM('01_Master_Data'!E355&amp;""),'02_Configuration'!$A$40:$B$44,2,FALSE),UPPER(TRIM('01_Master_Data'!E355&amp;""))))</f>
        <v/>
      </c>
      <c r="H355">
        <f>IF('01_Master_Data'!B355="","",IF('01_Master_Data'!U355="","",TRIM('01_Master_Data'!U355&amp;"")))</f>
        <v/>
      </c>
      <c r="I355">
        <f>IF('01_Master_Data'!B355="","",TRIM('01_Master_Data'!F355&amp;""))</f>
        <v/>
      </c>
      <c r="J355">
        <f>IF('01_Master_Data'!B355="","",TRIM('01_Master_Data'!G355&amp;""))</f>
        <v/>
      </c>
      <c r="K355">
        <f>IF('01_Master_Data'!B355="","",'01_Master_Data'!H355)</f>
        <v/>
      </c>
      <c r="L355">
        <f>IF('01_Master_Data'!B355="","",IF(LOWER(TRIM('01_Master_Data'!V355&amp;""))="yes",1,0))</f>
        <v/>
      </c>
      <c r="M355">
        <f>IF('01_Master_Data'!B355="","",IF(LOWER(TRIM('01_Master_Data'!W355&amp;""))="yes",1,0))</f>
        <v/>
      </c>
      <c r="N355">
        <f>IF('01_Master_Data'!B355="","",IF(LOWER(TRIM('01_Master_Data'!X355&amp;""))="yes",1,0))</f>
        <v/>
      </c>
      <c r="O355">
        <f>IF('01_Master_Data'!B355="","",IF(LOWER(TRIM('01_Master_Data'!Y355&amp;""))="yes",1,0))</f>
        <v/>
      </c>
      <c r="P355">
        <f>IF('01_Master_Data'!B355="","",IF(LOWER(TRIM('01_Master_Data'!Z355&amp;""))="yes",1,0))</f>
        <v/>
      </c>
      <c r="Q355">
        <f>IF(A355="","",L355+M355+N355+O355+P355)</f>
        <v/>
      </c>
      <c r="R355">
        <f>IF(A355="","",IF(Q355&gt;1,"Yes","No"))</f>
        <v/>
      </c>
      <c r="S355">
        <f>IF(A355="","",TEXTJOIN(", ",TRUE,IF(L355=1,"ICICI",""),IF(M355=1,"Propelld",""),IF(N355=1,"Study4Buddy",""),IF(O355=1,"Poonawala Fincorp",""),IF(P355=1,"GyanDhan","")))</f>
        <v/>
      </c>
      <c r="T355">
        <f>IF(A355="","",IF(L355=1,"ICICI",IF(M355=1,"Propelld",IF(P355=1,"GyanDhan",IF(N355=1,"Study4Buddy",IF(O355=1,"Poonawala Fincorp",IF(ISNUMBER(SEARCH("GyanDhan",W355&amp;"")),"GyanDhan",IF(ISNUMBER(SEARCH("Icici",W355&amp;"")),"ICICI",IF(ISNUMBER(SEARCH("Propelld",W355&amp;"")),"Propelld",IF(ISNUMBER(SEARCH("vidyalakshmi",LOWER(W355&amp;"")),"PM Vidyalakshmi","—"))))))))))</f>
        <v/>
      </c>
      <c r="U355">
        <f>IF(A355="","",TRIM('01_Master_Data'!AA355&amp;""))</f>
        <v/>
      </c>
      <c r="V355">
        <f>IF(A355="","",TRIM('01_Master_Data'!AG355&amp;""))</f>
        <v/>
      </c>
      <c r="W355">
        <f>IF(A355="","",TRIM('01_Master_Data'!AH355&amp;""))</f>
        <v/>
      </c>
      <c r="X355">
        <f>IF(A355="","",IF(OR(LOWER(H355)="refund",LOWER(U355)="refund case"),"Refund",IF(OR(LOWER(H355)="dnp",LOWER(U355)="dnp"),"DNP",IF(OR(LOWER(V355)="disbursed",ISNUMBER(SEARCH("Disbursed",W355&amp;""))),"Disbursed",IF(OR(LOWER(V355)="loan proccessed/accepted",ISNUMBER(SEARCH("sanctioned",LOWER(W355&amp;"")))),"Sanctioned",IF(OR(LOWER(V355)="rejected",ISNUMBER(SEARCH("Not eligbile",W355&amp;"")),ISNUMBER(SEARCH("Not eligible",W355&amp;""))),"Rejected",IF(ISNUMBER(SEARCH("Docs Pending",W355&amp;"")),"Documents Pending",IF(AND(LOWER(H355)="yes",LOWER(V355)="ongoing"),"Processing",IF(AND(LOWER(H355)="yes",Q355&gt;0,OR(V355="",LOWER(V355)="not even started")),"Vendor Assigned",IF(AND(LOWER(H355)="yes",LOWER(V355)="not even started"),"Need Loan",IF(LOWER(H355)="yes","Loan Started",IF(LOWER(H355)="not sure","Interested",IF(OR(LOWER(H355)="no",LOWER(V355)="not required"),"Not Required","Unclassified")))))))))))))</f>
        <v/>
      </c>
      <c r="Y355">
        <f>IF(A355="","",IF(OR(X355="Sanctioned",X355="Disbursed",X355="Approved"),"Approved",IF(X355="Rejected","Rejected",IF(OR(X355="Processing",X355="Documents Pending",X355="Vendor Assigned"),"In Progress",IF(X355="Need Loan","Pending Start","—"))))</f>
        <v/>
      </c>
      <c r="Z355">
        <f>IF(A355="","",IF(X355="Disbursed","Disbursed",IF(X355="Sanctioned","Sanctioned - Awaiting Disbursement","Not Disbursed")))</f>
        <v/>
      </c>
      <c r="AA355">
        <f>IF(A355="","",IF(LOWER(TRIM('01_Master_Data'!AI355&amp;""))="yes","Need FLDG",IF(LOWER(TRIM('01_Master_Data'!AK355&amp;""))="yes","Need Vidyalakshmi",IF(LOWER(TRIM('01_Master_Data'!AJ355&amp;""))="yes","Need Review",IF(LOWER(J355)="critical","Critical",IF(LOWER(U355)="risk","Risk Case",IF(X355="Refund","Refund","Normal")))))))</f>
        <v/>
      </c>
      <c r="AB355">
        <f>IF(A355="","",IF(OR(LOWER(J355)="critical",LOWER(TRIM('01_Master_Data'!AI355&amp;""))="yes",LOWER(TRIM('01_Master_Data'!AK355&amp;""))="yes",LOWER(U355)="risk"),"Yes","No"))</f>
        <v/>
      </c>
      <c r="AC355">
        <f>IF(A355="","",IF(LOWER(TRIM('01_Master_Data'!AI355&amp;""))="yes","Yes","No"))</f>
        <v/>
      </c>
      <c r="AD355">
        <f>IF(A355="","",IF(LOWER(TRIM('01_Master_Data'!AK355&amp;""))="yes","Yes","No"))</f>
        <v/>
      </c>
      <c r="AE355">
        <f>IF(A355="","",IF(LOWER(TRIM('01_Master_Data'!AJ355&amp;""))="yes","Yes","No"))</f>
        <v/>
      </c>
      <c r="AF355">
        <f>IF(A355="","",TRIM('01_Master_Data'!AL355&amp;""))</f>
        <v/>
      </c>
      <c r="AG355">
        <f>IF(A355="","",IF(AF355="","—",IF(ISNUMBER(SEARCH("DNP",AF355)),"Unreachable / DNP",IF(ISNUMBER(SEARCH("interest",LOWER(AF355))),"High Interest / Terms",IF(OR(ISNUMBER(SEARCH("eligib",LOWER(AF355))),ISNUMBER(SEARCH("income",LOWER(AF355)))),"Eligibility / Income",IF(OR(ISNUMBER(SEARCH("start",LOWER(AF355))),ISNUMBER(SEARCH("Newer",AF355)),ISNUMBER(SEARCH("Will start",AF355))),"Process Yet to Start",IF(ISNUMBER(SEARCH("sure",LOWER(AF355))),"Undecided",IF(OR(ISNUMBER(SEARCH("reject",LOWER(AF355))),ISNUMBER(SEARCH("SBI",AF355))),"Rejected Elsewhere",IF(ISNUMBER(SEARCH("call",LOWER(AF355))),"Bank Communication",IF(OR(ISNUMBER(SEARCH("father",LOWER(AF355))),ISNUMBER(SEARCH("sister",LOWER(AF355)))),"Family / Dependency","Other"))))))))))</f>
        <v/>
      </c>
      <c r="AH355">
        <f>IF(A355="","",'01_Master_Data'!AC355)</f>
        <v/>
      </c>
      <c r="AI355">
        <f>IF(A355="","",IF(OR(AH355="",NOT(ISNUMBER(AH355))),"",MAX(0,'02_Configuration'!$B$82-AH355)))</f>
        <v/>
      </c>
      <c r="AJ355">
        <f>IF(A355="","",IF(AI355="","Unknown",IF(AI355&lt;=3,"0–3 Days",IF(AI355&lt;=7,"4–7 Days",IF(AI355&lt;=15,"8–15 Days",IF(AI355&lt;=30,"16–30 Days","30+ Days"))))))</f>
        <v/>
      </c>
      <c r="AK355">
        <f>IF(A355="","",IF(LOWER(H355)="yes","Yes","No"))</f>
        <v/>
      </c>
      <c r="AL355">
        <f>IF(A355="","",'01_Master_Data'!T355)</f>
        <v/>
      </c>
      <c r="AM355">
        <f>IF(A355="","",'01_Master_Data'!S355)</f>
        <v/>
      </c>
      <c r="AN355">
        <f>IF(A355="","",'01_Master_Data'!I355)</f>
        <v/>
      </c>
      <c r="AO355">
        <f>IF(A355="","",'01_Master_Data'!M355)</f>
        <v/>
      </c>
      <c r="AP355">
        <f>IF(A355="","",IF(ISNUMBER(SEARCH("Icici",W355&amp;"")),1,0))</f>
        <v/>
      </c>
      <c r="AQ355">
        <f>IF(A355="","",IF(ISNUMBER(SEARCH("Propelld",W355&amp;"")),1,0))</f>
        <v/>
      </c>
      <c r="AR355">
        <f>IF(A355="","",IF(ISNUMBER(SEARCH("GyanDhan",W355&amp;"")),1,0))</f>
        <v/>
      </c>
      <c r="AS355">
        <f>IF(A355="","",IF(ISNUMBER(SEARCH("vidyalakshmi",LOWER(W355&amp;""))),1,0))</f>
        <v/>
      </c>
      <c r="AT355">
        <f>IF(A355="","",IF(ISNUMBER(SEARCH("other bank",LOWER(W355&amp;""))),1,0))</f>
        <v/>
      </c>
      <c r="AU355">
        <f>IF(A355="","",IF(ISNUMBER(SEARCH("sanctioned",LOWER(W355&amp;""))),1,0))</f>
        <v/>
      </c>
      <c r="AV355">
        <f>IF(A355="","",IF(ISNUMBER(SEARCH("Docs Pending",W355&amp;"")),1,0))</f>
        <v/>
      </c>
      <c r="AW355">
        <f>IF(A355="","",IF(OR(X355="Rejected",ISNUMBER(SEARCH("Not eligbile",W355&amp;""))),1,0))</f>
        <v/>
      </c>
    </row>
    <row r="356">
      <c r="A356">
        <f>IF('01_Master_Data'!B356="","",355)</f>
        <v/>
      </c>
      <c r="B356">
        <f>IF('01_Master_Data'!B356="","",IF('01_Master_Data'!C356&lt;&gt;"","MOB|"&amp;TEXT('01_Master_Data'!C356,"0"),IF('01_Master_Data'!D356&lt;&gt;"","PID|"&amp;TRIM('01_Master_Data'!D356&amp;""),"")))</f>
        <v/>
      </c>
      <c r="C356">
        <f>IF('01_Master_Data'!B356="","",'01_Master_Data'!B356)</f>
        <v/>
      </c>
      <c r="D356">
        <f>IF('01_Master_Data'!B356="","",'01_Master_Data'!C356)</f>
        <v/>
      </c>
      <c r="E356">
        <f>IF('01_Master_Data'!B356="","",'01_Master_Data'!D356)</f>
        <v/>
      </c>
      <c r="F356">
        <f>IF('01_Master_Data'!B356="","",'01_Master_Data'!E356)</f>
        <v/>
      </c>
      <c r="G356">
        <f>IF('01_Master_Data'!B356="","",IFERROR(VLOOKUP(TRIM('01_Master_Data'!E356&amp;""),'02_Configuration'!$A$40:$B$44,2,FALSE),UPPER(TRIM('01_Master_Data'!E356&amp;""))))</f>
        <v/>
      </c>
      <c r="H356">
        <f>IF('01_Master_Data'!B356="","",IF('01_Master_Data'!U356="","",TRIM('01_Master_Data'!U356&amp;"")))</f>
        <v/>
      </c>
      <c r="I356">
        <f>IF('01_Master_Data'!B356="","",TRIM('01_Master_Data'!F356&amp;""))</f>
        <v/>
      </c>
      <c r="J356">
        <f>IF('01_Master_Data'!B356="","",TRIM('01_Master_Data'!G356&amp;""))</f>
        <v/>
      </c>
      <c r="K356">
        <f>IF('01_Master_Data'!B356="","",'01_Master_Data'!H356)</f>
        <v/>
      </c>
      <c r="L356">
        <f>IF('01_Master_Data'!B356="","",IF(LOWER(TRIM('01_Master_Data'!V356&amp;""))="yes",1,0))</f>
        <v/>
      </c>
      <c r="M356">
        <f>IF('01_Master_Data'!B356="","",IF(LOWER(TRIM('01_Master_Data'!W356&amp;""))="yes",1,0))</f>
        <v/>
      </c>
      <c r="N356">
        <f>IF('01_Master_Data'!B356="","",IF(LOWER(TRIM('01_Master_Data'!X356&amp;""))="yes",1,0))</f>
        <v/>
      </c>
      <c r="O356">
        <f>IF('01_Master_Data'!B356="","",IF(LOWER(TRIM('01_Master_Data'!Y356&amp;""))="yes",1,0))</f>
        <v/>
      </c>
      <c r="P356">
        <f>IF('01_Master_Data'!B356="","",IF(LOWER(TRIM('01_Master_Data'!Z356&amp;""))="yes",1,0))</f>
        <v/>
      </c>
      <c r="Q356">
        <f>IF(A356="","",L356+M356+N356+O356+P356)</f>
        <v/>
      </c>
      <c r="R356">
        <f>IF(A356="","",IF(Q356&gt;1,"Yes","No"))</f>
        <v/>
      </c>
      <c r="S356">
        <f>IF(A356="","",TEXTJOIN(", ",TRUE,IF(L356=1,"ICICI",""),IF(M356=1,"Propelld",""),IF(N356=1,"Study4Buddy",""),IF(O356=1,"Poonawala Fincorp",""),IF(P356=1,"GyanDhan","")))</f>
        <v/>
      </c>
      <c r="T356">
        <f>IF(A356="","",IF(L356=1,"ICICI",IF(M356=1,"Propelld",IF(P356=1,"GyanDhan",IF(N356=1,"Study4Buddy",IF(O356=1,"Poonawala Fincorp",IF(ISNUMBER(SEARCH("GyanDhan",W356&amp;"")),"GyanDhan",IF(ISNUMBER(SEARCH("Icici",W356&amp;"")),"ICICI",IF(ISNUMBER(SEARCH("Propelld",W356&amp;"")),"Propelld",IF(ISNUMBER(SEARCH("vidyalakshmi",LOWER(W356&amp;"")),"PM Vidyalakshmi","—"))))))))))</f>
        <v/>
      </c>
      <c r="U356">
        <f>IF(A356="","",TRIM('01_Master_Data'!AA356&amp;""))</f>
        <v/>
      </c>
      <c r="V356">
        <f>IF(A356="","",TRIM('01_Master_Data'!AG356&amp;""))</f>
        <v/>
      </c>
      <c r="W356">
        <f>IF(A356="","",TRIM('01_Master_Data'!AH356&amp;""))</f>
        <v/>
      </c>
      <c r="X356">
        <f>IF(A356="","",IF(OR(LOWER(H356)="refund",LOWER(U356)="refund case"),"Refund",IF(OR(LOWER(H356)="dnp",LOWER(U356)="dnp"),"DNP",IF(OR(LOWER(V356)="disbursed",ISNUMBER(SEARCH("Disbursed",W356&amp;""))),"Disbursed",IF(OR(LOWER(V356)="loan proccessed/accepted",ISNUMBER(SEARCH("sanctioned",LOWER(W356&amp;"")))),"Sanctioned",IF(OR(LOWER(V356)="rejected",ISNUMBER(SEARCH("Not eligbile",W356&amp;"")),ISNUMBER(SEARCH("Not eligible",W356&amp;""))),"Rejected",IF(ISNUMBER(SEARCH("Docs Pending",W356&amp;"")),"Documents Pending",IF(AND(LOWER(H356)="yes",LOWER(V356)="ongoing"),"Processing",IF(AND(LOWER(H356)="yes",Q356&gt;0,OR(V356="",LOWER(V356)="not even started")),"Vendor Assigned",IF(AND(LOWER(H356)="yes",LOWER(V356)="not even started"),"Need Loan",IF(LOWER(H356)="yes","Loan Started",IF(LOWER(H356)="not sure","Interested",IF(OR(LOWER(H356)="no",LOWER(V356)="not required"),"Not Required","Unclassified")))))))))))))</f>
        <v/>
      </c>
      <c r="Y356">
        <f>IF(A356="","",IF(OR(X356="Sanctioned",X356="Disbursed",X356="Approved"),"Approved",IF(X356="Rejected","Rejected",IF(OR(X356="Processing",X356="Documents Pending",X356="Vendor Assigned"),"In Progress",IF(X356="Need Loan","Pending Start","—"))))</f>
        <v/>
      </c>
      <c r="Z356">
        <f>IF(A356="","",IF(X356="Disbursed","Disbursed",IF(X356="Sanctioned","Sanctioned - Awaiting Disbursement","Not Disbursed")))</f>
        <v/>
      </c>
      <c r="AA356">
        <f>IF(A356="","",IF(LOWER(TRIM('01_Master_Data'!AI356&amp;""))="yes","Need FLDG",IF(LOWER(TRIM('01_Master_Data'!AK356&amp;""))="yes","Need Vidyalakshmi",IF(LOWER(TRIM('01_Master_Data'!AJ356&amp;""))="yes","Need Review",IF(LOWER(J356)="critical","Critical",IF(LOWER(U356)="risk","Risk Case",IF(X356="Refund","Refund","Normal")))))))</f>
        <v/>
      </c>
      <c r="AB356">
        <f>IF(A356="","",IF(OR(LOWER(J356)="critical",LOWER(TRIM('01_Master_Data'!AI356&amp;""))="yes",LOWER(TRIM('01_Master_Data'!AK356&amp;""))="yes",LOWER(U356)="risk"),"Yes","No"))</f>
        <v/>
      </c>
      <c r="AC356">
        <f>IF(A356="","",IF(LOWER(TRIM('01_Master_Data'!AI356&amp;""))="yes","Yes","No"))</f>
        <v/>
      </c>
      <c r="AD356">
        <f>IF(A356="","",IF(LOWER(TRIM('01_Master_Data'!AK356&amp;""))="yes","Yes","No"))</f>
        <v/>
      </c>
      <c r="AE356">
        <f>IF(A356="","",IF(LOWER(TRIM('01_Master_Data'!AJ356&amp;""))="yes","Yes","No"))</f>
        <v/>
      </c>
      <c r="AF356">
        <f>IF(A356="","",TRIM('01_Master_Data'!AL356&amp;""))</f>
        <v/>
      </c>
      <c r="AG356">
        <f>IF(A356="","",IF(AF356="","—",IF(ISNUMBER(SEARCH("DNP",AF356)),"Unreachable / DNP",IF(ISNUMBER(SEARCH("interest",LOWER(AF356))),"High Interest / Terms",IF(OR(ISNUMBER(SEARCH("eligib",LOWER(AF356))),ISNUMBER(SEARCH("income",LOWER(AF356)))),"Eligibility / Income",IF(OR(ISNUMBER(SEARCH("start",LOWER(AF356))),ISNUMBER(SEARCH("Newer",AF356)),ISNUMBER(SEARCH("Will start",AF356))),"Process Yet to Start",IF(ISNUMBER(SEARCH("sure",LOWER(AF356))),"Undecided",IF(OR(ISNUMBER(SEARCH("reject",LOWER(AF356))),ISNUMBER(SEARCH("SBI",AF356))),"Rejected Elsewhere",IF(ISNUMBER(SEARCH("call",LOWER(AF356))),"Bank Communication",IF(OR(ISNUMBER(SEARCH("father",LOWER(AF356))),ISNUMBER(SEARCH("sister",LOWER(AF356)))),"Family / Dependency","Other"))))))))))</f>
        <v/>
      </c>
      <c r="AH356">
        <f>IF(A356="","",'01_Master_Data'!AC356)</f>
        <v/>
      </c>
      <c r="AI356">
        <f>IF(A356="","",IF(OR(AH356="",NOT(ISNUMBER(AH356))),"",MAX(0,'02_Configuration'!$B$82-AH356)))</f>
        <v/>
      </c>
      <c r="AJ356">
        <f>IF(A356="","",IF(AI356="","Unknown",IF(AI356&lt;=3,"0–3 Days",IF(AI356&lt;=7,"4–7 Days",IF(AI356&lt;=15,"8–15 Days",IF(AI356&lt;=30,"16–30 Days","30+ Days"))))))</f>
        <v/>
      </c>
      <c r="AK356">
        <f>IF(A356="","",IF(LOWER(H356)="yes","Yes","No"))</f>
        <v/>
      </c>
      <c r="AL356">
        <f>IF(A356="","",'01_Master_Data'!T356)</f>
        <v/>
      </c>
      <c r="AM356">
        <f>IF(A356="","",'01_Master_Data'!S356)</f>
        <v/>
      </c>
      <c r="AN356">
        <f>IF(A356="","",'01_Master_Data'!I356)</f>
        <v/>
      </c>
      <c r="AO356">
        <f>IF(A356="","",'01_Master_Data'!M356)</f>
        <v/>
      </c>
      <c r="AP356">
        <f>IF(A356="","",IF(ISNUMBER(SEARCH("Icici",W356&amp;"")),1,0))</f>
        <v/>
      </c>
      <c r="AQ356">
        <f>IF(A356="","",IF(ISNUMBER(SEARCH("Propelld",W356&amp;"")),1,0))</f>
        <v/>
      </c>
      <c r="AR356">
        <f>IF(A356="","",IF(ISNUMBER(SEARCH("GyanDhan",W356&amp;"")),1,0))</f>
        <v/>
      </c>
      <c r="AS356">
        <f>IF(A356="","",IF(ISNUMBER(SEARCH("vidyalakshmi",LOWER(W356&amp;""))),1,0))</f>
        <v/>
      </c>
      <c r="AT356">
        <f>IF(A356="","",IF(ISNUMBER(SEARCH("other bank",LOWER(W356&amp;""))),1,0))</f>
        <v/>
      </c>
      <c r="AU356">
        <f>IF(A356="","",IF(ISNUMBER(SEARCH("sanctioned",LOWER(W356&amp;""))),1,0))</f>
        <v/>
      </c>
      <c r="AV356">
        <f>IF(A356="","",IF(ISNUMBER(SEARCH("Docs Pending",W356&amp;"")),1,0))</f>
        <v/>
      </c>
      <c r="AW356">
        <f>IF(A356="","",IF(OR(X356="Rejected",ISNUMBER(SEARCH("Not eligbile",W356&amp;""))),1,0))</f>
        <v/>
      </c>
    </row>
    <row r="357">
      <c r="A357">
        <f>IF('01_Master_Data'!B357="","",356)</f>
        <v/>
      </c>
      <c r="B357">
        <f>IF('01_Master_Data'!B357="","",IF('01_Master_Data'!C357&lt;&gt;"","MOB|"&amp;TEXT('01_Master_Data'!C357,"0"),IF('01_Master_Data'!D357&lt;&gt;"","PID|"&amp;TRIM('01_Master_Data'!D357&amp;""),"")))</f>
        <v/>
      </c>
      <c r="C357">
        <f>IF('01_Master_Data'!B357="","",'01_Master_Data'!B357)</f>
        <v/>
      </c>
      <c r="D357">
        <f>IF('01_Master_Data'!B357="","",'01_Master_Data'!C357)</f>
        <v/>
      </c>
      <c r="E357">
        <f>IF('01_Master_Data'!B357="","",'01_Master_Data'!D357)</f>
        <v/>
      </c>
      <c r="F357">
        <f>IF('01_Master_Data'!B357="","",'01_Master_Data'!E357)</f>
        <v/>
      </c>
      <c r="G357">
        <f>IF('01_Master_Data'!B357="","",IFERROR(VLOOKUP(TRIM('01_Master_Data'!E357&amp;""),'02_Configuration'!$A$40:$B$44,2,FALSE),UPPER(TRIM('01_Master_Data'!E357&amp;""))))</f>
        <v/>
      </c>
      <c r="H357">
        <f>IF('01_Master_Data'!B357="","",IF('01_Master_Data'!U357="","",TRIM('01_Master_Data'!U357&amp;"")))</f>
        <v/>
      </c>
      <c r="I357">
        <f>IF('01_Master_Data'!B357="","",TRIM('01_Master_Data'!F357&amp;""))</f>
        <v/>
      </c>
      <c r="J357">
        <f>IF('01_Master_Data'!B357="","",TRIM('01_Master_Data'!G357&amp;""))</f>
        <v/>
      </c>
      <c r="K357">
        <f>IF('01_Master_Data'!B357="","",'01_Master_Data'!H357)</f>
        <v/>
      </c>
      <c r="L357">
        <f>IF('01_Master_Data'!B357="","",IF(LOWER(TRIM('01_Master_Data'!V357&amp;""))="yes",1,0))</f>
        <v/>
      </c>
      <c r="M357">
        <f>IF('01_Master_Data'!B357="","",IF(LOWER(TRIM('01_Master_Data'!W357&amp;""))="yes",1,0))</f>
        <v/>
      </c>
      <c r="N357">
        <f>IF('01_Master_Data'!B357="","",IF(LOWER(TRIM('01_Master_Data'!X357&amp;""))="yes",1,0))</f>
        <v/>
      </c>
      <c r="O357">
        <f>IF('01_Master_Data'!B357="","",IF(LOWER(TRIM('01_Master_Data'!Y357&amp;""))="yes",1,0))</f>
        <v/>
      </c>
      <c r="P357">
        <f>IF('01_Master_Data'!B357="","",IF(LOWER(TRIM('01_Master_Data'!Z357&amp;""))="yes",1,0))</f>
        <v/>
      </c>
      <c r="Q357">
        <f>IF(A357="","",L357+M357+N357+O357+P357)</f>
        <v/>
      </c>
      <c r="R357">
        <f>IF(A357="","",IF(Q357&gt;1,"Yes","No"))</f>
        <v/>
      </c>
      <c r="S357">
        <f>IF(A357="","",TEXTJOIN(", ",TRUE,IF(L357=1,"ICICI",""),IF(M357=1,"Propelld",""),IF(N357=1,"Study4Buddy",""),IF(O357=1,"Poonawala Fincorp",""),IF(P357=1,"GyanDhan","")))</f>
        <v/>
      </c>
      <c r="T357">
        <f>IF(A357="","",IF(L357=1,"ICICI",IF(M357=1,"Propelld",IF(P357=1,"GyanDhan",IF(N357=1,"Study4Buddy",IF(O357=1,"Poonawala Fincorp",IF(ISNUMBER(SEARCH("GyanDhan",W357&amp;"")),"GyanDhan",IF(ISNUMBER(SEARCH("Icici",W357&amp;"")),"ICICI",IF(ISNUMBER(SEARCH("Propelld",W357&amp;"")),"Propelld",IF(ISNUMBER(SEARCH("vidyalakshmi",LOWER(W357&amp;"")),"PM Vidyalakshmi","—"))))))))))</f>
        <v/>
      </c>
      <c r="U357">
        <f>IF(A357="","",TRIM('01_Master_Data'!AA357&amp;""))</f>
        <v/>
      </c>
      <c r="V357">
        <f>IF(A357="","",TRIM('01_Master_Data'!AG357&amp;""))</f>
        <v/>
      </c>
      <c r="W357">
        <f>IF(A357="","",TRIM('01_Master_Data'!AH357&amp;""))</f>
        <v/>
      </c>
      <c r="X357">
        <f>IF(A357="","",IF(OR(LOWER(H357)="refund",LOWER(U357)="refund case"),"Refund",IF(OR(LOWER(H357)="dnp",LOWER(U357)="dnp"),"DNP",IF(OR(LOWER(V357)="disbursed",ISNUMBER(SEARCH("Disbursed",W357&amp;""))),"Disbursed",IF(OR(LOWER(V357)="loan proccessed/accepted",ISNUMBER(SEARCH("sanctioned",LOWER(W357&amp;"")))),"Sanctioned",IF(OR(LOWER(V357)="rejected",ISNUMBER(SEARCH("Not eligbile",W357&amp;"")),ISNUMBER(SEARCH("Not eligible",W357&amp;""))),"Rejected",IF(ISNUMBER(SEARCH("Docs Pending",W357&amp;"")),"Documents Pending",IF(AND(LOWER(H357)="yes",LOWER(V357)="ongoing"),"Processing",IF(AND(LOWER(H357)="yes",Q357&gt;0,OR(V357="",LOWER(V357)="not even started")),"Vendor Assigned",IF(AND(LOWER(H357)="yes",LOWER(V357)="not even started"),"Need Loan",IF(LOWER(H357)="yes","Loan Started",IF(LOWER(H357)="not sure","Interested",IF(OR(LOWER(H357)="no",LOWER(V357)="not required"),"Not Required","Unclassified")))))))))))))</f>
        <v/>
      </c>
      <c r="Y357">
        <f>IF(A357="","",IF(OR(X357="Sanctioned",X357="Disbursed",X357="Approved"),"Approved",IF(X357="Rejected","Rejected",IF(OR(X357="Processing",X357="Documents Pending",X357="Vendor Assigned"),"In Progress",IF(X357="Need Loan","Pending Start","—"))))</f>
        <v/>
      </c>
      <c r="Z357">
        <f>IF(A357="","",IF(X357="Disbursed","Disbursed",IF(X357="Sanctioned","Sanctioned - Awaiting Disbursement","Not Disbursed")))</f>
        <v/>
      </c>
      <c r="AA357">
        <f>IF(A357="","",IF(LOWER(TRIM('01_Master_Data'!AI357&amp;""))="yes","Need FLDG",IF(LOWER(TRIM('01_Master_Data'!AK357&amp;""))="yes","Need Vidyalakshmi",IF(LOWER(TRIM('01_Master_Data'!AJ357&amp;""))="yes","Need Review",IF(LOWER(J357)="critical","Critical",IF(LOWER(U357)="risk","Risk Case",IF(X357="Refund","Refund","Normal")))))))</f>
        <v/>
      </c>
      <c r="AB357">
        <f>IF(A357="","",IF(OR(LOWER(J357)="critical",LOWER(TRIM('01_Master_Data'!AI357&amp;""))="yes",LOWER(TRIM('01_Master_Data'!AK357&amp;""))="yes",LOWER(U357)="risk"),"Yes","No"))</f>
        <v/>
      </c>
      <c r="AC357">
        <f>IF(A357="","",IF(LOWER(TRIM('01_Master_Data'!AI357&amp;""))="yes","Yes","No"))</f>
        <v/>
      </c>
      <c r="AD357">
        <f>IF(A357="","",IF(LOWER(TRIM('01_Master_Data'!AK357&amp;""))="yes","Yes","No"))</f>
        <v/>
      </c>
      <c r="AE357">
        <f>IF(A357="","",IF(LOWER(TRIM('01_Master_Data'!AJ357&amp;""))="yes","Yes","No"))</f>
        <v/>
      </c>
      <c r="AF357">
        <f>IF(A357="","",TRIM('01_Master_Data'!AL357&amp;""))</f>
        <v/>
      </c>
      <c r="AG357">
        <f>IF(A357="","",IF(AF357="","—",IF(ISNUMBER(SEARCH("DNP",AF357)),"Unreachable / DNP",IF(ISNUMBER(SEARCH("interest",LOWER(AF357))),"High Interest / Terms",IF(OR(ISNUMBER(SEARCH("eligib",LOWER(AF357))),ISNUMBER(SEARCH("income",LOWER(AF357)))),"Eligibility / Income",IF(OR(ISNUMBER(SEARCH("start",LOWER(AF357))),ISNUMBER(SEARCH("Newer",AF357)),ISNUMBER(SEARCH("Will start",AF357))),"Process Yet to Start",IF(ISNUMBER(SEARCH("sure",LOWER(AF357))),"Undecided",IF(OR(ISNUMBER(SEARCH("reject",LOWER(AF357))),ISNUMBER(SEARCH("SBI",AF357))),"Rejected Elsewhere",IF(ISNUMBER(SEARCH("call",LOWER(AF357))),"Bank Communication",IF(OR(ISNUMBER(SEARCH("father",LOWER(AF357))),ISNUMBER(SEARCH("sister",LOWER(AF357)))),"Family / Dependency","Other"))))))))))</f>
        <v/>
      </c>
      <c r="AH357">
        <f>IF(A357="","",'01_Master_Data'!AC357)</f>
        <v/>
      </c>
      <c r="AI357">
        <f>IF(A357="","",IF(OR(AH357="",NOT(ISNUMBER(AH357))),"",MAX(0,'02_Configuration'!$B$82-AH357)))</f>
        <v/>
      </c>
      <c r="AJ357">
        <f>IF(A357="","",IF(AI357="","Unknown",IF(AI357&lt;=3,"0–3 Days",IF(AI357&lt;=7,"4–7 Days",IF(AI357&lt;=15,"8–15 Days",IF(AI357&lt;=30,"16–30 Days","30+ Days"))))))</f>
        <v/>
      </c>
      <c r="AK357">
        <f>IF(A357="","",IF(LOWER(H357)="yes","Yes","No"))</f>
        <v/>
      </c>
      <c r="AL357">
        <f>IF(A357="","",'01_Master_Data'!T357)</f>
        <v/>
      </c>
      <c r="AM357">
        <f>IF(A357="","",'01_Master_Data'!S357)</f>
        <v/>
      </c>
      <c r="AN357">
        <f>IF(A357="","",'01_Master_Data'!I357)</f>
        <v/>
      </c>
      <c r="AO357">
        <f>IF(A357="","",'01_Master_Data'!M357)</f>
        <v/>
      </c>
      <c r="AP357">
        <f>IF(A357="","",IF(ISNUMBER(SEARCH("Icici",W357&amp;"")),1,0))</f>
        <v/>
      </c>
      <c r="AQ357">
        <f>IF(A357="","",IF(ISNUMBER(SEARCH("Propelld",W357&amp;"")),1,0))</f>
        <v/>
      </c>
      <c r="AR357">
        <f>IF(A357="","",IF(ISNUMBER(SEARCH("GyanDhan",W357&amp;"")),1,0))</f>
        <v/>
      </c>
      <c r="AS357">
        <f>IF(A357="","",IF(ISNUMBER(SEARCH("vidyalakshmi",LOWER(W357&amp;""))),1,0))</f>
        <v/>
      </c>
      <c r="AT357">
        <f>IF(A357="","",IF(ISNUMBER(SEARCH("other bank",LOWER(W357&amp;""))),1,0))</f>
        <v/>
      </c>
      <c r="AU357">
        <f>IF(A357="","",IF(ISNUMBER(SEARCH("sanctioned",LOWER(W357&amp;""))),1,0))</f>
        <v/>
      </c>
      <c r="AV357">
        <f>IF(A357="","",IF(ISNUMBER(SEARCH("Docs Pending",W357&amp;"")),1,0))</f>
        <v/>
      </c>
      <c r="AW357">
        <f>IF(A357="","",IF(OR(X357="Rejected",ISNUMBER(SEARCH("Not eligbile",W357&amp;""))),1,0))</f>
        <v/>
      </c>
    </row>
    <row r="358">
      <c r="A358">
        <f>IF('01_Master_Data'!B358="","",357)</f>
        <v/>
      </c>
      <c r="B358">
        <f>IF('01_Master_Data'!B358="","",IF('01_Master_Data'!C358&lt;&gt;"","MOB|"&amp;TEXT('01_Master_Data'!C358,"0"),IF('01_Master_Data'!D358&lt;&gt;"","PID|"&amp;TRIM('01_Master_Data'!D358&amp;""),"")))</f>
        <v/>
      </c>
      <c r="C358">
        <f>IF('01_Master_Data'!B358="","",'01_Master_Data'!B358)</f>
        <v/>
      </c>
      <c r="D358">
        <f>IF('01_Master_Data'!B358="","",'01_Master_Data'!C358)</f>
        <v/>
      </c>
      <c r="E358">
        <f>IF('01_Master_Data'!B358="","",'01_Master_Data'!D358)</f>
        <v/>
      </c>
      <c r="F358">
        <f>IF('01_Master_Data'!B358="","",'01_Master_Data'!E358)</f>
        <v/>
      </c>
      <c r="G358">
        <f>IF('01_Master_Data'!B358="","",IFERROR(VLOOKUP(TRIM('01_Master_Data'!E358&amp;""),'02_Configuration'!$A$40:$B$44,2,FALSE),UPPER(TRIM('01_Master_Data'!E358&amp;""))))</f>
        <v/>
      </c>
      <c r="H358">
        <f>IF('01_Master_Data'!B358="","",IF('01_Master_Data'!U358="","",TRIM('01_Master_Data'!U358&amp;"")))</f>
        <v/>
      </c>
      <c r="I358">
        <f>IF('01_Master_Data'!B358="","",TRIM('01_Master_Data'!F358&amp;""))</f>
        <v/>
      </c>
      <c r="J358">
        <f>IF('01_Master_Data'!B358="","",TRIM('01_Master_Data'!G358&amp;""))</f>
        <v/>
      </c>
      <c r="K358">
        <f>IF('01_Master_Data'!B358="","",'01_Master_Data'!H358)</f>
        <v/>
      </c>
      <c r="L358">
        <f>IF('01_Master_Data'!B358="","",IF(LOWER(TRIM('01_Master_Data'!V358&amp;""))="yes",1,0))</f>
        <v/>
      </c>
      <c r="M358">
        <f>IF('01_Master_Data'!B358="","",IF(LOWER(TRIM('01_Master_Data'!W358&amp;""))="yes",1,0))</f>
        <v/>
      </c>
      <c r="N358">
        <f>IF('01_Master_Data'!B358="","",IF(LOWER(TRIM('01_Master_Data'!X358&amp;""))="yes",1,0))</f>
        <v/>
      </c>
      <c r="O358">
        <f>IF('01_Master_Data'!B358="","",IF(LOWER(TRIM('01_Master_Data'!Y358&amp;""))="yes",1,0))</f>
        <v/>
      </c>
      <c r="P358">
        <f>IF('01_Master_Data'!B358="","",IF(LOWER(TRIM('01_Master_Data'!Z358&amp;""))="yes",1,0))</f>
        <v/>
      </c>
      <c r="Q358">
        <f>IF(A358="","",L358+M358+N358+O358+P358)</f>
        <v/>
      </c>
      <c r="R358">
        <f>IF(A358="","",IF(Q358&gt;1,"Yes","No"))</f>
        <v/>
      </c>
      <c r="S358">
        <f>IF(A358="","",TEXTJOIN(", ",TRUE,IF(L358=1,"ICICI",""),IF(M358=1,"Propelld",""),IF(N358=1,"Study4Buddy",""),IF(O358=1,"Poonawala Fincorp",""),IF(P358=1,"GyanDhan","")))</f>
        <v/>
      </c>
      <c r="T358">
        <f>IF(A358="","",IF(L358=1,"ICICI",IF(M358=1,"Propelld",IF(P358=1,"GyanDhan",IF(N358=1,"Study4Buddy",IF(O358=1,"Poonawala Fincorp",IF(ISNUMBER(SEARCH("GyanDhan",W358&amp;"")),"GyanDhan",IF(ISNUMBER(SEARCH("Icici",W358&amp;"")),"ICICI",IF(ISNUMBER(SEARCH("Propelld",W358&amp;"")),"Propelld",IF(ISNUMBER(SEARCH("vidyalakshmi",LOWER(W358&amp;"")),"PM Vidyalakshmi","—"))))))))))</f>
        <v/>
      </c>
      <c r="U358">
        <f>IF(A358="","",TRIM('01_Master_Data'!AA358&amp;""))</f>
        <v/>
      </c>
      <c r="V358">
        <f>IF(A358="","",TRIM('01_Master_Data'!AG358&amp;""))</f>
        <v/>
      </c>
      <c r="W358">
        <f>IF(A358="","",TRIM('01_Master_Data'!AH358&amp;""))</f>
        <v/>
      </c>
      <c r="X358">
        <f>IF(A358="","",IF(OR(LOWER(H358)="refund",LOWER(U358)="refund case"),"Refund",IF(OR(LOWER(H358)="dnp",LOWER(U358)="dnp"),"DNP",IF(OR(LOWER(V358)="disbursed",ISNUMBER(SEARCH("Disbursed",W358&amp;""))),"Disbursed",IF(OR(LOWER(V358)="loan proccessed/accepted",ISNUMBER(SEARCH("sanctioned",LOWER(W358&amp;"")))),"Sanctioned",IF(OR(LOWER(V358)="rejected",ISNUMBER(SEARCH("Not eligbile",W358&amp;"")),ISNUMBER(SEARCH("Not eligible",W358&amp;""))),"Rejected",IF(ISNUMBER(SEARCH("Docs Pending",W358&amp;"")),"Documents Pending",IF(AND(LOWER(H358)="yes",LOWER(V358)="ongoing"),"Processing",IF(AND(LOWER(H358)="yes",Q358&gt;0,OR(V358="",LOWER(V358)="not even started")),"Vendor Assigned",IF(AND(LOWER(H358)="yes",LOWER(V358)="not even started"),"Need Loan",IF(LOWER(H358)="yes","Loan Started",IF(LOWER(H358)="not sure","Interested",IF(OR(LOWER(H358)="no",LOWER(V358)="not required"),"Not Required","Unclassified")))))))))))))</f>
        <v/>
      </c>
      <c r="Y358">
        <f>IF(A358="","",IF(OR(X358="Sanctioned",X358="Disbursed",X358="Approved"),"Approved",IF(X358="Rejected","Rejected",IF(OR(X358="Processing",X358="Documents Pending",X358="Vendor Assigned"),"In Progress",IF(X358="Need Loan","Pending Start","—"))))</f>
        <v/>
      </c>
      <c r="Z358">
        <f>IF(A358="","",IF(X358="Disbursed","Disbursed",IF(X358="Sanctioned","Sanctioned - Awaiting Disbursement","Not Disbursed")))</f>
        <v/>
      </c>
      <c r="AA358">
        <f>IF(A358="","",IF(LOWER(TRIM('01_Master_Data'!AI358&amp;""))="yes","Need FLDG",IF(LOWER(TRIM('01_Master_Data'!AK358&amp;""))="yes","Need Vidyalakshmi",IF(LOWER(TRIM('01_Master_Data'!AJ358&amp;""))="yes","Need Review",IF(LOWER(J358)="critical","Critical",IF(LOWER(U358)="risk","Risk Case",IF(X358="Refund","Refund","Normal")))))))</f>
        <v/>
      </c>
      <c r="AB358">
        <f>IF(A358="","",IF(OR(LOWER(J358)="critical",LOWER(TRIM('01_Master_Data'!AI358&amp;""))="yes",LOWER(TRIM('01_Master_Data'!AK358&amp;""))="yes",LOWER(U358)="risk"),"Yes","No"))</f>
        <v/>
      </c>
      <c r="AC358">
        <f>IF(A358="","",IF(LOWER(TRIM('01_Master_Data'!AI358&amp;""))="yes","Yes","No"))</f>
        <v/>
      </c>
      <c r="AD358">
        <f>IF(A358="","",IF(LOWER(TRIM('01_Master_Data'!AK358&amp;""))="yes","Yes","No"))</f>
        <v/>
      </c>
      <c r="AE358">
        <f>IF(A358="","",IF(LOWER(TRIM('01_Master_Data'!AJ358&amp;""))="yes","Yes","No"))</f>
        <v/>
      </c>
      <c r="AF358">
        <f>IF(A358="","",TRIM('01_Master_Data'!AL358&amp;""))</f>
        <v/>
      </c>
      <c r="AG358">
        <f>IF(A358="","",IF(AF358="","—",IF(ISNUMBER(SEARCH("DNP",AF358)),"Unreachable / DNP",IF(ISNUMBER(SEARCH("interest",LOWER(AF358))),"High Interest / Terms",IF(OR(ISNUMBER(SEARCH("eligib",LOWER(AF358))),ISNUMBER(SEARCH("income",LOWER(AF358)))),"Eligibility / Income",IF(OR(ISNUMBER(SEARCH("start",LOWER(AF358))),ISNUMBER(SEARCH("Newer",AF358)),ISNUMBER(SEARCH("Will start",AF358))),"Process Yet to Start",IF(ISNUMBER(SEARCH("sure",LOWER(AF358))),"Undecided",IF(OR(ISNUMBER(SEARCH("reject",LOWER(AF358))),ISNUMBER(SEARCH("SBI",AF358))),"Rejected Elsewhere",IF(ISNUMBER(SEARCH("call",LOWER(AF358))),"Bank Communication",IF(OR(ISNUMBER(SEARCH("father",LOWER(AF358))),ISNUMBER(SEARCH("sister",LOWER(AF358)))),"Family / Dependency","Other"))))))))))</f>
        <v/>
      </c>
      <c r="AH358">
        <f>IF(A358="","",'01_Master_Data'!AC358)</f>
        <v/>
      </c>
      <c r="AI358">
        <f>IF(A358="","",IF(OR(AH358="",NOT(ISNUMBER(AH358))),"",MAX(0,'02_Configuration'!$B$82-AH358)))</f>
        <v/>
      </c>
      <c r="AJ358">
        <f>IF(A358="","",IF(AI358="","Unknown",IF(AI358&lt;=3,"0–3 Days",IF(AI358&lt;=7,"4–7 Days",IF(AI358&lt;=15,"8–15 Days",IF(AI358&lt;=30,"16–30 Days","30+ Days"))))))</f>
        <v/>
      </c>
      <c r="AK358">
        <f>IF(A358="","",IF(LOWER(H358)="yes","Yes","No"))</f>
        <v/>
      </c>
      <c r="AL358">
        <f>IF(A358="","",'01_Master_Data'!T358)</f>
        <v/>
      </c>
      <c r="AM358">
        <f>IF(A358="","",'01_Master_Data'!S358)</f>
        <v/>
      </c>
      <c r="AN358">
        <f>IF(A358="","",'01_Master_Data'!I358)</f>
        <v/>
      </c>
      <c r="AO358">
        <f>IF(A358="","",'01_Master_Data'!M358)</f>
        <v/>
      </c>
      <c r="AP358">
        <f>IF(A358="","",IF(ISNUMBER(SEARCH("Icici",W358&amp;"")),1,0))</f>
        <v/>
      </c>
      <c r="AQ358">
        <f>IF(A358="","",IF(ISNUMBER(SEARCH("Propelld",W358&amp;"")),1,0))</f>
        <v/>
      </c>
      <c r="AR358">
        <f>IF(A358="","",IF(ISNUMBER(SEARCH("GyanDhan",W358&amp;"")),1,0))</f>
        <v/>
      </c>
      <c r="AS358">
        <f>IF(A358="","",IF(ISNUMBER(SEARCH("vidyalakshmi",LOWER(W358&amp;""))),1,0))</f>
        <v/>
      </c>
      <c r="AT358">
        <f>IF(A358="","",IF(ISNUMBER(SEARCH("other bank",LOWER(W358&amp;""))),1,0))</f>
        <v/>
      </c>
      <c r="AU358">
        <f>IF(A358="","",IF(ISNUMBER(SEARCH("sanctioned",LOWER(W358&amp;""))),1,0))</f>
        <v/>
      </c>
      <c r="AV358">
        <f>IF(A358="","",IF(ISNUMBER(SEARCH("Docs Pending",W358&amp;"")),1,0))</f>
        <v/>
      </c>
      <c r="AW358">
        <f>IF(A358="","",IF(OR(X358="Rejected",ISNUMBER(SEARCH("Not eligbile",W358&amp;""))),1,0))</f>
        <v/>
      </c>
    </row>
    <row r="359">
      <c r="A359">
        <f>IF('01_Master_Data'!B359="","",358)</f>
        <v/>
      </c>
      <c r="B359">
        <f>IF('01_Master_Data'!B359="","",IF('01_Master_Data'!C359&lt;&gt;"","MOB|"&amp;TEXT('01_Master_Data'!C359,"0"),IF('01_Master_Data'!D359&lt;&gt;"","PID|"&amp;TRIM('01_Master_Data'!D359&amp;""),"")))</f>
        <v/>
      </c>
      <c r="C359">
        <f>IF('01_Master_Data'!B359="","",'01_Master_Data'!B359)</f>
        <v/>
      </c>
      <c r="D359">
        <f>IF('01_Master_Data'!B359="","",'01_Master_Data'!C359)</f>
        <v/>
      </c>
      <c r="E359">
        <f>IF('01_Master_Data'!B359="","",'01_Master_Data'!D359)</f>
        <v/>
      </c>
      <c r="F359">
        <f>IF('01_Master_Data'!B359="","",'01_Master_Data'!E359)</f>
        <v/>
      </c>
      <c r="G359">
        <f>IF('01_Master_Data'!B359="","",IFERROR(VLOOKUP(TRIM('01_Master_Data'!E359&amp;""),'02_Configuration'!$A$40:$B$44,2,FALSE),UPPER(TRIM('01_Master_Data'!E359&amp;""))))</f>
        <v/>
      </c>
      <c r="H359">
        <f>IF('01_Master_Data'!B359="","",IF('01_Master_Data'!U359="","",TRIM('01_Master_Data'!U359&amp;"")))</f>
        <v/>
      </c>
      <c r="I359">
        <f>IF('01_Master_Data'!B359="","",TRIM('01_Master_Data'!F359&amp;""))</f>
        <v/>
      </c>
      <c r="J359">
        <f>IF('01_Master_Data'!B359="","",TRIM('01_Master_Data'!G359&amp;""))</f>
        <v/>
      </c>
      <c r="K359">
        <f>IF('01_Master_Data'!B359="","",'01_Master_Data'!H359)</f>
        <v/>
      </c>
      <c r="L359">
        <f>IF('01_Master_Data'!B359="","",IF(LOWER(TRIM('01_Master_Data'!V359&amp;""))="yes",1,0))</f>
        <v/>
      </c>
      <c r="M359">
        <f>IF('01_Master_Data'!B359="","",IF(LOWER(TRIM('01_Master_Data'!W359&amp;""))="yes",1,0))</f>
        <v/>
      </c>
      <c r="N359">
        <f>IF('01_Master_Data'!B359="","",IF(LOWER(TRIM('01_Master_Data'!X359&amp;""))="yes",1,0))</f>
        <v/>
      </c>
      <c r="O359">
        <f>IF('01_Master_Data'!B359="","",IF(LOWER(TRIM('01_Master_Data'!Y359&amp;""))="yes",1,0))</f>
        <v/>
      </c>
      <c r="P359">
        <f>IF('01_Master_Data'!B359="","",IF(LOWER(TRIM('01_Master_Data'!Z359&amp;""))="yes",1,0))</f>
        <v/>
      </c>
      <c r="Q359">
        <f>IF(A359="","",L359+M359+N359+O359+P359)</f>
        <v/>
      </c>
      <c r="R359">
        <f>IF(A359="","",IF(Q359&gt;1,"Yes","No"))</f>
        <v/>
      </c>
      <c r="S359">
        <f>IF(A359="","",TEXTJOIN(", ",TRUE,IF(L359=1,"ICICI",""),IF(M359=1,"Propelld",""),IF(N359=1,"Study4Buddy",""),IF(O359=1,"Poonawala Fincorp",""),IF(P359=1,"GyanDhan","")))</f>
        <v/>
      </c>
      <c r="T359">
        <f>IF(A359="","",IF(L359=1,"ICICI",IF(M359=1,"Propelld",IF(P359=1,"GyanDhan",IF(N359=1,"Study4Buddy",IF(O359=1,"Poonawala Fincorp",IF(ISNUMBER(SEARCH("GyanDhan",W359&amp;"")),"GyanDhan",IF(ISNUMBER(SEARCH("Icici",W359&amp;"")),"ICICI",IF(ISNUMBER(SEARCH("Propelld",W359&amp;"")),"Propelld",IF(ISNUMBER(SEARCH("vidyalakshmi",LOWER(W359&amp;"")),"PM Vidyalakshmi","—"))))))))))</f>
        <v/>
      </c>
      <c r="U359">
        <f>IF(A359="","",TRIM('01_Master_Data'!AA359&amp;""))</f>
        <v/>
      </c>
      <c r="V359">
        <f>IF(A359="","",TRIM('01_Master_Data'!AG359&amp;""))</f>
        <v/>
      </c>
      <c r="W359">
        <f>IF(A359="","",TRIM('01_Master_Data'!AH359&amp;""))</f>
        <v/>
      </c>
      <c r="X359">
        <f>IF(A359="","",IF(OR(LOWER(H359)="refund",LOWER(U359)="refund case"),"Refund",IF(OR(LOWER(H359)="dnp",LOWER(U359)="dnp"),"DNP",IF(OR(LOWER(V359)="disbursed",ISNUMBER(SEARCH("Disbursed",W359&amp;""))),"Disbursed",IF(OR(LOWER(V359)="loan proccessed/accepted",ISNUMBER(SEARCH("sanctioned",LOWER(W359&amp;"")))),"Sanctioned",IF(OR(LOWER(V359)="rejected",ISNUMBER(SEARCH("Not eligbile",W359&amp;"")),ISNUMBER(SEARCH("Not eligible",W359&amp;""))),"Rejected",IF(ISNUMBER(SEARCH("Docs Pending",W359&amp;"")),"Documents Pending",IF(AND(LOWER(H359)="yes",LOWER(V359)="ongoing"),"Processing",IF(AND(LOWER(H359)="yes",Q359&gt;0,OR(V359="",LOWER(V359)="not even started")),"Vendor Assigned",IF(AND(LOWER(H359)="yes",LOWER(V359)="not even started"),"Need Loan",IF(LOWER(H359)="yes","Loan Started",IF(LOWER(H359)="not sure","Interested",IF(OR(LOWER(H359)="no",LOWER(V359)="not required"),"Not Required","Unclassified")))))))))))))</f>
        <v/>
      </c>
      <c r="Y359">
        <f>IF(A359="","",IF(OR(X359="Sanctioned",X359="Disbursed",X359="Approved"),"Approved",IF(X359="Rejected","Rejected",IF(OR(X359="Processing",X359="Documents Pending",X359="Vendor Assigned"),"In Progress",IF(X359="Need Loan","Pending Start","—"))))</f>
        <v/>
      </c>
      <c r="Z359">
        <f>IF(A359="","",IF(X359="Disbursed","Disbursed",IF(X359="Sanctioned","Sanctioned - Awaiting Disbursement","Not Disbursed")))</f>
        <v/>
      </c>
      <c r="AA359">
        <f>IF(A359="","",IF(LOWER(TRIM('01_Master_Data'!AI359&amp;""))="yes","Need FLDG",IF(LOWER(TRIM('01_Master_Data'!AK359&amp;""))="yes","Need Vidyalakshmi",IF(LOWER(TRIM('01_Master_Data'!AJ359&amp;""))="yes","Need Review",IF(LOWER(J359)="critical","Critical",IF(LOWER(U359)="risk","Risk Case",IF(X359="Refund","Refund","Normal")))))))</f>
        <v/>
      </c>
      <c r="AB359">
        <f>IF(A359="","",IF(OR(LOWER(J359)="critical",LOWER(TRIM('01_Master_Data'!AI359&amp;""))="yes",LOWER(TRIM('01_Master_Data'!AK359&amp;""))="yes",LOWER(U359)="risk"),"Yes","No"))</f>
        <v/>
      </c>
      <c r="AC359">
        <f>IF(A359="","",IF(LOWER(TRIM('01_Master_Data'!AI359&amp;""))="yes","Yes","No"))</f>
        <v/>
      </c>
      <c r="AD359">
        <f>IF(A359="","",IF(LOWER(TRIM('01_Master_Data'!AK359&amp;""))="yes","Yes","No"))</f>
        <v/>
      </c>
      <c r="AE359">
        <f>IF(A359="","",IF(LOWER(TRIM('01_Master_Data'!AJ359&amp;""))="yes","Yes","No"))</f>
        <v/>
      </c>
      <c r="AF359">
        <f>IF(A359="","",TRIM('01_Master_Data'!AL359&amp;""))</f>
        <v/>
      </c>
      <c r="AG359">
        <f>IF(A359="","",IF(AF359="","—",IF(ISNUMBER(SEARCH("DNP",AF359)),"Unreachable / DNP",IF(ISNUMBER(SEARCH("interest",LOWER(AF359))),"High Interest / Terms",IF(OR(ISNUMBER(SEARCH("eligib",LOWER(AF359))),ISNUMBER(SEARCH("income",LOWER(AF359)))),"Eligibility / Income",IF(OR(ISNUMBER(SEARCH("start",LOWER(AF359))),ISNUMBER(SEARCH("Newer",AF359)),ISNUMBER(SEARCH("Will start",AF359))),"Process Yet to Start",IF(ISNUMBER(SEARCH("sure",LOWER(AF359))),"Undecided",IF(OR(ISNUMBER(SEARCH("reject",LOWER(AF359))),ISNUMBER(SEARCH("SBI",AF359))),"Rejected Elsewhere",IF(ISNUMBER(SEARCH("call",LOWER(AF359))),"Bank Communication",IF(OR(ISNUMBER(SEARCH("father",LOWER(AF359))),ISNUMBER(SEARCH("sister",LOWER(AF359)))),"Family / Dependency","Other"))))))))))</f>
        <v/>
      </c>
      <c r="AH359">
        <f>IF(A359="","",'01_Master_Data'!AC359)</f>
        <v/>
      </c>
      <c r="AI359">
        <f>IF(A359="","",IF(OR(AH359="",NOT(ISNUMBER(AH359))),"",MAX(0,'02_Configuration'!$B$82-AH359)))</f>
        <v/>
      </c>
      <c r="AJ359">
        <f>IF(A359="","",IF(AI359="","Unknown",IF(AI359&lt;=3,"0–3 Days",IF(AI359&lt;=7,"4–7 Days",IF(AI359&lt;=15,"8–15 Days",IF(AI359&lt;=30,"16–30 Days","30+ Days"))))))</f>
        <v/>
      </c>
      <c r="AK359">
        <f>IF(A359="","",IF(LOWER(H359)="yes","Yes","No"))</f>
        <v/>
      </c>
      <c r="AL359">
        <f>IF(A359="","",'01_Master_Data'!T359)</f>
        <v/>
      </c>
      <c r="AM359">
        <f>IF(A359="","",'01_Master_Data'!S359)</f>
        <v/>
      </c>
      <c r="AN359">
        <f>IF(A359="","",'01_Master_Data'!I359)</f>
        <v/>
      </c>
      <c r="AO359">
        <f>IF(A359="","",'01_Master_Data'!M359)</f>
        <v/>
      </c>
      <c r="AP359">
        <f>IF(A359="","",IF(ISNUMBER(SEARCH("Icici",W359&amp;"")),1,0))</f>
        <v/>
      </c>
      <c r="AQ359">
        <f>IF(A359="","",IF(ISNUMBER(SEARCH("Propelld",W359&amp;"")),1,0))</f>
        <v/>
      </c>
      <c r="AR359">
        <f>IF(A359="","",IF(ISNUMBER(SEARCH("GyanDhan",W359&amp;"")),1,0))</f>
        <v/>
      </c>
      <c r="AS359">
        <f>IF(A359="","",IF(ISNUMBER(SEARCH("vidyalakshmi",LOWER(W359&amp;""))),1,0))</f>
        <v/>
      </c>
      <c r="AT359">
        <f>IF(A359="","",IF(ISNUMBER(SEARCH("other bank",LOWER(W359&amp;""))),1,0))</f>
        <v/>
      </c>
      <c r="AU359">
        <f>IF(A359="","",IF(ISNUMBER(SEARCH("sanctioned",LOWER(W359&amp;""))),1,0))</f>
        <v/>
      </c>
      <c r="AV359">
        <f>IF(A359="","",IF(ISNUMBER(SEARCH("Docs Pending",W359&amp;"")),1,0))</f>
        <v/>
      </c>
      <c r="AW359">
        <f>IF(A359="","",IF(OR(X359="Rejected",ISNUMBER(SEARCH("Not eligbile",W359&amp;""))),1,0))</f>
        <v/>
      </c>
    </row>
    <row r="360">
      <c r="A360">
        <f>IF('01_Master_Data'!B360="","",359)</f>
        <v/>
      </c>
      <c r="B360">
        <f>IF('01_Master_Data'!B360="","",IF('01_Master_Data'!C360&lt;&gt;"","MOB|"&amp;TEXT('01_Master_Data'!C360,"0"),IF('01_Master_Data'!D360&lt;&gt;"","PID|"&amp;TRIM('01_Master_Data'!D360&amp;""),"")))</f>
        <v/>
      </c>
      <c r="C360">
        <f>IF('01_Master_Data'!B360="","",'01_Master_Data'!B360)</f>
        <v/>
      </c>
      <c r="D360">
        <f>IF('01_Master_Data'!B360="","",'01_Master_Data'!C360)</f>
        <v/>
      </c>
      <c r="E360">
        <f>IF('01_Master_Data'!B360="","",'01_Master_Data'!D360)</f>
        <v/>
      </c>
      <c r="F360">
        <f>IF('01_Master_Data'!B360="","",'01_Master_Data'!E360)</f>
        <v/>
      </c>
      <c r="G360">
        <f>IF('01_Master_Data'!B360="","",IFERROR(VLOOKUP(TRIM('01_Master_Data'!E360&amp;""),'02_Configuration'!$A$40:$B$44,2,FALSE),UPPER(TRIM('01_Master_Data'!E360&amp;""))))</f>
        <v/>
      </c>
      <c r="H360">
        <f>IF('01_Master_Data'!B360="","",IF('01_Master_Data'!U360="","",TRIM('01_Master_Data'!U360&amp;"")))</f>
        <v/>
      </c>
      <c r="I360">
        <f>IF('01_Master_Data'!B360="","",TRIM('01_Master_Data'!F360&amp;""))</f>
        <v/>
      </c>
      <c r="J360">
        <f>IF('01_Master_Data'!B360="","",TRIM('01_Master_Data'!G360&amp;""))</f>
        <v/>
      </c>
      <c r="K360">
        <f>IF('01_Master_Data'!B360="","",'01_Master_Data'!H360)</f>
        <v/>
      </c>
      <c r="L360">
        <f>IF('01_Master_Data'!B360="","",IF(LOWER(TRIM('01_Master_Data'!V360&amp;""))="yes",1,0))</f>
        <v/>
      </c>
      <c r="M360">
        <f>IF('01_Master_Data'!B360="","",IF(LOWER(TRIM('01_Master_Data'!W360&amp;""))="yes",1,0))</f>
        <v/>
      </c>
      <c r="N360">
        <f>IF('01_Master_Data'!B360="","",IF(LOWER(TRIM('01_Master_Data'!X360&amp;""))="yes",1,0))</f>
        <v/>
      </c>
      <c r="O360">
        <f>IF('01_Master_Data'!B360="","",IF(LOWER(TRIM('01_Master_Data'!Y360&amp;""))="yes",1,0))</f>
        <v/>
      </c>
      <c r="P360">
        <f>IF('01_Master_Data'!B360="","",IF(LOWER(TRIM('01_Master_Data'!Z360&amp;""))="yes",1,0))</f>
        <v/>
      </c>
      <c r="Q360">
        <f>IF(A360="","",L360+M360+N360+O360+P360)</f>
        <v/>
      </c>
      <c r="R360">
        <f>IF(A360="","",IF(Q360&gt;1,"Yes","No"))</f>
        <v/>
      </c>
      <c r="S360">
        <f>IF(A360="","",TEXTJOIN(", ",TRUE,IF(L360=1,"ICICI",""),IF(M360=1,"Propelld",""),IF(N360=1,"Study4Buddy",""),IF(O360=1,"Poonawala Fincorp",""),IF(P360=1,"GyanDhan","")))</f>
        <v/>
      </c>
      <c r="T360">
        <f>IF(A360="","",IF(L360=1,"ICICI",IF(M360=1,"Propelld",IF(P360=1,"GyanDhan",IF(N360=1,"Study4Buddy",IF(O360=1,"Poonawala Fincorp",IF(ISNUMBER(SEARCH("GyanDhan",W360&amp;"")),"GyanDhan",IF(ISNUMBER(SEARCH("Icici",W360&amp;"")),"ICICI",IF(ISNUMBER(SEARCH("Propelld",W360&amp;"")),"Propelld",IF(ISNUMBER(SEARCH("vidyalakshmi",LOWER(W360&amp;"")),"PM Vidyalakshmi","—"))))))))))</f>
        <v/>
      </c>
      <c r="U360">
        <f>IF(A360="","",TRIM('01_Master_Data'!AA360&amp;""))</f>
        <v/>
      </c>
      <c r="V360">
        <f>IF(A360="","",TRIM('01_Master_Data'!AG360&amp;""))</f>
        <v/>
      </c>
      <c r="W360">
        <f>IF(A360="","",TRIM('01_Master_Data'!AH360&amp;""))</f>
        <v/>
      </c>
      <c r="X360">
        <f>IF(A360="","",IF(OR(LOWER(H360)="refund",LOWER(U360)="refund case"),"Refund",IF(OR(LOWER(H360)="dnp",LOWER(U360)="dnp"),"DNP",IF(OR(LOWER(V360)="disbursed",ISNUMBER(SEARCH("Disbursed",W360&amp;""))),"Disbursed",IF(OR(LOWER(V360)="loan proccessed/accepted",ISNUMBER(SEARCH("sanctioned",LOWER(W360&amp;"")))),"Sanctioned",IF(OR(LOWER(V360)="rejected",ISNUMBER(SEARCH("Not eligbile",W360&amp;"")),ISNUMBER(SEARCH("Not eligible",W360&amp;""))),"Rejected",IF(ISNUMBER(SEARCH("Docs Pending",W360&amp;"")),"Documents Pending",IF(AND(LOWER(H360)="yes",LOWER(V360)="ongoing"),"Processing",IF(AND(LOWER(H360)="yes",Q360&gt;0,OR(V360="",LOWER(V360)="not even started")),"Vendor Assigned",IF(AND(LOWER(H360)="yes",LOWER(V360)="not even started"),"Need Loan",IF(LOWER(H360)="yes","Loan Started",IF(LOWER(H360)="not sure","Interested",IF(OR(LOWER(H360)="no",LOWER(V360)="not required"),"Not Required","Unclassified")))))))))))))</f>
        <v/>
      </c>
      <c r="Y360">
        <f>IF(A360="","",IF(OR(X360="Sanctioned",X360="Disbursed",X360="Approved"),"Approved",IF(X360="Rejected","Rejected",IF(OR(X360="Processing",X360="Documents Pending",X360="Vendor Assigned"),"In Progress",IF(X360="Need Loan","Pending Start","—"))))</f>
        <v/>
      </c>
      <c r="Z360">
        <f>IF(A360="","",IF(X360="Disbursed","Disbursed",IF(X360="Sanctioned","Sanctioned - Awaiting Disbursement","Not Disbursed")))</f>
        <v/>
      </c>
      <c r="AA360">
        <f>IF(A360="","",IF(LOWER(TRIM('01_Master_Data'!AI360&amp;""))="yes","Need FLDG",IF(LOWER(TRIM('01_Master_Data'!AK360&amp;""))="yes","Need Vidyalakshmi",IF(LOWER(TRIM('01_Master_Data'!AJ360&amp;""))="yes","Need Review",IF(LOWER(J360)="critical","Critical",IF(LOWER(U360)="risk","Risk Case",IF(X360="Refund","Refund","Normal")))))))</f>
        <v/>
      </c>
      <c r="AB360">
        <f>IF(A360="","",IF(OR(LOWER(J360)="critical",LOWER(TRIM('01_Master_Data'!AI360&amp;""))="yes",LOWER(TRIM('01_Master_Data'!AK360&amp;""))="yes",LOWER(U360)="risk"),"Yes","No"))</f>
        <v/>
      </c>
      <c r="AC360">
        <f>IF(A360="","",IF(LOWER(TRIM('01_Master_Data'!AI360&amp;""))="yes","Yes","No"))</f>
        <v/>
      </c>
      <c r="AD360">
        <f>IF(A360="","",IF(LOWER(TRIM('01_Master_Data'!AK360&amp;""))="yes","Yes","No"))</f>
        <v/>
      </c>
      <c r="AE360">
        <f>IF(A360="","",IF(LOWER(TRIM('01_Master_Data'!AJ360&amp;""))="yes","Yes","No"))</f>
        <v/>
      </c>
      <c r="AF360">
        <f>IF(A360="","",TRIM('01_Master_Data'!AL360&amp;""))</f>
        <v/>
      </c>
      <c r="AG360">
        <f>IF(A360="","",IF(AF360="","—",IF(ISNUMBER(SEARCH("DNP",AF360)),"Unreachable / DNP",IF(ISNUMBER(SEARCH("interest",LOWER(AF360))),"High Interest / Terms",IF(OR(ISNUMBER(SEARCH("eligib",LOWER(AF360))),ISNUMBER(SEARCH("income",LOWER(AF360)))),"Eligibility / Income",IF(OR(ISNUMBER(SEARCH("start",LOWER(AF360))),ISNUMBER(SEARCH("Newer",AF360)),ISNUMBER(SEARCH("Will start",AF360))),"Process Yet to Start",IF(ISNUMBER(SEARCH("sure",LOWER(AF360))),"Undecided",IF(OR(ISNUMBER(SEARCH("reject",LOWER(AF360))),ISNUMBER(SEARCH("SBI",AF360))),"Rejected Elsewhere",IF(ISNUMBER(SEARCH("call",LOWER(AF360))),"Bank Communication",IF(OR(ISNUMBER(SEARCH("father",LOWER(AF360))),ISNUMBER(SEARCH("sister",LOWER(AF360)))),"Family / Dependency","Other"))))))))))</f>
        <v/>
      </c>
      <c r="AH360">
        <f>IF(A360="","",'01_Master_Data'!AC360)</f>
        <v/>
      </c>
      <c r="AI360">
        <f>IF(A360="","",IF(OR(AH360="",NOT(ISNUMBER(AH360))),"",MAX(0,'02_Configuration'!$B$82-AH360)))</f>
        <v/>
      </c>
      <c r="AJ360">
        <f>IF(A360="","",IF(AI360="","Unknown",IF(AI360&lt;=3,"0–3 Days",IF(AI360&lt;=7,"4–7 Days",IF(AI360&lt;=15,"8–15 Days",IF(AI360&lt;=30,"16–30 Days","30+ Days"))))))</f>
        <v/>
      </c>
      <c r="AK360">
        <f>IF(A360="","",IF(LOWER(H360)="yes","Yes","No"))</f>
        <v/>
      </c>
      <c r="AL360">
        <f>IF(A360="","",'01_Master_Data'!T360)</f>
        <v/>
      </c>
      <c r="AM360">
        <f>IF(A360="","",'01_Master_Data'!S360)</f>
        <v/>
      </c>
      <c r="AN360">
        <f>IF(A360="","",'01_Master_Data'!I360)</f>
        <v/>
      </c>
      <c r="AO360">
        <f>IF(A360="","",'01_Master_Data'!M360)</f>
        <v/>
      </c>
      <c r="AP360">
        <f>IF(A360="","",IF(ISNUMBER(SEARCH("Icici",W360&amp;"")),1,0))</f>
        <v/>
      </c>
      <c r="AQ360">
        <f>IF(A360="","",IF(ISNUMBER(SEARCH("Propelld",W360&amp;"")),1,0))</f>
        <v/>
      </c>
      <c r="AR360">
        <f>IF(A360="","",IF(ISNUMBER(SEARCH("GyanDhan",W360&amp;"")),1,0))</f>
        <v/>
      </c>
      <c r="AS360">
        <f>IF(A360="","",IF(ISNUMBER(SEARCH("vidyalakshmi",LOWER(W360&amp;""))),1,0))</f>
        <v/>
      </c>
      <c r="AT360">
        <f>IF(A360="","",IF(ISNUMBER(SEARCH("other bank",LOWER(W360&amp;""))),1,0))</f>
        <v/>
      </c>
      <c r="AU360">
        <f>IF(A360="","",IF(ISNUMBER(SEARCH("sanctioned",LOWER(W360&amp;""))),1,0))</f>
        <v/>
      </c>
      <c r="AV360">
        <f>IF(A360="","",IF(ISNUMBER(SEARCH("Docs Pending",W360&amp;"")),1,0))</f>
        <v/>
      </c>
      <c r="AW360">
        <f>IF(A360="","",IF(OR(X360="Rejected",ISNUMBER(SEARCH("Not eligbile",W360&amp;""))),1,0))</f>
        <v/>
      </c>
    </row>
    <row r="361">
      <c r="A361">
        <f>IF('01_Master_Data'!B361="","",360)</f>
        <v/>
      </c>
      <c r="B361">
        <f>IF('01_Master_Data'!B361="","",IF('01_Master_Data'!C361&lt;&gt;"","MOB|"&amp;TEXT('01_Master_Data'!C361,"0"),IF('01_Master_Data'!D361&lt;&gt;"","PID|"&amp;TRIM('01_Master_Data'!D361&amp;""),"")))</f>
        <v/>
      </c>
      <c r="C361">
        <f>IF('01_Master_Data'!B361="","",'01_Master_Data'!B361)</f>
        <v/>
      </c>
      <c r="D361">
        <f>IF('01_Master_Data'!B361="","",'01_Master_Data'!C361)</f>
        <v/>
      </c>
      <c r="E361">
        <f>IF('01_Master_Data'!B361="","",'01_Master_Data'!D361)</f>
        <v/>
      </c>
      <c r="F361">
        <f>IF('01_Master_Data'!B361="","",'01_Master_Data'!E361)</f>
        <v/>
      </c>
      <c r="G361">
        <f>IF('01_Master_Data'!B361="","",IFERROR(VLOOKUP(TRIM('01_Master_Data'!E361&amp;""),'02_Configuration'!$A$40:$B$44,2,FALSE),UPPER(TRIM('01_Master_Data'!E361&amp;""))))</f>
        <v/>
      </c>
      <c r="H361">
        <f>IF('01_Master_Data'!B361="","",IF('01_Master_Data'!U361="","",TRIM('01_Master_Data'!U361&amp;"")))</f>
        <v/>
      </c>
      <c r="I361">
        <f>IF('01_Master_Data'!B361="","",TRIM('01_Master_Data'!F361&amp;""))</f>
        <v/>
      </c>
      <c r="J361">
        <f>IF('01_Master_Data'!B361="","",TRIM('01_Master_Data'!G361&amp;""))</f>
        <v/>
      </c>
      <c r="K361">
        <f>IF('01_Master_Data'!B361="","",'01_Master_Data'!H361)</f>
        <v/>
      </c>
      <c r="L361">
        <f>IF('01_Master_Data'!B361="","",IF(LOWER(TRIM('01_Master_Data'!V361&amp;""))="yes",1,0))</f>
        <v/>
      </c>
      <c r="M361">
        <f>IF('01_Master_Data'!B361="","",IF(LOWER(TRIM('01_Master_Data'!W361&amp;""))="yes",1,0))</f>
        <v/>
      </c>
      <c r="N361">
        <f>IF('01_Master_Data'!B361="","",IF(LOWER(TRIM('01_Master_Data'!X361&amp;""))="yes",1,0))</f>
        <v/>
      </c>
      <c r="O361">
        <f>IF('01_Master_Data'!B361="","",IF(LOWER(TRIM('01_Master_Data'!Y361&amp;""))="yes",1,0))</f>
        <v/>
      </c>
      <c r="P361">
        <f>IF('01_Master_Data'!B361="","",IF(LOWER(TRIM('01_Master_Data'!Z361&amp;""))="yes",1,0))</f>
        <v/>
      </c>
      <c r="Q361">
        <f>IF(A361="","",L361+M361+N361+O361+P361)</f>
        <v/>
      </c>
      <c r="R361">
        <f>IF(A361="","",IF(Q361&gt;1,"Yes","No"))</f>
        <v/>
      </c>
      <c r="S361">
        <f>IF(A361="","",TEXTJOIN(", ",TRUE,IF(L361=1,"ICICI",""),IF(M361=1,"Propelld",""),IF(N361=1,"Study4Buddy",""),IF(O361=1,"Poonawala Fincorp",""),IF(P361=1,"GyanDhan","")))</f>
        <v/>
      </c>
      <c r="T361">
        <f>IF(A361="","",IF(L361=1,"ICICI",IF(M361=1,"Propelld",IF(P361=1,"GyanDhan",IF(N361=1,"Study4Buddy",IF(O361=1,"Poonawala Fincorp",IF(ISNUMBER(SEARCH("GyanDhan",W361&amp;"")),"GyanDhan",IF(ISNUMBER(SEARCH("Icici",W361&amp;"")),"ICICI",IF(ISNUMBER(SEARCH("Propelld",W361&amp;"")),"Propelld",IF(ISNUMBER(SEARCH("vidyalakshmi",LOWER(W361&amp;"")),"PM Vidyalakshmi","—"))))))))))</f>
        <v/>
      </c>
      <c r="U361">
        <f>IF(A361="","",TRIM('01_Master_Data'!AA361&amp;""))</f>
        <v/>
      </c>
      <c r="V361">
        <f>IF(A361="","",TRIM('01_Master_Data'!AG361&amp;""))</f>
        <v/>
      </c>
      <c r="W361">
        <f>IF(A361="","",TRIM('01_Master_Data'!AH361&amp;""))</f>
        <v/>
      </c>
      <c r="X361">
        <f>IF(A361="","",IF(OR(LOWER(H361)="refund",LOWER(U361)="refund case"),"Refund",IF(OR(LOWER(H361)="dnp",LOWER(U361)="dnp"),"DNP",IF(OR(LOWER(V361)="disbursed",ISNUMBER(SEARCH("Disbursed",W361&amp;""))),"Disbursed",IF(OR(LOWER(V361)="loan proccessed/accepted",ISNUMBER(SEARCH("sanctioned",LOWER(W361&amp;"")))),"Sanctioned",IF(OR(LOWER(V361)="rejected",ISNUMBER(SEARCH("Not eligbile",W361&amp;"")),ISNUMBER(SEARCH("Not eligible",W361&amp;""))),"Rejected",IF(ISNUMBER(SEARCH("Docs Pending",W361&amp;"")),"Documents Pending",IF(AND(LOWER(H361)="yes",LOWER(V361)="ongoing"),"Processing",IF(AND(LOWER(H361)="yes",Q361&gt;0,OR(V361="",LOWER(V361)="not even started")),"Vendor Assigned",IF(AND(LOWER(H361)="yes",LOWER(V361)="not even started"),"Need Loan",IF(LOWER(H361)="yes","Loan Started",IF(LOWER(H361)="not sure","Interested",IF(OR(LOWER(H361)="no",LOWER(V361)="not required"),"Not Required","Unclassified")))))))))))))</f>
        <v/>
      </c>
      <c r="Y361">
        <f>IF(A361="","",IF(OR(X361="Sanctioned",X361="Disbursed",X361="Approved"),"Approved",IF(X361="Rejected","Rejected",IF(OR(X361="Processing",X361="Documents Pending",X361="Vendor Assigned"),"In Progress",IF(X361="Need Loan","Pending Start","—"))))</f>
        <v/>
      </c>
      <c r="Z361">
        <f>IF(A361="","",IF(X361="Disbursed","Disbursed",IF(X361="Sanctioned","Sanctioned - Awaiting Disbursement","Not Disbursed")))</f>
        <v/>
      </c>
      <c r="AA361">
        <f>IF(A361="","",IF(LOWER(TRIM('01_Master_Data'!AI361&amp;""))="yes","Need FLDG",IF(LOWER(TRIM('01_Master_Data'!AK361&amp;""))="yes","Need Vidyalakshmi",IF(LOWER(TRIM('01_Master_Data'!AJ361&amp;""))="yes","Need Review",IF(LOWER(J361)="critical","Critical",IF(LOWER(U361)="risk","Risk Case",IF(X361="Refund","Refund","Normal")))))))</f>
        <v/>
      </c>
      <c r="AB361">
        <f>IF(A361="","",IF(OR(LOWER(J361)="critical",LOWER(TRIM('01_Master_Data'!AI361&amp;""))="yes",LOWER(TRIM('01_Master_Data'!AK361&amp;""))="yes",LOWER(U361)="risk"),"Yes","No"))</f>
        <v/>
      </c>
      <c r="AC361">
        <f>IF(A361="","",IF(LOWER(TRIM('01_Master_Data'!AI361&amp;""))="yes","Yes","No"))</f>
        <v/>
      </c>
      <c r="AD361">
        <f>IF(A361="","",IF(LOWER(TRIM('01_Master_Data'!AK361&amp;""))="yes","Yes","No"))</f>
        <v/>
      </c>
      <c r="AE361">
        <f>IF(A361="","",IF(LOWER(TRIM('01_Master_Data'!AJ361&amp;""))="yes","Yes","No"))</f>
        <v/>
      </c>
      <c r="AF361">
        <f>IF(A361="","",TRIM('01_Master_Data'!AL361&amp;""))</f>
        <v/>
      </c>
      <c r="AG361">
        <f>IF(A361="","",IF(AF361="","—",IF(ISNUMBER(SEARCH("DNP",AF361)),"Unreachable / DNP",IF(ISNUMBER(SEARCH("interest",LOWER(AF361))),"High Interest / Terms",IF(OR(ISNUMBER(SEARCH("eligib",LOWER(AF361))),ISNUMBER(SEARCH("income",LOWER(AF361)))),"Eligibility / Income",IF(OR(ISNUMBER(SEARCH("start",LOWER(AF361))),ISNUMBER(SEARCH("Newer",AF361)),ISNUMBER(SEARCH("Will start",AF361))),"Process Yet to Start",IF(ISNUMBER(SEARCH("sure",LOWER(AF361))),"Undecided",IF(OR(ISNUMBER(SEARCH("reject",LOWER(AF361))),ISNUMBER(SEARCH("SBI",AF361))),"Rejected Elsewhere",IF(ISNUMBER(SEARCH("call",LOWER(AF361))),"Bank Communication",IF(OR(ISNUMBER(SEARCH("father",LOWER(AF361))),ISNUMBER(SEARCH("sister",LOWER(AF361)))),"Family / Dependency","Other"))))))))))</f>
        <v/>
      </c>
      <c r="AH361">
        <f>IF(A361="","",'01_Master_Data'!AC361)</f>
        <v/>
      </c>
      <c r="AI361">
        <f>IF(A361="","",IF(OR(AH361="",NOT(ISNUMBER(AH361))),"",MAX(0,'02_Configuration'!$B$82-AH361)))</f>
        <v/>
      </c>
      <c r="AJ361">
        <f>IF(A361="","",IF(AI361="","Unknown",IF(AI361&lt;=3,"0–3 Days",IF(AI361&lt;=7,"4–7 Days",IF(AI361&lt;=15,"8–15 Days",IF(AI361&lt;=30,"16–30 Days","30+ Days"))))))</f>
        <v/>
      </c>
      <c r="AK361">
        <f>IF(A361="","",IF(LOWER(H361)="yes","Yes","No"))</f>
        <v/>
      </c>
      <c r="AL361">
        <f>IF(A361="","",'01_Master_Data'!T361)</f>
        <v/>
      </c>
      <c r="AM361">
        <f>IF(A361="","",'01_Master_Data'!S361)</f>
        <v/>
      </c>
      <c r="AN361">
        <f>IF(A361="","",'01_Master_Data'!I361)</f>
        <v/>
      </c>
      <c r="AO361">
        <f>IF(A361="","",'01_Master_Data'!M361)</f>
        <v/>
      </c>
      <c r="AP361">
        <f>IF(A361="","",IF(ISNUMBER(SEARCH("Icici",W361&amp;"")),1,0))</f>
        <v/>
      </c>
      <c r="AQ361">
        <f>IF(A361="","",IF(ISNUMBER(SEARCH("Propelld",W361&amp;"")),1,0))</f>
        <v/>
      </c>
      <c r="AR361">
        <f>IF(A361="","",IF(ISNUMBER(SEARCH("GyanDhan",W361&amp;"")),1,0))</f>
        <v/>
      </c>
      <c r="AS361">
        <f>IF(A361="","",IF(ISNUMBER(SEARCH("vidyalakshmi",LOWER(W361&amp;""))),1,0))</f>
        <v/>
      </c>
      <c r="AT361">
        <f>IF(A361="","",IF(ISNUMBER(SEARCH("other bank",LOWER(W361&amp;""))),1,0))</f>
        <v/>
      </c>
      <c r="AU361">
        <f>IF(A361="","",IF(ISNUMBER(SEARCH("sanctioned",LOWER(W361&amp;""))),1,0))</f>
        <v/>
      </c>
      <c r="AV361">
        <f>IF(A361="","",IF(ISNUMBER(SEARCH("Docs Pending",W361&amp;"")),1,0))</f>
        <v/>
      </c>
      <c r="AW361">
        <f>IF(A361="","",IF(OR(X361="Rejected",ISNUMBER(SEARCH("Not eligbile",W361&amp;""))),1,0))</f>
        <v/>
      </c>
    </row>
    <row r="362">
      <c r="A362">
        <f>IF('01_Master_Data'!B362="","",361)</f>
        <v/>
      </c>
      <c r="B362">
        <f>IF('01_Master_Data'!B362="","",IF('01_Master_Data'!C362&lt;&gt;"","MOB|"&amp;TEXT('01_Master_Data'!C362,"0"),IF('01_Master_Data'!D362&lt;&gt;"","PID|"&amp;TRIM('01_Master_Data'!D362&amp;""),"")))</f>
        <v/>
      </c>
      <c r="C362">
        <f>IF('01_Master_Data'!B362="","",'01_Master_Data'!B362)</f>
        <v/>
      </c>
      <c r="D362">
        <f>IF('01_Master_Data'!B362="","",'01_Master_Data'!C362)</f>
        <v/>
      </c>
      <c r="E362">
        <f>IF('01_Master_Data'!B362="","",'01_Master_Data'!D362)</f>
        <v/>
      </c>
      <c r="F362">
        <f>IF('01_Master_Data'!B362="","",'01_Master_Data'!E362)</f>
        <v/>
      </c>
      <c r="G362">
        <f>IF('01_Master_Data'!B362="","",IFERROR(VLOOKUP(TRIM('01_Master_Data'!E362&amp;""),'02_Configuration'!$A$40:$B$44,2,FALSE),UPPER(TRIM('01_Master_Data'!E362&amp;""))))</f>
        <v/>
      </c>
      <c r="H362">
        <f>IF('01_Master_Data'!B362="","",IF('01_Master_Data'!U362="","",TRIM('01_Master_Data'!U362&amp;"")))</f>
        <v/>
      </c>
      <c r="I362">
        <f>IF('01_Master_Data'!B362="","",TRIM('01_Master_Data'!F362&amp;""))</f>
        <v/>
      </c>
      <c r="J362">
        <f>IF('01_Master_Data'!B362="","",TRIM('01_Master_Data'!G362&amp;""))</f>
        <v/>
      </c>
      <c r="K362">
        <f>IF('01_Master_Data'!B362="","",'01_Master_Data'!H362)</f>
        <v/>
      </c>
      <c r="L362">
        <f>IF('01_Master_Data'!B362="","",IF(LOWER(TRIM('01_Master_Data'!V362&amp;""))="yes",1,0))</f>
        <v/>
      </c>
      <c r="M362">
        <f>IF('01_Master_Data'!B362="","",IF(LOWER(TRIM('01_Master_Data'!W362&amp;""))="yes",1,0))</f>
        <v/>
      </c>
      <c r="N362">
        <f>IF('01_Master_Data'!B362="","",IF(LOWER(TRIM('01_Master_Data'!X362&amp;""))="yes",1,0))</f>
        <v/>
      </c>
      <c r="O362">
        <f>IF('01_Master_Data'!B362="","",IF(LOWER(TRIM('01_Master_Data'!Y362&amp;""))="yes",1,0))</f>
        <v/>
      </c>
      <c r="P362">
        <f>IF('01_Master_Data'!B362="","",IF(LOWER(TRIM('01_Master_Data'!Z362&amp;""))="yes",1,0))</f>
        <v/>
      </c>
      <c r="Q362">
        <f>IF(A362="","",L362+M362+N362+O362+P362)</f>
        <v/>
      </c>
      <c r="R362">
        <f>IF(A362="","",IF(Q362&gt;1,"Yes","No"))</f>
        <v/>
      </c>
      <c r="S362">
        <f>IF(A362="","",TEXTJOIN(", ",TRUE,IF(L362=1,"ICICI",""),IF(M362=1,"Propelld",""),IF(N362=1,"Study4Buddy",""),IF(O362=1,"Poonawala Fincorp",""),IF(P362=1,"GyanDhan","")))</f>
        <v/>
      </c>
      <c r="T362">
        <f>IF(A362="","",IF(L362=1,"ICICI",IF(M362=1,"Propelld",IF(P362=1,"GyanDhan",IF(N362=1,"Study4Buddy",IF(O362=1,"Poonawala Fincorp",IF(ISNUMBER(SEARCH("GyanDhan",W362&amp;"")),"GyanDhan",IF(ISNUMBER(SEARCH("Icici",W362&amp;"")),"ICICI",IF(ISNUMBER(SEARCH("Propelld",W362&amp;"")),"Propelld",IF(ISNUMBER(SEARCH("vidyalakshmi",LOWER(W362&amp;"")),"PM Vidyalakshmi","—"))))))))))</f>
        <v/>
      </c>
      <c r="U362">
        <f>IF(A362="","",TRIM('01_Master_Data'!AA362&amp;""))</f>
        <v/>
      </c>
      <c r="V362">
        <f>IF(A362="","",TRIM('01_Master_Data'!AG362&amp;""))</f>
        <v/>
      </c>
      <c r="W362">
        <f>IF(A362="","",TRIM('01_Master_Data'!AH362&amp;""))</f>
        <v/>
      </c>
      <c r="X362">
        <f>IF(A362="","",IF(OR(LOWER(H362)="refund",LOWER(U362)="refund case"),"Refund",IF(OR(LOWER(H362)="dnp",LOWER(U362)="dnp"),"DNP",IF(OR(LOWER(V362)="disbursed",ISNUMBER(SEARCH("Disbursed",W362&amp;""))),"Disbursed",IF(OR(LOWER(V362)="loan proccessed/accepted",ISNUMBER(SEARCH("sanctioned",LOWER(W362&amp;"")))),"Sanctioned",IF(OR(LOWER(V362)="rejected",ISNUMBER(SEARCH("Not eligbile",W362&amp;"")),ISNUMBER(SEARCH("Not eligible",W362&amp;""))),"Rejected",IF(ISNUMBER(SEARCH("Docs Pending",W362&amp;"")),"Documents Pending",IF(AND(LOWER(H362)="yes",LOWER(V362)="ongoing"),"Processing",IF(AND(LOWER(H362)="yes",Q362&gt;0,OR(V362="",LOWER(V362)="not even started")),"Vendor Assigned",IF(AND(LOWER(H362)="yes",LOWER(V362)="not even started"),"Need Loan",IF(LOWER(H362)="yes","Loan Started",IF(LOWER(H362)="not sure","Interested",IF(OR(LOWER(H362)="no",LOWER(V362)="not required"),"Not Required","Unclassified")))))))))))))</f>
        <v/>
      </c>
      <c r="Y362">
        <f>IF(A362="","",IF(OR(X362="Sanctioned",X362="Disbursed",X362="Approved"),"Approved",IF(X362="Rejected","Rejected",IF(OR(X362="Processing",X362="Documents Pending",X362="Vendor Assigned"),"In Progress",IF(X362="Need Loan","Pending Start","—"))))</f>
        <v/>
      </c>
      <c r="Z362">
        <f>IF(A362="","",IF(X362="Disbursed","Disbursed",IF(X362="Sanctioned","Sanctioned - Awaiting Disbursement","Not Disbursed")))</f>
        <v/>
      </c>
      <c r="AA362">
        <f>IF(A362="","",IF(LOWER(TRIM('01_Master_Data'!AI362&amp;""))="yes","Need FLDG",IF(LOWER(TRIM('01_Master_Data'!AK362&amp;""))="yes","Need Vidyalakshmi",IF(LOWER(TRIM('01_Master_Data'!AJ362&amp;""))="yes","Need Review",IF(LOWER(J362)="critical","Critical",IF(LOWER(U362)="risk","Risk Case",IF(X362="Refund","Refund","Normal")))))))</f>
        <v/>
      </c>
      <c r="AB362">
        <f>IF(A362="","",IF(OR(LOWER(J362)="critical",LOWER(TRIM('01_Master_Data'!AI362&amp;""))="yes",LOWER(TRIM('01_Master_Data'!AK362&amp;""))="yes",LOWER(U362)="risk"),"Yes","No"))</f>
        <v/>
      </c>
      <c r="AC362">
        <f>IF(A362="","",IF(LOWER(TRIM('01_Master_Data'!AI362&amp;""))="yes","Yes","No"))</f>
        <v/>
      </c>
      <c r="AD362">
        <f>IF(A362="","",IF(LOWER(TRIM('01_Master_Data'!AK362&amp;""))="yes","Yes","No"))</f>
        <v/>
      </c>
      <c r="AE362">
        <f>IF(A362="","",IF(LOWER(TRIM('01_Master_Data'!AJ362&amp;""))="yes","Yes","No"))</f>
        <v/>
      </c>
      <c r="AF362">
        <f>IF(A362="","",TRIM('01_Master_Data'!AL362&amp;""))</f>
        <v/>
      </c>
      <c r="AG362">
        <f>IF(A362="","",IF(AF362="","—",IF(ISNUMBER(SEARCH("DNP",AF362)),"Unreachable / DNP",IF(ISNUMBER(SEARCH("interest",LOWER(AF362))),"High Interest / Terms",IF(OR(ISNUMBER(SEARCH("eligib",LOWER(AF362))),ISNUMBER(SEARCH("income",LOWER(AF362)))),"Eligibility / Income",IF(OR(ISNUMBER(SEARCH("start",LOWER(AF362))),ISNUMBER(SEARCH("Newer",AF362)),ISNUMBER(SEARCH("Will start",AF362))),"Process Yet to Start",IF(ISNUMBER(SEARCH("sure",LOWER(AF362))),"Undecided",IF(OR(ISNUMBER(SEARCH("reject",LOWER(AF362))),ISNUMBER(SEARCH("SBI",AF362))),"Rejected Elsewhere",IF(ISNUMBER(SEARCH("call",LOWER(AF362))),"Bank Communication",IF(OR(ISNUMBER(SEARCH("father",LOWER(AF362))),ISNUMBER(SEARCH("sister",LOWER(AF362)))),"Family / Dependency","Other"))))))))))</f>
        <v/>
      </c>
      <c r="AH362">
        <f>IF(A362="","",'01_Master_Data'!AC362)</f>
        <v/>
      </c>
      <c r="AI362">
        <f>IF(A362="","",IF(OR(AH362="",NOT(ISNUMBER(AH362))),"",MAX(0,'02_Configuration'!$B$82-AH362)))</f>
        <v/>
      </c>
      <c r="AJ362">
        <f>IF(A362="","",IF(AI362="","Unknown",IF(AI362&lt;=3,"0–3 Days",IF(AI362&lt;=7,"4–7 Days",IF(AI362&lt;=15,"8–15 Days",IF(AI362&lt;=30,"16–30 Days","30+ Days"))))))</f>
        <v/>
      </c>
      <c r="AK362">
        <f>IF(A362="","",IF(LOWER(H362)="yes","Yes","No"))</f>
        <v/>
      </c>
      <c r="AL362">
        <f>IF(A362="","",'01_Master_Data'!T362)</f>
        <v/>
      </c>
      <c r="AM362">
        <f>IF(A362="","",'01_Master_Data'!S362)</f>
        <v/>
      </c>
      <c r="AN362">
        <f>IF(A362="","",'01_Master_Data'!I362)</f>
        <v/>
      </c>
      <c r="AO362">
        <f>IF(A362="","",'01_Master_Data'!M362)</f>
        <v/>
      </c>
      <c r="AP362">
        <f>IF(A362="","",IF(ISNUMBER(SEARCH("Icici",W362&amp;"")),1,0))</f>
        <v/>
      </c>
      <c r="AQ362">
        <f>IF(A362="","",IF(ISNUMBER(SEARCH("Propelld",W362&amp;"")),1,0))</f>
        <v/>
      </c>
      <c r="AR362">
        <f>IF(A362="","",IF(ISNUMBER(SEARCH("GyanDhan",W362&amp;"")),1,0))</f>
        <v/>
      </c>
      <c r="AS362">
        <f>IF(A362="","",IF(ISNUMBER(SEARCH("vidyalakshmi",LOWER(W362&amp;""))),1,0))</f>
        <v/>
      </c>
      <c r="AT362">
        <f>IF(A362="","",IF(ISNUMBER(SEARCH("other bank",LOWER(W362&amp;""))),1,0))</f>
        <v/>
      </c>
      <c r="AU362">
        <f>IF(A362="","",IF(ISNUMBER(SEARCH("sanctioned",LOWER(W362&amp;""))),1,0))</f>
        <v/>
      </c>
      <c r="AV362">
        <f>IF(A362="","",IF(ISNUMBER(SEARCH("Docs Pending",W362&amp;"")),1,0))</f>
        <v/>
      </c>
      <c r="AW362">
        <f>IF(A362="","",IF(OR(X362="Rejected",ISNUMBER(SEARCH("Not eligbile",W362&amp;""))),1,0))</f>
        <v/>
      </c>
    </row>
    <row r="363">
      <c r="A363">
        <f>IF('01_Master_Data'!B363="","",362)</f>
        <v/>
      </c>
      <c r="B363">
        <f>IF('01_Master_Data'!B363="","",IF('01_Master_Data'!C363&lt;&gt;"","MOB|"&amp;TEXT('01_Master_Data'!C363,"0"),IF('01_Master_Data'!D363&lt;&gt;"","PID|"&amp;TRIM('01_Master_Data'!D363&amp;""),"")))</f>
        <v/>
      </c>
      <c r="C363">
        <f>IF('01_Master_Data'!B363="","",'01_Master_Data'!B363)</f>
        <v/>
      </c>
      <c r="D363">
        <f>IF('01_Master_Data'!B363="","",'01_Master_Data'!C363)</f>
        <v/>
      </c>
      <c r="E363">
        <f>IF('01_Master_Data'!B363="","",'01_Master_Data'!D363)</f>
        <v/>
      </c>
      <c r="F363">
        <f>IF('01_Master_Data'!B363="","",'01_Master_Data'!E363)</f>
        <v/>
      </c>
      <c r="G363">
        <f>IF('01_Master_Data'!B363="","",IFERROR(VLOOKUP(TRIM('01_Master_Data'!E363&amp;""),'02_Configuration'!$A$40:$B$44,2,FALSE),UPPER(TRIM('01_Master_Data'!E363&amp;""))))</f>
        <v/>
      </c>
      <c r="H363">
        <f>IF('01_Master_Data'!B363="","",IF('01_Master_Data'!U363="","",TRIM('01_Master_Data'!U363&amp;"")))</f>
        <v/>
      </c>
      <c r="I363">
        <f>IF('01_Master_Data'!B363="","",TRIM('01_Master_Data'!F363&amp;""))</f>
        <v/>
      </c>
      <c r="J363">
        <f>IF('01_Master_Data'!B363="","",TRIM('01_Master_Data'!G363&amp;""))</f>
        <v/>
      </c>
      <c r="K363">
        <f>IF('01_Master_Data'!B363="","",'01_Master_Data'!H363)</f>
        <v/>
      </c>
      <c r="L363">
        <f>IF('01_Master_Data'!B363="","",IF(LOWER(TRIM('01_Master_Data'!V363&amp;""))="yes",1,0))</f>
        <v/>
      </c>
      <c r="M363">
        <f>IF('01_Master_Data'!B363="","",IF(LOWER(TRIM('01_Master_Data'!W363&amp;""))="yes",1,0))</f>
        <v/>
      </c>
      <c r="N363">
        <f>IF('01_Master_Data'!B363="","",IF(LOWER(TRIM('01_Master_Data'!X363&amp;""))="yes",1,0))</f>
        <v/>
      </c>
      <c r="O363">
        <f>IF('01_Master_Data'!B363="","",IF(LOWER(TRIM('01_Master_Data'!Y363&amp;""))="yes",1,0))</f>
        <v/>
      </c>
      <c r="P363">
        <f>IF('01_Master_Data'!B363="","",IF(LOWER(TRIM('01_Master_Data'!Z363&amp;""))="yes",1,0))</f>
        <v/>
      </c>
      <c r="Q363">
        <f>IF(A363="","",L363+M363+N363+O363+P363)</f>
        <v/>
      </c>
      <c r="R363">
        <f>IF(A363="","",IF(Q363&gt;1,"Yes","No"))</f>
        <v/>
      </c>
      <c r="S363">
        <f>IF(A363="","",TEXTJOIN(", ",TRUE,IF(L363=1,"ICICI",""),IF(M363=1,"Propelld",""),IF(N363=1,"Study4Buddy",""),IF(O363=1,"Poonawala Fincorp",""),IF(P363=1,"GyanDhan","")))</f>
        <v/>
      </c>
      <c r="T363">
        <f>IF(A363="","",IF(L363=1,"ICICI",IF(M363=1,"Propelld",IF(P363=1,"GyanDhan",IF(N363=1,"Study4Buddy",IF(O363=1,"Poonawala Fincorp",IF(ISNUMBER(SEARCH("GyanDhan",W363&amp;"")),"GyanDhan",IF(ISNUMBER(SEARCH("Icici",W363&amp;"")),"ICICI",IF(ISNUMBER(SEARCH("Propelld",W363&amp;"")),"Propelld",IF(ISNUMBER(SEARCH("vidyalakshmi",LOWER(W363&amp;"")),"PM Vidyalakshmi","—"))))))))))</f>
        <v/>
      </c>
      <c r="U363">
        <f>IF(A363="","",TRIM('01_Master_Data'!AA363&amp;""))</f>
        <v/>
      </c>
      <c r="V363">
        <f>IF(A363="","",TRIM('01_Master_Data'!AG363&amp;""))</f>
        <v/>
      </c>
      <c r="W363">
        <f>IF(A363="","",TRIM('01_Master_Data'!AH363&amp;""))</f>
        <v/>
      </c>
      <c r="X363">
        <f>IF(A363="","",IF(OR(LOWER(H363)="refund",LOWER(U363)="refund case"),"Refund",IF(OR(LOWER(H363)="dnp",LOWER(U363)="dnp"),"DNP",IF(OR(LOWER(V363)="disbursed",ISNUMBER(SEARCH("Disbursed",W363&amp;""))),"Disbursed",IF(OR(LOWER(V363)="loan proccessed/accepted",ISNUMBER(SEARCH("sanctioned",LOWER(W363&amp;"")))),"Sanctioned",IF(OR(LOWER(V363)="rejected",ISNUMBER(SEARCH("Not eligbile",W363&amp;"")),ISNUMBER(SEARCH("Not eligible",W363&amp;""))),"Rejected",IF(ISNUMBER(SEARCH("Docs Pending",W363&amp;"")),"Documents Pending",IF(AND(LOWER(H363)="yes",LOWER(V363)="ongoing"),"Processing",IF(AND(LOWER(H363)="yes",Q363&gt;0,OR(V363="",LOWER(V363)="not even started")),"Vendor Assigned",IF(AND(LOWER(H363)="yes",LOWER(V363)="not even started"),"Need Loan",IF(LOWER(H363)="yes","Loan Started",IF(LOWER(H363)="not sure","Interested",IF(OR(LOWER(H363)="no",LOWER(V363)="not required"),"Not Required","Unclassified")))))))))))))</f>
        <v/>
      </c>
      <c r="Y363">
        <f>IF(A363="","",IF(OR(X363="Sanctioned",X363="Disbursed",X363="Approved"),"Approved",IF(X363="Rejected","Rejected",IF(OR(X363="Processing",X363="Documents Pending",X363="Vendor Assigned"),"In Progress",IF(X363="Need Loan","Pending Start","—"))))</f>
        <v/>
      </c>
      <c r="Z363">
        <f>IF(A363="","",IF(X363="Disbursed","Disbursed",IF(X363="Sanctioned","Sanctioned - Awaiting Disbursement","Not Disbursed")))</f>
        <v/>
      </c>
      <c r="AA363">
        <f>IF(A363="","",IF(LOWER(TRIM('01_Master_Data'!AI363&amp;""))="yes","Need FLDG",IF(LOWER(TRIM('01_Master_Data'!AK363&amp;""))="yes","Need Vidyalakshmi",IF(LOWER(TRIM('01_Master_Data'!AJ363&amp;""))="yes","Need Review",IF(LOWER(J363)="critical","Critical",IF(LOWER(U363)="risk","Risk Case",IF(X363="Refund","Refund","Normal")))))))</f>
        <v/>
      </c>
      <c r="AB363">
        <f>IF(A363="","",IF(OR(LOWER(J363)="critical",LOWER(TRIM('01_Master_Data'!AI363&amp;""))="yes",LOWER(TRIM('01_Master_Data'!AK363&amp;""))="yes",LOWER(U363)="risk"),"Yes","No"))</f>
        <v/>
      </c>
      <c r="AC363">
        <f>IF(A363="","",IF(LOWER(TRIM('01_Master_Data'!AI363&amp;""))="yes","Yes","No"))</f>
        <v/>
      </c>
      <c r="AD363">
        <f>IF(A363="","",IF(LOWER(TRIM('01_Master_Data'!AK363&amp;""))="yes","Yes","No"))</f>
        <v/>
      </c>
      <c r="AE363">
        <f>IF(A363="","",IF(LOWER(TRIM('01_Master_Data'!AJ363&amp;""))="yes","Yes","No"))</f>
        <v/>
      </c>
      <c r="AF363">
        <f>IF(A363="","",TRIM('01_Master_Data'!AL363&amp;""))</f>
        <v/>
      </c>
      <c r="AG363">
        <f>IF(A363="","",IF(AF363="","—",IF(ISNUMBER(SEARCH("DNP",AF363)),"Unreachable / DNP",IF(ISNUMBER(SEARCH("interest",LOWER(AF363))),"High Interest / Terms",IF(OR(ISNUMBER(SEARCH("eligib",LOWER(AF363))),ISNUMBER(SEARCH("income",LOWER(AF363)))),"Eligibility / Income",IF(OR(ISNUMBER(SEARCH("start",LOWER(AF363))),ISNUMBER(SEARCH("Newer",AF363)),ISNUMBER(SEARCH("Will start",AF363))),"Process Yet to Start",IF(ISNUMBER(SEARCH("sure",LOWER(AF363))),"Undecided",IF(OR(ISNUMBER(SEARCH("reject",LOWER(AF363))),ISNUMBER(SEARCH("SBI",AF363))),"Rejected Elsewhere",IF(ISNUMBER(SEARCH("call",LOWER(AF363))),"Bank Communication",IF(OR(ISNUMBER(SEARCH("father",LOWER(AF363))),ISNUMBER(SEARCH("sister",LOWER(AF363)))),"Family / Dependency","Other"))))))))))</f>
        <v/>
      </c>
      <c r="AH363">
        <f>IF(A363="","",'01_Master_Data'!AC363)</f>
        <v/>
      </c>
      <c r="AI363">
        <f>IF(A363="","",IF(OR(AH363="",NOT(ISNUMBER(AH363))),"",MAX(0,'02_Configuration'!$B$82-AH363)))</f>
        <v/>
      </c>
      <c r="AJ363">
        <f>IF(A363="","",IF(AI363="","Unknown",IF(AI363&lt;=3,"0–3 Days",IF(AI363&lt;=7,"4–7 Days",IF(AI363&lt;=15,"8–15 Days",IF(AI363&lt;=30,"16–30 Days","30+ Days"))))))</f>
        <v/>
      </c>
      <c r="AK363">
        <f>IF(A363="","",IF(LOWER(H363)="yes","Yes","No"))</f>
        <v/>
      </c>
      <c r="AL363">
        <f>IF(A363="","",'01_Master_Data'!T363)</f>
        <v/>
      </c>
      <c r="AM363">
        <f>IF(A363="","",'01_Master_Data'!S363)</f>
        <v/>
      </c>
      <c r="AN363">
        <f>IF(A363="","",'01_Master_Data'!I363)</f>
        <v/>
      </c>
      <c r="AO363">
        <f>IF(A363="","",'01_Master_Data'!M363)</f>
        <v/>
      </c>
      <c r="AP363">
        <f>IF(A363="","",IF(ISNUMBER(SEARCH("Icici",W363&amp;"")),1,0))</f>
        <v/>
      </c>
      <c r="AQ363">
        <f>IF(A363="","",IF(ISNUMBER(SEARCH("Propelld",W363&amp;"")),1,0))</f>
        <v/>
      </c>
      <c r="AR363">
        <f>IF(A363="","",IF(ISNUMBER(SEARCH("GyanDhan",W363&amp;"")),1,0))</f>
        <v/>
      </c>
      <c r="AS363">
        <f>IF(A363="","",IF(ISNUMBER(SEARCH("vidyalakshmi",LOWER(W363&amp;""))),1,0))</f>
        <v/>
      </c>
      <c r="AT363">
        <f>IF(A363="","",IF(ISNUMBER(SEARCH("other bank",LOWER(W363&amp;""))),1,0))</f>
        <v/>
      </c>
      <c r="AU363">
        <f>IF(A363="","",IF(ISNUMBER(SEARCH("sanctioned",LOWER(W363&amp;""))),1,0))</f>
        <v/>
      </c>
      <c r="AV363">
        <f>IF(A363="","",IF(ISNUMBER(SEARCH("Docs Pending",W363&amp;"")),1,0))</f>
        <v/>
      </c>
      <c r="AW363">
        <f>IF(A363="","",IF(OR(X363="Rejected",ISNUMBER(SEARCH("Not eligbile",W363&amp;""))),1,0))</f>
        <v/>
      </c>
    </row>
    <row r="364">
      <c r="A364">
        <f>IF('01_Master_Data'!B364="","",363)</f>
        <v/>
      </c>
      <c r="B364">
        <f>IF('01_Master_Data'!B364="","",IF('01_Master_Data'!C364&lt;&gt;"","MOB|"&amp;TEXT('01_Master_Data'!C364,"0"),IF('01_Master_Data'!D364&lt;&gt;"","PID|"&amp;TRIM('01_Master_Data'!D364&amp;""),"")))</f>
        <v/>
      </c>
      <c r="C364">
        <f>IF('01_Master_Data'!B364="","",'01_Master_Data'!B364)</f>
        <v/>
      </c>
      <c r="D364">
        <f>IF('01_Master_Data'!B364="","",'01_Master_Data'!C364)</f>
        <v/>
      </c>
      <c r="E364">
        <f>IF('01_Master_Data'!B364="","",'01_Master_Data'!D364)</f>
        <v/>
      </c>
      <c r="F364">
        <f>IF('01_Master_Data'!B364="","",'01_Master_Data'!E364)</f>
        <v/>
      </c>
      <c r="G364">
        <f>IF('01_Master_Data'!B364="","",IFERROR(VLOOKUP(TRIM('01_Master_Data'!E364&amp;""),'02_Configuration'!$A$40:$B$44,2,FALSE),UPPER(TRIM('01_Master_Data'!E364&amp;""))))</f>
        <v/>
      </c>
      <c r="H364">
        <f>IF('01_Master_Data'!B364="","",IF('01_Master_Data'!U364="","",TRIM('01_Master_Data'!U364&amp;"")))</f>
        <v/>
      </c>
      <c r="I364">
        <f>IF('01_Master_Data'!B364="","",TRIM('01_Master_Data'!F364&amp;""))</f>
        <v/>
      </c>
      <c r="J364">
        <f>IF('01_Master_Data'!B364="","",TRIM('01_Master_Data'!G364&amp;""))</f>
        <v/>
      </c>
      <c r="K364">
        <f>IF('01_Master_Data'!B364="","",'01_Master_Data'!H364)</f>
        <v/>
      </c>
      <c r="L364">
        <f>IF('01_Master_Data'!B364="","",IF(LOWER(TRIM('01_Master_Data'!V364&amp;""))="yes",1,0))</f>
        <v/>
      </c>
      <c r="M364">
        <f>IF('01_Master_Data'!B364="","",IF(LOWER(TRIM('01_Master_Data'!W364&amp;""))="yes",1,0))</f>
        <v/>
      </c>
      <c r="N364">
        <f>IF('01_Master_Data'!B364="","",IF(LOWER(TRIM('01_Master_Data'!X364&amp;""))="yes",1,0))</f>
        <v/>
      </c>
      <c r="O364">
        <f>IF('01_Master_Data'!B364="","",IF(LOWER(TRIM('01_Master_Data'!Y364&amp;""))="yes",1,0))</f>
        <v/>
      </c>
      <c r="P364">
        <f>IF('01_Master_Data'!B364="","",IF(LOWER(TRIM('01_Master_Data'!Z364&amp;""))="yes",1,0))</f>
        <v/>
      </c>
      <c r="Q364">
        <f>IF(A364="","",L364+M364+N364+O364+P364)</f>
        <v/>
      </c>
      <c r="R364">
        <f>IF(A364="","",IF(Q364&gt;1,"Yes","No"))</f>
        <v/>
      </c>
      <c r="S364">
        <f>IF(A364="","",TEXTJOIN(", ",TRUE,IF(L364=1,"ICICI",""),IF(M364=1,"Propelld",""),IF(N364=1,"Study4Buddy",""),IF(O364=1,"Poonawala Fincorp",""),IF(P364=1,"GyanDhan","")))</f>
        <v/>
      </c>
      <c r="T364">
        <f>IF(A364="","",IF(L364=1,"ICICI",IF(M364=1,"Propelld",IF(P364=1,"GyanDhan",IF(N364=1,"Study4Buddy",IF(O364=1,"Poonawala Fincorp",IF(ISNUMBER(SEARCH("GyanDhan",W364&amp;"")),"GyanDhan",IF(ISNUMBER(SEARCH("Icici",W364&amp;"")),"ICICI",IF(ISNUMBER(SEARCH("Propelld",W364&amp;"")),"Propelld",IF(ISNUMBER(SEARCH("vidyalakshmi",LOWER(W364&amp;"")),"PM Vidyalakshmi","—"))))))))))</f>
        <v/>
      </c>
      <c r="U364">
        <f>IF(A364="","",TRIM('01_Master_Data'!AA364&amp;""))</f>
        <v/>
      </c>
      <c r="V364">
        <f>IF(A364="","",TRIM('01_Master_Data'!AG364&amp;""))</f>
        <v/>
      </c>
      <c r="W364">
        <f>IF(A364="","",TRIM('01_Master_Data'!AH364&amp;""))</f>
        <v/>
      </c>
      <c r="X364">
        <f>IF(A364="","",IF(OR(LOWER(H364)="refund",LOWER(U364)="refund case"),"Refund",IF(OR(LOWER(H364)="dnp",LOWER(U364)="dnp"),"DNP",IF(OR(LOWER(V364)="disbursed",ISNUMBER(SEARCH("Disbursed",W364&amp;""))),"Disbursed",IF(OR(LOWER(V364)="loan proccessed/accepted",ISNUMBER(SEARCH("sanctioned",LOWER(W364&amp;"")))),"Sanctioned",IF(OR(LOWER(V364)="rejected",ISNUMBER(SEARCH("Not eligbile",W364&amp;"")),ISNUMBER(SEARCH("Not eligible",W364&amp;""))),"Rejected",IF(ISNUMBER(SEARCH("Docs Pending",W364&amp;"")),"Documents Pending",IF(AND(LOWER(H364)="yes",LOWER(V364)="ongoing"),"Processing",IF(AND(LOWER(H364)="yes",Q364&gt;0,OR(V364="",LOWER(V364)="not even started")),"Vendor Assigned",IF(AND(LOWER(H364)="yes",LOWER(V364)="not even started"),"Need Loan",IF(LOWER(H364)="yes","Loan Started",IF(LOWER(H364)="not sure","Interested",IF(OR(LOWER(H364)="no",LOWER(V364)="not required"),"Not Required","Unclassified")))))))))))))</f>
        <v/>
      </c>
      <c r="Y364">
        <f>IF(A364="","",IF(OR(X364="Sanctioned",X364="Disbursed",X364="Approved"),"Approved",IF(X364="Rejected","Rejected",IF(OR(X364="Processing",X364="Documents Pending",X364="Vendor Assigned"),"In Progress",IF(X364="Need Loan","Pending Start","—"))))</f>
        <v/>
      </c>
      <c r="Z364">
        <f>IF(A364="","",IF(X364="Disbursed","Disbursed",IF(X364="Sanctioned","Sanctioned - Awaiting Disbursement","Not Disbursed")))</f>
        <v/>
      </c>
      <c r="AA364">
        <f>IF(A364="","",IF(LOWER(TRIM('01_Master_Data'!AI364&amp;""))="yes","Need FLDG",IF(LOWER(TRIM('01_Master_Data'!AK364&amp;""))="yes","Need Vidyalakshmi",IF(LOWER(TRIM('01_Master_Data'!AJ364&amp;""))="yes","Need Review",IF(LOWER(J364)="critical","Critical",IF(LOWER(U364)="risk","Risk Case",IF(X364="Refund","Refund","Normal")))))))</f>
        <v/>
      </c>
      <c r="AB364">
        <f>IF(A364="","",IF(OR(LOWER(J364)="critical",LOWER(TRIM('01_Master_Data'!AI364&amp;""))="yes",LOWER(TRIM('01_Master_Data'!AK364&amp;""))="yes",LOWER(U364)="risk"),"Yes","No"))</f>
        <v/>
      </c>
      <c r="AC364">
        <f>IF(A364="","",IF(LOWER(TRIM('01_Master_Data'!AI364&amp;""))="yes","Yes","No"))</f>
        <v/>
      </c>
      <c r="AD364">
        <f>IF(A364="","",IF(LOWER(TRIM('01_Master_Data'!AK364&amp;""))="yes","Yes","No"))</f>
        <v/>
      </c>
      <c r="AE364">
        <f>IF(A364="","",IF(LOWER(TRIM('01_Master_Data'!AJ364&amp;""))="yes","Yes","No"))</f>
        <v/>
      </c>
      <c r="AF364">
        <f>IF(A364="","",TRIM('01_Master_Data'!AL364&amp;""))</f>
        <v/>
      </c>
      <c r="AG364">
        <f>IF(A364="","",IF(AF364="","—",IF(ISNUMBER(SEARCH("DNP",AF364)),"Unreachable / DNP",IF(ISNUMBER(SEARCH("interest",LOWER(AF364))),"High Interest / Terms",IF(OR(ISNUMBER(SEARCH("eligib",LOWER(AF364))),ISNUMBER(SEARCH("income",LOWER(AF364)))),"Eligibility / Income",IF(OR(ISNUMBER(SEARCH("start",LOWER(AF364))),ISNUMBER(SEARCH("Newer",AF364)),ISNUMBER(SEARCH("Will start",AF364))),"Process Yet to Start",IF(ISNUMBER(SEARCH("sure",LOWER(AF364))),"Undecided",IF(OR(ISNUMBER(SEARCH("reject",LOWER(AF364))),ISNUMBER(SEARCH("SBI",AF364))),"Rejected Elsewhere",IF(ISNUMBER(SEARCH("call",LOWER(AF364))),"Bank Communication",IF(OR(ISNUMBER(SEARCH("father",LOWER(AF364))),ISNUMBER(SEARCH("sister",LOWER(AF364)))),"Family / Dependency","Other"))))))))))</f>
        <v/>
      </c>
      <c r="AH364">
        <f>IF(A364="","",'01_Master_Data'!AC364)</f>
        <v/>
      </c>
      <c r="AI364">
        <f>IF(A364="","",IF(OR(AH364="",NOT(ISNUMBER(AH364))),"",MAX(0,'02_Configuration'!$B$82-AH364)))</f>
        <v/>
      </c>
      <c r="AJ364">
        <f>IF(A364="","",IF(AI364="","Unknown",IF(AI364&lt;=3,"0–3 Days",IF(AI364&lt;=7,"4–7 Days",IF(AI364&lt;=15,"8–15 Days",IF(AI364&lt;=30,"16–30 Days","30+ Days"))))))</f>
        <v/>
      </c>
      <c r="AK364">
        <f>IF(A364="","",IF(LOWER(H364)="yes","Yes","No"))</f>
        <v/>
      </c>
      <c r="AL364">
        <f>IF(A364="","",'01_Master_Data'!T364)</f>
        <v/>
      </c>
      <c r="AM364">
        <f>IF(A364="","",'01_Master_Data'!S364)</f>
        <v/>
      </c>
      <c r="AN364">
        <f>IF(A364="","",'01_Master_Data'!I364)</f>
        <v/>
      </c>
      <c r="AO364">
        <f>IF(A364="","",'01_Master_Data'!M364)</f>
        <v/>
      </c>
      <c r="AP364">
        <f>IF(A364="","",IF(ISNUMBER(SEARCH("Icici",W364&amp;"")),1,0))</f>
        <v/>
      </c>
      <c r="AQ364">
        <f>IF(A364="","",IF(ISNUMBER(SEARCH("Propelld",W364&amp;"")),1,0))</f>
        <v/>
      </c>
      <c r="AR364">
        <f>IF(A364="","",IF(ISNUMBER(SEARCH("GyanDhan",W364&amp;"")),1,0))</f>
        <v/>
      </c>
      <c r="AS364">
        <f>IF(A364="","",IF(ISNUMBER(SEARCH("vidyalakshmi",LOWER(W364&amp;""))),1,0))</f>
        <v/>
      </c>
      <c r="AT364">
        <f>IF(A364="","",IF(ISNUMBER(SEARCH("other bank",LOWER(W364&amp;""))),1,0))</f>
        <v/>
      </c>
      <c r="AU364">
        <f>IF(A364="","",IF(ISNUMBER(SEARCH("sanctioned",LOWER(W364&amp;""))),1,0))</f>
        <v/>
      </c>
      <c r="AV364">
        <f>IF(A364="","",IF(ISNUMBER(SEARCH("Docs Pending",W364&amp;"")),1,0))</f>
        <v/>
      </c>
      <c r="AW364">
        <f>IF(A364="","",IF(OR(X364="Rejected",ISNUMBER(SEARCH("Not eligbile",W364&amp;""))),1,0))</f>
        <v/>
      </c>
    </row>
    <row r="365">
      <c r="A365">
        <f>IF('01_Master_Data'!B365="","",364)</f>
        <v/>
      </c>
      <c r="B365">
        <f>IF('01_Master_Data'!B365="","",IF('01_Master_Data'!C365&lt;&gt;"","MOB|"&amp;TEXT('01_Master_Data'!C365,"0"),IF('01_Master_Data'!D365&lt;&gt;"","PID|"&amp;TRIM('01_Master_Data'!D365&amp;""),"")))</f>
        <v/>
      </c>
      <c r="C365">
        <f>IF('01_Master_Data'!B365="","",'01_Master_Data'!B365)</f>
        <v/>
      </c>
      <c r="D365">
        <f>IF('01_Master_Data'!B365="","",'01_Master_Data'!C365)</f>
        <v/>
      </c>
      <c r="E365">
        <f>IF('01_Master_Data'!B365="","",'01_Master_Data'!D365)</f>
        <v/>
      </c>
      <c r="F365">
        <f>IF('01_Master_Data'!B365="","",'01_Master_Data'!E365)</f>
        <v/>
      </c>
      <c r="G365">
        <f>IF('01_Master_Data'!B365="","",IFERROR(VLOOKUP(TRIM('01_Master_Data'!E365&amp;""),'02_Configuration'!$A$40:$B$44,2,FALSE),UPPER(TRIM('01_Master_Data'!E365&amp;""))))</f>
        <v/>
      </c>
      <c r="H365">
        <f>IF('01_Master_Data'!B365="","",IF('01_Master_Data'!U365="","",TRIM('01_Master_Data'!U365&amp;"")))</f>
        <v/>
      </c>
      <c r="I365">
        <f>IF('01_Master_Data'!B365="","",TRIM('01_Master_Data'!F365&amp;""))</f>
        <v/>
      </c>
      <c r="J365">
        <f>IF('01_Master_Data'!B365="","",TRIM('01_Master_Data'!G365&amp;""))</f>
        <v/>
      </c>
      <c r="K365">
        <f>IF('01_Master_Data'!B365="","",'01_Master_Data'!H365)</f>
        <v/>
      </c>
      <c r="L365">
        <f>IF('01_Master_Data'!B365="","",IF(LOWER(TRIM('01_Master_Data'!V365&amp;""))="yes",1,0))</f>
        <v/>
      </c>
      <c r="M365">
        <f>IF('01_Master_Data'!B365="","",IF(LOWER(TRIM('01_Master_Data'!W365&amp;""))="yes",1,0))</f>
        <v/>
      </c>
      <c r="N365">
        <f>IF('01_Master_Data'!B365="","",IF(LOWER(TRIM('01_Master_Data'!X365&amp;""))="yes",1,0))</f>
        <v/>
      </c>
      <c r="O365">
        <f>IF('01_Master_Data'!B365="","",IF(LOWER(TRIM('01_Master_Data'!Y365&amp;""))="yes",1,0))</f>
        <v/>
      </c>
      <c r="P365">
        <f>IF('01_Master_Data'!B365="","",IF(LOWER(TRIM('01_Master_Data'!Z365&amp;""))="yes",1,0))</f>
        <v/>
      </c>
      <c r="Q365">
        <f>IF(A365="","",L365+M365+N365+O365+P365)</f>
        <v/>
      </c>
      <c r="R365">
        <f>IF(A365="","",IF(Q365&gt;1,"Yes","No"))</f>
        <v/>
      </c>
      <c r="S365">
        <f>IF(A365="","",TEXTJOIN(", ",TRUE,IF(L365=1,"ICICI",""),IF(M365=1,"Propelld",""),IF(N365=1,"Study4Buddy",""),IF(O365=1,"Poonawala Fincorp",""),IF(P365=1,"GyanDhan","")))</f>
        <v/>
      </c>
      <c r="T365">
        <f>IF(A365="","",IF(L365=1,"ICICI",IF(M365=1,"Propelld",IF(P365=1,"GyanDhan",IF(N365=1,"Study4Buddy",IF(O365=1,"Poonawala Fincorp",IF(ISNUMBER(SEARCH("GyanDhan",W365&amp;"")),"GyanDhan",IF(ISNUMBER(SEARCH("Icici",W365&amp;"")),"ICICI",IF(ISNUMBER(SEARCH("Propelld",W365&amp;"")),"Propelld",IF(ISNUMBER(SEARCH("vidyalakshmi",LOWER(W365&amp;"")),"PM Vidyalakshmi","—"))))))))))</f>
        <v/>
      </c>
      <c r="U365">
        <f>IF(A365="","",TRIM('01_Master_Data'!AA365&amp;""))</f>
        <v/>
      </c>
      <c r="V365">
        <f>IF(A365="","",TRIM('01_Master_Data'!AG365&amp;""))</f>
        <v/>
      </c>
      <c r="W365">
        <f>IF(A365="","",TRIM('01_Master_Data'!AH365&amp;""))</f>
        <v/>
      </c>
      <c r="X365">
        <f>IF(A365="","",IF(OR(LOWER(H365)="refund",LOWER(U365)="refund case"),"Refund",IF(OR(LOWER(H365)="dnp",LOWER(U365)="dnp"),"DNP",IF(OR(LOWER(V365)="disbursed",ISNUMBER(SEARCH("Disbursed",W365&amp;""))),"Disbursed",IF(OR(LOWER(V365)="loan proccessed/accepted",ISNUMBER(SEARCH("sanctioned",LOWER(W365&amp;"")))),"Sanctioned",IF(OR(LOWER(V365)="rejected",ISNUMBER(SEARCH("Not eligbile",W365&amp;"")),ISNUMBER(SEARCH("Not eligible",W365&amp;""))),"Rejected",IF(ISNUMBER(SEARCH("Docs Pending",W365&amp;"")),"Documents Pending",IF(AND(LOWER(H365)="yes",LOWER(V365)="ongoing"),"Processing",IF(AND(LOWER(H365)="yes",Q365&gt;0,OR(V365="",LOWER(V365)="not even started")),"Vendor Assigned",IF(AND(LOWER(H365)="yes",LOWER(V365)="not even started"),"Need Loan",IF(LOWER(H365)="yes","Loan Started",IF(LOWER(H365)="not sure","Interested",IF(OR(LOWER(H365)="no",LOWER(V365)="not required"),"Not Required","Unclassified")))))))))))))</f>
        <v/>
      </c>
      <c r="Y365">
        <f>IF(A365="","",IF(OR(X365="Sanctioned",X365="Disbursed",X365="Approved"),"Approved",IF(X365="Rejected","Rejected",IF(OR(X365="Processing",X365="Documents Pending",X365="Vendor Assigned"),"In Progress",IF(X365="Need Loan","Pending Start","—"))))</f>
        <v/>
      </c>
      <c r="Z365">
        <f>IF(A365="","",IF(X365="Disbursed","Disbursed",IF(X365="Sanctioned","Sanctioned - Awaiting Disbursement","Not Disbursed")))</f>
        <v/>
      </c>
      <c r="AA365">
        <f>IF(A365="","",IF(LOWER(TRIM('01_Master_Data'!AI365&amp;""))="yes","Need FLDG",IF(LOWER(TRIM('01_Master_Data'!AK365&amp;""))="yes","Need Vidyalakshmi",IF(LOWER(TRIM('01_Master_Data'!AJ365&amp;""))="yes","Need Review",IF(LOWER(J365)="critical","Critical",IF(LOWER(U365)="risk","Risk Case",IF(X365="Refund","Refund","Normal")))))))</f>
        <v/>
      </c>
      <c r="AB365">
        <f>IF(A365="","",IF(OR(LOWER(J365)="critical",LOWER(TRIM('01_Master_Data'!AI365&amp;""))="yes",LOWER(TRIM('01_Master_Data'!AK365&amp;""))="yes",LOWER(U365)="risk"),"Yes","No"))</f>
        <v/>
      </c>
      <c r="AC365">
        <f>IF(A365="","",IF(LOWER(TRIM('01_Master_Data'!AI365&amp;""))="yes","Yes","No"))</f>
        <v/>
      </c>
      <c r="AD365">
        <f>IF(A365="","",IF(LOWER(TRIM('01_Master_Data'!AK365&amp;""))="yes","Yes","No"))</f>
        <v/>
      </c>
      <c r="AE365">
        <f>IF(A365="","",IF(LOWER(TRIM('01_Master_Data'!AJ365&amp;""))="yes","Yes","No"))</f>
        <v/>
      </c>
      <c r="AF365">
        <f>IF(A365="","",TRIM('01_Master_Data'!AL365&amp;""))</f>
        <v/>
      </c>
      <c r="AG365">
        <f>IF(A365="","",IF(AF365="","—",IF(ISNUMBER(SEARCH("DNP",AF365)),"Unreachable / DNP",IF(ISNUMBER(SEARCH("interest",LOWER(AF365))),"High Interest / Terms",IF(OR(ISNUMBER(SEARCH("eligib",LOWER(AF365))),ISNUMBER(SEARCH("income",LOWER(AF365)))),"Eligibility / Income",IF(OR(ISNUMBER(SEARCH("start",LOWER(AF365))),ISNUMBER(SEARCH("Newer",AF365)),ISNUMBER(SEARCH("Will start",AF365))),"Process Yet to Start",IF(ISNUMBER(SEARCH("sure",LOWER(AF365))),"Undecided",IF(OR(ISNUMBER(SEARCH("reject",LOWER(AF365))),ISNUMBER(SEARCH("SBI",AF365))),"Rejected Elsewhere",IF(ISNUMBER(SEARCH("call",LOWER(AF365))),"Bank Communication",IF(OR(ISNUMBER(SEARCH("father",LOWER(AF365))),ISNUMBER(SEARCH("sister",LOWER(AF365)))),"Family / Dependency","Other"))))))))))</f>
        <v/>
      </c>
      <c r="AH365">
        <f>IF(A365="","",'01_Master_Data'!AC365)</f>
        <v/>
      </c>
      <c r="AI365">
        <f>IF(A365="","",IF(OR(AH365="",NOT(ISNUMBER(AH365))),"",MAX(0,'02_Configuration'!$B$82-AH365)))</f>
        <v/>
      </c>
      <c r="AJ365">
        <f>IF(A365="","",IF(AI365="","Unknown",IF(AI365&lt;=3,"0–3 Days",IF(AI365&lt;=7,"4–7 Days",IF(AI365&lt;=15,"8–15 Days",IF(AI365&lt;=30,"16–30 Days","30+ Days"))))))</f>
        <v/>
      </c>
      <c r="AK365">
        <f>IF(A365="","",IF(LOWER(H365)="yes","Yes","No"))</f>
        <v/>
      </c>
      <c r="AL365">
        <f>IF(A365="","",'01_Master_Data'!T365)</f>
        <v/>
      </c>
      <c r="AM365">
        <f>IF(A365="","",'01_Master_Data'!S365)</f>
        <v/>
      </c>
      <c r="AN365">
        <f>IF(A365="","",'01_Master_Data'!I365)</f>
        <v/>
      </c>
      <c r="AO365">
        <f>IF(A365="","",'01_Master_Data'!M365)</f>
        <v/>
      </c>
      <c r="AP365">
        <f>IF(A365="","",IF(ISNUMBER(SEARCH("Icici",W365&amp;"")),1,0))</f>
        <v/>
      </c>
      <c r="AQ365">
        <f>IF(A365="","",IF(ISNUMBER(SEARCH("Propelld",W365&amp;"")),1,0))</f>
        <v/>
      </c>
      <c r="AR365">
        <f>IF(A365="","",IF(ISNUMBER(SEARCH("GyanDhan",W365&amp;"")),1,0))</f>
        <v/>
      </c>
      <c r="AS365">
        <f>IF(A365="","",IF(ISNUMBER(SEARCH("vidyalakshmi",LOWER(W365&amp;""))),1,0))</f>
        <v/>
      </c>
      <c r="AT365">
        <f>IF(A365="","",IF(ISNUMBER(SEARCH("other bank",LOWER(W365&amp;""))),1,0))</f>
        <v/>
      </c>
      <c r="AU365">
        <f>IF(A365="","",IF(ISNUMBER(SEARCH("sanctioned",LOWER(W365&amp;""))),1,0))</f>
        <v/>
      </c>
      <c r="AV365">
        <f>IF(A365="","",IF(ISNUMBER(SEARCH("Docs Pending",W365&amp;"")),1,0))</f>
        <v/>
      </c>
      <c r="AW365">
        <f>IF(A365="","",IF(OR(X365="Rejected",ISNUMBER(SEARCH("Not eligbile",W365&amp;""))),1,0))</f>
        <v/>
      </c>
    </row>
    <row r="366">
      <c r="A366">
        <f>IF('01_Master_Data'!B366="","",365)</f>
        <v/>
      </c>
      <c r="B366">
        <f>IF('01_Master_Data'!B366="","",IF('01_Master_Data'!C366&lt;&gt;"","MOB|"&amp;TEXT('01_Master_Data'!C366,"0"),IF('01_Master_Data'!D366&lt;&gt;"","PID|"&amp;TRIM('01_Master_Data'!D366&amp;""),"")))</f>
        <v/>
      </c>
      <c r="C366">
        <f>IF('01_Master_Data'!B366="","",'01_Master_Data'!B366)</f>
        <v/>
      </c>
      <c r="D366">
        <f>IF('01_Master_Data'!B366="","",'01_Master_Data'!C366)</f>
        <v/>
      </c>
      <c r="E366">
        <f>IF('01_Master_Data'!B366="","",'01_Master_Data'!D366)</f>
        <v/>
      </c>
      <c r="F366">
        <f>IF('01_Master_Data'!B366="","",'01_Master_Data'!E366)</f>
        <v/>
      </c>
      <c r="G366">
        <f>IF('01_Master_Data'!B366="","",IFERROR(VLOOKUP(TRIM('01_Master_Data'!E366&amp;""),'02_Configuration'!$A$40:$B$44,2,FALSE),UPPER(TRIM('01_Master_Data'!E366&amp;""))))</f>
        <v/>
      </c>
      <c r="H366">
        <f>IF('01_Master_Data'!B366="","",IF('01_Master_Data'!U366="","",TRIM('01_Master_Data'!U366&amp;"")))</f>
        <v/>
      </c>
      <c r="I366">
        <f>IF('01_Master_Data'!B366="","",TRIM('01_Master_Data'!F366&amp;""))</f>
        <v/>
      </c>
      <c r="J366">
        <f>IF('01_Master_Data'!B366="","",TRIM('01_Master_Data'!G366&amp;""))</f>
        <v/>
      </c>
      <c r="K366">
        <f>IF('01_Master_Data'!B366="","",'01_Master_Data'!H366)</f>
        <v/>
      </c>
      <c r="L366">
        <f>IF('01_Master_Data'!B366="","",IF(LOWER(TRIM('01_Master_Data'!V366&amp;""))="yes",1,0))</f>
        <v/>
      </c>
      <c r="M366">
        <f>IF('01_Master_Data'!B366="","",IF(LOWER(TRIM('01_Master_Data'!W366&amp;""))="yes",1,0))</f>
        <v/>
      </c>
      <c r="N366">
        <f>IF('01_Master_Data'!B366="","",IF(LOWER(TRIM('01_Master_Data'!X366&amp;""))="yes",1,0))</f>
        <v/>
      </c>
      <c r="O366">
        <f>IF('01_Master_Data'!B366="","",IF(LOWER(TRIM('01_Master_Data'!Y366&amp;""))="yes",1,0))</f>
        <v/>
      </c>
      <c r="P366">
        <f>IF('01_Master_Data'!B366="","",IF(LOWER(TRIM('01_Master_Data'!Z366&amp;""))="yes",1,0))</f>
        <v/>
      </c>
      <c r="Q366">
        <f>IF(A366="","",L366+M366+N366+O366+P366)</f>
        <v/>
      </c>
      <c r="R366">
        <f>IF(A366="","",IF(Q366&gt;1,"Yes","No"))</f>
        <v/>
      </c>
      <c r="S366">
        <f>IF(A366="","",TEXTJOIN(", ",TRUE,IF(L366=1,"ICICI",""),IF(M366=1,"Propelld",""),IF(N366=1,"Study4Buddy",""),IF(O366=1,"Poonawala Fincorp",""),IF(P366=1,"GyanDhan","")))</f>
        <v/>
      </c>
      <c r="T366">
        <f>IF(A366="","",IF(L366=1,"ICICI",IF(M366=1,"Propelld",IF(P366=1,"GyanDhan",IF(N366=1,"Study4Buddy",IF(O366=1,"Poonawala Fincorp",IF(ISNUMBER(SEARCH("GyanDhan",W366&amp;"")),"GyanDhan",IF(ISNUMBER(SEARCH("Icici",W366&amp;"")),"ICICI",IF(ISNUMBER(SEARCH("Propelld",W366&amp;"")),"Propelld",IF(ISNUMBER(SEARCH("vidyalakshmi",LOWER(W366&amp;"")),"PM Vidyalakshmi","—"))))))))))</f>
        <v/>
      </c>
      <c r="U366">
        <f>IF(A366="","",TRIM('01_Master_Data'!AA366&amp;""))</f>
        <v/>
      </c>
      <c r="V366">
        <f>IF(A366="","",TRIM('01_Master_Data'!AG366&amp;""))</f>
        <v/>
      </c>
      <c r="W366">
        <f>IF(A366="","",TRIM('01_Master_Data'!AH366&amp;""))</f>
        <v/>
      </c>
      <c r="X366">
        <f>IF(A366="","",IF(OR(LOWER(H366)="refund",LOWER(U366)="refund case"),"Refund",IF(OR(LOWER(H366)="dnp",LOWER(U366)="dnp"),"DNP",IF(OR(LOWER(V366)="disbursed",ISNUMBER(SEARCH("Disbursed",W366&amp;""))),"Disbursed",IF(OR(LOWER(V366)="loan proccessed/accepted",ISNUMBER(SEARCH("sanctioned",LOWER(W366&amp;"")))),"Sanctioned",IF(OR(LOWER(V366)="rejected",ISNUMBER(SEARCH("Not eligbile",W366&amp;"")),ISNUMBER(SEARCH("Not eligible",W366&amp;""))),"Rejected",IF(ISNUMBER(SEARCH("Docs Pending",W366&amp;"")),"Documents Pending",IF(AND(LOWER(H366)="yes",LOWER(V366)="ongoing"),"Processing",IF(AND(LOWER(H366)="yes",Q366&gt;0,OR(V366="",LOWER(V366)="not even started")),"Vendor Assigned",IF(AND(LOWER(H366)="yes",LOWER(V366)="not even started"),"Need Loan",IF(LOWER(H366)="yes","Loan Started",IF(LOWER(H366)="not sure","Interested",IF(OR(LOWER(H366)="no",LOWER(V366)="not required"),"Not Required","Unclassified")))))))))))))</f>
        <v/>
      </c>
      <c r="Y366">
        <f>IF(A366="","",IF(OR(X366="Sanctioned",X366="Disbursed",X366="Approved"),"Approved",IF(X366="Rejected","Rejected",IF(OR(X366="Processing",X366="Documents Pending",X366="Vendor Assigned"),"In Progress",IF(X366="Need Loan","Pending Start","—"))))</f>
        <v/>
      </c>
      <c r="Z366">
        <f>IF(A366="","",IF(X366="Disbursed","Disbursed",IF(X366="Sanctioned","Sanctioned - Awaiting Disbursement","Not Disbursed")))</f>
        <v/>
      </c>
      <c r="AA366">
        <f>IF(A366="","",IF(LOWER(TRIM('01_Master_Data'!AI366&amp;""))="yes","Need FLDG",IF(LOWER(TRIM('01_Master_Data'!AK366&amp;""))="yes","Need Vidyalakshmi",IF(LOWER(TRIM('01_Master_Data'!AJ366&amp;""))="yes","Need Review",IF(LOWER(J366)="critical","Critical",IF(LOWER(U366)="risk","Risk Case",IF(X366="Refund","Refund","Normal")))))))</f>
        <v/>
      </c>
      <c r="AB366">
        <f>IF(A366="","",IF(OR(LOWER(J366)="critical",LOWER(TRIM('01_Master_Data'!AI366&amp;""))="yes",LOWER(TRIM('01_Master_Data'!AK366&amp;""))="yes",LOWER(U366)="risk"),"Yes","No"))</f>
        <v/>
      </c>
      <c r="AC366">
        <f>IF(A366="","",IF(LOWER(TRIM('01_Master_Data'!AI366&amp;""))="yes","Yes","No"))</f>
        <v/>
      </c>
      <c r="AD366">
        <f>IF(A366="","",IF(LOWER(TRIM('01_Master_Data'!AK366&amp;""))="yes","Yes","No"))</f>
        <v/>
      </c>
      <c r="AE366">
        <f>IF(A366="","",IF(LOWER(TRIM('01_Master_Data'!AJ366&amp;""))="yes","Yes","No"))</f>
        <v/>
      </c>
      <c r="AF366">
        <f>IF(A366="","",TRIM('01_Master_Data'!AL366&amp;""))</f>
        <v/>
      </c>
      <c r="AG366">
        <f>IF(A366="","",IF(AF366="","—",IF(ISNUMBER(SEARCH("DNP",AF366)),"Unreachable / DNP",IF(ISNUMBER(SEARCH("interest",LOWER(AF366))),"High Interest / Terms",IF(OR(ISNUMBER(SEARCH("eligib",LOWER(AF366))),ISNUMBER(SEARCH("income",LOWER(AF366)))),"Eligibility / Income",IF(OR(ISNUMBER(SEARCH("start",LOWER(AF366))),ISNUMBER(SEARCH("Newer",AF366)),ISNUMBER(SEARCH("Will start",AF366))),"Process Yet to Start",IF(ISNUMBER(SEARCH("sure",LOWER(AF366))),"Undecided",IF(OR(ISNUMBER(SEARCH("reject",LOWER(AF366))),ISNUMBER(SEARCH("SBI",AF366))),"Rejected Elsewhere",IF(ISNUMBER(SEARCH("call",LOWER(AF366))),"Bank Communication",IF(OR(ISNUMBER(SEARCH("father",LOWER(AF366))),ISNUMBER(SEARCH("sister",LOWER(AF366)))),"Family / Dependency","Other"))))))))))</f>
        <v/>
      </c>
      <c r="AH366">
        <f>IF(A366="","",'01_Master_Data'!AC366)</f>
        <v/>
      </c>
      <c r="AI366">
        <f>IF(A366="","",IF(OR(AH366="",NOT(ISNUMBER(AH366))),"",MAX(0,'02_Configuration'!$B$82-AH366)))</f>
        <v/>
      </c>
      <c r="AJ366">
        <f>IF(A366="","",IF(AI366="","Unknown",IF(AI366&lt;=3,"0–3 Days",IF(AI366&lt;=7,"4–7 Days",IF(AI366&lt;=15,"8–15 Days",IF(AI366&lt;=30,"16–30 Days","30+ Days"))))))</f>
        <v/>
      </c>
      <c r="AK366">
        <f>IF(A366="","",IF(LOWER(H366)="yes","Yes","No"))</f>
        <v/>
      </c>
      <c r="AL366">
        <f>IF(A366="","",'01_Master_Data'!T366)</f>
        <v/>
      </c>
      <c r="AM366">
        <f>IF(A366="","",'01_Master_Data'!S366)</f>
        <v/>
      </c>
      <c r="AN366">
        <f>IF(A366="","",'01_Master_Data'!I366)</f>
        <v/>
      </c>
      <c r="AO366">
        <f>IF(A366="","",'01_Master_Data'!M366)</f>
        <v/>
      </c>
      <c r="AP366">
        <f>IF(A366="","",IF(ISNUMBER(SEARCH("Icici",W366&amp;"")),1,0))</f>
        <v/>
      </c>
      <c r="AQ366">
        <f>IF(A366="","",IF(ISNUMBER(SEARCH("Propelld",W366&amp;"")),1,0))</f>
        <v/>
      </c>
      <c r="AR366">
        <f>IF(A366="","",IF(ISNUMBER(SEARCH("GyanDhan",W366&amp;"")),1,0))</f>
        <v/>
      </c>
      <c r="AS366">
        <f>IF(A366="","",IF(ISNUMBER(SEARCH("vidyalakshmi",LOWER(W366&amp;""))),1,0))</f>
        <v/>
      </c>
      <c r="AT366">
        <f>IF(A366="","",IF(ISNUMBER(SEARCH("other bank",LOWER(W366&amp;""))),1,0))</f>
        <v/>
      </c>
      <c r="AU366">
        <f>IF(A366="","",IF(ISNUMBER(SEARCH("sanctioned",LOWER(W366&amp;""))),1,0))</f>
        <v/>
      </c>
      <c r="AV366">
        <f>IF(A366="","",IF(ISNUMBER(SEARCH("Docs Pending",W366&amp;"")),1,0))</f>
        <v/>
      </c>
      <c r="AW366">
        <f>IF(A366="","",IF(OR(X366="Rejected",ISNUMBER(SEARCH("Not eligbile",W366&amp;""))),1,0))</f>
        <v/>
      </c>
    </row>
    <row r="367">
      <c r="A367">
        <f>IF('01_Master_Data'!B367="","",366)</f>
        <v/>
      </c>
      <c r="B367">
        <f>IF('01_Master_Data'!B367="","",IF('01_Master_Data'!C367&lt;&gt;"","MOB|"&amp;TEXT('01_Master_Data'!C367,"0"),IF('01_Master_Data'!D367&lt;&gt;"","PID|"&amp;TRIM('01_Master_Data'!D367&amp;""),"")))</f>
        <v/>
      </c>
      <c r="C367">
        <f>IF('01_Master_Data'!B367="","",'01_Master_Data'!B367)</f>
        <v/>
      </c>
      <c r="D367">
        <f>IF('01_Master_Data'!B367="","",'01_Master_Data'!C367)</f>
        <v/>
      </c>
      <c r="E367">
        <f>IF('01_Master_Data'!B367="","",'01_Master_Data'!D367)</f>
        <v/>
      </c>
      <c r="F367">
        <f>IF('01_Master_Data'!B367="","",'01_Master_Data'!E367)</f>
        <v/>
      </c>
      <c r="G367">
        <f>IF('01_Master_Data'!B367="","",IFERROR(VLOOKUP(TRIM('01_Master_Data'!E367&amp;""),'02_Configuration'!$A$40:$B$44,2,FALSE),UPPER(TRIM('01_Master_Data'!E367&amp;""))))</f>
        <v/>
      </c>
      <c r="H367">
        <f>IF('01_Master_Data'!B367="","",IF('01_Master_Data'!U367="","",TRIM('01_Master_Data'!U367&amp;"")))</f>
        <v/>
      </c>
      <c r="I367">
        <f>IF('01_Master_Data'!B367="","",TRIM('01_Master_Data'!F367&amp;""))</f>
        <v/>
      </c>
      <c r="J367">
        <f>IF('01_Master_Data'!B367="","",TRIM('01_Master_Data'!G367&amp;""))</f>
        <v/>
      </c>
      <c r="K367">
        <f>IF('01_Master_Data'!B367="","",'01_Master_Data'!H367)</f>
        <v/>
      </c>
      <c r="L367">
        <f>IF('01_Master_Data'!B367="","",IF(LOWER(TRIM('01_Master_Data'!V367&amp;""))="yes",1,0))</f>
        <v/>
      </c>
      <c r="M367">
        <f>IF('01_Master_Data'!B367="","",IF(LOWER(TRIM('01_Master_Data'!W367&amp;""))="yes",1,0))</f>
        <v/>
      </c>
      <c r="N367">
        <f>IF('01_Master_Data'!B367="","",IF(LOWER(TRIM('01_Master_Data'!X367&amp;""))="yes",1,0))</f>
        <v/>
      </c>
      <c r="O367">
        <f>IF('01_Master_Data'!B367="","",IF(LOWER(TRIM('01_Master_Data'!Y367&amp;""))="yes",1,0))</f>
        <v/>
      </c>
      <c r="P367">
        <f>IF('01_Master_Data'!B367="","",IF(LOWER(TRIM('01_Master_Data'!Z367&amp;""))="yes",1,0))</f>
        <v/>
      </c>
      <c r="Q367">
        <f>IF(A367="","",L367+M367+N367+O367+P367)</f>
        <v/>
      </c>
      <c r="R367">
        <f>IF(A367="","",IF(Q367&gt;1,"Yes","No"))</f>
        <v/>
      </c>
      <c r="S367">
        <f>IF(A367="","",TEXTJOIN(", ",TRUE,IF(L367=1,"ICICI",""),IF(M367=1,"Propelld",""),IF(N367=1,"Study4Buddy",""),IF(O367=1,"Poonawala Fincorp",""),IF(P367=1,"GyanDhan","")))</f>
        <v/>
      </c>
      <c r="T367">
        <f>IF(A367="","",IF(L367=1,"ICICI",IF(M367=1,"Propelld",IF(P367=1,"GyanDhan",IF(N367=1,"Study4Buddy",IF(O367=1,"Poonawala Fincorp",IF(ISNUMBER(SEARCH("GyanDhan",W367&amp;"")),"GyanDhan",IF(ISNUMBER(SEARCH("Icici",W367&amp;"")),"ICICI",IF(ISNUMBER(SEARCH("Propelld",W367&amp;"")),"Propelld",IF(ISNUMBER(SEARCH("vidyalakshmi",LOWER(W367&amp;"")),"PM Vidyalakshmi","—"))))))))))</f>
        <v/>
      </c>
      <c r="U367">
        <f>IF(A367="","",TRIM('01_Master_Data'!AA367&amp;""))</f>
        <v/>
      </c>
      <c r="V367">
        <f>IF(A367="","",TRIM('01_Master_Data'!AG367&amp;""))</f>
        <v/>
      </c>
      <c r="W367">
        <f>IF(A367="","",TRIM('01_Master_Data'!AH367&amp;""))</f>
        <v/>
      </c>
      <c r="X367">
        <f>IF(A367="","",IF(OR(LOWER(H367)="refund",LOWER(U367)="refund case"),"Refund",IF(OR(LOWER(H367)="dnp",LOWER(U367)="dnp"),"DNP",IF(OR(LOWER(V367)="disbursed",ISNUMBER(SEARCH("Disbursed",W367&amp;""))),"Disbursed",IF(OR(LOWER(V367)="loan proccessed/accepted",ISNUMBER(SEARCH("sanctioned",LOWER(W367&amp;"")))),"Sanctioned",IF(OR(LOWER(V367)="rejected",ISNUMBER(SEARCH("Not eligbile",W367&amp;"")),ISNUMBER(SEARCH("Not eligible",W367&amp;""))),"Rejected",IF(ISNUMBER(SEARCH("Docs Pending",W367&amp;"")),"Documents Pending",IF(AND(LOWER(H367)="yes",LOWER(V367)="ongoing"),"Processing",IF(AND(LOWER(H367)="yes",Q367&gt;0,OR(V367="",LOWER(V367)="not even started")),"Vendor Assigned",IF(AND(LOWER(H367)="yes",LOWER(V367)="not even started"),"Need Loan",IF(LOWER(H367)="yes","Loan Started",IF(LOWER(H367)="not sure","Interested",IF(OR(LOWER(H367)="no",LOWER(V367)="not required"),"Not Required","Unclassified")))))))))))))</f>
        <v/>
      </c>
      <c r="Y367">
        <f>IF(A367="","",IF(OR(X367="Sanctioned",X367="Disbursed",X367="Approved"),"Approved",IF(X367="Rejected","Rejected",IF(OR(X367="Processing",X367="Documents Pending",X367="Vendor Assigned"),"In Progress",IF(X367="Need Loan","Pending Start","—"))))</f>
        <v/>
      </c>
      <c r="Z367">
        <f>IF(A367="","",IF(X367="Disbursed","Disbursed",IF(X367="Sanctioned","Sanctioned - Awaiting Disbursement","Not Disbursed")))</f>
        <v/>
      </c>
      <c r="AA367">
        <f>IF(A367="","",IF(LOWER(TRIM('01_Master_Data'!AI367&amp;""))="yes","Need FLDG",IF(LOWER(TRIM('01_Master_Data'!AK367&amp;""))="yes","Need Vidyalakshmi",IF(LOWER(TRIM('01_Master_Data'!AJ367&amp;""))="yes","Need Review",IF(LOWER(J367)="critical","Critical",IF(LOWER(U367)="risk","Risk Case",IF(X367="Refund","Refund","Normal")))))))</f>
        <v/>
      </c>
      <c r="AB367">
        <f>IF(A367="","",IF(OR(LOWER(J367)="critical",LOWER(TRIM('01_Master_Data'!AI367&amp;""))="yes",LOWER(TRIM('01_Master_Data'!AK367&amp;""))="yes",LOWER(U367)="risk"),"Yes","No"))</f>
        <v/>
      </c>
      <c r="AC367">
        <f>IF(A367="","",IF(LOWER(TRIM('01_Master_Data'!AI367&amp;""))="yes","Yes","No"))</f>
        <v/>
      </c>
      <c r="AD367">
        <f>IF(A367="","",IF(LOWER(TRIM('01_Master_Data'!AK367&amp;""))="yes","Yes","No"))</f>
        <v/>
      </c>
      <c r="AE367">
        <f>IF(A367="","",IF(LOWER(TRIM('01_Master_Data'!AJ367&amp;""))="yes","Yes","No"))</f>
        <v/>
      </c>
      <c r="AF367">
        <f>IF(A367="","",TRIM('01_Master_Data'!AL367&amp;""))</f>
        <v/>
      </c>
      <c r="AG367">
        <f>IF(A367="","",IF(AF367="","—",IF(ISNUMBER(SEARCH("DNP",AF367)),"Unreachable / DNP",IF(ISNUMBER(SEARCH("interest",LOWER(AF367))),"High Interest / Terms",IF(OR(ISNUMBER(SEARCH("eligib",LOWER(AF367))),ISNUMBER(SEARCH("income",LOWER(AF367)))),"Eligibility / Income",IF(OR(ISNUMBER(SEARCH("start",LOWER(AF367))),ISNUMBER(SEARCH("Newer",AF367)),ISNUMBER(SEARCH("Will start",AF367))),"Process Yet to Start",IF(ISNUMBER(SEARCH("sure",LOWER(AF367))),"Undecided",IF(OR(ISNUMBER(SEARCH("reject",LOWER(AF367))),ISNUMBER(SEARCH("SBI",AF367))),"Rejected Elsewhere",IF(ISNUMBER(SEARCH("call",LOWER(AF367))),"Bank Communication",IF(OR(ISNUMBER(SEARCH("father",LOWER(AF367))),ISNUMBER(SEARCH("sister",LOWER(AF367)))),"Family / Dependency","Other"))))))))))</f>
        <v/>
      </c>
      <c r="AH367">
        <f>IF(A367="","",'01_Master_Data'!AC367)</f>
        <v/>
      </c>
      <c r="AI367">
        <f>IF(A367="","",IF(OR(AH367="",NOT(ISNUMBER(AH367))),"",MAX(0,'02_Configuration'!$B$82-AH367)))</f>
        <v/>
      </c>
      <c r="AJ367">
        <f>IF(A367="","",IF(AI367="","Unknown",IF(AI367&lt;=3,"0–3 Days",IF(AI367&lt;=7,"4–7 Days",IF(AI367&lt;=15,"8–15 Days",IF(AI367&lt;=30,"16–30 Days","30+ Days"))))))</f>
        <v/>
      </c>
      <c r="AK367">
        <f>IF(A367="","",IF(LOWER(H367)="yes","Yes","No"))</f>
        <v/>
      </c>
      <c r="AL367">
        <f>IF(A367="","",'01_Master_Data'!T367)</f>
        <v/>
      </c>
      <c r="AM367">
        <f>IF(A367="","",'01_Master_Data'!S367)</f>
        <v/>
      </c>
      <c r="AN367">
        <f>IF(A367="","",'01_Master_Data'!I367)</f>
        <v/>
      </c>
      <c r="AO367">
        <f>IF(A367="","",'01_Master_Data'!M367)</f>
        <v/>
      </c>
      <c r="AP367">
        <f>IF(A367="","",IF(ISNUMBER(SEARCH("Icici",W367&amp;"")),1,0))</f>
        <v/>
      </c>
      <c r="AQ367">
        <f>IF(A367="","",IF(ISNUMBER(SEARCH("Propelld",W367&amp;"")),1,0))</f>
        <v/>
      </c>
      <c r="AR367">
        <f>IF(A367="","",IF(ISNUMBER(SEARCH("GyanDhan",W367&amp;"")),1,0))</f>
        <v/>
      </c>
      <c r="AS367">
        <f>IF(A367="","",IF(ISNUMBER(SEARCH("vidyalakshmi",LOWER(W367&amp;""))),1,0))</f>
        <v/>
      </c>
      <c r="AT367">
        <f>IF(A367="","",IF(ISNUMBER(SEARCH("other bank",LOWER(W367&amp;""))),1,0))</f>
        <v/>
      </c>
      <c r="AU367">
        <f>IF(A367="","",IF(ISNUMBER(SEARCH("sanctioned",LOWER(W367&amp;""))),1,0))</f>
        <v/>
      </c>
      <c r="AV367">
        <f>IF(A367="","",IF(ISNUMBER(SEARCH("Docs Pending",W367&amp;"")),1,0))</f>
        <v/>
      </c>
      <c r="AW367">
        <f>IF(A367="","",IF(OR(X367="Rejected",ISNUMBER(SEARCH("Not eligbile",W367&amp;""))),1,0))</f>
        <v/>
      </c>
    </row>
    <row r="368">
      <c r="A368">
        <f>IF('01_Master_Data'!B368="","",367)</f>
        <v/>
      </c>
      <c r="B368">
        <f>IF('01_Master_Data'!B368="","",IF('01_Master_Data'!C368&lt;&gt;"","MOB|"&amp;TEXT('01_Master_Data'!C368,"0"),IF('01_Master_Data'!D368&lt;&gt;"","PID|"&amp;TRIM('01_Master_Data'!D368&amp;""),"")))</f>
        <v/>
      </c>
      <c r="C368">
        <f>IF('01_Master_Data'!B368="","",'01_Master_Data'!B368)</f>
        <v/>
      </c>
      <c r="D368">
        <f>IF('01_Master_Data'!B368="","",'01_Master_Data'!C368)</f>
        <v/>
      </c>
      <c r="E368">
        <f>IF('01_Master_Data'!B368="","",'01_Master_Data'!D368)</f>
        <v/>
      </c>
      <c r="F368">
        <f>IF('01_Master_Data'!B368="","",'01_Master_Data'!E368)</f>
        <v/>
      </c>
      <c r="G368">
        <f>IF('01_Master_Data'!B368="","",IFERROR(VLOOKUP(TRIM('01_Master_Data'!E368&amp;""),'02_Configuration'!$A$40:$B$44,2,FALSE),UPPER(TRIM('01_Master_Data'!E368&amp;""))))</f>
        <v/>
      </c>
      <c r="H368">
        <f>IF('01_Master_Data'!B368="","",IF('01_Master_Data'!U368="","",TRIM('01_Master_Data'!U368&amp;"")))</f>
        <v/>
      </c>
      <c r="I368">
        <f>IF('01_Master_Data'!B368="","",TRIM('01_Master_Data'!F368&amp;""))</f>
        <v/>
      </c>
      <c r="J368">
        <f>IF('01_Master_Data'!B368="","",TRIM('01_Master_Data'!G368&amp;""))</f>
        <v/>
      </c>
      <c r="K368">
        <f>IF('01_Master_Data'!B368="","",'01_Master_Data'!H368)</f>
        <v/>
      </c>
      <c r="L368">
        <f>IF('01_Master_Data'!B368="","",IF(LOWER(TRIM('01_Master_Data'!V368&amp;""))="yes",1,0))</f>
        <v/>
      </c>
      <c r="M368">
        <f>IF('01_Master_Data'!B368="","",IF(LOWER(TRIM('01_Master_Data'!W368&amp;""))="yes",1,0))</f>
        <v/>
      </c>
      <c r="N368">
        <f>IF('01_Master_Data'!B368="","",IF(LOWER(TRIM('01_Master_Data'!X368&amp;""))="yes",1,0))</f>
        <v/>
      </c>
      <c r="O368">
        <f>IF('01_Master_Data'!B368="","",IF(LOWER(TRIM('01_Master_Data'!Y368&amp;""))="yes",1,0))</f>
        <v/>
      </c>
      <c r="P368">
        <f>IF('01_Master_Data'!B368="","",IF(LOWER(TRIM('01_Master_Data'!Z368&amp;""))="yes",1,0))</f>
        <v/>
      </c>
      <c r="Q368">
        <f>IF(A368="","",L368+M368+N368+O368+P368)</f>
        <v/>
      </c>
      <c r="R368">
        <f>IF(A368="","",IF(Q368&gt;1,"Yes","No"))</f>
        <v/>
      </c>
      <c r="S368">
        <f>IF(A368="","",TEXTJOIN(", ",TRUE,IF(L368=1,"ICICI",""),IF(M368=1,"Propelld",""),IF(N368=1,"Study4Buddy",""),IF(O368=1,"Poonawala Fincorp",""),IF(P368=1,"GyanDhan","")))</f>
        <v/>
      </c>
      <c r="T368">
        <f>IF(A368="","",IF(L368=1,"ICICI",IF(M368=1,"Propelld",IF(P368=1,"GyanDhan",IF(N368=1,"Study4Buddy",IF(O368=1,"Poonawala Fincorp",IF(ISNUMBER(SEARCH("GyanDhan",W368&amp;"")),"GyanDhan",IF(ISNUMBER(SEARCH("Icici",W368&amp;"")),"ICICI",IF(ISNUMBER(SEARCH("Propelld",W368&amp;"")),"Propelld",IF(ISNUMBER(SEARCH("vidyalakshmi",LOWER(W368&amp;"")),"PM Vidyalakshmi","—"))))))))))</f>
        <v/>
      </c>
      <c r="U368">
        <f>IF(A368="","",TRIM('01_Master_Data'!AA368&amp;""))</f>
        <v/>
      </c>
      <c r="V368">
        <f>IF(A368="","",TRIM('01_Master_Data'!AG368&amp;""))</f>
        <v/>
      </c>
      <c r="W368">
        <f>IF(A368="","",TRIM('01_Master_Data'!AH368&amp;""))</f>
        <v/>
      </c>
      <c r="X368">
        <f>IF(A368="","",IF(OR(LOWER(H368)="refund",LOWER(U368)="refund case"),"Refund",IF(OR(LOWER(H368)="dnp",LOWER(U368)="dnp"),"DNP",IF(OR(LOWER(V368)="disbursed",ISNUMBER(SEARCH("Disbursed",W368&amp;""))),"Disbursed",IF(OR(LOWER(V368)="loan proccessed/accepted",ISNUMBER(SEARCH("sanctioned",LOWER(W368&amp;"")))),"Sanctioned",IF(OR(LOWER(V368)="rejected",ISNUMBER(SEARCH("Not eligbile",W368&amp;"")),ISNUMBER(SEARCH("Not eligible",W368&amp;""))),"Rejected",IF(ISNUMBER(SEARCH("Docs Pending",W368&amp;"")),"Documents Pending",IF(AND(LOWER(H368)="yes",LOWER(V368)="ongoing"),"Processing",IF(AND(LOWER(H368)="yes",Q368&gt;0,OR(V368="",LOWER(V368)="not even started")),"Vendor Assigned",IF(AND(LOWER(H368)="yes",LOWER(V368)="not even started"),"Need Loan",IF(LOWER(H368)="yes","Loan Started",IF(LOWER(H368)="not sure","Interested",IF(OR(LOWER(H368)="no",LOWER(V368)="not required"),"Not Required","Unclassified")))))))))))))</f>
        <v/>
      </c>
      <c r="Y368">
        <f>IF(A368="","",IF(OR(X368="Sanctioned",X368="Disbursed",X368="Approved"),"Approved",IF(X368="Rejected","Rejected",IF(OR(X368="Processing",X368="Documents Pending",X368="Vendor Assigned"),"In Progress",IF(X368="Need Loan","Pending Start","—"))))</f>
        <v/>
      </c>
      <c r="Z368">
        <f>IF(A368="","",IF(X368="Disbursed","Disbursed",IF(X368="Sanctioned","Sanctioned - Awaiting Disbursement","Not Disbursed")))</f>
        <v/>
      </c>
      <c r="AA368">
        <f>IF(A368="","",IF(LOWER(TRIM('01_Master_Data'!AI368&amp;""))="yes","Need FLDG",IF(LOWER(TRIM('01_Master_Data'!AK368&amp;""))="yes","Need Vidyalakshmi",IF(LOWER(TRIM('01_Master_Data'!AJ368&amp;""))="yes","Need Review",IF(LOWER(J368)="critical","Critical",IF(LOWER(U368)="risk","Risk Case",IF(X368="Refund","Refund","Normal")))))))</f>
        <v/>
      </c>
      <c r="AB368">
        <f>IF(A368="","",IF(OR(LOWER(J368)="critical",LOWER(TRIM('01_Master_Data'!AI368&amp;""))="yes",LOWER(TRIM('01_Master_Data'!AK368&amp;""))="yes",LOWER(U368)="risk"),"Yes","No"))</f>
        <v/>
      </c>
      <c r="AC368">
        <f>IF(A368="","",IF(LOWER(TRIM('01_Master_Data'!AI368&amp;""))="yes","Yes","No"))</f>
        <v/>
      </c>
      <c r="AD368">
        <f>IF(A368="","",IF(LOWER(TRIM('01_Master_Data'!AK368&amp;""))="yes","Yes","No"))</f>
        <v/>
      </c>
      <c r="AE368">
        <f>IF(A368="","",IF(LOWER(TRIM('01_Master_Data'!AJ368&amp;""))="yes","Yes","No"))</f>
        <v/>
      </c>
      <c r="AF368">
        <f>IF(A368="","",TRIM('01_Master_Data'!AL368&amp;""))</f>
        <v/>
      </c>
      <c r="AG368">
        <f>IF(A368="","",IF(AF368="","—",IF(ISNUMBER(SEARCH("DNP",AF368)),"Unreachable / DNP",IF(ISNUMBER(SEARCH("interest",LOWER(AF368))),"High Interest / Terms",IF(OR(ISNUMBER(SEARCH("eligib",LOWER(AF368))),ISNUMBER(SEARCH("income",LOWER(AF368)))),"Eligibility / Income",IF(OR(ISNUMBER(SEARCH("start",LOWER(AF368))),ISNUMBER(SEARCH("Newer",AF368)),ISNUMBER(SEARCH("Will start",AF368))),"Process Yet to Start",IF(ISNUMBER(SEARCH("sure",LOWER(AF368))),"Undecided",IF(OR(ISNUMBER(SEARCH("reject",LOWER(AF368))),ISNUMBER(SEARCH("SBI",AF368))),"Rejected Elsewhere",IF(ISNUMBER(SEARCH("call",LOWER(AF368))),"Bank Communication",IF(OR(ISNUMBER(SEARCH("father",LOWER(AF368))),ISNUMBER(SEARCH("sister",LOWER(AF368)))),"Family / Dependency","Other"))))))))))</f>
        <v/>
      </c>
      <c r="AH368">
        <f>IF(A368="","",'01_Master_Data'!AC368)</f>
        <v/>
      </c>
      <c r="AI368">
        <f>IF(A368="","",IF(OR(AH368="",NOT(ISNUMBER(AH368))),"",MAX(0,'02_Configuration'!$B$82-AH368)))</f>
        <v/>
      </c>
      <c r="AJ368">
        <f>IF(A368="","",IF(AI368="","Unknown",IF(AI368&lt;=3,"0–3 Days",IF(AI368&lt;=7,"4–7 Days",IF(AI368&lt;=15,"8–15 Days",IF(AI368&lt;=30,"16–30 Days","30+ Days"))))))</f>
        <v/>
      </c>
      <c r="AK368">
        <f>IF(A368="","",IF(LOWER(H368)="yes","Yes","No"))</f>
        <v/>
      </c>
      <c r="AL368">
        <f>IF(A368="","",'01_Master_Data'!T368)</f>
        <v/>
      </c>
      <c r="AM368">
        <f>IF(A368="","",'01_Master_Data'!S368)</f>
        <v/>
      </c>
      <c r="AN368">
        <f>IF(A368="","",'01_Master_Data'!I368)</f>
        <v/>
      </c>
      <c r="AO368">
        <f>IF(A368="","",'01_Master_Data'!M368)</f>
        <v/>
      </c>
      <c r="AP368">
        <f>IF(A368="","",IF(ISNUMBER(SEARCH("Icici",W368&amp;"")),1,0))</f>
        <v/>
      </c>
      <c r="AQ368">
        <f>IF(A368="","",IF(ISNUMBER(SEARCH("Propelld",W368&amp;"")),1,0))</f>
        <v/>
      </c>
      <c r="AR368">
        <f>IF(A368="","",IF(ISNUMBER(SEARCH("GyanDhan",W368&amp;"")),1,0))</f>
        <v/>
      </c>
      <c r="AS368">
        <f>IF(A368="","",IF(ISNUMBER(SEARCH("vidyalakshmi",LOWER(W368&amp;""))),1,0))</f>
        <v/>
      </c>
      <c r="AT368">
        <f>IF(A368="","",IF(ISNUMBER(SEARCH("other bank",LOWER(W368&amp;""))),1,0))</f>
        <v/>
      </c>
      <c r="AU368">
        <f>IF(A368="","",IF(ISNUMBER(SEARCH("sanctioned",LOWER(W368&amp;""))),1,0))</f>
        <v/>
      </c>
      <c r="AV368">
        <f>IF(A368="","",IF(ISNUMBER(SEARCH("Docs Pending",W368&amp;"")),1,0))</f>
        <v/>
      </c>
      <c r="AW368">
        <f>IF(A368="","",IF(OR(X368="Rejected",ISNUMBER(SEARCH("Not eligbile",W368&amp;""))),1,0))</f>
        <v/>
      </c>
    </row>
    <row r="369">
      <c r="A369">
        <f>IF('01_Master_Data'!B369="","",368)</f>
        <v/>
      </c>
      <c r="B369">
        <f>IF('01_Master_Data'!B369="","",IF('01_Master_Data'!C369&lt;&gt;"","MOB|"&amp;TEXT('01_Master_Data'!C369,"0"),IF('01_Master_Data'!D369&lt;&gt;"","PID|"&amp;TRIM('01_Master_Data'!D369&amp;""),"")))</f>
        <v/>
      </c>
      <c r="C369">
        <f>IF('01_Master_Data'!B369="","",'01_Master_Data'!B369)</f>
        <v/>
      </c>
      <c r="D369">
        <f>IF('01_Master_Data'!B369="","",'01_Master_Data'!C369)</f>
        <v/>
      </c>
      <c r="E369">
        <f>IF('01_Master_Data'!B369="","",'01_Master_Data'!D369)</f>
        <v/>
      </c>
      <c r="F369">
        <f>IF('01_Master_Data'!B369="","",'01_Master_Data'!E369)</f>
        <v/>
      </c>
      <c r="G369">
        <f>IF('01_Master_Data'!B369="","",IFERROR(VLOOKUP(TRIM('01_Master_Data'!E369&amp;""),'02_Configuration'!$A$40:$B$44,2,FALSE),UPPER(TRIM('01_Master_Data'!E369&amp;""))))</f>
        <v/>
      </c>
      <c r="H369">
        <f>IF('01_Master_Data'!B369="","",IF('01_Master_Data'!U369="","",TRIM('01_Master_Data'!U369&amp;"")))</f>
        <v/>
      </c>
      <c r="I369">
        <f>IF('01_Master_Data'!B369="","",TRIM('01_Master_Data'!F369&amp;""))</f>
        <v/>
      </c>
      <c r="J369">
        <f>IF('01_Master_Data'!B369="","",TRIM('01_Master_Data'!G369&amp;""))</f>
        <v/>
      </c>
      <c r="K369">
        <f>IF('01_Master_Data'!B369="","",'01_Master_Data'!H369)</f>
        <v/>
      </c>
      <c r="L369">
        <f>IF('01_Master_Data'!B369="","",IF(LOWER(TRIM('01_Master_Data'!V369&amp;""))="yes",1,0))</f>
        <v/>
      </c>
      <c r="M369">
        <f>IF('01_Master_Data'!B369="","",IF(LOWER(TRIM('01_Master_Data'!W369&amp;""))="yes",1,0))</f>
        <v/>
      </c>
      <c r="N369">
        <f>IF('01_Master_Data'!B369="","",IF(LOWER(TRIM('01_Master_Data'!X369&amp;""))="yes",1,0))</f>
        <v/>
      </c>
      <c r="O369">
        <f>IF('01_Master_Data'!B369="","",IF(LOWER(TRIM('01_Master_Data'!Y369&amp;""))="yes",1,0))</f>
        <v/>
      </c>
      <c r="P369">
        <f>IF('01_Master_Data'!B369="","",IF(LOWER(TRIM('01_Master_Data'!Z369&amp;""))="yes",1,0))</f>
        <v/>
      </c>
      <c r="Q369">
        <f>IF(A369="","",L369+M369+N369+O369+P369)</f>
        <v/>
      </c>
      <c r="R369">
        <f>IF(A369="","",IF(Q369&gt;1,"Yes","No"))</f>
        <v/>
      </c>
      <c r="S369">
        <f>IF(A369="","",TEXTJOIN(", ",TRUE,IF(L369=1,"ICICI",""),IF(M369=1,"Propelld",""),IF(N369=1,"Study4Buddy",""),IF(O369=1,"Poonawala Fincorp",""),IF(P369=1,"GyanDhan","")))</f>
        <v/>
      </c>
      <c r="T369">
        <f>IF(A369="","",IF(L369=1,"ICICI",IF(M369=1,"Propelld",IF(P369=1,"GyanDhan",IF(N369=1,"Study4Buddy",IF(O369=1,"Poonawala Fincorp",IF(ISNUMBER(SEARCH("GyanDhan",W369&amp;"")),"GyanDhan",IF(ISNUMBER(SEARCH("Icici",W369&amp;"")),"ICICI",IF(ISNUMBER(SEARCH("Propelld",W369&amp;"")),"Propelld",IF(ISNUMBER(SEARCH("vidyalakshmi",LOWER(W369&amp;"")),"PM Vidyalakshmi","—"))))))))))</f>
        <v/>
      </c>
      <c r="U369">
        <f>IF(A369="","",TRIM('01_Master_Data'!AA369&amp;""))</f>
        <v/>
      </c>
      <c r="V369">
        <f>IF(A369="","",TRIM('01_Master_Data'!AG369&amp;""))</f>
        <v/>
      </c>
      <c r="W369">
        <f>IF(A369="","",TRIM('01_Master_Data'!AH369&amp;""))</f>
        <v/>
      </c>
      <c r="X369">
        <f>IF(A369="","",IF(OR(LOWER(H369)="refund",LOWER(U369)="refund case"),"Refund",IF(OR(LOWER(H369)="dnp",LOWER(U369)="dnp"),"DNP",IF(OR(LOWER(V369)="disbursed",ISNUMBER(SEARCH("Disbursed",W369&amp;""))),"Disbursed",IF(OR(LOWER(V369)="loan proccessed/accepted",ISNUMBER(SEARCH("sanctioned",LOWER(W369&amp;"")))),"Sanctioned",IF(OR(LOWER(V369)="rejected",ISNUMBER(SEARCH("Not eligbile",W369&amp;"")),ISNUMBER(SEARCH("Not eligible",W369&amp;""))),"Rejected",IF(ISNUMBER(SEARCH("Docs Pending",W369&amp;"")),"Documents Pending",IF(AND(LOWER(H369)="yes",LOWER(V369)="ongoing"),"Processing",IF(AND(LOWER(H369)="yes",Q369&gt;0,OR(V369="",LOWER(V369)="not even started")),"Vendor Assigned",IF(AND(LOWER(H369)="yes",LOWER(V369)="not even started"),"Need Loan",IF(LOWER(H369)="yes","Loan Started",IF(LOWER(H369)="not sure","Interested",IF(OR(LOWER(H369)="no",LOWER(V369)="not required"),"Not Required","Unclassified")))))))))))))</f>
        <v/>
      </c>
      <c r="Y369">
        <f>IF(A369="","",IF(OR(X369="Sanctioned",X369="Disbursed",X369="Approved"),"Approved",IF(X369="Rejected","Rejected",IF(OR(X369="Processing",X369="Documents Pending",X369="Vendor Assigned"),"In Progress",IF(X369="Need Loan","Pending Start","—"))))</f>
        <v/>
      </c>
      <c r="Z369">
        <f>IF(A369="","",IF(X369="Disbursed","Disbursed",IF(X369="Sanctioned","Sanctioned - Awaiting Disbursement","Not Disbursed")))</f>
        <v/>
      </c>
      <c r="AA369">
        <f>IF(A369="","",IF(LOWER(TRIM('01_Master_Data'!AI369&amp;""))="yes","Need FLDG",IF(LOWER(TRIM('01_Master_Data'!AK369&amp;""))="yes","Need Vidyalakshmi",IF(LOWER(TRIM('01_Master_Data'!AJ369&amp;""))="yes","Need Review",IF(LOWER(J369)="critical","Critical",IF(LOWER(U369)="risk","Risk Case",IF(X369="Refund","Refund","Normal")))))))</f>
        <v/>
      </c>
      <c r="AB369">
        <f>IF(A369="","",IF(OR(LOWER(J369)="critical",LOWER(TRIM('01_Master_Data'!AI369&amp;""))="yes",LOWER(TRIM('01_Master_Data'!AK369&amp;""))="yes",LOWER(U369)="risk"),"Yes","No"))</f>
        <v/>
      </c>
      <c r="AC369">
        <f>IF(A369="","",IF(LOWER(TRIM('01_Master_Data'!AI369&amp;""))="yes","Yes","No"))</f>
        <v/>
      </c>
      <c r="AD369">
        <f>IF(A369="","",IF(LOWER(TRIM('01_Master_Data'!AK369&amp;""))="yes","Yes","No"))</f>
        <v/>
      </c>
      <c r="AE369">
        <f>IF(A369="","",IF(LOWER(TRIM('01_Master_Data'!AJ369&amp;""))="yes","Yes","No"))</f>
        <v/>
      </c>
      <c r="AF369">
        <f>IF(A369="","",TRIM('01_Master_Data'!AL369&amp;""))</f>
        <v/>
      </c>
      <c r="AG369">
        <f>IF(A369="","",IF(AF369="","—",IF(ISNUMBER(SEARCH("DNP",AF369)),"Unreachable / DNP",IF(ISNUMBER(SEARCH("interest",LOWER(AF369))),"High Interest / Terms",IF(OR(ISNUMBER(SEARCH("eligib",LOWER(AF369))),ISNUMBER(SEARCH("income",LOWER(AF369)))),"Eligibility / Income",IF(OR(ISNUMBER(SEARCH("start",LOWER(AF369))),ISNUMBER(SEARCH("Newer",AF369)),ISNUMBER(SEARCH("Will start",AF369))),"Process Yet to Start",IF(ISNUMBER(SEARCH("sure",LOWER(AF369))),"Undecided",IF(OR(ISNUMBER(SEARCH("reject",LOWER(AF369))),ISNUMBER(SEARCH("SBI",AF369))),"Rejected Elsewhere",IF(ISNUMBER(SEARCH("call",LOWER(AF369))),"Bank Communication",IF(OR(ISNUMBER(SEARCH("father",LOWER(AF369))),ISNUMBER(SEARCH("sister",LOWER(AF369)))),"Family / Dependency","Other"))))))))))</f>
        <v/>
      </c>
      <c r="AH369">
        <f>IF(A369="","",'01_Master_Data'!AC369)</f>
        <v/>
      </c>
      <c r="AI369">
        <f>IF(A369="","",IF(OR(AH369="",NOT(ISNUMBER(AH369))),"",MAX(0,'02_Configuration'!$B$82-AH369)))</f>
        <v/>
      </c>
      <c r="AJ369">
        <f>IF(A369="","",IF(AI369="","Unknown",IF(AI369&lt;=3,"0–3 Days",IF(AI369&lt;=7,"4–7 Days",IF(AI369&lt;=15,"8–15 Days",IF(AI369&lt;=30,"16–30 Days","30+ Days"))))))</f>
        <v/>
      </c>
      <c r="AK369">
        <f>IF(A369="","",IF(LOWER(H369)="yes","Yes","No"))</f>
        <v/>
      </c>
      <c r="AL369">
        <f>IF(A369="","",'01_Master_Data'!T369)</f>
        <v/>
      </c>
      <c r="AM369">
        <f>IF(A369="","",'01_Master_Data'!S369)</f>
        <v/>
      </c>
      <c r="AN369">
        <f>IF(A369="","",'01_Master_Data'!I369)</f>
        <v/>
      </c>
      <c r="AO369">
        <f>IF(A369="","",'01_Master_Data'!M369)</f>
        <v/>
      </c>
      <c r="AP369">
        <f>IF(A369="","",IF(ISNUMBER(SEARCH("Icici",W369&amp;"")),1,0))</f>
        <v/>
      </c>
      <c r="AQ369">
        <f>IF(A369="","",IF(ISNUMBER(SEARCH("Propelld",W369&amp;"")),1,0))</f>
        <v/>
      </c>
      <c r="AR369">
        <f>IF(A369="","",IF(ISNUMBER(SEARCH("GyanDhan",W369&amp;"")),1,0))</f>
        <v/>
      </c>
      <c r="AS369">
        <f>IF(A369="","",IF(ISNUMBER(SEARCH("vidyalakshmi",LOWER(W369&amp;""))),1,0))</f>
        <v/>
      </c>
      <c r="AT369">
        <f>IF(A369="","",IF(ISNUMBER(SEARCH("other bank",LOWER(W369&amp;""))),1,0))</f>
        <v/>
      </c>
      <c r="AU369">
        <f>IF(A369="","",IF(ISNUMBER(SEARCH("sanctioned",LOWER(W369&amp;""))),1,0))</f>
        <v/>
      </c>
      <c r="AV369">
        <f>IF(A369="","",IF(ISNUMBER(SEARCH("Docs Pending",W369&amp;"")),1,0))</f>
        <v/>
      </c>
      <c r="AW369">
        <f>IF(A369="","",IF(OR(X369="Rejected",ISNUMBER(SEARCH("Not eligbile",W369&amp;""))),1,0))</f>
        <v/>
      </c>
    </row>
    <row r="370">
      <c r="A370">
        <f>IF('01_Master_Data'!B370="","",369)</f>
        <v/>
      </c>
      <c r="B370">
        <f>IF('01_Master_Data'!B370="","",IF('01_Master_Data'!C370&lt;&gt;"","MOB|"&amp;TEXT('01_Master_Data'!C370,"0"),IF('01_Master_Data'!D370&lt;&gt;"","PID|"&amp;TRIM('01_Master_Data'!D370&amp;""),"")))</f>
        <v/>
      </c>
      <c r="C370">
        <f>IF('01_Master_Data'!B370="","",'01_Master_Data'!B370)</f>
        <v/>
      </c>
      <c r="D370">
        <f>IF('01_Master_Data'!B370="","",'01_Master_Data'!C370)</f>
        <v/>
      </c>
      <c r="E370">
        <f>IF('01_Master_Data'!B370="","",'01_Master_Data'!D370)</f>
        <v/>
      </c>
      <c r="F370">
        <f>IF('01_Master_Data'!B370="","",'01_Master_Data'!E370)</f>
        <v/>
      </c>
      <c r="G370">
        <f>IF('01_Master_Data'!B370="","",IFERROR(VLOOKUP(TRIM('01_Master_Data'!E370&amp;""),'02_Configuration'!$A$40:$B$44,2,FALSE),UPPER(TRIM('01_Master_Data'!E370&amp;""))))</f>
        <v/>
      </c>
      <c r="H370">
        <f>IF('01_Master_Data'!B370="","",IF('01_Master_Data'!U370="","",TRIM('01_Master_Data'!U370&amp;"")))</f>
        <v/>
      </c>
      <c r="I370">
        <f>IF('01_Master_Data'!B370="","",TRIM('01_Master_Data'!F370&amp;""))</f>
        <v/>
      </c>
      <c r="J370">
        <f>IF('01_Master_Data'!B370="","",TRIM('01_Master_Data'!G370&amp;""))</f>
        <v/>
      </c>
      <c r="K370">
        <f>IF('01_Master_Data'!B370="","",'01_Master_Data'!H370)</f>
        <v/>
      </c>
      <c r="L370">
        <f>IF('01_Master_Data'!B370="","",IF(LOWER(TRIM('01_Master_Data'!V370&amp;""))="yes",1,0))</f>
        <v/>
      </c>
      <c r="M370">
        <f>IF('01_Master_Data'!B370="","",IF(LOWER(TRIM('01_Master_Data'!W370&amp;""))="yes",1,0))</f>
        <v/>
      </c>
      <c r="N370">
        <f>IF('01_Master_Data'!B370="","",IF(LOWER(TRIM('01_Master_Data'!X370&amp;""))="yes",1,0))</f>
        <v/>
      </c>
      <c r="O370">
        <f>IF('01_Master_Data'!B370="","",IF(LOWER(TRIM('01_Master_Data'!Y370&amp;""))="yes",1,0))</f>
        <v/>
      </c>
      <c r="P370">
        <f>IF('01_Master_Data'!B370="","",IF(LOWER(TRIM('01_Master_Data'!Z370&amp;""))="yes",1,0))</f>
        <v/>
      </c>
      <c r="Q370">
        <f>IF(A370="","",L370+M370+N370+O370+P370)</f>
        <v/>
      </c>
      <c r="R370">
        <f>IF(A370="","",IF(Q370&gt;1,"Yes","No"))</f>
        <v/>
      </c>
      <c r="S370">
        <f>IF(A370="","",TEXTJOIN(", ",TRUE,IF(L370=1,"ICICI",""),IF(M370=1,"Propelld",""),IF(N370=1,"Study4Buddy",""),IF(O370=1,"Poonawala Fincorp",""),IF(P370=1,"GyanDhan","")))</f>
        <v/>
      </c>
      <c r="T370">
        <f>IF(A370="","",IF(L370=1,"ICICI",IF(M370=1,"Propelld",IF(P370=1,"GyanDhan",IF(N370=1,"Study4Buddy",IF(O370=1,"Poonawala Fincorp",IF(ISNUMBER(SEARCH("GyanDhan",W370&amp;"")),"GyanDhan",IF(ISNUMBER(SEARCH("Icici",W370&amp;"")),"ICICI",IF(ISNUMBER(SEARCH("Propelld",W370&amp;"")),"Propelld",IF(ISNUMBER(SEARCH("vidyalakshmi",LOWER(W370&amp;"")),"PM Vidyalakshmi","—"))))))))))</f>
        <v/>
      </c>
      <c r="U370">
        <f>IF(A370="","",TRIM('01_Master_Data'!AA370&amp;""))</f>
        <v/>
      </c>
      <c r="V370">
        <f>IF(A370="","",TRIM('01_Master_Data'!AG370&amp;""))</f>
        <v/>
      </c>
      <c r="W370">
        <f>IF(A370="","",TRIM('01_Master_Data'!AH370&amp;""))</f>
        <v/>
      </c>
      <c r="X370">
        <f>IF(A370="","",IF(OR(LOWER(H370)="refund",LOWER(U370)="refund case"),"Refund",IF(OR(LOWER(H370)="dnp",LOWER(U370)="dnp"),"DNP",IF(OR(LOWER(V370)="disbursed",ISNUMBER(SEARCH("Disbursed",W370&amp;""))),"Disbursed",IF(OR(LOWER(V370)="loan proccessed/accepted",ISNUMBER(SEARCH("sanctioned",LOWER(W370&amp;"")))),"Sanctioned",IF(OR(LOWER(V370)="rejected",ISNUMBER(SEARCH("Not eligbile",W370&amp;"")),ISNUMBER(SEARCH("Not eligible",W370&amp;""))),"Rejected",IF(ISNUMBER(SEARCH("Docs Pending",W370&amp;"")),"Documents Pending",IF(AND(LOWER(H370)="yes",LOWER(V370)="ongoing"),"Processing",IF(AND(LOWER(H370)="yes",Q370&gt;0,OR(V370="",LOWER(V370)="not even started")),"Vendor Assigned",IF(AND(LOWER(H370)="yes",LOWER(V370)="not even started"),"Need Loan",IF(LOWER(H370)="yes","Loan Started",IF(LOWER(H370)="not sure","Interested",IF(OR(LOWER(H370)="no",LOWER(V370)="not required"),"Not Required","Unclassified")))))))))))))</f>
        <v/>
      </c>
      <c r="Y370">
        <f>IF(A370="","",IF(OR(X370="Sanctioned",X370="Disbursed",X370="Approved"),"Approved",IF(X370="Rejected","Rejected",IF(OR(X370="Processing",X370="Documents Pending",X370="Vendor Assigned"),"In Progress",IF(X370="Need Loan","Pending Start","—"))))</f>
        <v/>
      </c>
      <c r="Z370">
        <f>IF(A370="","",IF(X370="Disbursed","Disbursed",IF(X370="Sanctioned","Sanctioned - Awaiting Disbursement","Not Disbursed")))</f>
        <v/>
      </c>
      <c r="AA370">
        <f>IF(A370="","",IF(LOWER(TRIM('01_Master_Data'!AI370&amp;""))="yes","Need FLDG",IF(LOWER(TRIM('01_Master_Data'!AK370&amp;""))="yes","Need Vidyalakshmi",IF(LOWER(TRIM('01_Master_Data'!AJ370&amp;""))="yes","Need Review",IF(LOWER(J370)="critical","Critical",IF(LOWER(U370)="risk","Risk Case",IF(X370="Refund","Refund","Normal")))))))</f>
        <v/>
      </c>
      <c r="AB370">
        <f>IF(A370="","",IF(OR(LOWER(J370)="critical",LOWER(TRIM('01_Master_Data'!AI370&amp;""))="yes",LOWER(TRIM('01_Master_Data'!AK370&amp;""))="yes",LOWER(U370)="risk"),"Yes","No"))</f>
        <v/>
      </c>
      <c r="AC370">
        <f>IF(A370="","",IF(LOWER(TRIM('01_Master_Data'!AI370&amp;""))="yes","Yes","No"))</f>
        <v/>
      </c>
      <c r="AD370">
        <f>IF(A370="","",IF(LOWER(TRIM('01_Master_Data'!AK370&amp;""))="yes","Yes","No"))</f>
        <v/>
      </c>
      <c r="AE370">
        <f>IF(A370="","",IF(LOWER(TRIM('01_Master_Data'!AJ370&amp;""))="yes","Yes","No"))</f>
        <v/>
      </c>
      <c r="AF370">
        <f>IF(A370="","",TRIM('01_Master_Data'!AL370&amp;""))</f>
        <v/>
      </c>
      <c r="AG370">
        <f>IF(A370="","",IF(AF370="","—",IF(ISNUMBER(SEARCH("DNP",AF370)),"Unreachable / DNP",IF(ISNUMBER(SEARCH("interest",LOWER(AF370))),"High Interest / Terms",IF(OR(ISNUMBER(SEARCH("eligib",LOWER(AF370))),ISNUMBER(SEARCH("income",LOWER(AF370)))),"Eligibility / Income",IF(OR(ISNUMBER(SEARCH("start",LOWER(AF370))),ISNUMBER(SEARCH("Newer",AF370)),ISNUMBER(SEARCH("Will start",AF370))),"Process Yet to Start",IF(ISNUMBER(SEARCH("sure",LOWER(AF370))),"Undecided",IF(OR(ISNUMBER(SEARCH("reject",LOWER(AF370))),ISNUMBER(SEARCH("SBI",AF370))),"Rejected Elsewhere",IF(ISNUMBER(SEARCH("call",LOWER(AF370))),"Bank Communication",IF(OR(ISNUMBER(SEARCH("father",LOWER(AF370))),ISNUMBER(SEARCH("sister",LOWER(AF370)))),"Family / Dependency","Other"))))))))))</f>
        <v/>
      </c>
      <c r="AH370">
        <f>IF(A370="","",'01_Master_Data'!AC370)</f>
        <v/>
      </c>
      <c r="AI370">
        <f>IF(A370="","",IF(OR(AH370="",NOT(ISNUMBER(AH370))),"",MAX(0,'02_Configuration'!$B$82-AH370)))</f>
        <v/>
      </c>
      <c r="AJ370">
        <f>IF(A370="","",IF(AI370="","Unknown",IF(AI370&lt;=3,"0–3 Days",IF(AI370&lt;=7,"4–7 Days",IF(AI370&lt;=15,"8–15 Days",IF(AI370&lt;=30,"16–30 Days","30+ Days"))))))</f>
        <v/>
      </c>
      <c r="AK370">
        <f>IF(A370="","",IF(LOWER(H370)="yes","Yes","No"))</f>
        <v/>
      </c>
      <c r="AL370">
        <f>IF(A370="","",'01_Master_Data'!T370)</f>
        <v/>
      </c>
      <c r="AM370">
        <f>IF(A370="","",'01_Master_Data'!S370)</f>
        <v/>
      </c>
      <c r="AN370">
        <f>IF(A370="","",'01_Master_Data'!I370)</f>
        <v/>
      </c>
      <c r="AO370">
        <f>IF(A370="","",'01_Master_Data'!M370)</f>
        <v/>
      </c>
      <c r="AP370">
        <f>IF(A370="","",IF(ISNUMBER(SEARCH("Icici",W370&amp;"")),1,0))</f>
        <v/>
      </c>
      <c r="AQ370">
        <f>IF(A370="","",IF(ISNUMBER(SEARCH("Propelld",W370&amp;"")),1,0))</f>
        <v/>
      </c>
      <c r="AR370">
        <f>IF(A370="","",IF(ISNUMBER(SEARCH("GyanDhan",W370&amp;"")),1,0))</f>
        <v/>
      </c>
      <c r="AS370">
        <f>IF(A370="","",IF(ISNUMBER(SEARCH("vidyalakshmi",LOWER(W370&amp;""))),1,0))</f>
        <v/>
      </c>
      <c r="AT370">
        <f>IF(A370="","",IF(ISNUMBER(SEARCH("other bank",LOWER(W370&amp;""))),1,0))</f>
        <v/>
      </c>
      <c r="AU370">
        <f>IF(A370="","",IF(ISNUMBER(SEARCH("sanctioned",LOWER(W370&amp;""))),1,0))</f>
        <v/>
      </c>
      <c r="AV370">
        <f>IF(A370="","",IF(ISNUMBER(SEARCH("Docs Pending",W370&amp;"")),1,0))</f>
        <v/>
      </c>
      <c r="AW370">
        <f>IF(A370="","",IF(OR(X370="Rejected",ISNUMBER(SEARCH("Not eligbile",W370&amp;""))),1,0))</f>
        <v/>
      </c>
    </row>
    <row r="371">
      <c r="A371">
        <f>IF('01_Master_Data'!B371="","",370)</f>
        <v/>
      </c>
      <c r="B371">
        <f>IF('01_Master_Data'!B371="","",IF('01_Master_Data'!C371&lt;&gt;"","MOB|"&amp;TEXT('01_Master_Data'!C371,"0"),IF('01_Master_Data'!D371&lt;&gt;"","PID|"&amp;TRIM('01_Master_Data'!D371&amp;""),"")))</f>
        <v/>
      </c>
      <c r="C371">
        <f>IF('01_Master_Data'!B371="","",'01_Master_Data'!B371)</f>
        <v/>
      </c>
      <c r="D371">
        <f>IF('01_Master_Data'!B371="","",'01_Master_Data'!C371)</f>
        <v/>
      </c>
      <c r="E371">
        <f>IF('01_Master_Data'!B371="","",'01_Master_Data'!D371)</f>
        <v/>
      </c>
      <c r="F371">
        <f>IF('01_Master_Data'!B371="","",'01_Master_Data'!E371)</f>
        <v/>
      </c>
      <c r="G371">
        <f>IF('01_Master_Data'!B371="","",IFERROR(VLOOKUP(TRIM('01_Master_Data'!E371&amp;""),'02_Configuration'!$A$40:$B$44,2,FALSE),UPPER(TRIM('01_Master_Data'!E371&amp;""))))</f>
        <v/>
      </c>
      <c r="H371">
        <f>IF('01_Master_Data'!B371="","",IF('01_Master_Data'!U371="","",TRIM('01_Master_Data'!U371&amp;"")))</f>
        <v/>
      </c>
      <c r="I371">
        <f>IF('01_Master_Data'!B371="","",TRIM('01_Master_Data'!F371&amp;""))</f>
        <v/>
      </c>
      <c r="J371">
        <f>IF('01_Master_Data'!B371="","",TRIM('01_Master_Data'!G371&amp;""))</f>
        <v/>
      </c>
      <c r="K371">
        <f>IF('01_Master_Data'!B371="","",'01_Master_Data'!H371)</f>
        <v/>
      </c>
      <c r="L371">
        <f>IF('01_Master_Data'!B371="","",IF(LOWER(TRIM('01_Master_Data'!V371&amp;""))="yes",1,0))</f>
        <v/>
      </c>
      <c r="M371">
        <f>IF('01_Master_Data'!B371="","",IF(LOWER(TRIM('01_Master_Data'!W371&amp;""))="yes",1,0))</f>
        <v/>
      </c>
      <c r="N371">
        <f>IF('01_Master_Data'!B371="","",IF(LOWER(TRIM('01_Master_Data'!X371&amp;""))="yes",1,0))</f>
        <v/>
      </c>
      <c r="O371">
        <f>IF('01_Master_Data'!B371="","",IF(LOWER(TRIM('01_Master_Data'!Y371&amp;""))="yes",1,0))</f>
        <v/>
      </c>
      <c r="P371">
        <f>IF('01_Master_Data'!B371="","",IF(LOWER(TRIM('01_Master_Data'!Z371&amp;""))="yes",1,0))</f>
        <v/>
      </c>
      <c r="Q371">
        <f>IF(A371="","",L371+M371+N371+O371+P371)</f>
        <v/>
      </c>
      <c r="R371">
        <f>IF(A371="","",IF(Q371&gt;1,"Yes","No"))</f>
        <v/>
      </c>
      <c r="S371">
        <f>IF(A371="","",TEXTJOIN(", ",TRUE,IF(L371=1,"ICICI",""),IF(M371=1,"Propelld",""),IF(N371=1,"Study4Buddy",""),IF(O371=1,"Poonawala Fincorp",""),IF(P371=1,"GyanDhan","")))</f>
        <v/>
      </c>
      <c r="T371">
        <f>IF(A371="","",IF(L371=1,"ICICI",IF(M371=1,"Propelld",IF(P371=1,"GyanDhan",IF(N371=1,"Study4Buddy",IF(O371=1,"Poonawala Fincorp",IF(ISNUMBER(SEARCH("GyanDhan",W371&amp;"")),"GyanDhan",IF(ISNUMBER(SEARCH("Icici",W371&amp;"")),"ICICI",IF(ISNUMBER(SEARCH("Propelld",W371&amp;"")),"Propelld",IF(ISNUMBER(SEARCH("vidyalakshmi",LOWER(W371&amp;"")),"PM Vidyalakshmi","—"))))))))))</f>
        <v/>
      </c>
      <c r="U371">
        <f>IF(A371="","",TRIM('01_Master_Data'!AA371&amp;""))</f>
        <v/>
      </c>
      <c r="V371">
        <f>IF(A371="","",TRIM('01_Master_Data'!AG371&amp;""))</f>
        <v/>
      </c>
      <c r="W371">
        <f>IF(A371="","",TRIM('01_Master_Data'!AH371&amp;""))</f>
        <v/>
      </c>
      <c r="X371">
        <f>IF(A371="","",IF(OR(LOWER(H371)="refund",LOWER(U371)="refund case"),"Refund",IF(OR(LOWER(H371)="dnp",LOWER(U371)="dnp"),"DNP",IF(OR(LOWER(V371)="disbursed",ISNUMBER(SEARCH("Disbursed",W371&amp;""))),"Disbursed",IF(OR(LOWER(V371)="loan proccessed/accepted",ISNUMBER(SEARCH("sanctioned",LOWER(W371&amp;"")))),"Sanctioned",IF(OR(LOWER(V371)="rejected",ISNUMBER(SEARCH("Not eligbile",W371&amp;"")),ISNUMBER(SEARCH("Not eligible",W371&amp;""))),"Rejected",IF(ISNUMBER(SEARCH("Docs Pending",W371&amp;"")),"Documents Pending",IF(AND(LOWER(H371)="yes",LOWER(V371)="ongoing"),"Processing",IF(AND(LOWER(H371)="yes",Q371&gt;0,OR(V371="",LOWER(V371)="not even started")),"Vendor Assigned",IF(AND(LOWER(H371)="yes",LOWER(V371)="not even started"),"Need Loan",IF(LOWER(H371)="yes","Loan Started",IF(LOWER(H371)="not sure","Interested",IF(OR(LOWER(H371)="no",LOWER(V371)="not required"),"Not Required","Unclassified")))))))))))))</f>
        <v/>
      </c>
      <c r="Y371">
        <f>IF(A371="","",IF(OR(X371="Sanctioned",X371="Disbursed",X371="Approved"),"Approved",IF(X371="Rejected","Rejected",IF(OR(X371="Processing",X371="Documents Pending",X371="Vendor Assigned"),"In Progress",IF(X371="Need Loan","Pending Start","—"))))</f>
        <v/>
      </c>
      <c r="Z371">
        <f>IF(A371="","",IF(X371="Disbursed","Disbursed",IF(X371="Sanctioned","Sanctioned - Awaiting Disbursement","Not Disbursed")))</f>
        <v/>
      </c>
      <c r="AA371">
        <f>IF(A371="","",IF(LOWER(TRIM('01_Master_Data'!AI371&amp;""))="yes","Need FLDG",IF(LOWER(TRIM('01_Master_Data'!AK371&amp;""))="yes","Need Vidyalakshmi",IF(LOWER(TRIM('01_Master_Data'!AJ371&amp;""))="yes","Need Review",IF(LOWER(J371)="critical","Critical",IF(LOWER(U371)="risk","Risk Case",IF(X371="Refund","Refund","Normal")))))))</f>
        <v/>
      </c>
      <c r="AB371">
        <f>IF(A371="","",IF(OR(LOWER(J371)="critical",LOWER(TRIM('01_Master_Data'!AI371&amp;""))="yes",LOWER(TRIM('01_Master_Data'!AK371&amp;""))="yes",LOWER(U371)="risk"),"Yes","No"))</f>
        <v/>
      </c>
      <c r="AC371">
        <f>IF(A371="","",IF(LOWER(TRIM('01_Master_Data'!AI371&amp;""))="yes","Yes","No"))</f>
        <v/>
      </c>
      <c r="AD371">
        <f>IF(A371="","",IF(LOWER(TRIM('01_Master_Data'!AK371&amp;""))="yes","Yes","No"))</f>
        <v/>
      </c>
      <c r="AE371">
        <f>IF(A371="","",IF(LOWER(TRIM('01_Master_Data'!AJ371&amp;""))="yes","Yes","No"))</f>
        <v/>
      </c>
      <c r="AF371">
        <f>IF(A371="","",TRIM('01_Master_Data'!AL371&amp;""))</f>
        <v/>
      </c>
      <c r="AG371">
        <f>IF(A371="","",IF(AF371="","—",IF(ISNUMBER(SEARCH("DNP",AF371)),"Unreachable / DNP",IF(ISNUMBER(SEARCH("interest",LOWER(AF371))),"High Interest / Terms",IF(OR(ISNUMBER(SEARCH("eligib",LOWER(AF371))),ISNUMBER(SEARCH("income",LOWER(AF371)))),"Eligibility / Income",IF(OR(ISNUMBER(SEARCH("start",LOWER(AF371))),ISNUMBER(SEARCH("Newer",AF371)),ISNUMBER(SEARCH("Will start",AF371))),"Process Yet to Start",IF(ISNUMBER(SEARCH("sure",LOWER(AF371))),"Undecided",IF(OR(ISNUMBER(SEARCH("reject",LOWER(AF371))),ISNUMBER(SEARCH("SBI",AF371))),"Rejected Elsewhere",IF(ISNUMBER(SEARCH("call",LOWER(AF371))),"Bank Communication",IF(OR(ISNUMBER(SEARCH("father",LOWER(AF371))),ISNUMBER(SEARCH("sister",LOWER(AF371)))),"Family / Dependency","Other"))))))))))</f>
        <v/>
      </c>
      <c r="AH371">
        <f>IF(A371="","",'01_Master_Data'!AC371)</f>
        <v/>
      </c>
      <c r="AI371">
        <f>IF(A371="","",IF(OR(AH371="",NOT(ISNUMBER(AH371))),"",MAX(0,'02_Configuration'!$B$82-AH371)))</f>
        <v/>
      </c>
      <c r="AJ371">
        <f>IF(A371="","",IF(AI371="","Unknown",IF(AI371&lt;=3,"0–3 Days",IF(AI371&lt;=7,"4–7 Days",IF(AI371&lt;=15,"8–15 Days",IF(AI371&lt;=30,"16–30 Days","30+ Days"))))))</f>
        <v/>
      </c>
      <c r="AK371">
        <f>IF(A371="","",IF(LOWER(H371)="yes","Yes","No"))</f>
        <v/>
      </c>
      <c r="AL371">
        <f>IF(A371="","",'01_Master_Data'!T371)</f>
        <v/>
      </c>
      <c r="AM371">
        <f>IF(A371="","",'01_Master_Data'!S371)</f>
        <v/>
      </c>
      <c r="AN371">
        <f>IF(A371="","",'01_Master_Data'!I371)</f>
        <v/>
      </c>
      <c r="AO371">
        <f>IF(A371="","",'01_Master_Data'!M371)</f>
        <v/>
      </c>
      <c r="AP371">
        <f>IF(A371="","",IF(ISNUMBER(SEARCH("Icici",W371&amp;"")),1,0))</f>
        <v/>
      </c>
      <c r="AQ371">
        <f>IF(A371="","",IF(ISNUMBER(SEARCH("Propelld",W371&amp;"")),1,0))</f>
        <v/>
      </c>
      <c r="AR371">
        <f>IF(A371="","",IF(ISNUMBER(SEARCH("GyanDhan",W371&amp;"")),1,0))</f>
        <v/>
      </c>
      <c r="AS371">
        <f>IF(A371="","",IF(ISNUMBER(SEARCH("vidyalakshmi",LOWER(W371&amp;""))),1,0))</f>
        <v/>
      </c>
      <c r="AT371">
        <f>IF(A371="","",IF(ISNUMBER(SEARCH("other bank",LOWER(W371&amp;""))),1,0))</f>
        <v/>
      </c>
      <c r="AU371">
        <f>IF(A371="","",IF(ISNUMBER(SEARCH("sanctioned",LOWER(W371&amp;""))),1,0))</f>
        <v/>
      </c>
      <c r="AV371">
        <f>IF(A371="","",IF(ISNUMBER(SEARCH("Docs Pending",W371&amp;"")),1,0))</f>
        <v/>
      </c>
      <c r="AW371">
        <f>IF(A371="","",IF(OR(X371="Rejected",ISNUMBER(SEARCH("Not eligbile",W371&amp;""))),1,0))</f>
        <v/>
      </c>
    </row>
    <row r="372">
      <c r="A372">
        <f>IF('01_Master_Data'!B372="","",371)</f>
        <v/>
      </c>
      <c r="B372">
        <f>IF('01_Master_Data'!B372="","",IF('01_Master_Data'!C372&lt;&gt;"","MOB|"&amp;TEXT('01_Master_Data'!C372,"0"),IF('01_Master_Data'!D372&lt;&gt;"","PID|"&amp;TRIM('01_Master_Data'!D372&amp;""),"")))</f>
        <v/>
      </c>
      <c r="C372">
        <f>IF('01_Master_Data'!B372="","",'01_Master_Data'!B372)</f>
        <v/>
      </c>
      <c r="D372">
        <f>IF('01_Master_Data'!B372="","",'01_Master_Data'!C372)</f>
        <v/>
      </c>
      <c r="E372">
        <f>IF('01_Master_Data'!B372="","",'01_Master_Data'!D372)</f>
        <v/>
      </c>
      <c r="F372">
        <f>IF('01_Master_Data'!B372="","",'01_Master_Data'!E372)</f>
        <v/>
      </c>
      <c r="G372">
        <f>IF('01_Master_Data'!B372="","",IFERROR(VLOOKUP(TRIM('01_Master_Data'!E372&amp;""),'02_Configuration'!$A$40:$B$44,2,FALSE),UPPER(TRIM('01_Master_Data'!E372&amp;""))))</f>
        <v/>
      </c>
      <c r="H372">
        <f>IF('01_Master_Data'!B372="","",IF('01_Master_Data'!U372="","",TRIM('01_Master_Data'!U372&amp;"")))</f>
        <v/>
      </c>
      <c r="I372">
        <f>IF('01_Master_Data'!B372="","",TRIM('01_Master_Data'!F372&amp;""))</f>
        <v/>
      </c>
      <c r="J372">
        <f>IF('01_Master_Data'!B372="","",TRIM('01_Master_Data'!G372&amp;""))</f>
        <v/>
      </c>
      <c r="K372">
        <f>IF('01_Master_Data'!B372="","",'01_Master_Data'!H372)</f>
        <v/>
      </c>
      <c r="L372">
        <f>IF('01_Master_Data'!B372="","",IF(LOWER(TRIM('01_Master_Data'!V372&amp;""))="yes",1,0))</f>
        <v/>
      </c>
      <c r="M372">
        <f>IF('01_Master_Data'!B372="","",IF(LOWER(TRIM('01_Master_Data'!W372&amp;""))="yes",1,0))</f>
        <v/>
      </c>
      <c r="N372">
        <f>IF('01_Master_Data'!B372="","",IF(LOWER(TRIM('01_Master_Data'!X372&amp;""))="yes",1,0))</f>
        <v/>
      </c>
      <c r="O372">
        <f>IF('01_Master_Data'!B372="","",IF(LOWER(TRIM('01_Master_Data'!Y372&amp;""))="yes",1,0))</f>
        <v/>
      </c>
      <c r="P372">
        <f>IF('01_Master_Data'!B372="","",IF(LOWER(TRIM('01_Master_Data'!Z372&amp;""))="yes",1,0))</f>
        <v/>
      </c>
      <c r="Q372">
        <f>IF(A372="","",L372+M372+N372+O372+P372)</f>
        <v/>
      </c>
      <c r="R372">
        <f>IF(A372="","",IF(Q372&gt;1,"Yes","No"))</f>
        <v/>
      </c>
      <c r="S372">
        <f>IF(A372="","",TEXTJOIN(", ",TRUE,IF(L372=1,"ICICI",""),IF(M372=1,"Propelld",""),IF(N372=1,"Study4Buddy",""),IF(O372=1,"Poonawala Fincorp",""),IF(P372=1,"GyanDhan","")))</f>
        <v/>
      </c>
      <c r="T372">
        <f>IF(A372="","",IF(L372=1,"ICICI",IF(M372=1,"Propelld",IF(P372=1,"GyanDhan",IF(N372=1,"Study4Buddy",IF(O372=1,"Poonawala Fincorp",IF(ISNUMBER(SEARCH("GyanDhan",W372&amp;"")),"GyanDhan",IF(ISNUMBER(SEARCH("Icici",W372&amp;"")),"ICICI",IF(ISNUMBER(SEARCH("Propelld",W372&amp;"")),"Propelld",IF(ISNUMBER(SEARCH("vidyalakshmi",LOWER(W372&amp;"")),"PM Vidyalakshmi","—"))))))))))</f>
        <v/>
      </c>
      <c r="U372">
        <f>IF(A372="","",TRIM('01_Master_Data'!AA372&amp;""))</f>
        <v/>
      </c>
      <c r="V372">
        <f>IF(A372="","",TRIM('01_Master_Data'!AG372&amp;""))</f>
        <v/>
      </c>
      <c r="W372">
        <f>IF(A372="","",TRIM('01_Master_Data'!AH372&amp;""))</f>
        <v/>
      </c>
      <c r="X372">
        <f>IF(A372="","",IF(OR(LOWER(H372)="refund",LOWER(U372)="refund case"),"Refund",IF(OR(LOWER(H372)="dnp",LOWER(U372)="dnp"),"DNP",IF(OR(LOWER(V372)="disbursed",ISNUMBER(SEARCH("Disbursed",W372&amp;""))),"Disbursed",IF(OR(LOWER(V372)="loan proccessed/accepted",ISNUMBER(SEARCH("sanctioned",LOWER(W372&amp;"")))),"Sanctioned",IF(OR(LOWER(V372)="rejected",ISNUMBER(SEARCH("Not eligbile",W372&amp;"")),ISNUMBER(SEARCH("Not eligible",W372&amp;""))),"Rejected",IF(ISNUMBER(SEARCH("Docs Pending",W372&amp;"")),"Documents Pending",IF(AND(LOWER(H372)="yes",LOWER(V372)="ongoing"),"Processing",IF(AND(LOWER(H372)="yes",Q372&gt;0,OR(V372="",LOWER(V372)="not even started")),"Vendor Assigned",IF(AND(LOWER(H372)="yes",LOWER(V372)="not even started"),"Need Loan",IF(LOWER(H372)="yes","Loan Started",IF(LOWER(H372)="not sure","Interested",IF(OR(LOWER(H372)="no",LOWER(V372)="not required"),"Not Required","Unclassified")))))))))))))</f>
        <v/>
      </c>
      <c r="Y372">
        <f>IF(A372="","",IF(OR(X372="Sanctioned",X372="Disbursed",X372="Approved"),"Approved",IF(X372="Rejected","Rejected",IF(OR(X372="Processing",X372="Documents Pending",X372="Vendor Assigned"),"In Progress",IF(X372="Need Loan","Pending Start","—"))))</f>
        <v/>
      </c>
      <c r="Z372">
        <f>IF(A372="","",IF(X372="Disbursed","Disbursed",IF(X372="Sanctioned","Sanctioned - Awaiting Disbursement","Not Disbursed")))</f>
        <v/>
      </c>
      <c r="AA372">
        <f>IF(A372="","",IF(LOWER(TRIM('01_Master_Data'!AI372&amp;""))="yes","Need FLDG",IF(LOWER(TRIM('01_Master_Data'!AK372&amp;""))="yes","Need Vidyalakshmi",IF(LOWER(TRIM('01_Master_Data'!AJ372&amp;""))="yes","Need Review",IF(LOWER(J372)="critical","Critical",IF(LOWER(U372)="risk","Risk Case",IF(X372="Refund","Refund","Normal")))))))</f>
        <v/>
      </c>
      <c r="AB372">
        <f>IF(A372="","",IF(OR(LOWER(J372)="critical",LOWER(TRIM('01_Master_Data'!AI372&amp;""))="yes",LOWER(TRIM('01_Master_Data'!AK372&amp;""))="yes",LOWER(U372)="risk"),"Yes","No"))</f>
        <v/>
      </c>
      <c r="AC372">
        <f>IF(A372="","",IF(LOWER(TRIM('01_Master_Data'!AI372&amp;""))="yes","Yes","No"))</f>
        <v/>
      </c>
      <c r="AD372">
        <f>IF(A372="","",IF(LOWER(TRIM('01_Master_Data'!AK372&amp;""))="yes","Yes","No"))</f>
        <v/>
      </c>
      <c r="AE372">
        <f>IF(A372="","",IF(LOWER(TRIM('01_Master_Data'!AJ372&amp;""))="yes","Yes","No"))</f>
        <v/>
      </c>
      <c r="AF372">
        <f>IF(A372="","",TRIM('01_Master_Data'!AL372&amp;""))</f>
        <v/>
      </c>
      <c r="AG372">
        <f>IF(A372="","",IF(AF372="","—",IF(ISNUMBER(SEARCH("DNP",AF372)),"Unreachable / DNP",IF(ISNUMBER(SEARCH("interest",LOWER(AF372))),"High Interest / Terms",IF(OR(ISNUMBER(SEARCH("eligib",LOWER(AF372))),ISNUMBER(SEARCH("income",LOWER(AF372)))),"Eligibility / Income",IF(OR(ISNUMBER(SEARCH("start",LOWER(AF372))),ISNUMBER(SEARCH("Newer",AF372)),ISNUMBER(SEARCH("Will start",AF372))),"Process Yet to Start",IF(ISNUMBER(SEARCH("sure",LOWER(AF372))),"Undecided",IF(OR(ISNUMBER(SEARCH("reject",LOWER(AF372))),ISNUMBER(SEARCH("SBI",AF372))),"Rejected Elsewhere",IF(ISNUMBER(SEARCH("call",LOWER(AF372))),"Bank Communication",IF(OR(ISNUMBER(SEARCH("father",LOWER(AF372))),ISNUMBER(SEARCH("sister",LOWER(AF372)))),"Family / Dependency","Other"))))))))))</f>
        <v/>
      </c>
      <c r="AH372">
        <f>IF(A372="","",'01_Master_Data'!AC372)</f>
        <v/>
      </c>
      <c r="AI372">
        <f>IF(A372="","",IF(OR(AH372="",NOT(ISNUMBER(AH372))),"",MAX(0,'02_Configuration'!$B$82-AH372)))</f>
        <v/>
      </c>
      <c r="AJ372">
        <f>IF(A372="","",IF(AI372="","Unknown",IF(AI372&lt;=3,"0–3 Days",IF(AI372&lt;=7,"4–7 Days",IF(AI372&lt;=15,"8–15 Days",IF(AI372&lt;=30,"16–30 Days","30+ Days"))))))</f>
        <v/>
      </c>
      <c r="AK372">
        <f>IF(A372="","",IF(LOWER(H372)="yes","Yes","No"))</f>
        <v/>
      </c>
      <c r="AL372">
        <f>IF(A372="","",'01_Master_Data'!T372)</f>
        <v/>
      </c>
      <c r="AM372">
        <f>IF(A372="","",'01_Master_Data'!S372)</f>
        <v/>
      </c>
      <c r="AN372">
        <f>IF(A372="","",'01_Master_Data'!I372)</f>
        <v/>
      </c>
      <c r="AO372">
        <f>IF(A372="","",'01_Master_Data'!M372)</f>
        <v/>
      </c>
      <c r="AP372">
        <f>IF(A372="","",IF(ISNUMBER(SEARCH("Icici",W372&amp;"")),1,0))</f>
        <v/>
      </c>
      <c r="AQ372">
        <f>IF(A372="","",IF(ISNUMBER(SEARCH("Propelld",W372&amp;"")),1,0))</f>
        <v/>
      </c>
      <c r="AR372">
        <f>IF(A372="","",IF(ISNUMBER(SEARCH("GyanDhan",W372&amp;"")),1,0))</f>
        <v/>
      </c>
      <c r="AS372">
        <f>IF(A372="","",IF(ISNUMBER(SEARCH("vidyalakshmi",LOWER(W372&amp;""))),1,0))</f>
        <v/>
      </c>
      <c r="AT372">
        <f>IF(A372="","",IF(ISNUMBER(SEARCH("other bank",LOWER(W372&amp;""))),1,0))</f>
        <v/>
      </c>
      <c r="AU372">
        <f>IF(A372="","",IF(ISNUMBER(SEARCH("sanctioned",LOWER(W372&amp;""))),1,0))</f>
        <v/>
      </c>
      <c r="AV372">
        <f>IF(A372="","",IF(ISNUMBER(SEARCH("Docs Pending",W372&amp;"")),1,0))</f>
        <v/>
      </c>
      <c r="AW372">
        <f>IF(A372="","",IF(OR(X372="Rejected",ISNUMBER(SEARCH("Not eligbile",W372&amp;""))),1,0))</f>
        <v/>
      </c>
    </row>
    <row r="373">
      <c r="A373">
        <f>IF('01_Master_Data'!B373="","",372)</f>
        <v/>
      </c>
      <c r="B373">
        <f>IF('01_Master_Data'!B373="","",IF('01_Master_Data'!C373&lt;&gt;"","MOB|"&amp;TEXT('01_Master_Data'!C373,"0"),IF('01_Master_Data'!D373&lt;&gt;"","PID|"&amp;TRIM('01_Master_Data'!D373&amp;""),"")))</f>
        <v/>
      </c>
      <c r="C373">
        <f>IF('01_Master_Data'!B373="","",'01_Master_Data'!B373)</f>
        <v/>
      </c>
      <c r="D373">
        <f>IF('01_Master_Data'!B373="","",'01_Master_Data'!C373)</f>
        <v/>
      </c>
      <c r="E373">
        <f>IF('01_Master_Data'!B373="","",'01_Master_Data'!D373)</f>
        <v/>
      </c>
      <c r="F373">
        <f>IF('01_Master_Data'!B373="","",'01_Master_Data'!E373)</f>
        <v/>
      </c>
      <c r="G373">
        <f>IF('01_Master_Data'!B373="","",IFERROR(VLOOKUP(TRIM('01_Master_Data'!E373&amp;""),'02_Configuration'!$A$40:$B$44,2,FALSE),UPPER(TRIM('01_Master_Data'!E373&amp;""))))</f>
        <v/>
      </c>
      <c r="H373">
        <f>IF('01_Master_Data'!B373="","",IF('01_Master_Data'!U373="","",TRIM('01_Master_Data'!U373&amp;"")))</f>
        <v/>
      </c>
      <c r="I373">
        <f>IF('01_Master_Data'!B373="","",TRIM('01_Master_Data'!F373&amp;""))</f>
        <v/>
      </c>
      <c r="J373">
        <f>IF('01_Master_Data'!B373="","",TRIM('01_Master_Data'!G373&amp;""))</f>
        <v/>
      </c>
      <c r="K373">
        <f>IF('01_Master_Data'!B373="","",'01_Master_Data'!H373)</f>
        <v/>
      </c>
      <c r="L373">
        <f>IF('01_Master_Data'!B373="","",IF(LOWER(TRIM('01_Master_Data'!V373&amp;""))="yes",1,0))</f>
        <v/>
      </c>
      <c r="M373">
        <f>IF('01_Master_Data'!B373="","",IF(LOWER(TRIM('01_Master_Data'!W373&amp;""))="yes",1,0))</f>
        <v/>
      </c>
      <c r="N373">
        <f>IF('01_Master_Data'!B373="","",IF(LOWER(TRIM('01_Master_Data'!X373&amp;""))="yes",1,0))</f>
        <v/>
      </c>
      <c r="O373">
        <f>IF('01_Master_Data'!B373="","",IF(LOWER(TRIM('01_Master_Data'!Y373&amp;""))="yes",1,0))</f>
        <v/>
      </c>
      <c r="P373">
        <f>IF('01_Master_Data'!B373="","",IF(LOWER(TRIM('01_Master_Data'!Z373&amp;""))="yes",1,0))</f>
        <v/>
      </c>
      <c r="Q373">
        <f>IF(A373="","",L373+M373+N373+O373+P373)</f>
        <v/>
      </c>
      <c r="R373">
        <f>IF(A373="","",IF(Q373&gt;1,"Yes","No"))</f>
        <v/>
      </c>
      <c r="S373">
        <f>IF(A373="","",TEXTJOIN(", ",TRUE,IF(L373=1,"ICICI",""),IF(M373=1,"Propelld",""),IF(N373=1,"Study4Buddy",""),IF(O373=1,"Poonawala Fincorp",""),IF(P373=1,"GyanDhan","")))</f>
        <v/>
      </c>
      <c r="T373">
        <f>IF(A373="","",IF(L373=1,"ICICI",IF(M373=1,"Propelld",IF(P373=1,"GyanDhan",IF(N373=1,"Study4Buddy",IF(O373=1,"Poonawala Fincorp",IF(ISNUMBER(SEARCH("GyanDhan",W373&amp;"")),"GyanDhan",IF(ISNUMBER(SEARCH("Icici",W373&amp;"")),"ICICI",IF(ISNUMBER(SEARCH("Propelld",W373&amp;"")),"Propelld",IF(ISNUMBER(SEARCH("vidyalakshmi",LOWER(W373&amp;"")),"PM Vidyalakshmi","—"))))))))))</f>
        <v/>
      </c>
      <c r="U373">
        <f>IF(A373="","",TRIM('01_Master_Data'!AA373&amp;""))</f>
        <v/>
      </c>
      <c r="V373">
        <f>IF(A373="","",TRIM('01_Master_Data'!AG373&amp;""))</f>
        <v/>
      </c>
      <c r="W373">
        <f>IF(A373="","",TRIM('01_Master_Data'!AH373&amp;""))</f>
        <v/>
      </c>
      <c r="X373">
        <f>IF(A373="","",IF(OR(LOWER(H373)="refund",LOWER(U373)="refund case"),"Refund",IF(OR(LOWER(H373)="dnp",LOWER(U373)="dnp"),"DNP",IF(OR(LOWER(V373)="disbursed",ISNUMBER(SEARCH("Disbursed",W373&amp;""))),"Disbursed",IF(OR(LOWER(V373)="loan proccessed/accepted",ISNUMBER(SEARCH("sanctioned",LOWER(W373&amp;"")))),"Sanctioned",IF(OR(LOWER(V373)="rejected",ISNUMBER(SEARCH("Not eligbile",W373&amp;"")),ISNUMBER(SEARCH("Not eligible",W373&amp;""))),"Rejected",IF(ISNUMBER(SEARCH("Docs Pending",W373&amp;"")),"Documents Pending",IF(AND(LOWER(H373)="yes",LOWER(V373)="ongoing"),"Processing",IF(AND(LOWER(H373)="yes",Q373&gt;0,OR(V373="",LOWER(V373)="not even started")),"Vendor Assigned",IF(AND(LOWER(H373)="yes",LOWER(V373)="not even started"),"Need Loan",IF(LOWER(H373)="yes","Loan Started",IF(LOWER(H373)="not sure","Interested",IF(OR(LOWER(H373)="no",LOWER(V373)="not required"),"Not Required","Unclassified")))))))))))))</f>
        <v/>
      </c>
      <c r="Y373">
        <f>IF(A373="","",IF(OR(X373="Sanctioned",X373="Disbursed",X373="Approved"),"Approved",IF(X373="Rejected","Rejected",IF(OR(X373="Processing",X373="Documents Pending",X373="Vendor Assigned"),"In Progress",IF(X373="Need Loan","Pending Start","—"))))</f>
        <v/>
      </c>
      <c r="Z373">
        <f>IF(A373="","",IF(X373="Disbursed","Disbursed",IF(X373="Sanctioned","Sanctioned - Awaiting Disbursement","Not Disbursed")))</f>
        <v/>
      </c>
      <c r="AA373">
        <f>IF(A373="","",IF(LOWER(TRIM('01_Master_Data'!AI373&amp;""))="yes","Need FLDG",IF(LOWER(TRIM('01_Master_Data'!AK373&amp;""))="yes","Need Vidyalakshmi",IF(LOWER(TRIM('01_Master_Data'!AJ373&amp;""))="yes","Need Review",IF(LOWER(J373)="critical","Critical",IF(LOWER(U373)="risk","Risk Case",IF(X373="Refund","Refund","Normal")))))))</f>
        <v/>
      </c>
      <c r="AB373">
        <f>IF(A373="","",IF(OR(LOWER(J373)="critical",LOWER(TRIM('01_Master_Data'!AI373&amp;""))="yes",LOWER(TRIM('01_Master_Data'!AK373&amp;""))="yes",LOWER(U373)="risk"),"Yes","No"))</f>
        <v/>
      </c>
      <c r="AC373">
        <f>IF(A373="","",IF(LOWER(TRIM('01_Master_Data'!AI373&amp;""))="yes","Yes","No"))</f>
        <v/>
      </c>
      <c r="AD373">
        <f>IF(A373="","",IF(LOWER(TRIM('01_Master_Data'!AK373&amp;""))="yes","Yes","No"))</f>
        <v/>
      </c>
      <c r="AE373">
        <f>IF(A373="","",IF(LOWER(TRIM('01_Master_Data'!AJ373&amp;""))="yes","Yes","No"))</f>
        <v/>
      </c>
      <c r="AF373">
        <f>IF(A373="","",TRIM('01_Master_Data'!AL373&amp;""))</f>
        <v/>
      </c>
      <c r="AG373">
        <f>IF(A373="","",IF(AF373="","—",IF(ISNUMBER(SEARCH("DNP",AF373)),"Unreachable / DNP",IF(ISNUMBER(SEARCH("interest",LOWER(AF373))),"High Interest / Terms",IF(OR(ISNUMBER(SEARCH("eligib",LOWER(AF373))),ISNUMBER(SEARCH("income",LOWER(AF373)))),"Eligibility / Income",IF(OR(ISNUMBER(SEARCH("start",LOWER(AF373))),ISNUMBER(SEARCH("Newer",AF373)),ISNUMBER(SEARCH("Will start",AF373))),"Process Yet to Start",IF(ISNUMBER(SEARCH("sure",LOWER(AF373))),"Undecided",IF(OR(ISNUMBER(SEARCH("reject",LOWER(AF373))),ISNUMBER(SEARCH("SBI",AF373))),"Rejected Elsewhere",IF(ISNUMBER(SEARCH("call",LOWER(AF373))),"Bank Communication",IF(OR(ISNUMBER(SEARCH("father",LOWER(AF373))),ISNUMBER(SEARCH("sister",LOWER(AF373)))),"Family / Dependency","Other"))))))))))</f>
        <v/>
      </c>
      <c r="AH373">
        <f>IF(A373="","",'01_Master_Data'!AC373)</f>
        <v/>
      </c>
      <c r="AI373">
        <f>IF(A373="","",IF(OR(AH373="",NOT(ISNUMBER(AH373))),"",MAX(0,'02_Configuration'!$B$82-AH373)))</f>
        <v/>
      </c>
      <c r="AJ373">
        <f>IF(A373="","",IF(AI373="","Unknown",IF(AI373&lt;=3,"0–3 Days",IF(AI373&lt;=7,"4–7 Days",IF(AI373&lt;=15,"8–15 Days",IF(AI373&lt;=30,"16–30 Days","30+ Days"))))))</f>
        <v/>
      </c>
      <c r="AK373">
        <f>IF(A373="","",IF(LOWER(H373)="yes","Yes","No"))</f>
        <v/>
      </c>
      <c r="AL373">
        <f>IF(A373="","",'01_Master_Data'!T373)</f>
        <v/>
      </c>
      <c r="AM373">
        <f>IF(A373="","",'01_Master_Data'!S373)</f>
        <v/>
      </c>
      <c r="AN373">
        <f>IF(A373="","",'01_Master_Data'!I373)</f>
        <v/>
      </c>
      <c r="AO373">
        <f>IF(A373="","",'01_Master_Data'!M373)</f>
        <v/>
      </c>
      <c r="AP373">
        <f>IF(A373="","",IF(ISNUMBER(SEARCH("Icici",W373&amp;"")),1,0))</f>
        <v/>
      </c>
      <c r="AQ373">
        <f>IF(A373="","",IF(ISNUMBER(SEARCH("Propelld",W373&amp;"")),1,0))</f>
        <v/>
      </c>
      <c r="AR373">
        <f>IF(A373="","",IF(ISNUMBER(SEARCH("GyanDhan",W373&amp;"")),1,0))</f>
        <v/>
      </c>
      <c r="AS373">
        <f>IF(A373="","",IF(ISNUMBER(SEARCH("vidyalakshmi",LOWER(W373&amp;""))),1,0))</f>
        <v/>
      </c>
      <c r="AT373">
        <f>IF(A373="","",IF(ISNUMBER(SEARCH("other bank",LOWER(W373&amp;""))),1,0))</f>
        <v/>
      </c>
      <c r="AU373">
        <f>IF(A373="","",IF(ISNUMBER(SEARCH("sanctioned",LOWER(W373&amp;""))),1,0))</f>
        <v/>
      </c>
      <c r="AV373">
        <f>IF(A373="","",IF(ISNUMBER(SEARCH("Docs Pending",W373&amp;"")),1,0))</f>
        <v/>
      </c>
      <c r="AW373">
        <f>IF(A373="","",IF(OR(X373="Rejected",ISNUMBER(SEARCH("Not eligbile",W373&amp;""))),1,0))</f>
        <v/>
      </c>
    </row>
    <row r="374">
      <c r="A374">
        <f>IF('01_Master_Data'!B374="","",373)</f>
        <v/>
      </c>
      <c r="B374">
        <f>IF('01_Master_Data'!B374="","",IF('01_Master_Data'!C374&lt;&gt;"","MOB|"&amp;TEXT('01_Master_Data'!C374,"0"),IF('01_Master_Data'!D374&lt;&gt;"","PID|"&amp;TRIM('01_Master_Data'!D374&amp;""),"")))</f>
        <v/>
      </c>
      <c r="C374">
        <f>IF('01_Master_Data'!B374="","",'01_Master_Data'!B374)</f>
        <v/>
      </c>
      <c r="D374">
        <f>IF('01_Master_Data'!B374="","",'01_Master_Data'!C374)</f>
        <v/>
      </c>
      <c r="E374">
        <f>IF('01_Master_Data'!B374="","",'01_Master_Data'!D374)</f>
        <v/>
      </c>
      <c r="F374">
        <f>IF('01_Master_Data'!B374="","",'01_Master_Data'!E374)</f>
        <v/>
      </c>
      <c r="G374">
        <f>IF('01_Master_Data'!B374="","",IFERROR(VLOOKUP(TRIM('01_Master_Data'!E374&amp;""),'02_Configuration'!$A$40:$B$44,2,FALSE),UPPER(TRIM('01_Master_Data'!E374&amp;""))))</f>
        <v/>
      </c>
      <c r="H374">
        <f>IF('01_Master_Data'!B374="","",IF('01_Master_Data'!U374="","",TRIM('01_Master_Data'!U374&amp;"")))</f>
        <v/>
      </c>
      <c r="I374">
        <f>IF('01_Master_Data'!B374="","",TRIM('01_Master_Data'!F374&amp;""))</f>
        <v/>
      </c>
      <c r="J374">
        <f>IF('01_Master_Data'!B374="","",TRIM('01_Master_Data'!G374&amp;""))</f>
        <v/>
      </c>
      <c r="K374">
        <f>IF('01_Master_Data'!B374="","",'01_Master_Data'!H374)</f>
        <v/>
      </c>
      <c r="L374">
        <f>IF('01_Master_Data'!B374="","",IF(LOWER(TRIM('01_Master_Data'!V374&amp;""))="yes",1,0))</f>
        <v/>
      </c>
      <c r="M374">
        <f>IF('01_Master_Data'!B374="","",IF(LOWER(TRIM('01_Master_Data'!W374&amp;""))="yes",1,0))</f>
        <v/>
      </c>
      <c r="N374">
        <f>IF('01_Master_Data'!B374="","",IF(LOWER(TRIM('01_Master_Data'!X374&amp;""))="yes",1,0))</f>
        <v/>
      </c>
      <c r="O374">
        <f>IF('01_Master_Data'!B374="","",IF(LOWER(TRIM('01_Master_Data'!Y374&amp;""))="yes",1,0))</f>
        <v/>
      </c>
      <c r="P374">
        <f>IF('01_Master_Data'!B374="","",IF(LOWER(TRIM('01_Master_Data'!Z374&amp;""))="yes",1,0))</f>
        <v/>
      </c>
      <c r="Q374">
        <f>IF(A374="","",L374+M374+N374+O374+P374)</f>
        <v/>
      </c>
      <c r="R374">
        <f>IF(A374="","",IF(Q374&gt;1,"Yes","No"))</f>
        <v/>
      </c>
      <c r="S374">
        <f>IF(A374="","",TEXTJOIN(", ",TRUE,IF(L374=1,"ICICI",""),IF(M374=1,"Propelld",""),IF(N374=1,"Study4Buddy",""),IF(O374=1,"Poonawala Fincorp",""),IF(P374=1,"GyanDhan","")))</f>
        <v/>
      </c>
      <c r="T374">
        <f>IF(A374="","",IF(L374=1,"ICICI",IF(M374=1,"Propelld",IF(P374=1,"GyanDhan",IF(N374=1,"Study4Buddy",IF(O374=1,"Poonawala Fincorp",IF(ISNUMBER(SEARCH("GyanDhan",W374&amp;"")),"GyanDhan",IF(ISNUMBER(SEARCH("Icici",W374&amp;"")),"ICICI",IF(ISNUMBER(SEARCH("Propelld",W374&amp;"")),"Propelld",IF(ISNUMBER(SEARCH("vidyalakshmi",LOWER(W374&amp;"")),"PM Vidyalakshmi","—"))))))))))</f>
        <v/>
      </c>
      <c r="U374">
        <f>IF(A374="","",TRIM('01_Master_Data'!AA374&amp;""))</f>
        <v/>
      </c>
      <c r="V374">
        <f>IF(A374="","",TRIM('01_Master_Data'!AG374&amp;""))</f>
        <v/>
      </c>
      <c r="W374">
        <f>IF(A374="","",TRIM('01_Master_Data'!AH374&amp;""))</f>
        <v/>
      </c>
      <c r="X374">
        <f>IF(A374="","",IF(OR(LOWER(H374)="refund",LOWER(U374)="refund case"),"Refund",IF(OR(LOWER(H374)="dnp",LOWER(U374)="dnp"),"DNP",IF(OR(LOWER(V374)="disbursed",ISNUMBER(SEARCH("Disbursed",W374&amp;""))),"Disbursed",IF(OR(LOWER(V374)="loan proccessed/accepted",ISNUMBER(SEARCH("sanctioned",LOWER(W374&amp;"")))),"Sanctioned",IF(OR(LOWER(V374)="rejected",ISNUMBER(SEARCH("Not eligbile",W374&amp;"")),ISNUMBER(SEARCH("Not eligible",W374&amp;""))),"Rejected",IF(ISNUMBER(SEARCH("Docs Pending",W374&amp;"")),"Documents Pending",IF(AND(LOWER(H374)="yes",LOWER(V374)="ongoing"),"Processing",IF(AND(LOWER(H374)="yes",Q374&gt;0,OR(V374="",LOWER(V374)="not even started")),"Vendor Assigned",IF(AND(LOWER(H374)="yes",LOWER(V374)="not even started"),"Need Loan",IF(LOWER(H374)="yes","Loan Started",IF(LOWER(H374)="not sure","Interested",IF(OR(LOWER(H374)="no",LOWER(V374)="not required"),"Not Required","Unclassified")))))))))))))</f>
        <v/>
      </c>
      <c r="Y374">
        <f>IF(A374="","",IF(OR(X374="Sanctioned",X374="Disbursed",X374="Approved"),"Approved",IF(X374="Rejected","Rejected",IF(OR(X374="Processing",X374="Documents Pending",X374="Vendor Assigned"),"In Progress",IF(X374="Need Loan","Pending Start","—"))))</f>
        <v/>
      </c>
      <c r="Z374">
        <f>IF(A374="","",IF(X374="Disbursed","Disbursed",IF(X374="Sanctioned","Sanctioned - Awaiting Disbursement","Not Disbursed")))</f>
        <v/>
      </c>
      <c r="AA374">
        <f>IF(A374="","",IF(LOWER(TRIM('01_Master_Data'!AI374&amp;""))="yes","Need FLDG",IF(LOWER(TRIM('01_Master_Data'!AK374&amp;""))="yes","Need Vidyalakshmi",IF(LOWER(TRIM('01_Master_Data'!AJ374&amp;""))="yes","Need Review",IF(LOWER(J374)="critical","Critical",IF(LOWER(U374)="risk","Risk Case",IF(X374="Refund","Refund","Normal")))))))</f>
        <v/>
      </c>
      <c r="AB374">
        <f>IF(A374="","",IF(OR(LOWER(J374)="critical",LOWER(TRIM('01_Master_Data'!AI374&amp;""))="yes",LOWER(TRIM('01_Master_Data'!AK374&amp;""))="yes",LOWER(U374)="risk"),"Yes","No"))</f>
        <v/>
      </c>
      <c r="AC374">
        <f>IF(A374="","",IF(LOWER(TRIM('01_Master_Data'!AI374&amp;""))="yes","Yes","No"))</f>
        <v/>
      </c>
      <c r="AD374">
        <f>IF(A374="","",IF(LOWER(TRIM('01_Master_Data'!AK374&amp;""))="yes","Yes","No"))</f>
        <v/>
      </c>
      <c r="AE374">
        <f>IF(A374="","",IF(LOWER(TRIM('01_Master_Data'!AJ374&amp;""))="yes","Yes","No"))</f>
        <v/>
      </c>
      <c r="AF374">
        <f>IF(A374="","",TRIM('01_Master_Data'!AL374&amp;""))</f>
        <v/>
      </c>
      <c r="AG374">
        <f>IF(A374="","",IF(AF374="","—",IF(ISNUMBER(SEARCH("DNP",AF374)),"Unreachable / DNP",IF(ISNUMBER(SEARCH("interest",LOWER(AF374))),"High Interest / Terms",IF(OR(ISNUMBER(SEARCH("eligib",LOWER(AF374))),ISNUMBER(SEARCH("income",LOWER(AF374)))),"Eligibility / Income",IF(OR(ISNUMBER(SEARCH("start",LOWER(AF374))),ISNUMBER(SEARCH("Newer",AF374)),ISNUMBER(SEARCH("Will start",AF374))),"Process Yet to Start",IF(ISNUMBER(SEARCH("sure",LOWER(AF374))),"Undecided",IF(OR(ISNUMBER(SEARCH("reject",LOWER(AF374))),ISNUMBER(SEARCH("SBI",AF374))),"Rejected Elsewhere",IF(ISNUMBER(SEARCH("call",LOWER(AF374))),"Bank Communication",IF(OR(ISNUMBER(SEARCH("father",LOWER(AF374))),ISNUMBER(SEARCH("sister",LOWER(AF374)))),"Family / Dependency","Other"))))))))))</f>
        <v/>
      </c>
      <c r="AH374">
        <f>IF(A374="","",'01_Master_Data'!AC374)</f>
        <v/>
      </c>
      <c r="AI374">
        <f>IF(A374="","",IF(OR(AH374="",NOT(ISNUMBER(AH374))),"",MAX(0,'02_Configuration'!$B$82-AH374)))</f>
        <v/>
      </c>
      <c r="AJ374">
        <f>IF(A374="","",IF(AI374="","Unknown",IF(AI374&lt;=3,"0–3 Days",IF(AI374&lt;=7,"4–7 Days",IF(AI374&lt;=15,"8–15 Days",IF(AI374&lt;=30,"16–30 Days","30+ Days"))))))</f>
        <v/>
      </c>
      <c r="AK374">
        <f>IF(A374="","",IF(LOWER(H374)="yes","Yes","No"))</f>
        <v/>
      </c>
      <c r="AL374">
        <f>IF(A374="","",'01_Master_Data'!T374)</f>
        <v/>
      </c>
      <c r="AM374">
        <f>IF(A374="","",'01_Master_Data'!S374)</f>
        <v/>
      </c>
      <c r="AN374">
        <f>IF(A374="","",'01_Master_Data'!I374)</f>
        <v/>
      </c>
      <c r="AO374">
        <f>IF(A374="","",'01_Master_Data'!M374)</f>
        <v/>
      </c>
      <c r="AP374">
        <f>IF(A374="","",IF(ISNUMBER(SEARCH("Icici",W374&amp;"")),1,0))</f>
        <v/>
      </c>
      <c r="AQ374">
        <f>IF(A374="","",IF(ISNUMBER(SEARCH("Propelld",W374&amp;"")),1,0))</f>
        <v/>
      </c>
      <c r="AR374">
        <f>IF(A374="","",IF(ISNUMBER(SEARCH("GyanDhan",W374&amp;"")),1,0))</f>
        <v/>
      </c>
      <c r="AS374">
        <f>IF(A374="","",IF(ISNUMBER(SEARCH("vidyalakshmi",LOWER(W374&amp;""))),1,0))</f>
        <v/>
      </c>
      <c r="AT374">
        <f>IF(A374="","",IF(ISNUMBER(SEARCH("other bank",LOWER(W374&amp;""))),1,0))</f>
        <v/>
      </c>
      <c r="AU374">
        <f>IF(A374="","",IF(ISNUMBER(SEARCH("sanctioned",LOWER(W374&amp;""))),1,0))</f>
        <v/>
      </c>
      <c r="AV374">
        <f>IF(A374="","",IF(ISNUMBER(SEARCH("Docs Pending",W374&amp;"")),1,0))</f>
        <v/>
      </c>
      <c r="AW374">
        <f>IF(A374="","",IF(OR(X374="Rejected",ISNUMBER(SEARCH("Not eligbile",W374&amp;""))),1,0))</f>
        <v/>
      </c>
    </row>
    <row r="375">
      <c r="A375">
        <f>IF('01_Master_Data'!B375="","",374)</f>
        <v/>
      </c>
      <c r="B375">
        <f>IF('01_Master_Data'!B375="","",IF('01_Master_Data'!C375&lt;&gt;"","MOB|"&amp;TEXT('01_Master_Data'!C375,"0"),IF('01_Master_Data'!D375&lt;&gt;"","PID|"&amp;TRIM('01_Master_Data'!D375&amp;""),"")))</f>
        <v/>
      </c>
      <c r="C375">
        <f>IF('01_Master_Data'!B375="","",'01_Master_Data'!B375)</f>
        <v/>
      </c>
      <c r="D375">
        <f>IF('01_Master_Data'!B375="","",'01_Master_Data'!C375)</f>
        <v/>
      </c>
      <c r="E375">
        <f>IF('01_Master_Data'!B375="","",'01_Master_Data'!D375)</f>
        <v/>
      </c>
      <c r="F375">
        <f>IF('01_Master_Data'!B375="","",'01_Master_Data'!E375)</f>
        <v/>
      </c>
      <c r="G375">
        <f>IF('01_Master_Data'!B375="","",IFERROR(VLOOKUP(TRIM('01_Master_Data'!E375&amp;""),'02_Configuration'!$A$40:$B$44,2,FALSE),UPPER(TRIM('01_Master_Data'!E375&amp;""))))</f>
        <v/>
      </c>
      <c r="H375">
        <f>IF('01_Master_Data'!B375="","",IF('01_Master_Data'!U375="","",TRIM('01_Master_Data'!U375&amp;"")))</f>
        <v/>
      </c>
      <c r="I375">
        <f>IF('01_Master_Data'!B375="","",TRIM('01_Master_Data'!F375&amp;""))</f>
        <v/>
      </c>
      <c r="J375">
        <f>IF('01_Master_Data'!B375="","",TRIM('01_Master_Data'!G375&amp;""))</f>
        <v/>
      </c>
      <c r="K375">
        <f>IF('01_Master_Data'!B375="","",'01_Master_Data'!H375)</f>
        <v/>
      </c>
      <c r="L375">
        <f>IF('01_Master_Data'!B375="","",IF(LOWER(TRIM('01_Master_Data'!V375&amp;""))="yes",1,0))</f>
        <v/>
      </c>
      <c r="M375">
        <f>IF('01_Master_Data'!B375="","",IF(LOWER(TRIM('01_Master_Data'!W375&amp;""))="yes",1,0))</f>
        <v/>
      </c>
      <c r="N375">
        <f>IF('01_Master_Data'!B375="","",IF(LOWER(TRIM('01_Master_Data'!X375&amp;""))="yes",1,0))</f>
        <v/>
      </c>
      <c r="O375">
        <f>IF('01_Master_Data'!B375="","",IF(LOWER(TRIM('01_Master_Data'!Y375&amp;""))="yes",1,0))</f>
        <v/>
      </c>
      <c r="P375">
        <f>IF('01_Master_Data'!B375="","",IF(LOWER(TRIM('01_Master_Data'!Z375&amp;""))="yes",1,0))</f>
        <v/>
      </c>
      <c r="Q375">
        <f>IF(A375="","",L375+M375+N375+O375+P375)</f>
        <v/>
      </c>
      <c r="R375">
        <f>IF(A375="","",IF(Q375&gt;1,"Yes","No"))</f>
        <v/>
      </c>
      <c r="S375">
        <f>IF(A375="","",TEXTJOIN(", ",TRUE,IF(L375=1,"ICICI",""),IF(M375=1,"Propelld",""),IF(N375=1,"Study4Buddy",""),IF(O375=1,"Poonawala Fincorp",""),IF(P375=1,"GyanDhan","")))</f>
        <v/>
      </c>
      <c r="T375">
        <f>IF(A375="","",IF(L375=1,"ICICI",IF(M375=1,"Propelld",IF(P375=1,"GyanDhan",IF(N375=1,"Study4Buddy",IF(O375=1,"Poonawala Fincorp",IF(ISNUMBER(SEARCH("GyanDhan",W375&amp;"")),"GyanDhan",IF(ISNUMBER(SEARCH("Icici",W375&amp;"")),"ICICI",IF(ISNUMBER(SEARCH("Propelld",W375&amp;"")),"Propelld",IF(ISNUMBER(SEARCH("vidyalakshmi",LOWER(W375&amp;"")),"PM Vidyalakshmi","—"))))))))))</f>
        <v/>
      </c>
      <c r="U375">
        <f>IF(A375="","",TRIM('01_Master_Data'!AA375&amp;""))</f>
        <v/>
      </c>
      <c r="V375">
        <f>IF(A375="","",TRIM('01_Master_Data'!AG375&amp;""))</f>
        <v/>
      </c>
      <c r="W375">
        <f>IF(A375="","",TRIM('01_Master_Data'!AH375&amp;""))</f>
        <v/>
      </c>
      <c r="X375">
        <f>IF(A375="","",IF(OR(LOWER(H375)="refund",LOWER(U375)="refund case"),"Refund",IF(OR(LOWER(H375)="dnp",LOWER(U375)="dnp"),"DNP",IF(OR(LOWER(V375)="disbursed",ISNUMBER(SEARCH("Disbursed",W375&amp;""))),"Disbursed",IF(OR(LOWER(V375)="loan proccessed/accepted",ISNUMBER(SEARCH("sanctioned",LOWER(W375&amp;"")))),"Sanctioned",IF(OR(LOWER(V375)="rejected",ISNUMBER(SEARCH("Not eligbile",W375&amp;"")),ISNUMBER(SEARCH("Not eligible",W375&amp;""))),"Rejected",IF(ISNUMBER(SEARCH("Docs Pending",W375&amp;"")),"Documents Pending",IF(AND(LOWER(H375)="yes",LOWER(V375)="ongoing"),"Processing",IF(AND(LOWER(H375)="yes",Q375&gt;0,OR(V375="",LOWER(V375)="not even started")),"Vendor Assigned",IF(AND(LOWER(H375)="yes",LOWER(V375)="not even started"),"Need Loan",IF(LOWER(H375)="yes","Loan Started",IF(LOWER(H375)="not sure","Interested",IF(OR(LOWER(H375)="no",LOWER(V375)="not required"),"Not Required","Unclassified")))))))))))))</f>
        <v/>
      </c>
      <c r="Y375">
        <f>IF(A375="","",IF(OR(X375="Sanctioned",X375="Disbursed",X375="Approved"),"Approved",IF(X375="Rejected","Rejected",IF(OR(X375="Processing",X375="Documents Pending",X375="Vendor Assigned"),"In Progress",IF(X375="Need Loan","Pending Start","—"))))</f>
        <v/>
      </c>
      <c r="Z375">
        <f>IF(A375="","",IF(X375="Disbursed","Disbursed",IF(X375="Sanctioned","Sanctioned - Awaiting Disbursement","Not Disbursed")))</f>
        <v/>
      </c>
      <c r="AA375">
        <f>IF(A375="","",IF(LOWER(TRIM('01_Master_Data'!AI375&amp;""))="yes","Need FLDG",IF(LOWER(TRIM('01_Master_Data'!AK375&amp;""))="yes","Need Vidyalakshmi",IF(LOWER(TRIM('01_Master_Data'!AJ375&amp;""))="yes","Need Review",IF(LOWER(J375)="critical","Critical",IF(LOWER(U375)="risk","Risk Case",IF(X375="Refund","Refund","Normal")))))))</f>
        <v/>
      </c>
      <c r="AB375">
        <f>IF(A375="","",IF(OR(LOWER(J375)="critical",LOWER(TRIM('01_Master_Data'!AI375&amp;""))="yes",LOWER(TRIM('01_Master_Data'!AK375&amp;""))="yes",LOWER(U375)="risk"),"Yes","No"))</f>
        <v/>
      </c>
      <c r="AC375">
        <f>IF(A375="","",IF(LOWER(TRIM('01_Master_Data'!AI375&amp;""))="yes","Yes","No"))</f>
        <v/>
      </c>
      <c r="AD375">
        <f>IF(A375="","",IF(LOWER(TRIM('01_Master_Data'!AK375&amp;""))="yes","Yes","No"))</f>
        <v/>
      </c>
      <c r="AE375">
        <f>IF(A375="","",IF(LOWER(TRIM('01_Master_Data'!AJ375&amp;""))="yes","Yes","No"))</f>
        <v/>
      </c>
      <c r="AF375">
        <f>IF(A375="","",TRIM('01_Master_Data'!AL375&amp;""))</f>
        <v/>
      </c>
      <c r="AG375">
        <f>IF(A375="","",IF(AF375="","—",IF(ISNUMBER(SEARCH("DNP",AF375)),"Unreachable / DNP",IF(ISNUMBER(SEARCH("interest",LOWER(AF375))),"High Interest / Terms",IF(OR(ISNUMBER(SEARCH("eligib",LOWER(AF375))),ISNUMBER(SEARCH("income",LOWER(AF375)))),"Eligibility / Income",IF(OR(ISNUMBER(SEARCH("start",LOWER(AF375))),ISNUMBER(SEARCH("Newer",AF375)),ISNUMBER(SEARCH("Will start",AF375))),"Process Yet to Start",IF(ISNUMBER(SEARCH("sure",LOWER(AF375))),"Undecided",IF(OR(ISNUMBER(SEARCH("reject",LOWER(AF375))),ISNUMBER(SEARCH("SBI",AF375))),"Rejected Elsewhere",IF(ISNUMBER(SEARCH("call",LOWER(AF375))),"Bank Communication",IF(OR(ISNUMBER(SEARCH("father",LOWER(AF375))),ISNUMBER(SEARCH("sister",LOWER(AF375)))),"Family / Dependency","Other"))))))))))</f>
        <v/>
      </c>
      <c r="AH375">
        <f>IF(A375="","",'01_Master_Data'!AC375)</f>
        <v/>
      </c>
      <c r="AI375">
        <f>IF(A375="","",IF(OR(AH375="",NOT(ISNUMBER(AH375))),"",MAX(0,'02_Configuration'!$B$82-AH375)))</f>
        <v/>
      </c>
      <c r="AJ375">
        <f>IF(A375="","",IF(AI375="","Unknown",IF(AI375&lt;=3,"0–3 Days",IF(AI375&lt;=7,"4–7 Days",IF(AI375&lt;=15,"8–15 Days",IF(AI375&lt;=30,"16–30 Days","30+ Days"))))))</f>
        <v/>
      </c>
      <c r="AK375">
        <f>IF(A375="","",IF(LOWER(H375)="yes","Yes","No"))</f>
        <v/>
      </c>
      <c r="AL375">
        <f>IF(A375="","",'01_Master_Data'!T375)</f>
        <v/>
      </c>
      <c r="AM375">
        <f>IF(A375="","",'01_Master_Data'!S375)</f>
        <v/>
      </c>
      <c r="AN375">
        <f>IF(A375="","",'01_Master_Data'!I375)</f>
        <v/>
      </c>
      <c r="AO375">
        <f>IF(A375="","",'01_Master_Data'!M375)</f>
        <v/>
      </c>
      <c r="AP375">
        <f>IF(A375="","",IF(ISNUMBER(SEARCH("Icici",W375&amp;"")),1,0))</f>
        <v/>
      </c>
      <c r="AQ375">
        <f>IF(A375="","",IF(ISNUMBER(SEARCH("Propelld",W375&amp;"")),1,0))</f>
        <v/>
      </c>
      <c r="AR375">
        <f>IF(A375="","",IF(ISNUMBER(SEARCH("GyanDhan",W375&amp;"")),1,0))</f>
        <v/>
      </c>
      <c r="AS375">
        <f>IF(A375="","",IF(ISNUMBER(SEARCH("vidyalakshmi",LOWER(W375&amp;""))),1,0))</f>
        <v/>
      </c>
      <c r="AT375">
        <f>IF(A375="","",IF(ISNUMBER(SEARCH("other bank",LOWER(W375&amp;""))),1,0))</f>
        <v/>
      </c>
      <c r="AU375">
        <f>IF(A375="","",IF(ISNUMBER(SEARCH("sanctioned",LOWER(W375&amp;""))),1,0))</f>
        <v/>
      </c>
      <c r="AV375">
        <f>IF(A375="","",IF(ISNUMBER(SEARCH("Docs Pending",W375&amp;"")),1,0))</f>
        <v/>
      </c>
      <c r="AW375">
        <f>IF(A375="","",IF(OR(X375="Rejected",ISNUMBER(SEARCH("Not eligbile",W375&amp;""))),1,0))</f>
        <v/>
      </c>
    </row>
    <row r="376">
      <c r="A376">
        <f>IF('01_Master_Data'!B376="","",375)</f>
        <v/>
      </c>
      <c r="B376">
        <f>IF('01_Master_Data'!B376="","",IF('01_Master_Data'!C376&lt;&gt;"","MOB|"&amp;TEXT('01_Master_Data'!C376,"0"),IF('01_Master_Data'!D376&lt;&gt;"","PID|"&amp;TRIM('01_Master_Data'!D376&amp;""),"")))</f>
        <v/>
      </c>
      <c r="C376">
        <f>IF('01_Master_Data'!B376="","",'01_Master_Data'!B376)</f>
        <v/>
      </c>
      <c r="D376">
        <f>IF('01_Master_Data'!B376="","",'01_Master_Data'!C376)</f>
        <v/>
      </c>
      <c r="E376">
        <f>IF('01_Master_Data'!B376="","",'01_Master_Data'!D376)</f>
        <v/>
      </c>
      <c r="F376">
        <f>IF('01_Master_Data'!B376="","",'01_Master_Data'!E376)</f>
        <v/>
      </c>
      <c r="G376">
        <f>IF('01_Master_Data'!B376="","",IFERROR(VLOOKUP(TRIM('01_Master_Data'!E376&amp;""),'02_Configuration'!$A$40:$B$44,2,FALSE),UPPER(TRIM('01_Master_Data'!E376&amp;""))))</f>
        <v/>
      </c>
      <c r="H376">
        <f>IF('01_Master_Data'!B376="","",IF('01_Master_Data'!U376="","",TRIM('01_Master_Data'!U376&amp;"")))</f>
        <v/>
      </c>
      <c r="I376">
        <f>IF('01_Master_Data'!B376="","",TRIM('01_Master_Data'!F376&amp;""))</f>
        <v/>
      </c>
      <c r="J376">
        <f>IF('01_Master_Data'!B376="","",TRIM('01_Master_Data'!G376&amp;""))</f>
        <v/>
      </c>
      <c r="K376">
        <f>IF('01_Master_Data'!B376="","",'01_Master_Data'!H376)</f>
        <v/>
      </c>
      <c r="L376">
        <f>IF('01_Master_Data'!B376="","",IF(LOWER(TRIM('01_Master_Data'!V376&amp;""))="yes",1,0))</f>
        <v/>
      </c>
      <c r="M376">
        <f>IF('01_Master_Data'!B376="","",IF(LOWER(TRIM('01_Master_Data'!W376&amp;""))="yes",1,0))</f>
        <v/>
      </c>
      <c r="N376">
        <f>IF('01_Master_Data'!B376="","",IF(LOWER(TRIM('01_Master_Data'!X376&amp;""))="yes",1,0))</f>
        <v/>
      </c>
      <c r="O376">
        <f>IF('01_Master_Data'!B376="","",IF(LOWER(TRIM('01_Master_Data'!Y376&amp;""))="yes",1,0))</f>
        <v/>
      </c>
      <c r="P376">
        <f>IF('01_Master_Data'!B376="","",IF(LOWER(TRIM('01_Master_Data'!Z376&amp;""))="yes",1,0))</f>
        <v/>
      </c>
      <c r="Q376">
        <f>IF(A376="","",L376+M376+N376+O376+P376)</f>
        <v/>
      </c>
      <c r="R376">
        <f>IF(A376="","",IF(Q376&gt;1,"Yes","No"))</f>
        <v/>
      </c>
      <c r="S376">
        <f>IF(A376="","",TEXTJOIN(", ",TRUE,IF(L376=1,"ICICI",""),IF(M376=1,"Propelld",""),IF(N376=1,"Study4Buddy",""),IF(O376=1,"Poonawala Fincorp",""),IF(P376=1,"GyanDhan","")))</f>
        <v/>
      </c>
      <c r="T376">
        <f>IF(A376="","",IF(L376=1,"ICICI",IF(M376=1,"Propelld",IF(P376=1,"GyanDhan",IF(N376=1,"Study4Buddy",IF(O376=1,"Poonawala Fincorp",IF(ISNUMBER(SEARCH("GyanDhan",W376&amp;"")),"GyanDhan",IF(ISNUMBER(SEARCH("Icici",W376&amp;"")),"ICICI",IF(ISNUMBER(SEARCH("Propelld",W376&amp;"")),"Propelld",IF(ISNUMBER(SEARCH("vidyalakshmi",LOWER(W376&amp;"")),"PM Vidyalakshmi","—"))))))))))</f>
        <v/>
      </c>
      <c r="U376">
        <f>IF(A376="","",TRIM('01_Master_Data'!AA376&amp;""))</f>
        <v/>
      </c>
      <c r="V376">
        <f>IF(A376="","",TRIM('01_Master_Data'!AG376&amp;""))</f>
        <v/>
      </c>
      <c r="W376">
        <f>IF(A376="","",TRIM('01_Master_Data'!AH376&amp;""))</f>
        <v/>
      </c>
      <c r="X376">
        <f>IF(A376="","",IF(OR(LOWER(H376)="refund",LOWER(U376)="refund case"),"Refund",IF(OR(LOWER(H376)="dnp",LOWER(U376)="dnp"),"DNP",IF(OR(LOWER(V376)="disbursed",ISNUMBER(SEARCH("Disbursed",W376&amp;""))),"Disbursed",IF(OR(LOWER(V376)="loan proccessed/accepted",ISNUMBER(SEARCH("sanctioned",LOWER(W376&amp;"")))),"Sanctioned",IF(OR(LOWER(V376)="rejected",ISNUMBER(SEARCH("Not eligbile",W376&amp;"")),ISNUMBER(SEARCH("Not eligible",W376&amp;""))),"Rejected",IF(ISNUMBER(SEARCH("Docs Pending",W376&amp;"")),"Documents Pending",IF(AND(LOWER(H376)="yes",LOWER(V376)="ongoing"),"Processing",IF(AND(LOWER(H376)="yes",Q376&gt;0,OR(V376="",LOWER(V376)="not even started")),"Vendor Assigned",IF(AND(LOWER(H376)="yes",LOWER(V376)="not even started"),"Need Loan",IF(LOWER(H376)="yes","Loan Started",IF(LOWER(H376)="not sure","Interested",IF(OR(LOWER(H376)="no",LOWER(V376)="not required"),"Not Required","Unclassified")))))))))))))</f>
        <v/>
      </c>
      <c r="Y376">
        <f>IF(A376="","",IF(OR(X376="Sanctioned",X376="Disbursed",X376="Approved"),"Approved",IF(X376="Rejected","Rejected",IF(OR(X376="Processing",X376="Documents Pending",X376="Vendor Assigned"),"In Progress",IF(X376="Need Loan","Pending Start","—"))))</f>
        <v/>
      </c>
      <c r="Z376">
        <f>IF(A376="","",IF(X376="Disbursed","Disbursed",IF(X376="Sanctioned","Sanctioned - Awaiting Disbursement","Not Disbursed")))</f>
        <v/>
      </c>
      <c r="AA376">
        <f>IF(A376="","",IF(LOWER(TRIM('01_Master_Data'!AI376&amp;""))="yes","Need FLDG",IF(LOWER(TRIM('01_Master_Data'!AK376&amp;""))="yes","Need Vidyalakshmi",IF(LOWER(TRIM('01_Master_Data'!AJ376&amp;""))="yes","Need Review",IF(LOWER(J376)="critical","Critical",IF(LOWER(U376)="risk","Risk Case",IF(X376="Refund","Refund","Normal")))))))</f>
        <v/>
      </c>
      <c r="AB376">
        <f>IF(A376="","",IF(OR(LOWER(J376)="critical",LOWER(TRIM('01_Master_Data'!AI376&amp;""))="yes",LOWER(TRIM('01_Master_Data'!AK376&amp;""))="yes",LOWER(U376)="risk"),"Yes","No"))</f>
        <v/>
      </c>
      <c r="AC376">
        <f>IF(A376="","",IF(LOWER(TRIM('01_Master_Data'!AI376&amp;""))="yes","Yes","No"))</f>
        <v/>
      </c>
      <c r="AD376">
        <f>IF(A376="","",IF(LOWER(TRIM('01_Master_Data'!AK376&amp;""))="yes","Yes","No"))</f>
        <v/>
      </c>
      <c r="AE376">
        <f>IF(A376="","",IF(LOWER(TRIM('01_Master_Data'!AJ376&amp;""))="yes","Yes","No"))</f>
        <v/>
      </c>
      <c r="AF376">
        <f>IF(A376="","",TRIM('01_Master_Data'!AL376&amp;""))</f>
        <v/>
      </c>
      <c r="AG376">
        <f>IF(A376="","",IF(AF376="","—",IF(ISNUMBER(SEARCH("DNP",AF376)),"Unreachable / DNP",IF(ISNUMBER(SEARCH("interest",LOWER(AF376))),"High Interest / Terms",IF(OR(ISNUMBER(SEARCH("eligib",LOWER(AF376))),ISNUMBER(SEARCH("income",LOWER(AF376)))),"Eligibility / Income",IF(OR(ISNUMBER(SEARCH("start",LOWER(AF376))),ISNUMBER(SEARCH("Newer",AF376)),ISNUMBER(SEARCH("Will start",AF376))),"Process Yet to Start",IF(ISNUMBER(SEARCH("sure",LOWER(AF376))),"Undecided",IF(OR(ISNUMBER(SEARCH("reject",LOWER(AF376))),ISNUMBER(SEARCH("SBI",AF376))),"Rejected Elsewhere",IF(ISNUMBER(SEARCH("call",LOWER(AF376))),"Bank Communication",IF(OR(ISNUMBER(SEARCH("father",LOWER(AF376))),ISNUMBER(SEARCH("sister",LOWER(AF376)))),"Family / Dependency","Other"))))))))))</f>
        <v/>
      </c>
      <c r="AH376">
        <f>IF(A376="","",'01_Master_Data'!AC376)</f>
        <v/>
      </c>
      <c r="AI376">
        <f>IF(A376="","",IF(OR(AH376="",NOT(ISNUMBER(AH376))),"",MAX(0,'02_Configuration'!$B$82-AH376)))</f>
        <v/>
      </c>
      <c r="AJ376">
        <f>IF(A376="","",IF(AI376="","Unknown",IF(AI376&lt;=3,"0–3 Days",IF(AI376&lt;=7,"4–7 Days",IF(AI376&lt;=15,"8–15 Days",IF(AI376&lt;=30,"16–30 Days","30+ Days"))))))</f>
        <v/>
      </c>
      <c r="AK376">
        <f>IF(A376="","",IF(LOWER(H376)="yes","Yes","No"))</f>
        <v/>
      </c>
      <c r="AL376">
        <f>IF(A376="","",'01_Master_Data'!T376)</f>
        <v/>
      </c>
      <c r="AM376">
        <f>IF(A376="","",'01_Master_Data'!S376)</f>
        <v/>
      </c>
      <c r="AN376">
        <f>IF(A376="","",'01_Master_Data'!I376)</f>
        <v/>
      </c>
      <c r="AO376">
        <f>IF(A376="","",'01_Master_Data'!M376)</f>
        <v/>
      </c>
      <c r="AP376">
        <f>IF(A376="","",IF(ISNUMBER(SEARCH("Icici",W376&amp;"")),1,0))</f>
        <v/>
      </c>
      <c r="AQ376">
        <f>IF(A376="","",IF(ISNUMBER(SEARCH("Propelld",W376&amp;"")),1,0))</f>
        <v/>
      </c>
      <c r="AR376">
        <f>IF(A376="","",IF(ISNUMBER(SEARCH("GyanDhan",W376&amp;"")),1,0))</f>
        <v/>
      </c>
      <c r="AS376">
        <f>IF(A376="","",IF(ISNUMBER(SEARCH("vidyalakshmi",LOWER(W376&amp;""))),1,0))</f>
        <v/>
      </c>
      <c r="AT376">
        <f>IF(A376="","",IF(ISNUMBER(SEARCH("other bank",LOWER(W376&amp;""))),1,0))</f>
        <v/>
      </c>
      <c r="AU376">
        <f>IF(A376="","",IF(ISNUMBER(SEARCH("sanctioned",LOWER(W376&amp;""))),1,0))</f>
        <v/>
      </c>
      <c r="AV376">
        <f>IF(A376="","",IF(ISNUMBER(SEARCH("Docs Pending",W376&amp;"")),1,0))</f>
        <v/>
      </c>
      <c r="AW376">
        <f>IF(A376="","",IF(OR(X376="Rejected",ISNUMBER(SEARCH("Not eligbile",W376&amp;""))),1,0))</f>
        <v/>
      </c>
    </row>
    <row r="377">
      <c r="A377">
        <f>IF('01_Master_Data'!B377="","",376)</f>
        <v/>
      </c>
      <c r="B377">
        <f>IF('01_Master_Data'!B377="","",IF('01_Master_Data'!C377&lt;&gt;"","MOB|"&amp;TEXT('01_Master_Data'!C377,"0"),IF('01_Master_Data'!D377&lt;&gt;"","PID|"&amp;TRIM('01_Master_Data'!D377&amp;""),"")))</f>
        <v/>
      </c>
      <c r="C377">
        <f>IF('01_Master_Data'!B377="","",'01_Master_Data'!B377)</f>
        <v/>
      </c>
      <c r="D377">
        <f>IF('01_Master_Data'!B377="","",'01_Master_Data'!C377)</f>
        <v/>
      </c>
      <c r="E377">
        <f>IF('01_Master_Data'!B377="","",'01_Master_Data'!D377)</f>
        <v/>
      </c>
      <c r="F377">
        <f>IF('01_Master_Data'!B377="","",'01_Master_Data'!E377)</f>
        <v/>
      </c>
      <c r="G377">
        <f>IF('01_Master_Data'!B377="","",IFERROR(VLOOKUP(TRIM('01_Master_Data'!E377&amp;""),'02_Configuration'!$A$40:$B$44,2,FALSE),UPPER(TRIM('01_Master_Data'!E377&amp;""))))</f>
        <v/>
      </c>
      <c r="H377">
        <f>IF('01_Master_Data'!B377="","",IF('01_Master_Data'!U377="","",TRIM('01_Master_Data'!U377&amp;"")))</f>
        <v/>
      </c>
      <c r="I377">
        <f>IF('01_Master_Data'!B377="","",TRIM('01_Master_Data'!F377&amp;""))</f>
        <v/>
      </c>
      <c r="J377">
        <f>IF('01_Master_Data'!B377="","",TRIM('01_Master_Data'!G377&amp;""))</f>
        <v/>
      </c>
      <c r="K377">
        <f>IF('01_Master_Data'!B377="","",'01_Master_Data'!H377)</f>
        <v/>
      </c>
      <c r="L377">
        <f>IF('01_Master_Data'!B377="","",IF(LOWER(TRIM('01_Master_Data'!V377&amp;""))="yes",1,0))</f>
        <v/>
      </c>
      <c r="M377">
        <f>IF('01_Master_Data'!B377="","",IF(LOWER(TRIM('01_Master_Data'!W377&amp;""))="yes",1,0))</f>
        <v/>
      </c>
      <c r="N377">
        <f>IF('01_Master_Data'!B377="","",IF(LOWER(TRIM('01_Master_Data'!X377&amp;""))="yes",1,0))</f>
        <v/>
      </c>
      <c r="O377">
        <f>IF('01_Master_Data'!B377="","",IF(LOWER(TRIM('01_Master_Data'!Y377&amp;""))="yes",1,0))</f>
        <v/>
      </c>
      <c r="P377">
        <f>IF('01_Master_Data'!B377="","",IF(LOWER(TRIM('01_Master_Data'!Z377&amp;""))="yes",1,0))</f>
        <v/>
      </c>
      <c r="Q377">
        <f>IF(A377="","",L377+M377+N377+O377+P377)</f>
        <v/>
      </c>
      <c r="R377">
        <f>IF(A377="","",IF(Q377&gt;1,"Yes","No"))</f>
        <v/>
      </c>
      <c r="S377">
        <f>IF(A377="","",TEXTJOIN(", ",TRUE,IF(L377=1,"ICICI",""),IF(M377=1,"Propelld",""),IF(N377=1,"Study4Buddy",""),IF(O377=1,"Poonawala Fincorp",""),IF(P377=1,"GyanDhan","")))</f>
        <v/>
      </c>
      <c r="T377">
        <f>IF(A377="","",IF(L377=1,"ICICI",IF(M377=1,"Propelld",IF(P377=1,"GyanDhan",IF(N377=1,"Study4Buddy",IF(O377=1,"Poonawala Fincorp",IF(ISNUMBER(SEARCH("GyanDhan",W377&amp;"")),"GyanDhan",IF(ISNUMBER(SEARCH("Icici",W377&amp;"")),"ICICI",IF(ISNUMBER(SEARCH("Propelld",W377&amp;"")),"Propelld",IF(ISNUMBER(SEARCH("vidyalakshmi",LOWER(W377&amp;"")),"PM Vidyalakshmi","—"))))))))))</f>
        <v/>
      </c>
      <c r="U377">
        <f>IF(A377="","",TRIM('01_Master_Data'!AA377&amp;""))</f>
        <v/>
      </c>
      <c r="V377">
        <f>IF(A377="","",TRIM('01_Master_Data'!AG377&amp;""))</f>
        <v/>
      </c>
      <c r="W377">
        <f>IF(A377="","",TRIM('01_Master_Data'!AH377&amp;""))</f>
        <v/>
      </c>
      <c r="X377">
        <f>IF(A377="","",IF(OR(LOWER(H377)="refund",LOWER(U377)="refund case"),"Refund",IF(OR(LOWER(H377)="dnp",LOWER(U377)="dnp"),"DNP",IF(OR(LOWER(V377)="disbursed",ISNUMBER(SEARCH("Disbursed",W377&amp;""))),"Disbursed",IF(OR(LOWER(V377)="loan proccessed/accepted",ISNUMBER(SEARCH("sanctioned",LOWER(W377&amp;"")))),"Sanctioned",IF(OR(LOWER(V377)="rejected",ISNUMBER(SEARCH("Not eligbile",W377&amp;"")),ISNUMBER(SEARCH("Not eligible",W377&amp;""))),"Rejected",IF(ISNUMBER(SEARCH("Docs Pending",W377&amp;"")),"Documents Pending",IF(AND(LOWER(H377)="yes",LOWER(V377)="ongoing"),"Processing",IF(AND(LOWER(H377)="yes",Q377&gt;0,OR(V377="",LOWER(V377)="not even started")),"Vendor Assigned",IF(AND(LOWER(H377)="yes",LOWER(V377)="not even started"),"Need Loan",IF(LOWER(H377)="yes","Loan Started",IF(LOWER(H377)="not sure","Interested",IF(OR(LOWER(H377)="no",LOWER(V377)="not required"),"Not Required","Unclassified")))))))))))))</f>
        <v/>
      </c>
      <c r="Y377">
        <f>IF(A377="","",IF(OR(X377="Sanctioned",X377="Disbursed",X377="Approved"),"Approved",IF(X377="Rejected","Rejected",IF(OR(X377="Processing",X377="Documents Pending",X377="Vendor Assigned"),"In Progress",IF(X377="Need Loan","Pending Start","—"))))</f>
        <v/>
      </c>
      <c r="Z377">
        <f>IF(A377="","",IF(X377="Disbursed","Disbursed",IF(X377="Sanctioned","Sanctioned - Awaiting Disbursement","Not Disbursed")))</f>
        <v/>
      </c>
      <c r="AA377">
        <f>IF(A377="","",IF(LOWER(TRIM('01_Master_Data'!AI377&amp;""))="yes","Need FLDG",IF(LOWER(TRIM('01_Master_Data'!AK377&amp;""))="yes","Need Vidyalakshmi",IF(LOWER(TRIM('01_Master_Data'!AJ377&amp;""))="yes","Need Review",IF(LOWER(J377)="critical","Critical",IF(LOWER(U377)="risk","Risk Case",IF(X377="Refund","Refund","Normal")))))))</f>
        <v/>
      </c>
      <c r="AB377">
        <f>IF(A377="","",IF(OR(LOWER(J377)="critical",LOWER(TRIM('01_Master_Data'!AI377&amp;""))="yes",LOWER(TRIM('01_Master_Data'!AK377&amp;""))="yes",LOWER(U377)="risk"),"Yes","No"))</f>
        <v/>
      </c>
      <c r="AC377">
        <f>IF(A377="","",IF(LOWER(TRIM('01_Master_Data'!AI377&amp;""))="yes","Yes","No"))</f>
        <v/>
      </c>
      <c r="AD377">
        <f>IF(A377="","",IF(LOWER(TRIM('01_Master_Data'!AK377&amp;""))="yes","Yes","No"))</f>
        <v/>
      </c>
      <c r="AE377">
        <f>IF(A377="","",IF(LOWER(TRIM('01_Master_Data'!AJ377&amp;""))="yes","Yes","No"))</f>
        <v/>
      </c>
      <c r="AF377">
        <f>IF(A377="","",TRIM('01_Master_Data'!AL377&amp;""))</f>
        <v/>
      </c>
      <c r="AG377">
        <f>IF(A377="","",IF(AF377="","—",IF(ISNUMBER(SEARCH("DNP",AF377)),"Unreachable / DNP",IF(ISNUMBER(SEARCH("interest",LOWER(AF377))),"High Interest / Terms",IF(OR(ISNUMBER(SEARCH("eligib",LOWER(AF377))),ISNUMBER(SEARCH("income",LOWER(AF377)))),"Eligibility / Income",IF(OR(ISNUMBER(SEARCH("start",LOWER(AF377))),ISNUMBER(SEARCH("Newer",AF377)),ISNUMBER(SEARCH("Will start",AF377))),"Process Yet to Start",IF(ISNUMBER(SEARCH("sure",LOWER(AF377))),"Undecided",IF(OR(ISNUMBER(SEARCH("reject",LOWER(AF377))),ISNUMBER(SEARCH("SBI",AF377))),"Rejected Elsewhere",IF(ISNUMBER(SEARCH("call",LOWER(AF377))),"Bank Communication",IF(OR(ISNUMBER(SEARCH("father",LOWER(AF377))),ISNUMBER(SEARCH("sister",LOWER(AF377)))),"Family / Dependency","Other"))))))))))</f>
        <v/>
      </c>
      <c r="AH377">
        <f>IF(A377="","",'01_Master_Data'!AC377)</f>
        <v/>
      </c>
      <c r="AI377">
        <f>IF(A377="","",IF(OR(AH377="",NOT(ISNUMBER(AH377))),"",MAX(0,'02_Configuration'!$B$82-AH377)))</f>
        <v/>
      </c>
      <c r="AJ377">
        <f>IF(A377="","",IF(AI377="","Unknown",IF(AI377&lt;=3,"0–3 Days",IF(AI377&lt;=7,"4–7 Days",IF(AI377&lt;=15,"8–15 Days",IF(AI377&lt;=30,"16–30 Days","30+ Days"))))))</f>
        <v/>
      </c>
      <c r="AK377">
        <f>IF(A377="","",IF(LOWER(H377)="yes","Yes","No"))</f>
        <v/>
      </c>
      <c r="AL377">
        <f>IF(A377="","",'01_Master_Data'!T377)</f>
        <v/>
      </c>
      <c r="AM377">
        <f>IF(A377="","",'01_Master_Data'!S377)</f>
        <v/>
      </c>
      <c r="AN377">
        <f>IF(A377="","",'01_Master_Data'!I377)</f>
        <v/>
      </c>
      <c r="AO377">
        <f>IF(A377="","",'01_Master_Data'!M377)</f>
        <v/>
      </c>
      <c r="AP377">
        <f>IF(A377="","",IF(ISNUMBER(SEARCH("Icici",W377&amp;"")),1,0))</f>
        <v/>
      </c>
      <c r="AQ377">
        <f>IF(A377="","",IF(ISNUMBER(SEARCH("Propelld",W377&amp;"")),1,0))</f>
        <v/>
      </c>
      <c r="AR377">
        <f>IF(A377="","",IF(ISNUMBER(SEARCH("GyanDhan",W377&amp;"")),1,0))</f>
        <v/>
      </c>
      <c r="AS377">
        <f>IF(A377="","",IF(ISNUMBER(SEARCH("vidyalakshmi",LOWER(W377&amp;""))),1,0))</f>
        <v/>
      </c>
      <c r="AT377">
        <f>IF(A377="","",IF(ISNUMBER(SEARCH("other bank",LOWER(W377&amp;""))),1,0))</f>
        <v/>
      </c>
      <c r="AU377">
        <f>IF(A377="","",IF(ISNUMBER(SEARCH("sanctioned",LOWER(W377&amp;""))),1,0))</f>
        <v/>
      </c>
      <c r="AV377">
        <f>IF(A377="","",IF(ISNUMBER(SEARCH("Docs Pending",W377&amp;"")),1,0))</f>
        <v/>
      </c>
      <c r="AW377">
        <f>IF(A377="","",IF(OR(X377="Rejected",ISNUMBER(SEARCH("Not eligbile",W377&amp;""))),1,0))</f>
        <v/>
      </c>
    </row>
    <row r="378">
      <c r="A378">
        <f>IF('01_Master_Data'!B378="","",377)</f>
        <v/>
      </c>
      <c r="B378">
        <f>IF('01_Master_Data'!B378="","",IF('01_Master_Data'!C378&lt;&gt;"","MOB|"&amp;TEXT('01_Master_Data'!C378,"0"),IF('01_Master_Data'!D378&lt;&gt;"","PID|"&amp;TRIM('01_Master_Data'!D378&amp;""),"")))</f>
        <v/>
      </c>
      <c r="C378">
        <f>IF('01_Master_Data'!B378="","",'01_Master_Data'!B378)</f>
        <v/>
      </c>
      <c r="D378">
        <f>IF('01_Master_Data'!B378="","",'01_Master_Data'!C378)</f>
        <v/>
      </c>
      <c r="E378">
        <f>IF('01_Master_Data'!B378="","",'01_Master_Data'!D378)</f>
        <v/>
      </c>
      <c r="F378">
        <f>IF('01_Master_Data'!B378="","",'01_Master_Data'!E378)</f>
        <v/>
      </c>
      <c r="G378">
        <f>IF('01_Master_Data'!B378="","",IFERROR(VLOOKUP(TRIM('01_Master_Data'!E378&amp;""),'02_Configuration'!$A$40:$B$44,2,FALSE),UPPER(TRIM('01_Master_Data'!E378&amp;""))))</f>
        <v/>
      </c>
      <c r="H378">
        <f>IF('01_Master_Data'!B378="","",IF('01_Master_Data'!U378="","",TRIM('01_Master_Data'!U378&amp;"")))</f>
        <v/>
      </c>
      <c r="I378">
        <f>IF('01_Master_Data'!B378="","",TRIM('01_Master_Data'!F378&amp;""))</f>
        <v/>
      </c>
      <c r="J378">
        <f>IF('01_Master_Data'!B378="","",TRIM('01_Master_Data'!G378&amp;""))</f>
        <v/>
      </c>
      <c r="K378">
        <f>IF('01_Master_Data'!B378="","",'01_Master_Data'!H378)</f>
        <v/>
      </c>
      <c r="L378">
        <f>IF('01_Master_Data'!B378="","",IF(LOWER(TRIM('01_Master_Data'!V378&amp;""))="yes",1,0))</f>
        <v/>
      </c>
      <c r="M378">
        <f>IF('01_Master_Data'!B378="","",IF(LOWER(TRIM('01_Master_Data'!W378&amp;""))="yes",1,0))</f>
        <v/>
      </c>
      <c r="N378">
        <f>IF('01_Master_Data'!B378="","",IF(LOWER(TRIM('01_Master_Data'!X378&amp;""))="yes",1,0))</f>
        <v/>
      </c>
      <c r="O378">
        <f>IF('01_Master_Data'!B378="","",IF(LOWER(TRIM('01_Master_Data'!Y378&amp;""))="yes",1,0))</f>
        <v/>
      </c>
      <c r="P378">
        <f>IF('01_Master_Data'!B378="","",IF(LOWER(TRIM('01_Master_Data'!Z378&amp;""))="yes",1,0))</f>
        <v/>
      </c>
      <c r="Q378">
        <f>IF(A378="","",L378+M378+N378+O378+P378)</f>
        <v/>
      </c>
      <c r="R378">
        <f>IF(A378="","",IF(Q378&gt;1,"Yes","No"))</f>
        <v/>
      </c>
      <c r="S378">
        <f>IF(A378="","",TEXTJOIN(", ",TRUE,IF(L378=1,"ICICI",""),IF(M378=1,"Propelld",""),IF(N378=1,"Study4Buddy",""),IF(O378=1,"Poonawala Fincorp",""),IF(P378=1,"GyanDhan","")))</f>
        <v/>
      </c>
      <c r="T378">
        <f>IF(A378="","",IF(L378=1,"ICICI",IF(M378=1,"Propelld",IF(P378=1,"GyanDhan",IF(N378=1,"Study4Buddy",IF(O378=1,"Poonawala Fincorp",IF(ISNUMBER(SEARCH("GyanDhan",W378&amp;"")),"GyanDhan",IF(ISNUMBER(SEARCH("Icici",W378&amp;"")),"ICICI",IF(ISNUMBER(SEARCH("Propelld",W378&amp;"")),"Propelld",IF(ISNUMBER(SEARCH("vidyalakshmi",LOWER(W378&amp;"")),"PM Vidyalakshmi","—"))))))))))</f>
        <v/>
      </c>
      <c r="U378">
        <f>IF(A378="","",TRIM('01_Master_Data'!AA378&amp;""))</f>
        <v/>
      </c>
      <c r="V378">
        <f>IF(A378="","",TRIM('01_Master_Data'!AG378&amp;""))</f>
        <v/>
      </c>
      <c r="W378">
        <f>IF(A378="","",TRIM('01_Master_Data'!AH378&amp;""))</f>
        <v/>
      </c>
      <c r="X378">
        <f>IF(A378="","",IF(OR(LOWER(H378)="refund",LOWER(U378)="refund case"),"Refund",IF(OR(LOWER(H378)="dnp",LOWER(U378)="dnp"),"DNP",IF(OR(LOWER(V378)="disbursed",ISNUMBER(SEARCH("Disbursed",W378&amp;""))),"Disbursed",IF(OR(LOWER(V378)="loan proccessed/accepted",ISNUMBER(SEARCH("sanctioned",LOWER(W378&amp;"")))),"Sanctioned",IF(OR(LOWER(V378)="rejected",ISNUMBER(SEARCH("Not eligbile",W378&amp;"")),ISNUMBER(SEARCH("Not eligible",W378&amp;""))),"Rejected",IF(ISNUMBER(SEARCH("Docs Pending",W378&amp;"")),"Documents Pending",IF(AND(LOWER(H378)="yes",LOWER(V378)="ongoing"),"Processing",IF(AND(LOWER(H378)="yes",Q378&gt;0,OR(V378="",LOWER(V378)="not even started")),"Vendor Assigned",IF(AND(LOWER(H378)="yes",LOWER(V378)="not even started"),"Need Loan",IF(LOWER(H378)="yes","Loan Started",IF(LOWER(H378)="not sure","Interested",IF(OR(LOWER(H378)="no",LOWER(V378)="not required"),"Not Required","Unclassified")))))))))))))</f>
        <v/>
      </c>
      <c r="Y378">
        <f>IF(A378="","",IF(OR(X378="Sanctioned",X378="Disbursed",X378="Approved"),"Approved",IF(X378="Rejected","Rejected",IF(OR(X378="Processing",X378="Documents Pending",X378="Vendor Assigned"),"In Progress",IF(X378="Need Loan","Pending Start","—"))))</f>
        <v/>
      </c>
      <c r="Z378">
        <f>IF(A378="","",IF(X378="Disbursed","Disbursed",IF(X378="Sanctioned","Sanctioned - Awaiting Disbursement","Not Disbursed")))</f>
        <v/>
      </c>
      <c r="AA378">
        <f>IF(A378="","",IF(LOWER(TRIM('01_Master_Data'!AI378&amp;""))="yes","Need FLDG",IF(LOWER(TRIM('01_Master_Data'!AK378&amp;""))="yes","Need Vidyalakshmi",IF(LOWER(TRIM('01_Master_Data'!AJ378&amp;""))="yes","Need Review",IF(LOWER(J378)="critical","Critical",IF(LOWER(U378)="risk","Risk Case",IF(X378="Refund","Refund","Normal")))))))</f>
        <v/>
      </c>
      <c r="AB378">
        <f>IF(A378="","",IF(OR(LOWER(J378)="critical",LOWER(TRIM('01_Master_Data'!AI378&amp;""))="yes",LOWER(TRIM('01_Master_Data'!AK378&amp;""))="yes",LOWER(U378)="risk"),"Yes","No"))</f>
        <v/>
      </c>
      <c r="AC378">
        <f>IF(A378="","",IF(LOWER(TRIM('01_Master_Data'!AI378&amp;""))="yes","Yes","No"))</f>
        <v/>
      </c>
      <c r="AD378">
        <f>IF(A378="","",IF(LOWER(TRIM('01_Master_Data'!AK378&amp;""))="yes","Yes","No"))</f>
        <v/>
      </c>
      <c r="AE378">
        <f>IF(A378="","",IF(LOWER(TRIM('01_Master_Data'!AJ378&amp;""))="yes","Yes","No"))</f>
        <v/>
      </c>
      <c r="AF378">
        <f>IF(A378="","",TRIM('01_Master_Data'!AL378&amp;""))</f>
        <v/>
      </c>
      <c r="AG378">
        <f>IF(A378="","",IF(AF378="","—",IF(ISNUMBER(SEARCH("DNP",AF378)),"Unreachable / DNP",IF(ISNUMBER(SEARCH("interest",LOWER(AF378))),"High Interest / Terms",IF(OR(ISNUMBER(SEARCH("eligib",LOWER(AF378))),ISNUMBER(SEARCH("income",LOWER(AF378)))),"Eligibility / Income",IF(OR(ISNUMBER(SEARCH("start",LOWER(AF378))),ISNUMBER(SEARCH("Newer",AF378)),ISNUMBER(SEARCH("Will start",AF378))),"Process Yet to Start",IF(ISNUMBER(SEARCH("sure",LOWER(AF378))),"Undecided",IF(OR(ISNUMBER(SEARCH("reject",LOWER(AF378))),ISNUMBER(SEARCH("SBI",AF378))),"Rejected Elsewhere",IF(ISNUMBER(SEARCH("call",LOWER(AF378))),"Bank Communication",IF(OR(ISNUMBER(SEARCH("father",LOWER(AF378))),ISNUMBER(SEARCH("sister",LOWER(AF378)))),"Family / Dependency","Other"))))))))))</f>
        <v/>
      </c>
      <c r="AH378">
        <f>IF(A378="","",'01_Master_Data'!AC378)</f>
        <v/>
      </c>
      <c r="AI378">
        <f>IF(A378="","",IF(OR(AH378="",NOT(ISNUMBER(AH378))),"",MAX(0,'02_Configuration'!$B$82-AH378)))</f>
        <v/>
      </c>
      <c r="AJ378">
        <f>IF(A378="","",IF(AI378="","Unknown",IF(AI378&lt;=3,"0–3 Days",IF(AI378&lt;=7,"4–7 Days",IF(AI378&lt;=15,"8–15 Days",IF(AI378&lt;=30,"16–30 Days","30+ Days"))))))</f>
        <v/>
      </c>
      <c r="AK378">
        <f>IF(A378="","",IF(LOWER(H378)="yes","Yes","No"))</f>
        <v/>
      </c>
      <c r="AL378">
        <f>IF(A378="","",'01_Master_Data'!T378)</f>
        <v/>
      </c>
      <c r="AM378">
        <f>IF(A378="","",'01_Master_Data'!S378)</f>
        <v/>
      </c>
      <c r="AN378">
        <f>IF(A378="","",'01_Master_Data'!I378)</f>
        <v/>
      </c>
      <c r="AO378">
        <f>IF(A378="","",'01_Master_Data'!M378)</f>
        <v/>
      </c>
      <c r="AP378">
        <f>IF(A378="","",IF(ISNUMBER(SEARCH("Icici",W378&amp;"")),1,0))</f>
        <v/>
      </c>
      <c r="AQ378">
        <f>IF(A378="","",IF(ISNUMBER(SEARCH("Propelld",W378&amp;"")),1,0))</f>
        <v/>
      </c>
      <c r="AR378">
        <f>IF(A378="","",IF(ISNUMBER(SEARCH("GyanDhan",W378&amp;"")),1,0))</f>
        <v/>
      </c>
      <c r="AS378">
        <f>IF(A378="","",IF(ISNUMBER(SEARCH("vidyalakshmi",LOWER(W378&amp;""))),1,0))</f>
        <v/>
      </c>
      <c r="AT378">
        <f>IF(A378="","",IF(ISNUMBER(SEARCH("other bank",LOWER(W378&amp;""))),1,0))</f>
        <v/>
      </c>
      <c r="AU378">
        <f>IF(A378="","",IF(ISNUMBER(SEARCH("sanctioned",LOWER(W378&amp;""))),1,0))</f>
        <v/>
      </c>
      <c r="AV378">
        <f>IF(A378="","",IF(ISNUMBER(SEARCH("Docs Pending",W378&amp;"")),1,0))</f>
        <v/>
      </c>
      <c r="AW378">
        <f>IF(A378="","",IF(OR(X378="Rejected",ISNUMBER(SEARCH("Not eligbile",W378&amp;""))),1,0))</f>
        <v/>
      </c>
    </row>
    <row r="379">
      <c r="A379">
        <f>IF('01_Master_Data'!B379="","",378)</f>
        <v/>
      </c>
      <c r="B379">
        <f>IF('01_Master_Data'!B379="","",IF('01_Master_Data'!C379&lt;&gt;"","MOB|"&amp;TEXT('01_Master_Data'!C379,"0"),IF('01_Master_Data'!D379&lt;&gt;"","PID|"&amp;TRIM('01_Master_Data'!D379&amp;""),"")))</f>
        <v/>
      </c>
      <c r="C379">
        <f>IF('01_Master_Data'!B379="","",'01_Master_Data'!B379)</f>
        <v/>
      </c>
      <c r="D379">
        <f>IF('01_Master_Data'!B379="","",'01_Master_Data'!C379)</f>
        <v/>
      </c>
      <c r="E379">
        <f>IF('01_Master_Data'!B379="","",'01_Master_Data'!D379)</f>
        <v/>
      </c>
      <c r="F379">
        <f>IF('01_Master_Data'!B379="","",'01_Master_Data'!E379)</f>
        <v/>
      </c>
      <c r="G379">
        <f>IF('01_Master_Data'!B379="","",IFERROR(VLOOKUP(TRIM('01_Master_Data'!E379&amp;""),'02_Configuration'!$A$40:$B$44,2,FALSE),UPPER(TRIM('01_Master_Data'!E379&amp;""))))</f>
        <v/>
      </c>
      <c r="H379">
        <f>IF('01_Master_Data'!B379="","",IF('01_Master_Data'!U379="","",TRIM('01_Master_Data'!U379&amp;"")))</f>
        <v/>
      </c>
      <c r="I379">
        <f>IF('01_Master_Data'!B379="","",TRIM('01_Master_Data'!F379&amp;""))</f>
        <v/>
      </c>
      <c r="J379">
        <f>IF('01_Master_Data'!B379="","",TRIM('01_Master_Data'!G379&amp;""))</f>
        <v/>
      </c>
      <c r="K379">
        <f>IF('01_Master_Data'!B379="","",'01_Master_Data'!H379)</f>
        <v/>
      </c>
      <c r="L379">
        <f>IF('01_Master_Data'!B379="","",IF(LOWER(TRIM('01_Master_Data'!V379&amp;""))="yes",1,0))</f>
        <v/>
      </c>
      <c r="M379">
        <f>IF('01_Master_Data'!B379="","",IF(LOWER(TRIM('01_Master_Data'!W379&amp;""))="yes",1,0))</f>
        <v/>
      </c>
      <c r="N379">
        <f>IF('01_Master_Data'!B379="","",IF(LOWER(TRIM('01_Master_Data'!X379&amp;""))="yes",1,0))</f>
        <v/>
      </c>
      <c r="O379">
        <f>IF('01_Master_Data'!B379="","",IF(LOWER(TRIM('01_Master_Data'!Y379&amp;""))="yes",1,0))</f>
        <v/>
      </c>
      <c r="P379">
        <f>IF('01_Master_Data'!B379="","",IF(LOWER(TRIM('01_Master_Data'!Z379&amp;""))="yes",1,0))</f>
        <v/>
      </c>
      <c r="Q379">
        <f>IF(A379="","",L379+M379+N379+O379+P379)</f>
        <v/>
      </c>
      <c r="R379">
        <f>IF(A379="","",IF(Q379&gt;1,"Yes","No"))</f>
        <v/>
      </c>
      <c r="S379">
        <f>IF(A379="","",TEXTJOIN(", ",TRUE,IF(L379=1,"ICICI",""),IF(M379=1,"Propelld",""),IF(N379=1,"Study4Buddy",""),IF(O379=1,"Poonawala Fincorp",""),IF(P379=1,"GyanDhan","")))</f>
        <v/>
      </c>
      <c r="T379">
        <f>IF(A379="","",IF(L379=1,"ICICI",IF(M379=1,"Propelld",IF(P379=1,"GyanDhan",IF(N379=1,"Study4Buddy",IF(O379=1,"Poonawala Fincorp",IF(ISNUMBER(SEARCH("GyanDhan",W379&amp;"")),"GyanDhan",IF(ISNUMBER(SEARCH("Icici",W379&amp;"")),"ICICI",IF(ISNUMBER(SEARCH("Propelld",W379&amp;"")),"Propelld",IF(ISNUMBER(SEARCH("vidyalakshmi",LOWER(W379&amp;"")),"PM Vidyalakshmi","—"))))))))))</f>
        <v/>
      </c>
      <c r="U379">
        <f>IF(A379="","",TRIM('01_Master_Data'!AA379&amp;""))</f>
        <v/>
      </c>
      <c r="V379">
        <f>IF(A379="","",TRIM('01_Master_Data'!AG379&amp;""))</f>
        <v/>
      </c>
      <c r="W379">
        <f>IF(A379="","",TRIM('01_Master_Data'!AH379&amp;""))</f>
        <v/>
      </c>
      <c r="X379">
        <f>IF(A379="","",IF(OR(LOWER(H379)="refund",LOWER(U379)="refund case"),"Refund",IF(OR(LOWER(H379)="dnp",LOWER(U379)="dnp"),"DNP",IF(OR(LOWER(V379)="disbursed",ISNUMBER(SEARCH("Disbursed",W379&amp;""))),"Disbursed",IF(OR(LOWER(V379)="loan proccessed/accepted",ISNUMBER(SEARCH("sanctioned",LOWER(W379&amp;"")))),"Sanctioned",IF(OR(LOWER(V379)="rejected",ISNUMBER(SEARCH("Not eligbile",W379&amp;"")),ISNUMBER(SEARCH("Not eligible",W379&amp;""))),"Rejected",IF(ISNUMBER(SEARCH("Docs Pending",W379&amp;"")),"Documents Pending",IF(AND(LOWER(H379)="yes",LOWER(V379)="ongoing"),"Processing",IF(AND(LOWER(H379)="yes",Q379&gt;0,OR(V379="",LOWER(V379)="not even started")),"Vendor Assigned",IF(AND(LOWER(H379)="yes",LOWER(V379)="not even started"),"Need Loan",IF(LOWER(H379)="yes","Loan Started",IF(LOWER(H379)="not sure","Interested",IF(OR(LOWER(H379)="no",LOWER(V379)="not required"),"Not Required","Unclassified")))))))))))))</f>
        <v/>
      </c>
      <c r="Y379">
        <f>IF(A379="","",IF(OR(X379="Sanctioned",X379="Disbursed",X379="Approved"),"Approved",IF(X379="Rejected","Rejected",IF(OR(X379="Processing",X379="Documents Pending",X379="Vendor Assigned"),"In Progress",IF(X379="Need Loan","Pending Start","—"))))</f>
        <v/>
      </c>
      <c r="Z379">
        <f>IF(A379="","",IF(X379="Disbursed","Disbursed",IF(X379="Sanctioned","Sanctioned - Awaiting Disbursement","Not Disbursed")))</f>
        <v/>
      </c>
      <c r="AA379">
        <f>IF(A379="","",IF(LOWER(TRIM('01_Master_Data'!AI379&amp;""))="yes","Need FLDG",IF(LOWER(TRIM('01_Master_Data'!AK379&amp;""))="yes","Need Vidyalakshmi",IF(LOWER(TRIM('01_Master_Data'!AJ379&amp;""))="yes","Need Review",IF(LOWER(J379)="critical","Critical",IF(LOWER(U379)="risk","Risk Case",IF(X379="Refund","Refund","Normal")))))))</f>
        <v/>
      </c>
      <c r="AB379">
        <f>IF(A379="","",IF(OR(LOWER(J379)="critical",LOWER(TRIM('01_Master_Data'!AI379&amp;""))="yes",LOWER(TRIM('01_Master_Data'!AK379&amp;""))="yes",LOWER(U379)="risk"),"Yes","No"))</f>
        <v/>
      </c>
      <c r="AC379">
        <f>IF(A379="","",IF(LOWER(TRIM('01_Master_Data'!AI379&amp;""))="yes","Yes","No"))</f>
        <v/>
      </c>
      <c r="AD379">
        <f>IF(A379="","",IF(LOWER(TRIM('01_Master_Data'!AK379&amp;""))="yes","Yes","No"))</f>
        <v/>
      </c>
      <c r="AE379">
        <f>IF(A379="","",IF(LOWER(TRIM('01_Master_Data'!AJ379&amp;""))="yes","Yes","No"))</f>
        <v/>
      </c>
      <c r="AF379">
        <f>IF(A379="","",TRIM('01_Master_Data'!AL379&amp;""))</f>
        <v/>
      </c>
      <c r="AG379">
        <f>IF(A379="","",IF(AF379="","—",IF(ISNUMBER(SEARCH("DNP",AF379)),"Unreachable / DNP",IF(ISNUMBER(SEARCH("interest",LOWER(AF379))),"High Interest / Terms",IF(OR(ISNUMBER(SEARCH("eligib",LOWER(AF379))),ISNUMBER(SEARCH("income",LOWER(AF379)))),"Eligibility / Income",IF(OR(ISNUMBER(SEARCH("start",LOWER(AF379))),ISNUMBER(SEARCH("Newer",AF379)),ISNUMBER(SEARCH("Will start",AF379))),"Process Yet to Start",IF(ISNUMBER(SEARCH("sure",LOWER(AF379))),"Undecided",IF(OR(ISNUMBER(SEARCH("reject",LOWER(AF379))),ISNUMBER(SEARCH("SBI",AF379))),"Rejected Elsewhere",IF(ISNUMBER(SEARCH("call",LOWER(AF379))),"Bank Communication",IF(OR(ISNUMBER(SEARCH("father",LOWER(AF379))),ISNUMBER(SEARCH("sister",LOWER(AF379)))),"Family / Dependency","Other"))))))))))</f>
        <v/>
      </c>
      <c r="AH379">
        <f>IF(A379="","",'01_Master_Data'!AC379)</f>
        <v/>
      </c>
      <c r="AI379">
        <f>IF(A379="","",IF(OR(AH379="",NOT(ISNUMBER(AH379))),"",MAX(0,'02_Configuration'!$B$82-AH379)))</f>
        <v/>
      </c>
      <c r="AJ379">
        <f>IF(A379="","",IF(AI379="","Unknown",IF(AI379&lt;=3,"0–3 Days",IF(AI379&lt;=7,"4–7 Days",IF(AI379&lt;=15,"8–15 Days",IF(AI379&lt;=30,"16–30 Days","30+ Days"))))))</f>
        <v/>
      </c>
      <c r="AK379">
        <f>IF(A379="","",IF(LOWER(H379)="yes","Yes","No"))</f>
        <v/>
      </c>
      <c r="AL379">
        <f>IF(A379="","",'01_Master_Data'!T379)</f>
        <v/>
      </c>
      <c r="AM379">
        <f>IF(A379="","",'01_Master_Data'!S379)</f>
        <v/>
      </c>
      <c r="AN379">
        <f>IF(A379="","",'01_Master_Data'!I379)</f>
        <v/>
      </c>
      <c r="AO379">
        <f>IF(A379="","",'01_Master_Data'!M379)</f>
        <v/>
      </c>
      <c r="AP379">
        <f>IF(A379="","",IF(ISNUMBER(SEARCH("Icici",W379&amp;"")),1,0))</f>
        <v/>
      </c>
      <c r="AQ379">
        <f>IF(A379="","",IF(ISNUMBER(SEARCH("Propelld",W379&amp;"")),1,0))</f>
        <v/>
      </c>
      <c r="AR379">
        <f>IF(A379="","",IF(ISNUMBER(SEARCH("GyanDhan",W379&amp;"")),1,0))</f>
        <v/>
      </c>
      <c r="AS379">
        <f>IF(A379="","",IF(ISNUMBER(SEARCH("vidyalakshmi",LOWER(W379&amp;""))),1,0))</f>
        <v/>
      </c>
      <c r="AT379">
        <f>IF(A379="","",IF(ISNUMBER(SEARCH("other bank",LOWER(W379&amp;""))),1,0))</f>
        <v/>
      </c>
      <c r="AU379">
        <f>IF(A379="","",IF(ISNUMBER(SEARCH("sanctioned",LOWER(W379&amp;""))),1,0))</f>
        <v/>
      </c>
      <c r="AV379">
        <f>IF(A379="","",IF(ISNUMBER(SEARCH("Docs Pending",W379&amp;"")),1,0))</f>
        <v/>
      </c>
      <c r="AW379">
        <f>IF(A379="","",IF(OR(X379="Rejected",ISNUMBER(SEARCH("Not eligbile",W379&amp;""))),1,0))</f>
        <v/>
      </c>
    </row>
    <row r="380">
      <c r="A380">
        <f>IF('01_Master_Data'!B380="","",379)</f>
        <v/>
      </c>
      <c r="B380">
        <f>IF('01_Master_Data'!B380="","",IF('01_Master_Data'!C380&lt;&gt;"","MOB|"&amp;TEXT('01_Master_Data'!C380,"0"),IF('01_Master_Data'!D380&lt;&gt;"","PID|"&amp;TRIM('01_Master_Data'!D380&amp;""),"")))</f>
        <v/>
      </c>
      <c r="C380">
        <f>IF('01_Master_Data'!B380="","",'01_Master_Data'!B380)</f>
        <v/>
      </c>
      <c r="D380">
        <f>IF('01_Master_Data'!B380="","",'01_Master_Data'!C380)</f>
        <v/>
      </c>
      <c r="E380">
        <f>IF('01_Master_Data'!B380="","",'01_Master_Data'!D380)</f>
        <v/>
      </c>
      <c r="F380">
        <f>IF('01_Master_Data'!B380="","",'01_Master_Data'!E380)</f>
        <v/>
      </c>
      <c r="G380">
        <f>IF('01_Master_Data'!B380="","",IFERROR(VLOOKUP(TRIM('01_Master_Data'!E380&amp;""),'02_Configuration'!$A$40:$B$44,2,FALSE),UPPER(TRIM('01_Master_Data'!E380&amp;""))))</f>
        <v/>
      </c>
      <c r="H380">
        <f>IF('01_Master_Data'!B380="","",IF('01_Master_Data'!U380="","",TRIM('01_Master_Data'!U380&amp;"")))</f>
        <v/>
      </c>
      <c r="I380">
        <f>IF('01_Master_Data'!B380="","",TRIM('01_Master_Data'!F380&amp;""))</f>
        <v/>
      </c>
      <c r="J380">
        <f>IF('01_Master_Data'!B380="","",TRIM('01_Master_Data'!G380&amp;""))</f>
        <v/>
      </c>
      <c r="K380">
        <f>IF('01_Master_Data'!B380="","",'01_Master_Data'!H380)</f>
        <v/>
      </c>
      <c r="L380">
        <f>IF('01_Master_Data'!B380="","",IF(LOWER(TRIM('01_Master_Data'!V380&amp;""))="yes",1,0))</f>
        <v/>
      </c>
      <c r="M380">
        <f>IF('01_Master_Data'!B380="","",IF(LOWER(TRIM('01_Master_Data'!W380&amp;""))="yes",1,0))</f>
        <v/>
      </c>
      <c r="N380">
        <f>IF('01_Master_Data'!B380="","",IF(LOWER(TRIM('01_Master_Data'!X380&amp;""))="yes",1,0))</f>
        <v/>
      </c>
      <c r="O380">
        <f>IF('01_Master_Data'!B380="","",IF(LOWER(TRIM('01_Master_Data'!Y380&amp;""))="yes",1,0))</f>
        <v/>
      </c>
      <c r="P380">
        <f>IF('01_Master_Data'!B380="","",IF(LOWER(TRIM('01_Master_Data'!Z380&amp;""))="yes",1,0))</f>
        <v/>
      </c>
      <c r="Q380">
        <f>IF(A380="","",L380+M380+N380+O380+P380)</f>
        <v/>
      </c>
      <c r="R380">
        <f>IF(A380="","",IF(Q380&gt;1,"Yes","No"))</f>
        <v/>
      </c>
      <c r="S380">
        <f>IF(A380="","",TEXTJOIN(", ",TRUE,IF(L380=1,"ICICI",""),IF(M380=1,"Propelld",""),IF(N380=1,"Study4Buddy",""),IF(O380=1,"Poonawala Fincorp",""),IF(P380=1,"GyanDhan","")))</f>
        <v/>
      </c>
      <c r="T380">
        <f>IF(A380="","",IF(L380=1,"ICICI",IF(M380=1,"Propelld",IF(P380=1,"GyanDhan",IF(N380=1,"Study4Buddy",IF(O380=1,"Poonawala Fincorp",IF(ISNUMBER(SEARCH("GyanDhan",W380&amp;"")),"GyanDhan",IF(ISNUMBER(SEARCH("Icici",W380&amp;"")),"ICICI",IF(ISNUMBER(SEARCH("Propelld",W380&amp;"")),"Propelld",IF(ISNUMBER(SEARCH("vidyalakshmi",LOWER(W380&amp;"")),"PM Vidyalakshmi","—"))))))))))</f>
        <v/>
      </c>
      <c r="U380">
        <f>IF(A380="","",TRIM('01_Master_Data'!AA380&amp;""))</f>
        <v/>
      </c>
      <c r="V380">
        <f>IF(A380="","",TRIM('01_Master_Data'!AG380&amp;""))</f>
        <v/>
      </c>
      <c r="W380">
        <f>IF(A380="","",TRIM('01_Master_Data'!AH380&amp;""))</f>
        <v/>
      </c>
      <c r="X380">
        <f>IF(A380="","",IF(OR(LOWER(H380)="refund",LOWER(U380)="refund case"),"Refund",IF(OR(LOWER(H380)="dnp",LOWER(U380)="dnp"),"DNP",IF(OR(LOWER(V380)="disbursed",ISNUMBER(SEARCH("Disbursed",W380&amp;""))),"Disbursed",IF(OR(LOWER(V380)="loan proccessed/accepted",ISNUMBER(SEARCH("sanctioned",LOWER(W380&amp;"")))),"Sanctioned",IF(OR(LOWER(V380)="rejected",ISNUMBER(SEARCH("Not eligbile",W380&amp;"")),ISNUMBER(SEARCH("Not eligible",W380&amp;""))),"Rejected",IF(ISNUMBER(SEARCH("Docs Pending",W380&amp;"")),"Documents Pending",IF(AND(LOWER(H380)="yes",LOWER(V380)="ongoing"),"Processing",IF(AND(LOWER(H380)="yes",Q380&gt;0,OR(V380="",LOWER(V380)="not even started")),"Vendor Assigned",IF(AND(LOWER(H380)="yes",LOWER(V380)="not even started"),"Need Loan",IF(LOWER(H380)="yes","Loan Started",IF(LOWER(H380)="not sure","Interested",IF(OR(LOWER(H380)="no",LOWER(V380)="not required"),"Not Required","Unclassified")))))))))))))</f>
        <v/>
      </c>
      <c r="Y380">
        <f>IF(A380="","",IF(OR(X380="Sanctioned",X380="Disbursed",X380="Approved"),"Approved",IF(X380="Rejected","Rejected",IF(OR(X380="Processing",X380="Documents Pending",X380="Vendor Assigned"),"In Progress",IF(X380="Need Loan","Pending Start","—"))))</f>
        <v/>
      </c>
      <c r="Z380">
        <f>IF(A380="","",IF(X380="Disbursed","Disbursed",IF(X380="Sanctioned","Sanctioned - Awaiting Disbursement","Not Disbursed")))</f>
        <v/>
      </c>
      <c r="AA380">
        <f>IF(A380="","",IF(LOWER(TRIM('01_Master_Data'!AI380&amp;""))="yes","Need FLDG",IF(LOWER(TRIM('01_Master_Data'!AK380&amp;""))="yes","Need Vidyalakshmi",IF(LOWER(TRIM('01_Master_Data'!AJ380&amp;""))="yes","Need Review",IF(LOWER(J380)="critical","Critical",IF(LOWER(U380)="risk","Risk Case",IF(X380="Refund","Refund","Normal")))))))</f>
        <v/>
      </c>
      <c r="AB380">
        <f>IF(A380="","",IF(OR(LOWER(J380)="critical",LOWER(TRIM('01_Master_Data'!AI380&amp;""))="yes",LOWER(TRIM('01_Master_Data'!AK380&amp;""))="yes",LOWER(U380)="risk"),"Yes","No"))</f>
        <v/>
      </c>
      <c r="AC380">
        <f>IF(A380="","",IF(LOWER(TRIM('01_Master_Data'!AI380&amp;""))="yes","Yes","No"))</f>
        <v/>
      </c>
      <c r="AD380">
        <f>IF(A380="","",IF(LOWER(TRIM('01_Master_Data'!AK380&amp;""))="yes","Yes","No"))</f>
        <v/>
      </c>
      <c r="AE380">
        <f>IF(A380="","",IF(LOWER(TRIM('01_Master_Data'!AJ380&amp;""))="yes","Yes","No"))</f>
        <v/>
      </c>
      <c r="AF380">
        <f>IF(A380="","",TRIM('01_Master_Data'!AL380&amp;""))</f>
        <v/>
      </c>
      <c r="AG380">
        <f>IF(A380="","",IF(AF380="","—",IF(ISNUMBER(SEARCH("DNP",AF380)),"Unreachable / DNP",IF(ISNUMBER(SEARCH("interest",LOWER(AF380))),"High Interest / Terms",IF(OR(ISNUMBER(SEARCH("eligib",LOWER(AF380))),ISNUMBER(SEARCH("income",LOWER(AF380)))),"Eligibility / Income",IF(OR(ISNUMBER(SEARCH("start",LOWER(AF380))),ISNUMBER(SEARCH("Newer",AF380)),ISNUMBER(SEARCH("Will start",AF380))),"Process Yet to Start",IF(ISNUMBER(SEARCH("sure",LOWER(AF380))),"Undecided",IF(OR(ISNUMBER(SEARCH("reject",LOWER(AF380))),ISNUMBER(SEARCH("SBI",AF380))),"Rejected Elsewhere",IF(ISNUMBER(SEARCH("call",LOWER(AF380))),"Bank Communication",IF(OR(ISNUMBER(SEARCH("father",LOWER(AF380))),ISNUMBER(SEARCH("sister",LOWER(AF380)))),"Family / Dependency","Other"))))))))))</f>
        <v/>
      </c>
      <c r="AH380">
        <f>IF(A380="","",'01_Master_Data'!AC380)</f>
        <v/>
      </c>
      <c r="AI380">
        <f>IF(A380="","",IF(OR(AH380="",NOT(ISNUMBER(AH380))),"",MAX(0,'02_Configuration'!$B$82-AH380)))</f>
        <v/>
      </c>
      <c r="AJ380">
        <f>IF(A380="","",IF(AI380="","Unknown",IF(AI380&lt;=3,"0–3 Days",IF(AI380&lt;=7,"4–7 Days",IF(AI380&lt;=15,"8–15 Days",IF(AI380&lt;=30,"16–30 Days","30+ Days"))))))</f>
        <v/>
      </c>
      <c r="AK380">
        <f>IF(A380="","",IF(LOWER(H380)="yes","Yes","No"))</f>
        <v/>
      </c>
      <c r="AL380">
        <f>IF(A380="","",'01_Master_Data'!T380)</f>
        <v/>
      </c>
      <c r="AM380">
        <f>IF(A380="","",'01_Master_Data'!S380)</f>
        <v/>
      </c>
      <c r="AN380">
        <f>IF(A380="","",'01_Master_Data'!I380)</f>
        <v/>
      </c>
      <c r="AO380">
        <f>IF(A380="","",'01_Master_Data'!M380)</f>
        <v/>
      </c>
      <c r="AP380">
        <f>IF(A380="","",IF(ISNUMBER(SEARCH("Icici",W380&amp;"")),1,0))</f>
        <v/>
      </c>
      <c r="AQ380">
        <f>IF(A380="","",IF(ISNUMBER(SEARCH("Propelld",W380&amp;"")),1,0))</f>
        <v/>
      </c>
      <c r="AR380">
        <f>IF(A380="","",IF(ISNUMBER(SEARCH("GyanDhan",W380&amp;"")),1,0))</f>
        <v/>
      </c>
      <c r="AS380">
        <f>IF(A380="","",IF(ISNUMBER(SEARCH("vidyalakshmi",LOWER(W380&amp;""))),1,0))</f>
        <v/>
      </c>
      <c r="AT380">
        <f>IF(A380="","",IF(ISNUMBER(SEARCH("other bank",LOWER(W380&amp;""))),1,0))</f>
        <v/>
      </c>
      <c r="AU380">
        <f>IF(A380="","",IF(ISNUMBER(SEARCH("sanctioned",LOWER(W380&amp;""))),1,0))</f>
        <v/>
      </c>
      <c r="AV380">
        <f>IF(A380="","",IF(ISNUMBER(SEARCH("Docs Pending",W380&amp;"")),1,0))</f>
        <v/>
      </c>
      <c r="AW380">
        <f>IF(A380="","",IF(OR(X380="Rejected",ISNUMBER(SEARCH("Not eligbile",W380&amp;""))),1,0))</f>
        <v/>
      </c>
    </row>
    <row r="381">
      <c r="A381">
        <f>IF('01_Master_Data'!B381="","",380)</f>
        <v/>
      </c>
      <c r="B381">
        <f>IF('01_Master_Data'!B381="","",IF('01_Master_Data'!C381&lt;&gt;"","MOB|"&amp;TEXT('01_Master_Data'!C381,"0"),IF('01_Master_Data'!D381&lt;&gt;"","PID|"&amp;TRIM('01_Master_Data'!D381&amp;""),"")))</f>
        <v/>
      </c>
      <c r="C381">
        <f>IF('01_Master_Data'!B381="","",'01_Master_Data'!B381)</f>
        <v/>
      </c>
      <c r="D381">
        <f>IF('01_Master_Data'!B381="","",'01_Master_Data'!C381)</f>
        <v/>
      </c>
      <c r="E381">
        <f>IF('01_Master_Data'!B381="","",'01_Master_Data'!D381)</f>
        <v/>
      </c>
      <c r="F381">
        <f>IF('01_Master_Data'!B381="","",'01_Master_Data'!E381)</f>
        <v/>
      </c>
      <c r="G381">
        <f>IF('01_Master_Data'!B381="","",IFERROR(VLOOKUP(TRIM('01_Master_Data'!E381&amp;""),'02_Configuration'!$A$40:$B$44,2,FALSE),UPPER(TRIM('01_Master_Data'!E381&amp;""))))</f>
        <v/>
      </c>
      <c r="H381">
        <f>IF('01_Master_Data'!B381="","",IF('01_Master_Data'!U381="","",TRIM('01_Master_Data'!U381&amp;"")))</f>
        <v/>
      </c>
      <c r="I381">
        <f>IF('01_Master_Data'!B381="","",TRIM('01_Master_Data'!F381&amp;""))</f>
        <v/>
      </c>
      <c r="J381">
        <f>IF('01_Master_Data'!B381="","",TRIM('01_Master_Data'!G381&amp;""))</f>
        <v/>
      </c>
      <c r="K381">
        <f>IF('01_Master_Data'!B381="","",'01_Master_Data'!H381)</f>
        <v/>
      </c>
      <c r="L381">
        <f>IF('01_Master_Data'!B381="","",IF(LOWER(TRIM('01_Master_Data'!V381&amp;""))="yes",1,0))</f>
        <v/>
      </c>
      <c r="M381">
        <f>IF('01_Master_Data'!B381="","",IF(LOWER(TRIM('01_Master_Data'!W381&amp;""))="yes",1,0))</f>
        <v/>
      </c>
      <c r="N381">
        <f>IF('01_Master_Data'!B381="","",IF(LOWER(TRIM('01_Master_Data'!X381&amp;""))="yes",1,0))</f>
        <v/>
      </c>
      <c r="O381">
        <f>IF('01_Master_Data'!B381="","",IF(LOWER(TRIM('01_Master_Data'!Y381&amp;""))="yes",1,0))</f>
        <v/>
      </c>
      <c r="P381">
        <f>IF('01_Master_Data'!B381="","",IF(LOWER(TRIM('01_Master_Data'!Z381&amp;""))="yes",1,0))</f>
        <v/>
      </c>
      <c r="Q381">
        <f>IF(A381="","",L381+M381+N381+O381+P381)</f>
        <v/>
      </c>
      <c r="R381">
        <f>IF(A381="","",IF(Q381&gt;1,"Yes","No"))</f>
        <v/>
      </c>
      <c r="S381">
        <f>IF(A381="","",TEXTJOIN(", ",TRUE,IF(L381=1,"ICICI",""),IF(M381=1,"Propelld",""),IF(N381=1,"Study4Buddy",""),IF(O381=1,"Poonawala Fincorp",""),IF(P381=1,"GyanDhan","")))</f>
        <v/>
      </c>
      <c r="T381">
        <f>IF(A381="","",IF(L381=1,"ICICI",IF(M381=1,"Propelld",IF(P381=1,"GyanDhan",IF(N381=1,"Study4Buddy",IF(O381=1,"Poonawala Fincorp",IF(ISNUMBER(SEARCH("GyanDhan",W381&amp;"")),"GyanDhan",IF(ISNUMBER(SEARCH("Icici",W381&amp;"")),"ICICI",IF(ISNUMBER(SEARCH("Propelld",W381&amp;"")),"Propelld",IF(ISNUMBER(SEARCH("vidyalakshmi",LOWER(W381&amp;"")),"PM Vidyalakshmi","—"))))))))))</f>
        <v/>
      </c>
      <c r="U381">
        <f>IF(A381="","",TRIM('01_Master_Data'!AA381&amp;""))</f>
        <v/>
      </c>
      <c r="V381">
        <f>IF(A381="","",TRIM('01_Master_Data'!AG381&amp;""))</f>
        <v/>
      </c>
      <c r="W381">
        <f>IF(A381="","",TRIM('01_Master_Data'!AH381&amp;""))</f>
        <v/>
      </c>
      <c r="X381">
        <f>IF(A381="","",IF(OR(LOWER(H381)="refund",LOWER(U381)="refund case"),"Refund",IF(OR(LOWER(H381)="dnp",LOWER(U381)="dnp"),"DNP",IF(OR(LOWER(V381)="disbursed",ISNUMBER(SEARCH("Disbursed",W381&amp;""))),"Disbursed",IF(OR(LOWER(V381)="loan proccessed/accepted",ISNUMBER(SEARCH("sanctioned",LOWER(W381&amp;"")))),"Sanctioned",IF(OR(LOWER(V381)="rejected",ISNUMBER(SEARCH("Not eligbile",W381&amp;"")),ISNUMBER(SEARCH("Not eligible",W381&amp;""))),"Rejected",IF(ISNUMBER(SEARCH("Docs Pending",W381&amp;"")),"Documents Pending",IF(AND(LOWER(H381)="yes",LOWER(V381)="ongoing"),"Processing",IF(AND(LOWER(H381)="yes",Q381&gt;0,OR(V381="",LOWER(V381)="not even started")),"Vendor Assigned",IF(AND(LOWER(H381)="yes",LOWER(V381)="not even started"),"Need Loan",IF(LOWER(H381)="yes","Loan Started",IF(LOWER(H381)="not sure","Interested",IF(OR(LOWER(H381)="no",LOWER(V381)="not required"),"Not Required","Unclassified")))))))))))))</f>
        <v/>
      </c>
      <c r="Y381">
        <f>IF(A381="","",IF(OR(X381="Sanctioned",X381="Disbursed",X381="Approved"),"Approved",IF(X381="Rejected","Rejected",IF(OR(X381="Processing",X381="Documents Pending",X381="Vendor Assigned"),"In Progress",IF(X381="Need Loan","Pending Start","—"))))</f>
        <v/>
      </c>
      <c r="Z381">
        <f>IF(A381="","",IF(X381="Disbursed","Disbursed",IF(X381="Sanctioned","Sanctioned - Awaiting Disbursement","Not Disbursed")))</f>
        <v/>
      </c>
      <c r="AA381">
        <f>IF(A381="","",IF(LOWER(TRIM('01_Master_Data'!AI381&amp;""))="yes","Need FLDG",IF(LOWER(TRIM('01_Master_Data'!AK381&amp;""))="yes","Need Vidyalakshmi",IF(LOWER(TRIM('01_Master_Data'!AJ381&amp;""))="yes","Need Review",IF(LOWER(J381)="critical","Critical",IF(LOWER(U381)="risk","Risk Case",IF(X381="Refund","Refund","Normal")))))))</f>
        <v/>
      </c>
      <c r="AB381">
        <f>IF(A381="","",IF(OR(LOWER(J381)="critical",LOWER(TRIM('01_Master_Data'!AI381&amp;""))="yes",LOWER(TRIM('01_Master_Data'!AK381&amp;""))="yes",LOWER(U381)="risk"),"Yes","No"))</f>
        <v/>
      </c>
      <c r="AC381">
        <f>IF(A381="","",IF(LOWER(TRIM('01_Master_Data'!AI381&amp;""))="yes","Yes","No"))</f>
        <v/>
      </c>
      <c r="AD381">
        <f>IF(A381="","",IF(LOWER(TRIM('01_Master_Data'!AK381&amp;""))="yes","Yes","No"))</f>
        <v/>
      </c>
      <c r="AE381">
        <f>IF(A381="","",IF(LOWER(TRIM('01_Master_Data'!AJ381&amp;""))="yes","Yes","No"))</f>
        <v/>
      </c>
      <c r="AF381">
        <f>IF(A381="","",TRIM('01_Master_Data'!AL381&amp;""))</f>
        <v/>
      </c>
      <c r="AG381">
        <f>IF(A381="","",IF(AF381="","—",IF(ISNUMBER(SEARCH("DNP",AF381)),"Unreachable / DNP",IF(ISNUMBER(SEARCH("interest",LOWER(AF381))),"High Interest / Terms",IF(OR(ISNUMBER(SEARCH("eligib",LOWER(AF381))),ISNUMBER(SEARCH("income",LOWER(AF381)))),"Eligibility / Income",IF(OR(ISNUMBER(SEARCH("start",LOWER(AF381))),ISNUMBER(SEARCH("Newer",AF381)),ISNUMBER(SEARCH("Will start",AF381))),"Process Yet to Start",IF(ISNUMBER(SEARCH("sure",LOWER(AF381))),"Undecided",IF(OR(ISNUMBER(SEARCH("reject",LOWER(AF381))),ISNUMBER(SEARCH("SBI",AF381))),"Rejected Elsewhere",IF(ISNUMBER(SEARCH("call",LOWER(AF381))),"Bank Communication",IF(OR(ISNUMBER(SEARCH("father",LOWER(AF381))),ISNUMBER(SEARCH("sister",LOWER(AF381)))),"Family / Dependency","Other"))))))))))</f>
        <v/>
      </c>
      <c r="AH381">
        <f>IF(A381="","",'01_Master_Data'!AC381)</f>
        <v/>
      </c>
      <c r="AI381">
        <f>IF(A381="","",IF(OR(AH381="",NOT(ISNUMBER(AH381))),"",MAX(0,'02_Configuration'!$B$82-AH381)))</f>
        <v/>
      </c>
      <c r="AJ381">
        <f>IF(A381="","",IF(AI381="","Unknown",IF(AI381&lt;=3,"0–3 Days",IF(AI381&lt;=7,"4–7 Days",IF(AI381&lt;=15,"8–15 Days",IF(AI381&lt;=30,"16–30 Days","30+ Days"))))))</f>
        <v/>
      </c>
      <c r="AK381">
        <f>IF(A381="","",IF(LOWER(H381)="yes","Yes","No"))</f>
        <v/>
      </c>
      <c r="AL381">
        <f>IF(A381="","",'01_Master_Data'!T381)</f>
        <v/>
      </c>
      <c r="AM381">
        <f>IF(A381="","",'01_Master_Data'!S381)</f>
        <v/>
      </c>
      <c r="AN381">
        <f>IF(A381="","",'01_Master_Data'!I381)</f>
        <v/>
      </c>
      <c r="AO381">
        <f>IF(A381="","",'01_Master_Data'!M381)</f>
        <v/>
      </c>
      <c r="AP381">
        <f>IF(A381="","",IF(ISNUMBER(SEARCH("Icici",W381&amp;"")),1,0))</f>
        <v/>
      </c>
      <c r="AQ381">
        <f>IF(A381="","",IF(ISNUMBER(SEARCH("Propelld",W381&amp;"")),1,0))</f>
        <v/>
      </c>
      <c r="AR381">
        <f>IF(A381="","",IF(ISNUMBER(SEARCH("GyanDhan",W381&amp;"")),1,0))</f>
        <v/>
      </c>
      <c r="AS381">
        <f>IF(A381="","",IF(ISNUMBER(SEARCH("vidyalakshmi",LOWER(W381&amp;""))),1,0))</f>
        <v/>
      </c>
      <c r="AT381">
        <f>IF(A381="","",IF(ISNUMBER(SEARCH("other bank",LOWER(W381&amp;""))),1,0))</f>
        <v/>
      </c>
      <c r="AU381">
        <f>IF(A381="","",IF(ISNUMBER(SEARCH("sanctioned",LOWER(W381&amp;""))),1,0))</f>
        <v/>
      </c>
      <c r="AV381">
        <f>IF(A381="","",IF(ISNUMBER(SEARCH("Docs Pending",W381&amp;"")),1,0))</f>
        <v/>
      </c>
      <c r="AW381">
        <f>IF(A381="","",IF(OR(X381="Rejected",ISNUMBER(SEARCH("Not eligbile",W381&amp;""))),1,0))</f>
        <v/>
      </c>
    </row>
    <row r="382">
      <c r="A382">
        <f>IF('01_Master_Data'!B382="","",381)</f>
        <v/>
      </c>
      <c r="B382">
        <f>IF('01_Master_Data'!B382="","",IF('01_Master_Data'!C382&lt;&gt;"","MOB|"&amp;TEXT('01_Master_Data'!C382,"0"),IF('01_Master_Data'!D382&lt;&gt;"","PID|"&amp;TRIM('01_Master_Data'!D382&amp;""),"")))</f>
        <v/>
      </c>
      <c r="C382">
        <f>IF('01_Master_Data'!B382="","",'01_Master_Data'!B382)</f>
        <v/>
      </c>
      <c r="D382">
        <f>IF('01_Master_Data'!B382="","",'01_Master_Data'!C382)</f>
        <v/>
      </c>
      <c r="E382">
        <f>IF('01_Master_Data'!B382="","",'01_Master_Data'!D382)</f>
        <v/>
      </c>
      <c r="F382">
        <f>IF('01_Master_Data'!B382="","",'01_Master_Data'!E382)</f>
        <v/>
      </c>
      <c r="G382">
        <f>IF('01_Master_Data'!B382="","",IFERROR(VLOOKUP(TRIM('01_Master_Data'!E382&amp;""),'02_Configuration'!$A$40:$B$44,2,FALSE),UPPER(TRIM('01_Master_Data'!E382&amp;""))))</f>
        <v/>
      </c>
      <c r="H382">
        <f>IF('01_Master_Data'!B382="","",IF('01_Master_Data'!U382="","",TRIM('01_Master_Data'!U382&amp;"")))</f>
        <v/>
      </c>
      <c r="I382">
        <f>IF('01_Master_Data'!B382="","",TRIM('01_Master_Data'!F382&amp;""))</f>
        <v/>
      </c>
      <c r="J382">
        <f>IF('01_Master_Data'!B382="","",TRIM('01_Master_Data'!G382&amp;""))</f>
        <v/>
      </c>
      <c r="K382">
        <f>IF('01_Master_Data'!B382="","",'01_Master_Data'!H382)</f>
        <v/>
      </c>
      <c r="L382">
        <f>IF('01_Master_Data'!B382="","",IF(LOWER(TRIM('01_Master_Data'!V382&amp;""))="yes",1,0))</f>
        <v/>
      </c>
      <c r="M382">
        <f>IF('01_Master_Data'!B382="","",IF(LOWER(TRIM('01_Master_Data'!W382&amp;""))="yes",1,0))</f>
        <v/>
      </c>
      <c r="N382">
        <f>IF('01_Master_Data'!B382="","",IF(LOWER(TRIM('01_Master_Data'!X382&amp;""))="yes",1,0))</f>
        <v/>
      </c>
      <c r="O382">
        <f>IF('01_Master_Data'!B382="","",IF(LOWER(TRIM('01_Master_Data'!Y382&amp;""))="yes",1,0))</f>
        <v/>
      </c>
      <c r="P382">
        <f>IF('01_Master_Data'!B382="","",IF(LOWER(TRIM('01_Master_Data'!Z382&amp;""))="yes",1,0))</f>
        <v/>
      </c>
      <c r="Q382">
        <f>IF(A382="","",L382+M382+N382+O382+P382)</f>
        <v/>
      </c>
      <c r="R382">
        <f>IF(A382="","",IF(Q382&gt;1,"Yes","No"))</f>
        <v/>
      </c>
      <c r="S382">
        <f>IF(A382="","",TEXTJOIN(", ",TRUE,IF(L382=1,"ICICI",""),IF(M382=1,"Propelld",""),IF(N382=1,"Study4Buddy",""),IF(O382=1,"Poonawala Fincorp",""),IF(P382=1,"GyanDhan","")))</f>
        <v/>
      </c>
      <c r="T382">
        <f>IF(A382="","",IF(L382=1,"ICICI",IF(M382=1,"Propelld",IF(P382=1,"GyanDhan",IF(N382=1,"Study4Buddy",IF(O382=1,"Poonawala Fincorp",IF(ISNUMBER(SEARCH("GyanDhan",W382&amp;"")),"GyanDhan",IF(ISNUMBER(SEARCH("Icici",W382&amp;"")),"ICICI",IF(ISNUMBER(SEARCH("Propelld",W382&amp;"")),"Propelld",IF(ISNUMBER(SEARCH("vidyalakshmi",LOWER(W382&amp;"")),"PM Vidyalakshmi","—"))))))))))</f>
        <v/>
      </c>
      <c r="U382">
        <f>IF(A382="","",TRIM('01_Master_Data'!AA382&amp;""))</f>
        <v/>
      </c>
      <c r="V382">
        <f>IF(A382="","",TRIM('01_Master_Data'!AG382&amp;""))</f>
        <v/>
      </c>
      <c r="W382">
        <f>IF(A382="","",TRIM('01_Master_Data'!AH382&amp;""))</f>
        <v/>
      </c>
      <c r="X382">
        <f>IF(A382="","",IF(OR(LOWER(H382)="refund",LOWER(U382)="refund case"),"Refund",IF(OR(LOWER(H382)="dnp",LOWER(U382)="dnp"),"DNP",IF(OR(LOWER(V382)="disbursed",ISNUMBER(SEARCH("Disbursed",W382&amp;""))),"Disbursed",IF(OR(LOWER(V382)="loan proccessed/accepted",ISNUMBER(SEARCH("sanctioned",LOWER(W382&amp;"")))),"Sanctioned",IF(OR(LOWER(V382)="rejected",ISNUMBER(SEARCH("Not eligbile",W382&amp;"")),ISNUMBER(SEARCH("Not eligible",W382&amp;""))),"Rejected",IF(ISNUMBER(SEARCH("Docs Pending",W382&amp;"")),"Documents Pending",IF(AND(LOWER(H382)="yes",LOWER(V382)="ongoing"),"Processing",IF(AND(LOWER(H382)="yes",Q382&gt;0,OR(V382="",LOWER(V382)="not even started")),"Vendor Assigned",IF(AND(LOWER(H382)="yes",LOWER(V382)="not even started"),"Need Loan",IF(LOWER(H382)="yes","Loan Started",IF(LOWER(H382)="not sure","Interested",IF(OR(LOWER(H382)="no",LOWER(V382)="not required"),"Not Required","Unclassified")))))))))))))</f>
        <v/>
      </c>
      <c r="Y382">
        <f>IF(A382="","",IF(OR(X382="Sanctioned",X382="Disbursed",X382="Approved"),"Approved",IF(X382="Rejected","Rejected",IF(OR(X382="Processing",X382="Documents Pending",X382="Vendor Assigned"),"In Progress",IF(X382="Need Loan","Pending Start","—"))))</f>
        <v/>
      </c>
      <c r="Z382">
        <f>IF(A382="","",IF(X382="Disbursed","Disbursed",IF(X382="Sanctioned","Sanctioned - Awaiting Disbursement","Not Disbursed")))</f>
        <v/>
      </c>
      <c r="AA382">
        <f>IF(A382="","",IF(LOWER(TRIM('01_Master_Data'!AI382&amp;""))="yes","Need FLDG",IF(LOWER(TRIM('01_Master_Data'!AK382&amp;""))="yes","Need Vidyalakshmi",IF(LOWER(TRIM('01_Master_Data'!AJ382&amp;""))="yes","Need Review",IF(LOWER(J382)="critical","Critical",IF(LOWER(U382)="risk","Risk Case",IF(X382="Refund","Refund","Normal")))))))</f>
        <v/>
      </c>
      <c r="AB382">
        <f>IF(A382="","",IF(OR(LOWER(J382)="critical",LOWER(TRIM('01_Master_Data'!AI382&amp;""))="yes",LOWER(TRIM('01_Master_Data'!AK382&amp;""))="yes",LOWER(U382)="risk"),"Yes","No"))</f>
        <v/>
      </c>
      <c r="AC382">
        <f>IF(A382="","",IF(LOWER(TRIM('01_Master_Data'!AI382&amp;""))="yes","Yes","No"))</f>
        <v/>
      </c>
      <c r="AD382">
        <f>IF(A382="","",IF(LOWER(TRIM('01_Master_Data'!AK382&amp;""))="yes","Yes","No"))</f>
        <v/>
      </c>
      <c r="AE382">
        <f>IF(A382="","",IF(LOWER(TRIM('01_Master_Data'!AJ382&amp;""))="yes","Yes","No"))</f>
        <v/>
      </c>
      <c r="AF382">
        <f>IF(A382="","",TRIM('01_Master_Data'!AL382&amp;""))</f>
        <v/>
      </c>
      <c r="AG382">
        <f>IF(A382="","",IF(AF382="","—",IF(ISNUMBER(SEARCH("DNP",AF382)),"Unreachable / DNP",IF(ISNUMBER(SEARCH("interest",LOWER(AF382))),"High Interest / Terms",IF(OR(ISNUMBER(SEARCH("eligib",LOWER(AF382))),ISNUMBER(SEARCH("income",LOWER(AF382)))),"Eligibility / Income",IF(OR(ISNUMBER(SEARCH("start",LOWER(AF382))),ISNUMBER(SEARCH("Newer",AF382)),ISNUMBER(SEARCH("Will start",AF382))),"Process Yet to Start",IF(ISNUMBER(SEARCH("sure",LOWER(AF382))),"Undecided",IF(OR(ISNUMBER(SEARCH("reject",LOWER(AF382))),ISNUMBER(SEARCH("SBI",AF382))),"Rejected Elsewhere",IF(ISNUMBER(SEARCH("call",LOWER(AF382))),"Bank Communication",IF(OR(ISNUMBER(SEARCH("father",LOWER(AF382))),ISNUMBER(SEARCH("sister",LOWER(AF382)))),"Family / Dependency","Other"))))))))))</f>
        <v/>
      </c>
      <c r="AH382">
        <f>IF(A382="","",'01_Master_Data'!AC382)</f>
        <v/>
      </c>
      <c r="AI382">
        <f>IF(A382="","",IF(OR(AH382="",NOT(ISNUMBER(AH382))),"",MAX(0,'02_Configuration'!$B$82-AH382)))</f>
        <v/>
      </c>
      <c r="AJ382">
        <f>IF(A382="","",IF(AI382="","Unknown",IF(AI382&lt;=3,"0–3 Days",IF(AI382&lt;=7,"4–7 Days",IF(AI382&lt;=15,"8–15 Days",IF(AI382&lt;=30,"16–30 Days","30+ Days"))))))</f>
        <v/>
      </c>
      <c r="AK382">
        <f>IF(A382="","",IF(LOWER(H382)="yes","Yes","No"))</f>
        <v/>
      </c>
      <c r="AL382">
        <f>IF(A382="","",'01_Master_Data'!T382)</f>
        <v/>
      </c>
      <c r="AM382">
        <f>IF(A382="","",'01_Master_Data'!S382)</f>
        <v/>
      </c>
      <c r="AN382">
        <f>IF(A382="","",'01_Master_Data'!I382)</f>
        <v/>
      </c>
      <c r="AO382">
        <f>IF(A382="","",'01_Master_Data'!M382)</f>
        <v/>
      </c>
      <c r="AP382">
        <f>IF(A382="","",IF(ISNUMBER(SEARCH("Icici",W382&amp;"")),1,0))</f>
        <v/>
      </c>
      <c r="AQ382">
        <f>IF(A382="","",IF(ISNUMBER(SEARCH("Propelld",W382&amp;"")),1,0))</f>
        <v/>
      </c>
      <c r="AR382">
        <f>IF(A382="","",IF(ISNUMBER(SEARCH("GyanDhan",W382&amp;"")),1,0))</f>
        <v/>
      </c>
      <c r="AS382">
        <f>IF(A382="","",IF(ISNUMBER(SEARCH("vidyalakshmi",LOWER(W382&amp;""))),1,0))</f>
        <v/>
      </c>
      <c r="AT382">
        <f>IF(A382="","",IF(ISNUMBER(SEARCH("other bank",LOWER(W382&amp;""))),1,0))</f>
        <v/>
      </c>
      <c r="AU382">
        <f>IF(A382="","",IF(ISNUMBER(SEARCH("sanctioned",LOWER(W382&amp;""))),1,0))</f>
        <v/>
      </c>
      <c r="AV382">
        <f>IF(A382="","",IF(ISNUMBER(SEARCH("Docs Pending",W382&amp;"")),1,0))</f>
        <v/>
      </c>
      <c r="AW382">
        <f>IF(A382="","",IF(OR(X382="Rejected",ISNUMBER(SEARCH("Not eligbile",W382&amp;""))),1,0))</f>
        <v/>
      </c>
    </row>
    <row r="383">
      <c r="A383">
        <f>IF('01_Master_Data'!B383="","",382)</f>
        <v/>
      </c>
      <c r="B383">
        <f>IF('01_Master_Data'!B383="","",IF('01_Master_Data'!C383&lt;&gt;"","MOB|"&amp;TEXT('01_Master_Data'!C383,"0"),IF('01_Master_Data'!D383&lt;&gt;"","PID|"&amp;TRIM('01_Master_Data'!D383&amp;""),"")))</f>
        <v/>
      </c>
      <c r="C383">
        <f>IF('01_Master_Data'!B383="","",'01_Master_Data'!B383)</f>
        <v/>
      </c>
      <c r="D383">
        <f>IF('01_Master_Data'!B383="","",'01_Master_Data'!C383)</f>
        <v/>
      </c>
      <c r="E383">
        <f>IF('01_Master_Data'!B383="","",'01_Master_Data'!D383)</f>
        <v/>
      </c>
      <c r="F383">
        <f>IF('01_Master_Data'!B383="","",'01_Master_Data'!E383)</f>
        <v/>
      </c>
      <c r="G383">
        <f>IF('01_Master_Data'!B383="","",IFERROR(VLOOKUP(TRIM('01_Master_Data'!E383&amp;""),'02_Configuration'!$A$40:$B$44,2,FALSE),UPPER(TRIM('01_Master_Data'!E383&amp;""))))</f>
        <v/>
      </c>
      <c r="H383">
        <f>IF('01_Master_Data'!B383="","",IF('01_Master_Data'!U383="","",TRIM('01_Master_Data'!U383&amp;"")))</f>
        <v/>
      </c>
      <c r="I383">
        <f>IF('01_Master_Data'!B383="","",TRIM('01_Master_Data'!F383&amp;""))</f>
        <v/>
      </c>
      <c r="J383">
        <f>IF('01_Master_Data'!B383="","",TRIM('01_Master_Data'!G383&amp;""))</f>
        <v/>
      </c>
      <c r="K383">
        <f>IF('01_Master_Data'!B383="","",'01_Master_Data'!H383)</f>
        <v/>
      </c>
      <c r="L383">
        <f>IF('01_Master_Data'!B383="","",IF(LOWER(TRIM('01_Master_Data'!V383&amp;""))="yes",1,0))</f>
        <v/>
      </c>
      <c r="M383">
        <f>IF('01_Master_Data'!B383="","",IF(LOWER(TRIM('01_Master_Data'!W383&amp;""))="yes",1,0))</f>
        <v/>
      </c>
      <c r="N383">
        <f>IF('01_Master_Data'!B383="","",IF(LOWER(TRIM('01_Master_Data'!X383&amp;""))="yes",1,0))</f>
        <v/>
      </c>
      <c r="O383">
        <f>IF('01_Master_Data'!B383="","",IF(LOWER(TRIM('01_Master_Data'!Y383&amp;""))="yes",1,0))</f>
        <v/>
      </c>
      <c r="P383">
        <f>IF('01_Master_Data'!B383="","",IF(LOWER(TRIM('01_Master_Data'!Z383&amp;""))="yes",1,0))</f>
        <v/>
      </c>
      <c r="Q383">
        <f>IF(A383="","",L383+M383+N383+O383+P383)</f>
        <v/>
      </c>
      <c r="R383">
        <f>IF(A383="","",IF(Q383&gt;1,"Yes","No"))</f>
        <v/>
      </c>
      <c r="S383">
        <f>IF(A383="","",TEXTJOIN(", ",TRUE,IF(L383=1,"ICICI",""),IF(M383=1,"Propelld",""),IF(N383=1,"Study4Buddy",""),IF(O383=1,"Poonawala Fincorp",""),IF(P383=1,"GyanDhan","")))</f>
        <v/>
      </c>
      <c r="T383">
        <f>IF(A383="","",IF(L383=1,"ICICI",IF(M383=1,"Propelld",IF(P383=1,"GyanDhan",IF(N383=1,"Study4Buddy",IF(O383=1,"Poonawala Fincorp",IF(ISNUMBER(SEARCH("GyanDhan",W383&amp;"")),"GyanDhan",IF(ISNUMBER(SEARCH("Icici",W383&amp;"")),"ICICI",IF(ISNUMBER(SEARCH("Propelld",W383&amp;"")),"Propelld",IF(ISNUMBER(SEARCH("vidyalakshmi",LOWER(W383&amp;"")),"PM Vidyalakshmi","—"))))))))))</f>
        <v/>
      </c>
      <c r="U383">
        <f>IF(A383="","",TRIM('01_Master_Data'!AA383&amp;""))</f>
        <v/>
      </c>
      <c r="V383">
        <f>IF(A383="","",TRIM('01_Master_Data'!AG383&amp;""))</f>
        <v/>
      </c>
      <c r="W383">
        <f>IF(A383="","",TRIM('01_Master_Data'!AH383&amp;""))</f>
        <v/>
      </c>
      <c r="X383">
        <f>IF(A383="","",IF(OR(LOWER(H383)="refund",LOWER(U383)="refund case"),"Refund",IF(OR(LOWER(H383)="dnp",LOWER(U383)="dnp"),"DNP",IF(OR(LOWER(V383)="disbursed",ISNUMBER(SEARCH("Disbursed",W383&amp;""))),"Disbursed",IF(OR(LOWER(V383)="loan proccessed/accepted",ISNUMBER(SEARCH("sanctioned",LOWER(W383&amp;"")))),"Sanctioned",IF(OR(LOWER(V383)="rejected",ISNUMBER(SEARCH("Not eligbile",W383&amp;"")),ISNUMBER(SEARCH("Not eligible",W383&amp;""))),"Rejected",IF(ISNUMBER(SEARCH("Docs Pending",W383&amp;"")),"Documents Pending",IF(AND(LOWER(H383)="yes",LOWER(V383)="ongoing"),"Processing",IF(AND(LOWER(H383)="yes",Q383&gt;0,OR(V383="",LOWER(V383)="not even started")),"Vendor Assigned",IF(AND(LOWER(H383)="yes",LOWER(V383)="not even started"),"Need Loan",IF(LOWER(H383)="yes","Loan Started",IF(LOWER(H383)="not sure","Interested",IF(OR(LOWER(H383)="no",LOWER(V383)="not required"),"Not Required","Unclassified")))))))))))))</f>
        <v/>
      </c>
      <c r="Y383">
        <f>IF(A383="","",IF(OR(X383="Sanctioned",X383="Disbursed",X383="Approved"),"Approved",IF(X383="Rejected","Rejected",IF(OR(X383="Processing",X383="Documents Pending",X383="Vendor Assigned"),"In Progress",IF(X383="Need Loan","Pending Start","—"))))</f>
        <v/>
      </c>
      <c r="Z383">
        <f>IF(A383="","",IF(X383="Disbursed","Disbursed",IF(X383="Sanctioned","Sanctioned - Awaiting Disbursement","Not Disbursed")))</f>
        <v/>
      </c>
      <c r="AA383">
        <f>IF(A383="","",IF(LOWER(TRIM('01_Master_Data'!AI383&amp;""))="yes","Need FLDG",IF(LOWER(TRIM('01_Master_Data'!AK383&amp;""))="yes","Need Vidyalakshmi",IF(LOWER(TRIM('01_Master_Data'!AJ383&amp;""))="yes","Need Review",IF(LOWER(J383)="critical","Critical",IF(LOWER(U383)="risk","Risk Case",IF(X383="Refund","Refund","Normal")))))))</f>
        <v/>
      </c>
      <c r="AB383">
        <f>IF(A383="","",IF(OR(LOWER(J383)="critical",LOWER(TRIM('01_Master_Data'!AI383&amp;""))="yes",LOWER(TRIM('01_Master_Data'!AK383&amp;""))="yes",LOWER(U383)="risk"),"Yes","No"))</f>
        <v/>
      </c>
      <c r="AC383">
        <f>IF(A383="","",IF(LOWER(TRIM('01_Master_Data'!AI383&amp;""))="yes","Yes","No"))</f>
        <v/>
      </c>
      <c r="AD383">
        <f>IF(A383="","",IF(LOWER(TRIM('01_Master_Data'!AK383&amp;""))="yes","Yes","No"))</f>
        <v/>
      </c>
      <c r="AE383">
        <f>IF(A383="","",IF(LOWER(TRIM('01_Master_Data'!AJ383&amp;""))="yes","Yes","No"))</f>
        <v/>
      </c>
      <c r="AF383">
        <f>IF(A383="","",TRIM('01_Master_Data'!AL383&amp;""))</f>
        <v/>
      </c>
      <c r="AG383">
        <f>IF(A383="","",IF(AF383="","—",IF(ISNUMBER(SEARCH("DNP",AF383)),"Unreachable / DNP",IF(ISNUMBER(SEARCH("interest",LOWER(AF383))),"High Interest / Terms",IF(OR(ISNUMBER(SEARCH("eligib",LOWER(AF383))),ISNUMBER(SEARCH("income",LOWER(AF383)))),"Eligibility / Income",IF(OR(ISNUMBER(SEARCH("start",LOWER(AF383))),ISNUMBER(SEARCH("Newer",AF383)),ISNUMBER(SEARCH("Will start",AF383))),"Process Yet to Start",IF(ISNUMBER(SEARCH("sure",LOWER(AF383))),"Undecided",IF(OR(ISNUMBER(SEARCH("reject",LOWER(AF383))),ISNUMBER(SEARCH("SBI",AF383))),"Rejected Elsewhere",IF(ISNUMBER(SEARCH("call",LOWER(AF383))),"Bank Communication",IF(OR(ISNUMBER(SEARCH("father",LOWER(AF383))),ISNUMBER(SEARCH("sister",LOWER(AF383)))),"Family / Dependency","Other"))))))))))</f>
        <v/>
      </c>
      <c r="AH383">
        <f>IF(A383="","",'01_Master_Data'!AC383)</f>
        <v/>
      </c>
      <c r="AI383">
        <f>IF(A383="","",IF(OR(AH383="",NOT(ISNUMBER(AH383))),"",MAX(0,'02_Configuration'!$B$82-AH383)))</f>
        <v/>
      </c>
      <c r="AJ383">
        <f>IF(A383="","",IF(AI383="","Unknown",IF(AI383&lt;=3,"0–3 Days",IF(AI383&lt;=7,"4–7 Days",IF(AI383&lt;=15,"8–15 Days",IF(AI383&lt;=30,"16–30 Days","30+ Days"))))))</f>
        <v/>
      </c>
      <c r="AK383">
        <f>IF(A383="","",IF(LOWER(H383)="yes","Yes","No"))</f>
        <v/>
      </c>
      <c r="AL383">
        <f>IF(A383="","",'01_Master_Data'!T383)</f>
        <v/>
      </c>
      <c r="AM383">
        <f>IF(A383="","",'01_Master_Data'!S383)</f>
        <v/>
      </c>
      <c r="AN383">
        <f>IF(A383="","",'01_Master_Data'!I383)</f>
        <v/>
      </c>
      <c r="AO383">
        <f>IF(A383="","",'01_Master_Data'!M383)</f>
        <v/>
      </c>
      <c r="AP383">
        <f>IF(A383="","",IF(ISNUMBER(SEARCH("Icici",W383&amp;"")),1,0))</f>
        <v/>
      </c>
      <c r="AQ383">
        <f>IF(A383="","",IF(ISNUMBER(SEARCH("Propelld",W383&amp;"")),1,0))</f>
        <v/>
      </c>
      <c r="AR383">
        <f>IF(A383="","",IF(ISNUMBER(SEARCH("GyanDhan",W383&amp;"")),1,0))</f>
        <v/>
      </c>
      <c r="AS383">
        <f>IF(A383="","",IF(ISNUMBER(SEARCH("vidyalakshmi",LOWER(W383&amp;""))),1,0))</f>
        <v/>
      </c>
      <c r="AT383">
        <f>IF(A383="","",IF(ISNUMBER(SEARCH("other bank",LOWER(W383&amp;""))),1,0))</f>
        <v/>
      </c>
      <c r="AU383">
        <f>IF(A383="","",IF(ISNUMBER(SEARCH("sanctioned",LOWER(W383&amp;""))),1,0))</f>
        <v/>
      </c>
      <c r="AV383">
        <f>IF(A383="","",IF(ISNUMBER(SEARCH("Docs Pending",W383&amp;"")),1,0))</f>
        <v/>
      </c>
      <c r="AW383">
        <f>IF(A383="","",IF(OR(X383="Rejected",ISNUMBER(SEARCH("Not eligbile",W383&amp;""))),1,0))</f>
        <v/>
      </c>
    </row>
    <row r="384">
      <c r="A384">
        <f>IF('01_Master_Data'!B384="","",383)</f>
        <v/>
      </c>
      <c r="B384">
        <f>IF('01_Master_Data'!B384="","",IF('01_Master_Data'!C384&lt;&gt;"","MOB|"&amp;TEXT('01_Master_Data'!C384,"0"),IF('01_Master_Data'!D384&lt;&gt;"","PID|"&amp;TRIM('01_Master_Data'!D384&amp;""),"")))</f>
        <v/>
      </c>
      <c r="C384">
        <f>IF('01_Master_Data'!B384="","",'01_Master_Data'!B384)</f>
        <v/>
      </c>
      <c r="D384">
        <f>IF('01_Master_Data'!B384="","",'01_Master_Data'!C384)</f>
        <v/>
      </c>
      <c r="E384">
        <f>IF('01_Master_Data'!B384="","",'01_Master_Data'!D384)</f>
        <v/>
      </c>
      <c r="F384">
        <f>IF('01_Master_Data'!B384="","",'01_Master_Data'!E384)</f>
        <v/>
      </c>
      <c r="G384">
        <f>IF('01_Master_Data'!B384="","",IFERROR(VLOOKUP(TRIM('01_Master_Data'!E384&amp;""),'02_Configuration'!$A$40:$B$44,2,FALSE),UPPER(TRIM('01_Master_Data'!E384&amp;""))))</f>
        <v/>
      </c>
      <c r="H384">
        <f>IF('01_Master_Data'!B384="","",IF('01_Master_Data'!U384="","",TRIM('01_Master_Data'!U384&amp;"")))</f>
        <v/>
      </c>
      <c r="I384">
        <f>IF('01_Master_Data'!B384="","",TRIM('01_Master_Data'!F384&amp;""))</f>
        <v/>
      </c>
      <c r="J384">
        <f>IF('01_Master_Data'!B384="","",TRIM('01_Master_Data'!G384&amp;""))</f>
        <v/>
      </c>
      <c r="K384">
        <f>IF('01_Master_Data'!B384="","",'01_Master_Data'!H384)</f>
        <v/>
      </c>
      <c r="L384">
        <f>IF('01_Master_Data'!B384="","",IF(LOWER(TRIM('01_Master_Data'!V384&amp;""))="yes",1,0))</f>
        <v/>
      </c>
      <c r="M384">
        <f>IF('01_Master_Data'!B384="","",IF(LOWER(TRIM('01_Master_Data'!W384&amp;""))="yes",1,0))</f>
        <v/>
      </c>
      <c r="N384">
        <f>IF('01_Master_Data'!B384="","",IF(LOWER(TRIM('01_Master_Data'!X384&amp;""))="yes",1,0))</f>
        <v/>
      </c>
      <c r="O384">
        <f>IF('01_Master_Data'!B384="","",IF(LOWER(TRIM('01_Master_Data'!Y384&amp;""))="yes",1,0))</f>
        <v/>
      </c>
      <c r="P384">
        <f>IF('01_Master_Data'!B384="","",IF(LOWER(TRIM('01_Master_Data'!Z384&amp;""))="yes",1,0))</f>
        <v/>
      </c>
      <c r="Q384">
        <f>IF(A384="","",L384+M384+N384+O384+P384)</f>
        <v/>
      </c>
      <c r="R384">
        <f>IF(A384="","",IF(Q384&gt;1,"Yes","No"))</f>
        <v/>
      </c>
      <c r="S384">
        <f>IF(A384="","",TEXTJOIN(", ",TRUE,IF(L384=1,"ICICI",""),IF(M384=1,"Propelld",""),IF(N384=1,"Study4Buddy",""),IF(O384=1,"Poonawala Fincorp",""),IF(P384=1,"GyanDhan","")))</f>
        <v/>
      </c>
      <c r="T384">
        <f>IF(A384="","",IF(L384=1,"ICICI",IF(M384=1,"Propelld",IF(P384=1,"GyanDhan",IF(N384=1,"Study4Buddy",IF(O384=1,"Poonawala Fincorp",IF(ISNUMBER(SEARCH("GyanDhan",W384&amp;"")),"GyanDhan",IF(ISNUMBER(SEARCH("Icici",W384&amp;"")),"ICICI",IF(ISNUMBER(SEARCH("Propelld",W384&amp;"")),"Propelld",IF(ISNUMBER(SEARCH("vidyalakshmi",LOWER(W384&amp;"")),"PM Vidyalakshmi","—"))))))))))</f>
        <v/>
      </c>
      <c r="U384">
        <f>IF(A384="","",TRIM('01_Master_Data'!AA384&amp;""))</f>
        <v/>
      </c>
      <c r="V384">
        <f>IF(A384="","",TRIM('01_Master_Data'!AG384&amp;""))</f>
        <v/>
      </c>
      <c r="W384">
        <f>IF(A384="","",TRIM('01_Master_Data'!AH384&amp;""))</f>
        <v/>
      </c>
      <c r="X384">
        <f>IF(A384="","",IF(OR(LOWER(H384)="refund",LOWER(U384)="refund case"),"Refund",IF(OR(LOWER(H384)="dnp",LOWER(U384)="dnp"),"DNP",IF(OR(LOWER(V384)="disbursed",ISNUMBER(SEARCH("Disbursed",W384&amp;""))),"Disbursed",IF(OR(LOWER(V384)="loan proccessed/accepted",ISNUMBER(SEARCH("sanctioned",LOWER(W384&amp;"")))),"Sanctioned",IF(OR(LOWER(V384)="rejected",ISNUMBER(SEARCH("Not eligbile",W384&amp;"")),ISNUMBER(SEARCH("Not eligible",W384&amp;""))),"Rejected",IF(ISNUMBER(SEARCH("Docs Pending",W384&amp;"")),"Documents Pending",IF(AND(LOWER(H384)="yes",LOWER(V384)="ongoing"),"Processing",IF(AND(LOWER(H384)="yes",Q384&gt;0,OR(V384="",LOWER(V384)="not even started")),"Vendor Assigned",IF(AND(LOWER(H384)="yes",LOWER(V384)="not even started"),"Need Loan",IF(LOWER(H384)="yes","Loan Started",IF(LOWER(H384)="not sure","Interested",IF(OR(LOWER(H384)="no",LOWER(V384)="not required"),"Not Required","Unclassified")))))))))))))</f>
        <v/>
      </c>
      <c r="Y384">
        <f>IF(A384="","",IF(OR(X384="Sanctioned",X384="Disbursed",X384="Approved"),"Approved",IF(X384="Rejected","Rejected",IF(OR(X384="Processing",X384="Documents Pending",X384="Vendor Assigned"),"In Progress",IF(X384="Need Loan","Pending Start","—"))))</f>
        <v/>
      </c>
      <c r="Z384">
        <f>IF(A384="","",IF(X384="Disbursed","Disbursed",IF(X384="Sanctioned","Sanctioned - Awaiting Disbursement","Not Disbursed")))</f>
        <v/>
      </c>
      <c r="AA384">
        <f>IF(A384="","",IF(LOWER(TRIM('01_Master_Data'!AI384&amp;""))="yes","Need FLDG",IF(LOWER(TRIM('01_Master_Data'!AK384&amp;""))="yes","Need Vidyalakshmi",IF(LOWER(TRIM('01_Master_Data'!AJ384&amp;""))="yes","Need Review",IF(LOWER(J384)="critical","Critical",IF(LOWER(U384)="risk","Risk Case",IF(X384="Refund","Refund","Normal")))))))</f>
        <v/>
      </c>
      <c r="AB384">
        <f>IF(A384="","",IF(OR(LOWER(J384)="critical",LOWER(TRIM('01_Master_Data'!AI384&amp;""))="yes",LOWER(TRIM('01_Master_Data'!AK384&amp;""))="yes",LOWER(U384)="risk"),"Yes","No"))</f>
        <v/>
      </c>
      <c r="AC384">
        <f>IF(A384="","",IF(LOWER(TRIM('01_Master_Data'!AI384&amp;""))="yes","Yes","No"))</f>
        <v/>
      </c>
      <c r="AD384">
        <f>IF(A384="","",IF(LOWER(TRIM('01_Master_Data'!AK384&amp;""))="yes","Yes","No"))</f>
        <v/>
      </c>
      <c r="AE384">
        <f>IF(A384="","",IF(LOWER(TRIM('01_Master_Data'!AJ384&amp;""))="yes","Yes","No"))</f>
        <v/>
      </c>
      <c r="AF384">
        <f>IF(A384="","",TRIM('01_Master_Data'!AL384&amp;""))</f>
        <v/>
      </c>
      <c r="AG384">
        <f>IF(A384="","",IF(AF384="","—",IF(ISNUMBER(SEARCH("DNP",AF384)),"Unreachable / DNP",IF(ISNUMBER(SEARCH("interest",LOWER(AF384))),"High Interest / Terms",IF(OR(ISNUMBER(SEARCH("eligib",LOWER(AF384))),ISNUMBER(SEARCH("income",LOWER(AF384)))),"Eligibility / Income",IF(OR(ISNUMBER(SEARCH("start",LOWER(AF384))),ISNUMBER(SEARCH("Newer",AF384)),ISNUMBER(SEARCH("Will start",AF384))),"Process Yet to Start",IF(ISNUMBER(SEARCH("sure",LOWER(AF384))),"Undecided",IF(OR(ISNUMBER(SEARCH("reject",LOWER(AF384))),ISNUMBER(SEARCH("SBI",AF384))),"Rejected Elsewhere",IF(ISNUMBER(SEARCH("call",LOWER(AF384))),"Bank Communication",IF(OR(ISNUMBER(SEARCH("father",LOWER(AF384))),ISNUMBER(SEARCH("sister",LOWER(AF384)))),"Family / Dependency","Other"))))))))))</f>
        <v/>
      </c>
      <c r="AH384">
        <f>IF(A384="","",'01_Master_Data'!AC384)</f>
        <v/>
      </c>
      <c r="AI384">
        <f>IF(A384="","",IF(OR(AH384="",NOT(ISNUMBER(AH384))),"",MAX(0,'02_Configuration'!$B$82-AH384)))</f>
        <v/>
      </c>
      <c r="AJ384">
        <f>IF(A384="","",IF(AI384="","Unknown",IF(AI384&lt;=3,"0–3 Days",IF(AI384&lt;=7,"4–7 Days",IF(AI384&lt;=15,"8–15 Days",IF(AI384&lt;=30,"16–30 Days","30+ Days"))))))</f>
        <v/>
      </c>
      <c r="AK384">
        <f>IF(A384="","",IF(LOWER(H384)="yes","Yes","No"))</f>
        <v/>
      </c>
      <c r="AL384">
        <f>IF(A384="","",'01_Master_Data'!T384)</f>
        <v/>
      </c>
      <c r="AM384">
        <f>IF(A384="","",'01_Master_Data'!S384)</f>
        <v/>
      </c>
      <c r="AN384">
        <f>IF(A384="","",'01_Master_Data'!I384)</f>
        <v/>
      </c>
      <c r="AO384">
        <f>IF(A384="","",'01_Master_Data'!M384)</f>
        <v/>
      </c>
      <c r="AP384">
        <f>IF(A384="","",IF(ISNUMBER(SEARCH("Icici",W384&amp;"")),1,0))</f>
        <v/>
      </c>
      <c r="AQ384">
        <f>IF(A384="","",IF(ISNUMBER(SEARCH("Propelld",W384&amp;"")),1,0))</f>
        <v/>
      </c>
      <c r="AR384">
        <f>IF(A384="","",IF(ISNUMBER(SEARCH("GyanDhan",W384&amp;"")),1,0))</f>
        <v/>
      </c>
      <c r="AS384">
        <f>IF(A384="","",IF(ISNUMBER(SEARCH("vidyalakshmi",LOWER(W384&amp;""))),1,0))</f>
        <v/>
      </c>
      <c r="AT384">
        <f>IF(A384="","",IF(ISNUMBER(SEARCH("other bank",LOWER(W384&amp;""))),1,0))</f>
        <v/>
      </c>
      <c r="AU384">
        <f>IF(A384="","",IF(ISNUMBER(SEARCH("sanctioned",LOWER(W384&amp;""))),1,0))</f>
        <v/>
      </c>
      <c r="AV384">
        <f>IF(A384="","",IF(ISNUMBER(SEARCH("Docs Pending",W384&amp;"")),1,0))</f>
        <v/>
      </c>
      <c r="AW384">
        <f>IF(A384="","",IF(OR(X384="Rejected",ISNUMBER(SEARCH("Not eligbile",W384&amp;""))),1,0))</f>
        <v/>
      </c>
    </row>
    <row r="385">
      <c r="A385">
        <f>IF('01_Master_Data'!B385="","",384)</f>
        <v/>
      </c>
      <c r="B385">
        <f>IF('01_Master_Data'!B385="","",IF('01_Master_Data'!C385&lt;&gt;"","MOB|"&amp;TEXT('01_Master_Data'!C385,"0"),IF('01_Master_Data'!D385&lt;&gt;"","PID|"&amp;TRIM('01_Master_Data'!D385&amp;""),"")))</f>
        <v/>
      </c>
      <c r="C385">
        <f>IF('01_Master_Data'!B385="","",'01_Master_Data'!B385)</f>
        <v/>
      </c>
      <c r="D385">
        <f>IF('01_Master_Data'!B385="","",'01_Master_Data'!C385)</f>
        <v/>
      </c>
      <c r="E385">
        <f>IF('01_Master_Data'!B385="","",'01_Master_Data'!D385)</f>
        <v/>
      </c>
      <c r="F385">
        <f>IF('01_Master_Data'!B385="","",'01_Master_Data'!E385)</f>
        <v/>
      </c>
      <c r="G385">
        <f>IF('01_Master_Data'!B385="","",IFERROR(VLOOKUP(TRIM('01_Master_Data'!E385&amp;""),'02_Configuration'!$A$40:$B$44,2,FALSE),UPPER(TRIM('01_Master_Data'!E385&amp;""))))</f>
        <v/>
      </c>
      <c r="H385">
        <f>IF('01_Master_Data'!B385="","",IF('01_Master_Data'!U385="","",TRIM('01_Master_Data'!U385&amp;"")))</f>
        <v/>
      </c>
      <c r="I385">
        <f>IF('01_Master_Data'!B385="","",TRIM('01_Master_Data'!F385&amp;""))</f>
        <v/>
      </c>
      <c r="J385">
        <f>IF('01_Master_Data'!B385="","",TRIM('01_Master_Data'!G385&amp;""))</f>
        <v/>
      </c>
      <c r="K385">
        <f>IF('01_Master_Data'!B385="","",'01_Master_Data'!H385)</f>
        <v/>
      </c>
      <c r="L385">
        <f>IF('01_Master_Data'!B385="","",IF(LOWER(TRIM('01_Master_Data'!V385&amp;""))="yes",1,0))</f>
        <v/>
      </c>
      <c r="M385">
        <f>IF('01_Master_Data'!B385="","",IF(LOWER(TRIM('01_Master_Data'!W385&amp;""))="yes",1,0))</f>
        <v/>
      </c>
      <c r="N385">
        <f>IF('01_Master_Data'!B385="","",IF(LOWER(TRIM('01_Master_Data'!X385&amp;""))="yes",1,0))</f>
        <v/>
      </c>
      <c r="O385">
        <f>IF('01_Master_Data'!B385="","",IF(LOWER(TRIM('01_Master_Data'!Y385&amp;""))="yes",1,0))</f>
        <v/>
      </c>
      <c r="P385">
        <f>IF('01_Master_Data'!B385="","",IF(LOWER(TRIM('01_Master_Data'!Z385&amp;""))="yes",1,0))</f>
        <v/>
      </c>
      <c r="Q385">
        <f>IF(A385="","",L385+M385+N385+O385+P385)</f>
        <v/>
      </c>
      <c r="R385">
        <f>IF(A385="","",IF(Q385&gt;1,"Yes","No"))</f>
        <v/>
      </c>
      <c r="S385">
        <f>IF(A385="","",TEXTJOIN(", ",TRUE,IF(L385=1,"ICICI",""),IF(M385=1,"Propelld",""),IF(N385=1,"Study4Buddy",""),IF(O385=1,"Poonawala Fincorp",""),IF(P385=1,"GyanDhan","")))</f>
        <v/>
      </c>
      <c r="T385">
        <f>IF(A385="","",IF(L385=1,"ICICI",IF(M385=1,"Propelld",IF(P385=1,"GyanDhan",IF(N385=1,"Study4Buddy",IF(O385=1,"Poonawala Fincorp",IF(ISNUMBER(SEARCH("GyanDhan",W385&amp;"")),"GyanDhan",IF(ISNUMBER(SEARCH("Icici",W385&amp;"")),"ICICI",IF(ISNUMBER(SEARCH("Propelld",W385&amp;"")),"Propelld",IF(ISNUMBER(SEARCH("vidyalakshmi",LOWER(W385&amp;"")),"PM Vidyalakshmi","—"))))))))))</f>
        <v/>
      </c>
      <c r="U385">
        <f>IF(A385="","",TRIM('01_Master_Data'!AA385&amp;""))</f>
        <v/>
      </c>
      <c r="V385">
        <f>IF(A385="","",TRIM('01_Master_Data'!AG385&amp;""))</f>
        <v/>
      </c>
      <c r="W385">
        <f>IF(A385="","",TRIM('01_Master_Data'!AH385&amp;""))</f>
        <v/>
      </c>
      <c r="X385">
        <f>IF(A385="","",IF(OR(LOWER(H385)="refund",LOWER(U385)="refund case"),"Refund",IF(OR(LOWER(H385)="dnp",LOWER(U385)="dnp"),"DNP",IF(OR(LOWER(V385)="disbursed",ISNUMBER(SEARCH("Disbursed",W385&amp;""))),"Disbursed",IF(OR(LOWER(V385)="loan proccessed/accepted",ISNUMBER(SEARCH("sanctioned",LOWER(W385&amp;"")))),"Sanctioned",IF(OR(LOWER(V385)="rejected",ISNUMBER(SEARCH("Not eligbile",W385&amp;"")),ISNUMBER(SEARCH("Not eligible",W385&amp;""))),"Rejected",IF(ISNUMBER(SEARCH("Docs Pending",W385&amp;"")),"Documents Pending",IF(AND(LOWER(H385)="yes",LOWER(V385)="ongoing"),"Processing",IF(AND(LOWER(H385)="yes",Q385&gt;0,OR(V385="",LOWER(V385)="not even started")),"Vendor Assigned",IF(AND(LOWER(H385)="yes",LOWER(V385)="not even started"),"Need Loan",IF(LOWER(H385)="yes","Loan Started",IF(LOWER(H385)="not sure","Interested",IF(OR(LOWER(H385)="no",LOWER(V385)="not required"),"Not Required","Unclassified")))))))))))))</f>
        <v/>
      </c>
      <c r="Y385">
        <f>IF(A385="","",IF(OR(X385="Sanctioned",X385="Disbursed",X385="Approved"),"Approved",IF(X385="Rejected","Rejected",IF(OR(X385="Processing",X385="Documents Pending",X385="Vendor Assigned"),"In Progress",IF(X385="Need Loan","Pending Start","—"))))</f>
        <v/>
      </c>
      <c r="Z385">
        <f>IF(A385="","",IF(X385="Disbursed","Disbursed",IF(X385="Sanctioned","Sanctioned - Awaiting Disbursement","Not Disbursed")))</f>
        <v/>
      </c>
      <c r="AA385">
        <f>IF(A385="","",IF(LOWER(TRIM('01_Master_Data'!AI385&amp;""))="yes","Need FLDG",IF(LOWER(TRIM('01_Master_Data'!AK385&amp;""))="yes","Need Vidyalakshmi",IF(LOWER(TRIM('01_Master_Data'!AJ385&amp;""))="yes","Need Review",IF(LOWER(J385)="critical","Critical",IF(LOWER(U385)="risk","Risk Case",IF(X385="Refund","Refund","Normal")))))))</f>
        <v/>
      </c>
      <c r="AB385">
        <f>IF(A385="","",IF(OR(LOWER(J385)="critical",LOWER(TRIM('01_Master_Data'!AI385&amp;""))="yes",LOWER(TRIM('01_Master_Data'!AK385&amp;""))="yes",LOWER(U385)="risk"),"Yes","No"))</f>
        <v/>
      </c>
      <c r="AC385">
        <f>IF(A385="","",IF(LOWER(TRIM('01_Master_Data'!AI385&amp;""))="yes","Yes","No"))</f>
        <v/>
      </c>
      <c r="AD385">
        <f>IF(A385="","",IF(LOWER(TRIM('01_Master_Data'!AK385&amp;""))="yes","Yes","No"))</f>
        <v/>
      </c>
      <c r="AE385">
        <f>IF(A385="","",IF(LOWER(TRIM('01_Master_Data'!AJ385&amp;""))="yes","Yes","No"))</f>
        <v/>
      </c>
      <c r="AF385">
        <f>IF(A385="","",TRIM('01_Master_Data'!AL385&amp;""))</f>
        <v/>
      </c>
      <c r="AG385">
        <f>IF(A385="","",IF(AF385="","—",IF(ISNUMBER(SEARCH("DNP",AF385)),"Unreachable / DNP",IF(ISNUMBER(SEARCH("interest",LOWER(AF385))),"High Interest / Terms",IF(OR(ISNUMBER(SEARCH("eligib",LOWER(AF385))),ISNUMBER(SEARCH("income",LOWER(AF385)))),"Eligibility / Income",IF(OR(ISNUMBER(SEARCH("start",LOWER(AF385))),ISNUMBER(SEARCH("Newer",AF385)),ISNUMBER(SEARCH("Will start",AF385))),"Process Yet to Start",IF(ISNUMBER(SEARCH("sure",LOWER(AF385))),"Undecided",IF(OR(ISNUMBER(SEARCH("reject",LOWER(AF385))),ISNUMBER(SEARCH("SBI",AF385))),"Rejected Elsewhere",IF(ISNUMBER(SEARCH("call",LOWER(AF385))),"Bank Communication",IF(OR(ISNUMBER(SEARCH("father",LOWER(AF385))),ISNUMBER(SEARCH("sister",LOWER(AF385)))),"Family / Dependency","Other"))))))))))</f>
        <v/>
      </c>
      <c r="AH385">
        <f>IF(A385="","",'01_Master_Data'!AC385)</f>
        <v/>
      </c>
      <c r="AI385">
        <f>IF(A385="","",IF(OR(AH385="",NOT(ISNUMBER(AH385))),"",MAX(0,'02_Configuration'!$B$82-AH385)))</f>
        <v/>
      </c>
      <c r="AJ385">
        <f>IF(A385="","",IF(AI385="","Unknown",IF(AI385&lt;=3,"0–3 Days",IF(AI385&lt;=7,"4–7 Days",IF(AI385&lt;=15,"8–15 Days",IF(AI385&lt;=30,"16–30 Days","30+ Days"))))))</f>
        <v/>
      </c>
      <c r="AK385">
        <f>IF(A385="","",IF(LOWER(H385)="yes","Yes","No"))</f>
        <v/>
      </c>
      <c r="AL385">
        <f>IF(A385="","",'01_Master_Data'!T385)</f>
        <v/>
      </c>
      <c r="AM385">
        <f>IF(A385="","",'01_Master_Data'!S385)</f>
        <v/>
      </c>
      <c r="AN385">
        <f>IF(A385="","",'01_Master_Data'!I385)</f>
        <v/>
      </c>
      <c r="AO385">
        <f>IF(A385="","",'01_Master_Data'!M385)</f>
        <v/>
      </c>
      <c r="AP385">
        <f>IF(A385="","",IF(ISNUMBER(SEARCH("Icici",W385&amp;"")),1,0))</f>
        <v/>
      </c>
      <c r="AQ385">
        <f>IF(A385="","",IF(ISNUMBER(SEARCH("Propelld",W385&amp;"")),1,0))</f>
        <v/>
      </c>
      <c r="AR385">
        <f>IF(A385="","",IF(ISNUMBER(SEARCH("GyanDhan",W385&amp;"")),1,0))</f>
        <v/>
      </c>
      <c r="AS385">
        <f>IF(A385="","",IF(ISNUMBER(SEARCH("vidyalakshmi",LOWER(W385&amp;""))),1,0))</f>
        <v/>
      </c>
      <c r="AT385">
        <f>IF(A385="","",IF(ISNUMBER(SEARCH("other bank",LOWER(W385&amp;""))),1,0))</f>
        <v/>
      </c>
      <c r="AU385">
        <f>IF(A385="","",IF(ISNUMBER(SEARCH("sanctioned",LOWER(W385&amp;""))),1,0))</f>
        <v/>
      </c>
      <c r="AV385">
        <f>IF(A385="","",IF(ISNUMBER(SEARCH("Docs Pending",W385&amp;"")),1,0))</f>
        <v/>
      </c>
      <c r="AW385">
        <f>IF(A385="","",IF(OR(X385="Rejected",ISNUMBER(SEARCH("Not eligbile",W385&amp;""))),1,0))</f>
        <v/>
      </c>
    </row>
    <row r="386">
      <c r="A386">
        <f>IF('01_Master_Data'!B386="","",385)</f>
        <v/>
      </c>
      <c r="B386">
        <f>IF('01_Master_Data'!B386="","",IF('01_Master_Data'!C386&lt;&gt;"","MOB|"&amp;TEXT('01_Master_Data'!C386,"0"),IF('01_Master_Data'!D386&lt;&gt;"","PID|"&amp;TRIM('01_Master_Data'!D386&amp;""),"")))</f>
        <v/>
      </c>
      <c r="C386">
        <f>IF('01_Master_Data'!B386="","",'01_Master_Data'!B386)</f>
        <v/>
      </c>
      <c r="D386">
        <f>IF('01_Master_Data'!B386="","",'01_Master_Data'!C386)</f>
        <v/>
      </c>
      <c r="E386">
        <f>IF('01_Master_Data'!B386="","",'01_Master_Data'!D386)</f>
        <v/>
      </c>
      <c r="F386">
        <f>IF('01_Master_Data'!B386="","",'01_Master_Data'!E386)</f>
        <v/>
      </c>
      <c r="G386">
        <f>IF('01_Master_Data'!B386="","",IFERROR(VLOOKUP(TRIM('01_Master_Data'!E386&amp;""),'02_Configuration'!$A$40:$B$44,2,FALSE),UPPER(TRIM('01_Master_Data'!E386&amp;""))))</f>
        <v/>
      </c>
      <c r="H386">
        <f>IF('01_Master_Data'!B386="","",IF('01_Master_Data'!U386="","",TRIM('01_Master_Data'!U386&amp;"")))</f>
        <v/>
      </c>
      <c r="I386">
        <f>IF('01_Master_Data'!B386="","",TRIM('01_Master_Data'!F386&amp;""))</f>
        <v/>
      </c>
      <c r="J386">
        <f>IF('01_Master_Data'!B386="","",TRIM('01_Master_Data'!G386&amp;""))</f>
        <v/>
      </c>
      <c r="K386">
        <f>IF('01_Master_Data'!B386="","",'01_Master_Data'!H386)</f>
        <v/>
      </c>
      <c r="L386">
        <f>IF('01_Master_Data'!B386="","",IF(LOWER(TRIM('01_Master_Data'!V386&amp;""))="yes",1,0))</f>
        <v/>
      </c>
      <c r="M386">
        <f>IF('01_Master_Data'!B386="","",IF(LOWER(TRIM('01_Master_Data'!W386&amp;""))="yes",1,0))</f>
        <v/>
      </c>
      <c r="N386">
        <f>IF('01_Master_Data'!B386="","",IF(LOWER(TRIM('01_Master_Data'!X386&amp;""))="yes",1,0))</f>
        <v/>
      </c>
      <c r="O386">
        <f>IF('01_Master_Data'!B386="","",IF(LOWER(TRIM('01_Master_Data'!Y386&amp;""))="yes",1,0))</f>
        <v/>
      </c>
      <c r="P386">
        <f>IF('01_Master_Data'!B386="","",IF(LOWER(TRIM('01_Master_Data'!Z386&amp;""))="yes",1,0))</f>
        <v/>
      </c>
      <c r="Q386">
        <f>IF(A386="","",L386+M386+N386+O386+P386)</f>
        <v/>
      </c>
      <c r="R386">
        <f>IF(A386="","",IF(Q386&gt;1,"Yes","No"))</f>
        <v/>
      </c>
      <c r="S386">
        <f>IF(A386="","",TEXTJOIN(", ",TRUE,IF(L386=1,"ICICI",""),IF(M386=1,"Propelld",""),IF(N386=1,"Study4Buddy",""),IF(O386=1,"Poonawala Fincorp",""),IF(P386=1,"GyanDhan","")))</f>
        <v/>
      </c>
      <c r="T386">
        <f>IF(A386="","",IF(L386=1,"ICICI",IF(M386=1,"Propelld",IF(P386=1,"GyanDhan",IF(N386=1,"Study4Buddy",IF(O386=1,"Poonawala Fincorp",IF(ISNUMBER(SEARCH("GyanDhan",W386&amp;"")),"GyanDhan",IF(ISNUMBER(SEARCH("Icici",W386&amp;"")),"ICICI",IF(ISNUMBER(SEARCH("Propelld",W386&amp;"")),"Propelld",IF(ISNUMBER(SEARCH("vidyalakshmi",LOWER(W386&amp;"")),"PM Vidyalakshmi","—"))))))))))</f>
        <v/>
      </c>
      <c r="U386">
        <f>IF(A386="","",TRIM('01_Master_Data'!AA386&amp;""))</f>
        <v/>
      </c>
      <c r="V386">
        <f>IF(A386="","",TRIM('01_Master_Data'!AG386&amp;""))</f>
        <v/>
      </c>
      <c r="W386">
        <f>IF(A386="","",TRIM('01_Master_Data'!AH386&amp;""))</f>
        <v/>
      </c>
      <c r="X386">
        <f>IF(A386="","",IF(OR(LOWER(H386)="refund",LOWER(U386)="refund case"),"Refund",IF(OR(LOWER(H386)="dnp",LOWER(U386)="dnp"),"DNP",IF(OR(LOWER(V386)="disbursed",ISNUMBER(SEARCH("Disbursed",W386&amp;""))),"Disbursed",IF(OR(LOWER(V386)="loan proccessed/accepted",ISNUMBER(SEARCH("sanctioned",LOWER(W386&amp;"")))),"Sanctioned",IF(OR(LOWER(V386)="rejected",ISNUMBER(SEARCH("Not eligbile",W386&amp;"")),ISNUMBER(SEARCH("Not eligible",W386&amp;""))),"Rejected",IF(ISNUMBER(SEARCH("Docs Pending",W386&amp;"")),"Documents Pending",IF(AND(LOWER(H386)="yes",LOWER(V386)="ongoing"),"Processing",IF(AND(LOWER(H386)="yes",Q386&gt;0,OR(V386="",LOWER(V386)="not even started")),"Vendor Assigned",IF(AND(LOWER(H386)="yes",LOWER(V386)="not even started"),"Need Loan",IF(LOWER(H386)="yes","Loan Started",IF(LOWER(H386)="not sure","Interested",IF(OR(LOWER(H386)="no",LOWER(V386)="not required"),"Not Required","Unclassified")))))))))))))</f>
        <v/>
      </c>
      <c r="Y386">
        <f>IF(A386="","",IF(OR(X386="Sanctioned",X386="Disbursed",X386="Approved"),"Approved",IF(X386="Rejected","Rejected",IF(OR(X386="Processing",X386="Documents Pending",X386="Vendor Assigned"),"In Progress",IF(X386="Need Loan","Pending Start","—"))))</f>
        <v/>
      </c>
      <c r="Z386">
        <f>IF(A386="","",IF(X386="Disbursed","Disbursed",IF(X386="Sanctioned","Sanctioned - Awaiting Disbursement","Not Disbursed")))</f>
        <v/>
      </c>
      <c r="AA386">
        <f>IF(A386="","",IF(LOWER(TRIM('01_Master_Data'!AI386&amp;""))="yes","Need FLDG",IF(LOWER(TRIM('01_Master_Data'!AK386&amp;""))="yes","Need Vidyalakshmi",IF(LOWER(TRIM('01_Master_Data'!AJ386&amp;""))="yes","Need Review",IF(LOWER(J386)="critical","Critical",IF(LOWER(U386)="risk","Risk Case",IF(X386="Refund","Refund","Normal")))))))</f>
        <v/>
      </c>
      <c r="AB386">
        <f>IF(A386="","",IF(OR(LOWER(J386)="critical",LOWER(TRIM('01_Master_Data'!AI386&amp;""))="yes",LOWER(TRIM('01_Master_Data'!AK386&amp;""))="yes",LOWER(U386)="risk"),"Yes","No"))</f>
        <v/>
      </c>
      <c r="AC386">
        <f>IF(A386="","",IF(LOWER(TRIM('01_Master_Data'!AI386&amp;""))="yes","Yes","No"))</f>
        <v/>
      </c>
      <c r="AD386">
        <f>IF(A386="","",IF(LOWER(TRIM('01_Master_Data'!AK386&amp;""))="yes","Yes","No"))</f>
        <v/>
      </c>
      <c r="AE386">
        <f>IF(A386="","",IF(LOWER(TRIM('01_Master_Data'!AJ386&amp;""))="yes","Yes","No"))</f>
        <v/>
      </c>
      <c r="AF386">
        <f>IF(A386="","",TRIM('01_Master_Data'!AL386&amp;""))</f>
        <v/>
      </c>
      <c r="AG386">
        <f>IF(A386="","",IF(AF386="","—",IF(ISNUMBER(SEARCH("DNP",AF386)),"Unreachable / DNP",IF(ISNUMBER(SEARCH("interest",LOWER(AF386))),"High Interest / Terms",IF(OR(ISNUMBER(SEARCH("eligib",LOWER(AF386))),ISNUMBER(SEARCH("income",LOWER(AF386)))),"Eligibility / Income",IF(OR(ISNUMBER(SEARCH("start",LOWER(AF386))),ISNUMBER(SEARCH("Newer",AF386)),ISNUMBER(SEARCH("Will start",AF386))),"Process Yet to Start",IF(ISNUMBER(SEARCH("sure",LOWER(AF386))),"Undecided",IF(OR(ISNUMBER(SEARCH("reject",LOWER(AF386))),ISNUMBER(SEARCH("SBI",AF386))),"Rejected Elsewhere",IF(ISNUMBER(SEARCH("call",LOWER(AF386))),"Bank Communication",IF(OR(ISNUMBER(SEARCH("father",LOWER(AF386))),ISNUMBER(SEARCH("sister",LOWER(AF386)))),"Family / Dependency","Other"))))))))))</f>
        <v/>
      </c>
      <c r="AH386">
        <f>IF(A386="","",'01_Master_Data'!AC386)</f>
        <v/>
      </c>
      <c r="AI386">
        <f>IF(A386="","",IF(OR(AH386="",NOT(ISNUMBER(AH386))),"",MAX(0,'02_Configuration'!$B$82-AH386)))</f>
        <v/>
      </c>
      <c r="AJ386">
        <f>IF(A386="","",IF(AI386="","Unknown",IF(AI386&lt;=3,"0–3 Days",IF(AI386&lt;=7,"4–7 Days",IF(AI386&lt;=15,"8–15 Days",IF(AI386&lt;=30,"16–30 Days","30+ Days"))))))</f>
        <v/>
      </c>
      <c r="AK386">
        <f>IF(A386="","",IF(LOWER(H386)="yes","Yes","No"))</f>
        <v/>
      </c>
      <c r="AL386">
        <f>IF(A386="","",'01_Master_Data'!T386)</f>
        <v/>
      </c>
      <c r="AM386">
        <f>IF(A386="","",'01_Master_Data'!S386)</f>
        <v/>
      </c>
      <c r="AN386">
        <f>IF(A386="","",'01_Master_Data'!I386)</f>
        <v/>
      </c>
      <c r="AO386">
        <f>IF(A386="","",'01_Master_Data'!M386)</f>
        <v/>
      </c>
      <c r="AP386">
        <f>IF(A386="","",IF(ISNUMBER(SEARCH("Icici",W386&amp;"")),1,0))</f>
        <v/>
      </c>
      <c r="AQ386">
        <f>IF(A386="","",IF(ISNUMBER(SEARCH("Propelld",W386&amp;"")),1,0))</f>
        <v/>
      </c>
      <c r="AR386">
        <f>IF(A386="","",IF(ISNUMBER(SEARCH("GyanDhan",W386&amp;"")),1,0))</f>
        <v/>
      </c>
      <c r="AS386">
        <f>IF(A386="","",IF(ISNUMBER(SEARCH("vidyalakshmi",LOWER(W386&amp;""))),1,0))</f>
        <v/>
      </c>
      <c r="AT386">
        <f>IF(A386="","",IF(ISNUMBER(SEARCH("other bank",LOWER(W386&amp;""))),1,0))</f>
        <v/>
      </c>
      <c r="AU386">
        <f>IF(A386="","",IF(ISNUMBER(SEARCH("sanctioned",LOWER(W386&amp;""))),1,0))</f>
        <v/>
      </c>
      <c r="AV386">
        <f>IF(A386="","",IF(ISNUMBER(SEARCH("Docs Pending",W386&amp;"")),1,0))</f>
        <v/>
      </c>
      <c r="AW386">
        <f>IF(A386="","",IF(OR(X386="Rejected",ISNUMBER(SEARCH("Not eligbile",W386&amp;""))),1,0))</f>
        <v/>
      </c>
    </row>
    <row r="387">
      <c r="A387">
        <f>IF('01_Master_Data'!B387="","",386)</f>
        <v/>
      </c>
      <c r="B387">
        <f>IF('01_Master_Data'!B387="","",IF('01_Master_Data'!C387&lt;&gt;"","MOB|"&amp;TEXT('01_Master_Data'!C387,"0"),IF('01_Master_Data'!D387&lt;&gt;"","PID|"&amp;TRIM('01_Master_Data'!D387&amp;""),"")))</f>
        <v/>
      </c>
      <c r="C387">
        <f>IF('01_Master_Data'!B387="","",'01_Master_Data'!B387)</f>
        <v/>
      </c>
      <c r="D387">
        <f>IF('01_Master_Data'!B387="","",'01_Master_Data'!C387)</f>
        <v/>
      </c>
      <c r="E387">
        <f>IF('01_Master_Data'!B387="","",'01_Master_Data'!D387)</f>
        <v/>
      </c>
      <c r="F387">
        <f>IF('01_Master_Data'!B387="","",'01_Master_Data'!E387)</f>
        <v/>
      </c>
      <c r="G387">
        <f>IF('01_Master_Data'!B387="","",IFERROR(VLOOKUP(TRIM('01_Master_Data'!E387&amp;""),'02_Configuration'!$A$40:$B$44,2,FALSE),UPPER(TRIM('01_Master_Data'!E387&amp;""))))</f>
        <v/>
      </c>
      <c r="H387">
        <f>IF('01_Master_Data'!B387="","",IF('01_Master_Data'!U387="","",TRIM('01_Master_Data'!U387&amp;"")))</f>
        <v/>
      </c>
      <c r="I387">
        <f>IF('01_Master_Data'!B387="","",TRIM('01_Master_Data'!F387&amp;""))</f>
        <v/>
      </c>
      <c r="J387">
        <f>IF('01_Master_Data'!B387="","",TRIM('01_Master_Data'!G387&amp;""))</f>
        <v/>
      </c>
      <c r="K387">
        <f>IF('01_Master_Data'!B387="","",'01_Master_Data'!H387)</f>
        <v/>
      </c>
      <c r="L387">
        <f>IF('01_Master_Data'!B387="","",IF(LOWER(TRIM('01_Master_Data'!V387&amp;""))="yes",1,0))</f>
        <v/>
      </c>
      <c r="M387">
        <f>IF('01_Master_Data'!B387="","",IF(LOWER(TRIM('01_Master_Data'!W387&amp;""))="yes",1,0))</f>
        <v/>
      </c>
      <c r="N387">
        <f>IF('01_Master_Data'!B387="","",IF(LOWER(TRIM('01_Master_Data'!X387&amp;""))="yes",1,0))</f>
        <v/>
      </c>
      <c r="O387">
        <f>IF('01_Master_Data'!B387="","",IF(LOWER(TRIM('01_Master_Data'!Y387&amp;""))="yes",1,0))</f>
        <v/>
      </c>
      <c r="P387">
        <f>IF('01_Master_Data'!B387="","",IF(LOWER(TRIM('01_Master_Data'!Z387&amp;""))="yes",1,0))</f>
        <v/>
      </c>
      <c r="Q387">
        <f>IF(A387="","",L387+M387+N387+O387+P387)</f>
        <v/>
      </c>
      <c r="R387">
        <f>IF(A387="","",IF(Q387&gt;1,"Yes","No"))</f>
        <v/>
      </c>
      <c r="S387">
        <f>IF(A387="","",TEXTJOIN(", ",TRUE,IF(L387=1,"ICICI",""),IF(M387=1,"Propelld",""),IF(N387=1,"Study4Buddy",""),IF(O387=1,"Poonawala Fincorp",""),IF(P387=1,"GyanDhan","")))</f>
        <v/>
      </c>
      <c r="T387">
        <f>IF(A387="","",IF(L387=1,"ICICI",IF(M387=1,"Propelld",IF(P387=1,"GyanDhan",IF(N387=1,"Study4Buddy",IF(O387=1,"Poonawala Fincorp",IF(ISNUMBER(SEARCH("GyanDhan",W387&amp;"")),"GyanDhan",IF(ISNUMBER(SEARCH("Icici",W387&amp;"")),"ICICI",IF(ISNUMBER(SEARCH("Propelld",W387&amp;"")),"Propelld",IF(ISNUMBER(SEARCH("vidyalakshmi",LOWER(W387&amp;"")),"PM Vidyalakshmi","—"))))))))))</f>
        <v/>
      </c>
      <c r="U387">
        <f>IF(A387="","",TRIM('01_Master_Data'!AA387&amp;""))</f>
        <v/>
      </c>
      <c r="V387">
        <f>IF(A387="","",TRIM('01_Master_Data'!AG387&amp;""))</f>
        <v/>
      </c>
      <c r="W387">
        <f>IF(A387="","",TRIM('01_Master_Data'!AH387&amp;""))</f>
        <v/>
      </c>
      <c r="X387">
        <f>IF(A387="","",IF(OR(LOWER(H387)="refund",LOWER(U387)="refund case"),"Refund",IF(OR(LOWER(H387)="dnp",LOWER(U387)="dnp"),"DNP",IF(OR(LOWER(V387)="disbursed",ISNUMBER(SEARCH("Disbursed",W387&amp;""))),"Disbursed",IF(OR(LOWER(V387)="loan proccessed/accepted",ISNUMBER(SEARCH("sanctioned",LOWER(W387&amp;"")))),"Sanctioned",IF(OR(LOWER(V387)="rejected",ISNUMBER(SEARCH("Not eligbile",W387&amp;"")),ISNUMBER(SEARCH("Not eligible",W387&amp;""))),"Rejected",IF(ISNUMBER(SEARCH("Docs Pending",W387&amp;"")),"Documents Pending",IF(AND(LOWER(H387)="yes",LOWER(V387)="ongoing"),"Processing",IF(AND(LOWER(H387)="yes",Q387&gt;0,OR(V387="",LOWER(V387)="not even started")),"Vendor Assigned",IF(AND(LOWER(H387)="yes",LOWER(V387)="not even started"),"Need Loan",IF(LOWER(H387)="yes","Loan Started",IF(LOWER(H387)="not sure","Interested",IF(OR(LOWER(H387)="no",LOWER(V387)="not required"),"Not Required","Unclassified")))))))))))))</f>
        <v/>
      </c>
      <c r="Y387">
        <f>IF(A387="","",IF(OR(X387="Sanctioned",X387="Disbursed",X387="Approved"),"Approved",IF(X387="Rejected","Rejected",IF(OR(X387="Processing",X387="Documents Pending",X387="Vendor Assigned"),"In Progress",IF(X387="Need Loan","Pending Start","—"))))</f>
        <v/>
      </c>
      <c r="Z387">
        <f>IF(A387="","",IF(X387="Disbursed","Disbursed",IF(X387="Sanctioned","Sanctioned - Awaiting Disbursement","Not Disbursed")))</f>
        <v/>
      </c>
      <c r="AA387">
        <f>IF(A387="","",IF(LOWER(TRIM('01_Master_Data'!AI387&amp;""))="yes","Need FLDG",IF(LOWER(TRIM('01_Master_Data'!AK387&amp;""))="yes","Need Vidyalakshmi",IF(LOWER(TRIM('01_Master_Data'!AJ387&amp;""))="yes","Need Review",IF(LOWER(J387)="critical","Critical",IF(LOWER(U387)="risk","Risk Case",IF(X387="Refund","Refund","Normal")))))))</f>
        <v/>
      </c>
      <c r="AB387">
        <f>IF(A387="","",IF(OR(LOWER(J387)="critical",LOWER(TRIM('01_Master_Data'!AI387&amp;""))="yes",LOWER(TRIM('01_Master_Data'!AK387&amp;""))="yes",LOWER(U387)="risk"),"Yes","No"))</f>
        <v/>
      </c>
      <c r="AC387">
        <f>IF(A387="","",IF(LOWER(TRIM('01_Master_Data'!AI387&amp;""))="yes","Yes","No"))</f>
        <v/>
      </c>
      <c r="AD387">
        <f>IF(A387="","",IF(LOWER(TRIM('01_Master_Data'!AK387&amp;""))="yes","Yes","No"))</f>
        <v/>
      </c>
      <c r="AE387">
        <f>IF(A387="","",IF(LOWER(TRIM('01_Master_Data'!AJ387&amp;""))="yes","Yes","No"))</f>
        <v/>
      </c>
      <c r="AF387">
        <f>IF(A387="","",TRIM('01_Master_Data'!AL387&amp;""))</f>
        <v/>
      </c>
      <c r="AG387">
        <f>IF(A387="","",IF(AF387="","—",IF(ISNUMBER(SEARCH("DNP",AF387)),"Unreachable / DNP",IF(ISNUMBER(SEARCH("interest",LOWER(AF387))),"High Interest / Terms",IF(OR(ISNUMBER(SEARCH("eligib",LOWER(AF387))),ISNUMBER(SEARCH("income",LOWER(AF387)))),"Eligibility / Income",IF(OR(ISNUMBER(SEARCH("start",LOWER(AF387))),ISNUMBER(SEARCH("Newer",AF387)),ISNUMBER(SEARCH("Will start",AF387))),"Process Yet to Start",IF(ISNUMBER(SEARCH("sure",LOWER(AF387))),"Undecided",IF(OR(ISNUMBER(SEARCH("reject",LOWER(AF387))),ISNUMBER(SEARCH("SBI",AF387))),"Rejected Elsewhere",IF(ISNUMBER(SEARCH("call",LOWER(AF387))),"Bank Communication",IF(OR(ISNUMBER(SEARCH("father",LOWER(AF387))),ISNUMBER(SEARCH("sister",LOWER(AF387)))),"Family / Dependency","Other"))))))))))</f>
        <v/>
      </c>
      <c r="AH387">
        <f>IF(A387="","",'01_Master_Data'!AC387)</f>
        <v/>
      </c>
      <c r="AI387">
        <f>IF(A387="","",IF(OR(AH387="",NOT(ISNUMBER(AH387))),"",MAX(0,'02_Configuration'!$B$82-AH387)))</f>
        <v/>
      </c>
      <c r="AJ387">
        <f>IF(A387="","",IF(AI387="","Unknown",IF(AI387&lt;=3,"0–3 Days",IF(AI387&lt;=7,"4–7 Days",IF(AI387&lt;=15,"8–15 Days",IF(AI387&lt;=30,"16–30 Days","30+ Days"))))))</f>
        <v/>
      </c>
      <c r="AK387">
        <f>IF(A387="","",IF(LOWER(H387)="yes","Yes","No"))</f>
        <v/>
      </c>
      <c r="AL387">
        <f>IF(A387="","",'01_Master_Data'!T387)</f>
        <v/>
      </c>
      <c r="AM387">
        <f>IF(A387="","",'01_Master_Data'!S387)</f>
        <v/>
      </c>
      <c r="AN387">
        <f>IF(A387="","",'01_Master_Data'!I387)</f>
        <v/>
      </c>
      <c r="AO387">
        <f>IF(A387="","",'01_Master_Data'!M387)</f>
        <v/>
      </c>
      <c r="AP387">
        <f>IF(A387="","",IF(ISNUMBER(SEARCH("Icici",W387&amp;"")),1,0))</f>
        <v/>
      </c>
      <c r="AQ387">
        <f>IF(A387="","",IF(ISNUMBER(SEARCH("Propelld",W387&amp;"")),1,0))</f>
        <v/>
      </c>
      <c r="AR387">
        <f>IF(A387="","",IF(ISNUMBER(SEARCH("GyanDhan",W387&amp;"")),1,0))</f>
        <v/>
      </c>
      <c r="AS387">
        <f>IF(A387="","",IF(ISNUMBER(SEARCH("vidyalakshmi",LOWER(W387&amp;""))),1,0))</f>
        <v/>
      </c>
      <c r="AT387">
        <f>IF(A387="","",IF(ISNUMBER(SEARCH("other bank",LOWER(W387&amp;""))),1,0))</f>
        <v/>
      </c>
      <c r="AU387">
        <f>IF(A387="","",IF(ISNUMBER(SEARCH("sanctioned",LOWER(W387&amp;""))),1,0))</f>
        <v/>
      </c>
      <c r="AV387">
        <f>IF(A387="","",IF(ISNUMBER(SEARCH("Docs Pending",W387&amp;"")),1,0))</f>
        <v/>
      </c>
      <c r="AW387">
        <f>IF(A387="","",IF(OR(X387="Rejected",ISNUMBER(SEARCH("Not eligbile",W387&amp;""))),1,0))</f>
        <v/>
      </c>
    </row>
    <row r="388">
      <c r="A388">
        <f>IF('01_Master_Data'!B388="","",387)</f>
        <v/>
      </c>
      <c r="B388">
        <f>IF('01_Master_Data'!B388="","",IF('01_Master_Data'!C388&lt;&gt;"","MOB|"&amp;TEXT('01_Master_Data'!C388,"0"),IF('01_Master_Data'!D388&lt;&gt;"","PID|"&amp;TRIM('01_Master_Data'!D388&amp;""),"")))</f>
        <v/>
      </c>
      <c r="C388">
        <f>IF('01_Master_Data'!B388="","",'01_Master_Data'!B388)</f>
        <v/>
      </c>
      <c r="D388">
        <f>IF('01_Master_Data'!B388="","",'01_Master_Data'!C388)</f>
        <v/>
      </c>
      <c r="E388">
        <f>IF('01_Master_Data'!B388="","",'01_Master_Data'!D388)</f>
        <v/>
      </c>
      <c r="F388">
        <f>IF('01_Master_Data'!B388="","",'01_Master_Data'!E388)</f>
        <v/>
      </c>
      <c r="G388">
        <f>IF('01_Master_Data'!B388="","",IFERROR(VLOOKUP(TRIM('01_Master_Data'!E388&amp;""),'02_Configuration'!$A$40:$B$44,2,FALSE),UPPER(TRIM('01_Master_Data'!E388&amp;""))))</f>
        <v/>
      </c>
      <c r="H388">
        <f>IF('01_Master_Data'!B388="","",IF('01_Master_Data'!U388="","",TRIM('01_Master_Data'!U388&amp;"")))</f>
        <v/>
      </c>
      <c r="I388">
        <f>IF('01_Master_Data'!B388="","",TRIM('01_Master_Data'!F388&amp;""))</f>
        <v/>
      </c>
      <c r="J388">
        <f>IF('01_Master_Data'!B388="","",TRIM('01_Master_Data'!G388&amp;""))</f>
        <v/>
      </c>
      <c r="K388">
        <f>IF('01_Master_Data'!B388="","",'01_Master_Data'!H388)</f>
        <v/>
      </c>
      <c r="L388">
        <f>IF('01_Master_Data'!B388="","",IF(LOWER(TRIM('01_Master_Data'!V388&amp;""))="yes",1,0))</f>
        <v/>
      </c>
      <c r="M388">
        <f>IF('01_Master_Data'!B388="","",IF(LOWER(TRIM('01_Master_Data'!W388&amp;""))="yes",1,0))</f>
        <v/>
      </c>
      <c r="N388">
        <f>IF('01_Master_Data'!B388="","",IF(LOWER(TRIM('01_Master_Data'!X388&amp;""))="yes",1,0))</f>
        <v/>
      </c>
      <c r="O388">
        <f>IF('01_Master_Data'!B388="","",IF(LOWER(TRIM('01_Master_Data'!Y388&amp;""))="yes",1,0))</f>
        <v/>
      </c>
      <c r="P388">
        <f>IF('01_Master_Data'!B388="","",IF(LOWER(TRIM('01_Master_Data'!Z388&amp;""))="yes",1,0))</f>
        <v/>
      </c>
      <c r="Q388">
        <f>IF(A388="","",L388+M388+N388+O388+P388)</f>
        <v/>
      </c>
      <c r="R388">
        <f>IF(A388="","",IF(Q388&gt;1,"Yes","No"))</f>
        <v/>
      </c>
      <c r="S388">
        <f>IF(A388="","",TEXTJOIN(", ",TRUE,IF(L388=1,"ICICI",""),IF(M388=1,"Propelld",""),IF(N388=1,"Study4Buddy",""),IF(O388=1,"Poonawala Fincorp",""),IF(P388=1,"GyanDhan","")))</f>
        <v/>
      </c>
      <c r="T388">
        <f>IF(A388="","",IF(L388=1,"ICICI",IF(M388=1,"Propelld",IF(P388=1,"GyanDhan",IF(N388=1,"Study4Buddy",IF(O388=1,"Poonawala Fincorp",IF(ISNUMBER(SEARCH("GyanDhan",W388&amp;"")),"GyanDhan",IF(ISNUMBER(SEARCH("Icici",W388&amp;"")),"ICICI",IF(ISNUMBER(SEARCH("Propelld",W388&amp;"")),"Propelld",IF(ISNUMBER(SEARCH("vidyalakshmi",LOWER(W388&amp;"")),"PM Vidyalakshmi","—"))))))))))</f>
        <v/>
      </c>
      <c r="U388">
        <f>IF(A388="","",TRIM('01_Master_Data'!AA388&amp;""))</f>
        <v/>
      </c>
      <c r="V388">
        <f>IF(A388="","",TRIM('01_Master_Data'!AG388&amp;""))</f>
        <v/>
      </c>
      <c r="W388">
        <f>IF(A388="","",TRIM('01_Master_Data'!AH388&amp;""))</f>
        <v/>
      </c>
      <c r="X388">
        <f>IF(A388="","",IF(OR(LOWER(H388)="refund",LOWER(U388)="refund case"),"Refund",IF(OR(LOWER(H388)="dnp",LOWER(U388)="dnp"),"DNP",IF(OR(LOWER(V388)="disbursed",ISNUMBER(SEARCH("Disbursed",W388&amp;""))),"Disbursed",IF(OR(LOWER(V388)="loan proccessed/accepted",ISNUMBER(SEARCH("sanctioned",LOWER(W388&amp;"")))),"Sanctioned",IF(OR(LOWER(V388)="rejected",ISNUMBER(SEARCH("Not eligbile",W388&amp;"")),ISNUMBER(SEARCH("Not eligible",W388&amp;""))),"Rejected",IF(ISNUMBER(SEARCH("Docs Pending",W388&amp;"")),"Documents Pending",IF(AND(LOWER(H388)="yes",LOWER(V388)="ongoing"),"Processing",IF(AND(LOWER(H388)="yes",Q388&gt;0,OR(V388="",LOWER(V388)="not even started")),"Vendor Assigned",IF(AND(LOWER(H388)="yes",LOWER(V388)="not even started"),"Need Loan",IF(LOWER(H388)="yes","Loan Started",IF(LOWER(H388)="not sure","Interested",IF(OR(LOWER(H388)="no",LOWER(V388)="not required"),"Not Required","Unclassified")))))))))))))</f>
        <v/>
      </c>
      <c r="Y388">
        <f>IF(A388="","",IF(OR(X388="Sanctioned",X388="Disbursed",X388="Approved"),"Approved",IF(X388="Rejected","Rejected",IF(OR(X388="Processing",X388="Documents Pending",X388="Vendor Assigned"),"In Progress",IF(X388="Need Loan","Pending Start","—"))))</f>
        <v/>
      </c>
      <c r="Z388">
        <f>IF(A388="","",IF(X388="Disbursed","Disbursed",IF(X388="Sanctioned","Sanctioned - Awaiting Disbursement","Not Disbursed")))</f>
        <v/>
      </c>
      <c r="AA388">
        <f>IF(A388="","",IF(LOWER(TRIM('01_Master_Data'!AI388&amp;""))="yes","Need FLDG",IF(LOWER(TRIM('01_Master_Data'!AK388&amp;""))="yes","Need Vidyalakshmi",IF(LOWER(TRIM('01_Master_Data'!AJ388&amp;""))="yes","Need Review",IF(LOWER(J388)="critical","Critical",IF(LOWER(U388)="risk","Risk Case",IF(X388="Refund","Refund","Normal")))))))</f>
        <v/>
      </c>
      <c r="AB388">
        <f>IF(A388="","",IF(OR(LOWER(J388)="critical",LOWER(TRIM('01_Master_Data'!AI388&amp;""))="yes",LOWER(TRIM('01_Master_Data'!AK388&amp;""))="yes",LOWER(U388)="risk"),"Yes","No"))</f>
        <v/>
      </c>
      <c r="AC388">
        <f>IF(A388="","",IF(LOWER(TRIM('01_Master_Data'!AI388&amp;""))="yes","Yes","No"))</f>
        <v/>
      </c>
      <c r="AD388">
        <f>IF(A388="","",IF(LOWER(TRIM('01_Master_Data'!AK388&amp;""))="yes","Yes","No"))</f>
        <v/>
      </c>
      <c r="AE388">
        <f>IF(A388="","",IF(LOWER(TRIM('01_Master_Data'!AJ388&amp;""))="yes","Yes","No"))</f>
        <v/>
      </c>
      <c r="AF388">
        <f>IF(A388="","",TRIM('01_Master_Data'!AL388&amp;""))</f>
        <v/>
      </c>
      <c r="AG388">
        <f>IF(A388="","",IF(AF388="","—",IF(ISNUMBER(SEARCH("DNP",AF388)),"Unreachable / DNP",IF(ISNUMBER(SEARCH("interest",LOWER(AF388))),"High Interest / Terms",IF(OR(ISNUMBER(SEARCH("eligib",LOWER(AF388))),ISNUMBER(SEARCH("income",LOWER(AF388)))),"Eligibility / Income",IF(OR(ISNUMBER(SEARCH("start",LOWER(AF388))),ISNUMBER(SEARCH("Newer",AF388)),ISNUMBER(SEARCH("Will start",AF388))),"Process Yet to Start",IF(ISNUMBER(SEARCH("sure",LOWER(AF388))),"Undecided",IF(OR(ISNUMBER(SEARCH("reject",LOWER(AF388))),ISNUMBER(SEARCH("SBI",AF388))),"Rejected Elsewhere",IF(ISNUMBER(SEARCH("call",LOWER(AF388))),"Bank Communication",IF(OR(ISNUMBER(SEARCH("father",LOWER(AF388))),ISNUMBER(SEARCH("sister",LOWER(AF388)))),"Family / Dependency","Other"))))))))))</f>
        <v/>
      </c>
      <c r="AH388">
        <f>IF(A388="","",'01_Master_Data'!AC388)</f>
        <v/>
      </c>
      <c r="AI388">
        <f>IF(A388="","",IF(OR(AH388="",NOT(ISNUMBER(AH388))),"",MAX(0,'02_Configuration'!$B$82-AH388)))</f>
        <v/>
      </c>
      <c r="AJ388">
        <f>IF(A388="","",IF(AI388="","Unknown",IF(AI388&lt;=3,"0–3 Days",IF(AI388&lt;=7,"4–7 Days",IF(AI388&lt;=15,"8–15 Days",IF(AI388&lt;=30,"16–30 Days","30+ Days"))))))</f>
        <v/>
      </c>
      <c r="AK388">
        <f>IF(A388="","",IF(LOWER(H388)="yes","Yes","No"))</f>
        <v/>
      </c>
      <c r="AL388">
        <f>IF(A388="","",'01_Master_Data'!T388)</f>
        <v/>
      </c>
      <c r="AM388">
        <f>IF(A388="","",'01_Master_Data'!S388)</f>
        <v/>
      </c>
      <c r="AN388">
        <f>IF(A388="","",'01_Master_Data'!I388)</f>
        <v/>
      </c>
      <c r="AO388">
        <f>IF(A388="","",'01_Master_Data'!M388)</f>
        <v/>
      </c>
      <c r="AP388">
        <f>IF(A388="","",IF(ISNUMBER(SEARCH("Icici",W388&amp;"")),1,0))</f>
        <v/>
      </c>
      <c r="AQ388">
        <f>IF(A388="","",IF(ISNUMBER(SEARCH("Propelld",W388&amp;"")),1,0))</f>
        <v/>
      </c>
      <c r="AR388">
        <f>IF(A388="","",IF(ISNUMBER(SEARCH("GyanDhan",W388&amp;"")),1,0))</f>
        <v/>
      </c>
      <c r="AS388">
        <f>IF(A388="","",IF(ISNUMBER(SEARCH("vidyalakshmi",LOWER(W388&amp;""))),1,0))</f>
        <v/>
      </c>
      <c r="AT388">
        <f>IF(A388="","",IF(ISNUMBER(SEARCH("other bank",LOWER(W388&amp;""))),1,0))</f>
        <v/>
      </c>
      <c r="AU388">
        <f>IF(A388="","",IF(ISNUMBER(SEARCH("sanctioned",LOWER(W388&amp;""))),1,0))</f>
        <v/>
      </c>
      <c r="AV388">
        <f>IF(A388="","",IF(ISNUMBER(SEARCH("Docs Pending",W388&amp;"")),1,0))</f>
        <v/>
      </c>
      <c r="AW388">
        <f>IF(A388="","",IF(OR(X388="Rejected",ISNUMBER(SEARCH("Not eligbile",W388&amp;""))),1,0))</f>
        <v/>
      </c>
    </row>
    <row r="389">
      <c r="A389">
        <f>IF('01_Master_Data'!B389="","",388)</f>
        <v/>
      </c>
      <c r="B389">
        <f>IF('01_Master_Data'!B389="","",IF('01_Master_Data'!C389&lt;&gt;"","MOB|"&amp;TEXT('01_Master_Data'!C389,"0"),IF('01_Master_Data'!D389&lt;&gt;"","PID|"&amp;TRIM('01_Master_Data'!D389&amp;""),"")))</f>
        <v/>
      </c>
      <c r="C389">
        <f>IF('01_Master_Data'!B389="","",'01_Master_Data'!B389)</f>
        <v/>
      </c>
      <c r="D389">
        <f>IF('01_Master_Data'!B389="","",'01_Master_Data'!C389)</f>
        <v/>
      </c>
      <c r="E389">
        <f>IF('01_Master_Data'!B389="","",'01_Master_Data'!D389)</f>
        <v/>
      </c>
      <c r="F389">
        <f>IF('01_Master_Data'!B389="","",'01_Master_Data'!E389)</f>
        <v/>
      </c>
      <c r="G389">
        <f>IF('01_Master_Data'!B389="","",IFERROR(VLOOKUP(TRIM('01_Master_Data'!E389&amp;""),'02_Configuration'!$A$40:$B$44,2,FALSE),UPPER(TRIM('01_Master_Data'!E389&amp;""))))</f>
        <v/>
      </c>
      <c r="H389">
        <f>IF('01_Master_Data'!B389="","",IF('01_Master_Data'!U389="","",TRIM('01_Master_Data'!U389&amp;"")))</f>
        <v/>
      </c>
      <c r="I389">
        <f>IF('01_Master_Data'!B389="","",TRIM('01_Master_Data'!F389&amp;""))</f>
        <v/>
      </c>
      <c r="J389">
        <f>IF('01_Master_Data'!B389="","",TRIM('01_Master_Data'!G389&amp;""))</f>
        <v/>
      </c>
      <c r="K389">
        <f>IF('01_Master_Data'!B389="","",'01_Master_Data'!H389)</f>
        <v/>
      </c>
      <c r="L389">
        <f>IF('01_Master_Data'!B389="","",IF(LOWER(TRIM('01_Master_Data'!V389&amp;""))="yes",1,0))</f>
        <v/>
      </c>
      <c r="M389">
        <f>IF('01_Master_Data'!B389="","",IF(LOWER(TRIM('01_Master_Data'!W389&amp;""))="yes",1,0))</f>
        <v/>
      </c>
      <c r="N389">
        <f>IF('01_Master_Data'!B389="","",IF(LOWER(TRIM('01_Master_Data'!X389&amp;""))="yes",1,0))</f>
        <v/>
      </c>
      <c r="O389">
        <f>IF('01_Master_Data'!B389="","",IF(LOWER(TRIM('01_Master_Data'!Y389&amp;""))="yes",1,0))</f>
        <v/>
      </c>
      <c r="P389">
        <f>IF('01_Master_Data'!B389="","",IF(LOWER(TRIM('01_Master_Data'!Z389&amp;""))="yes",1,0))</f>
        <v/>
      </c>
      <c r="Q389">
        <f>IF(A389="","",L389+M389+N389+O389+P389)</f>
        <v/>
      </c>
      <c r="R389">
        <f>IF(A389="","",IF(Q389&gt;1,"Yes","No"))</f>
        <v/>
      </c>
      <c r="S389">
        <f>IF(A389="","",TEXTJOIN(", ",TRUE,IF(L389=1,"ICICI",""),IF(M389=1,"Propelld",""),IF(N389=1,"Study4Buddy",""),IF(O389=1,"Poonawala Fincorp",""),IF(P389=1,"GyanDhan","")))</f>
        <v/>
      </c>
      <c r="T389">
        <f>IF(A389="","",IF(L389=1,"ICICI",IF(M389=1,"Propelld",IF(P389=1,"GyanDhan",IF(N389=1,"Study4Buddy",IF(O389=1,"Poonawala Fincorp",IF(ISNUMBER(SEARCH("GyanDhan",W389&amp;"")),"GyanDhan",IF(ISNUMBER(SEARCH("Icici",W389&amp;"")),"ICICI",IF(ISNUMBER(SEARCH("Propelld",W389&amp;"")),"Propelld",IF(ISNUMBER(SEARCH("vidyalakshmi",LOWER(W389&amp;"")),"PM Vidyalakshmi","—"))))))))))</f>
        <v/>
      </c>
      <c r="U389">
        <f>IF(A389="","",TRIM('01_Master_Data'!AA389&amp;""))</f>
        <v/>
      </c>
      <c r="V389">
        <f>IF(A389="","",TRIM('01_Master_Data'!AG389&amp;""))</f>
        <v/>
      </c>
      <c r="W389">
        <f>IF(A389="","",TRIM('01_Master_Data'!AH389&amp;""))</f>
        <v/>
      </c>
      <c r="X389">
        <f>IF(A389="","",IF(OR(LOWER(H389)="refund",LOWER(U389)="refund case"),"Refund",IF(OR(LOWER(H389)="dnp",LOWER(U389)="dnp"),"DNP",IF(OR(LOWER(V389)="disbursed",ISNUMBER(SEARCH("Disbursed",W389&amp;""))),"Disbursed",IF(OR(LOWER(V389)="loan proccessed/accepted",ISNUMBER(SEARCH("sanctioned",LOWER(W389&amp;"")))),"Sanctioned",IF(OR(LOWER(V389)="rejected",ISNUMBER(SEARCH("Not eligbile",W389&amp;"")),ISNUMBER(SEARCH("Not eligible",W389&amp;""))),"Rejected",IF(ISNUMBER(SEARCH("Docs Pending",W389&amp;"")),"Documents Pending",IF(AND(LOWER(H389)="yes",LOWER(V389)="ongoing"),"Processing",IF(AND(LOWER(H389)="yes",Q389&gt;0,OR(V389="",LOWER(V389)="not even started")),"Vendor Assigned",IF(AND(LOWER(H389)="yes",LOWER(V389)="not even started"),"Need Loan",IF(LOWER(H389)="yes","Loan Started",IF(LOWER(H389)="not sure","Interested",IF(OR(LOWER(H389)="no",LOWER(V389)="not required"),"Not Required","Unclassified")))))))))))))</f>
        <v/>
      </c>
      <c r="Y389">
        <f>IF(A389="","",IF(OR(X389="Sanctioned",X389="Disbursed",X389="Approved"),"Approved",IF(X389="Rejected","Rejected",IF(OR(X389="Processing",X389="Documents Pending",X389="Vendor Assigned"),"In Progress",IF(X389="Need Loan","Pending Start","—"))))</f>
        <v/>
      </c>
      <c r="Z389">
        <f>IF(A389="","",IF(X389="Disbursed","Disbursed",IF(X389="Sanctioned","Sanctioned - Awaiting Disbursement","Not Disbursed")))</f>
        <v/>
      </c>
      <c r="AA389">
        <f>IF(A389="","",IF(LOWER(TRIM('01_Master_Data'!AI389&amp;""))="yes","Need FLDG",IF(LOWER(TRIM('01_Master_Data'!AK389&amp;""))="yes","Need Vidyalakshmi",IF(LOWER(TRIM('01_Master_Data'!AJ389&amp;""))="yes","Need Review",IF(LOWER(J389)="critical","Critical",IF(LOWER(U389)="risk","Risk Case",IF(X389="Refund","Refund","Normal")))))))</f>
        <v/>
      </c>
      <c r="AB389">
        <f>IF(A389="","",IF(OR(LOWER(J389)="critical",LOWER(TRIM('01_Master_Data'!AI389&amp;""))="yes",LOWER(TRIM('01_Master_Data'!AK389&amp;""))="yes",LOWER(U389)="risk"),"Yes","No"))</f>
        <v/>
      </c>
      <c r="AC389">
        <f>IF(A389="","",IF(LOWER(TRIM('01_Master_Data'!AI389&amp;""))="yes","Yes","No"))</f>
        <v/>
      </c>
      <c r="AD389">
        <f>IF(A389="","",IF(LOWER(TRIM('01_Master_Data'!AK389&amp;""))="yes","Yes","No"))</f>
        <v/>
      </c>
      <c r="AE389">
        <f>IF(A389="","",IF(LOWER(TRIM('01_Master_Data'!AJ389&amp;""))="yes","Yes","No"))</f>
        <v/>
      </c>
      <c r="AF389">
        <f>IF(A389="","",TRIM('01_Master_Data'!AL389&amp;""))</f>
        <v/>
      </c>
      <c r="AG389">
        <f>IF(A389="","",IF(AF389="","—",IF(ISNUMBER(SEARCH("DNP",AF389)),"Unreachable / DNP",IF(ISNUMBER(SEARCH("interest",LOWER(AF389))),"High Interest / Terms",IF(OR(ISNUMBER(SEARCH("eligib",LOWER(AF389))),ISNUMBER(SEARCH("income",LOWER(AF389)))),"Eligibility / Income",IF(OR(ISNUMBER(SEARCH("start",LOWER(AF389))),ISNUMBER(SEARCH("Newer",AF389)),ISNUMBER(SEARCH("Will start",AF389))),"Process Yet to Start",IF(ISNUMBER(SEARCH("sure",LOWER(AF389))),"Undecided",IF(OR(ISNUMBER(SEARCH("reject",LOWER(AF389))),ISNUMBER(SEARCH("SBI",AF389))),"Rejected Elsewhere",IF(ISNUMBER(SEARCH("call",LOWER(AF389))),"Bank Communication",IF(OR(ISNUMBER(SEARCH("father",LOWER(AF389))),ISNUMBER(SEARCH("sister",LOWER(AF389)))),"Family / Dependency","Other"))))))))))</f>
        <v/>
      </c>
      <c r="AH389">
        <f>IF(A389="","",'01_Master_Data'!AC389)</f>
        <v/>
      </c>
      <c r="AI389">
        <f>IF(A389="","",IF(OR(AH389="",NOT(ISNUMBER(AH389))),"",MAX(0,'02_Configuration'!$B$82-AH389)))</f>
        <v/>
      </c>
      <c r="AJ389">
        <f>IF(A389="","",IF(AI389="","Unknown",IF(AI389&lt;=3,"0–3 Days",IF(AI389&lt;=7,"4–7 Days",IF(AI389&lt;=15,"8–15 Days",IF(AI389&lt;=30,"16–30 Days","30+ Days"))))))</f>
        <v/>
      </c>
      <c r="AK389">
        <f>IF(A389="","",IF(LOWER(H389)="yes","Yes","No"))</f>
        <v/>
      </c>
      <c r="AL389">
        <f>IF(A389="","",'01_Master_Data'!T389)</f>
        <v/>
      </c>
      <c r="AM389">
        <f>IF(A389="","",'01_Master_Data'!S389)</f>
        <v/>
      </c>
      <c r="AN389">
        <f>IF(A389="","",'01_Master_Data'!I389)</f>
        <v/>
      </c>
      <c r="AO389">
        <f>IF(A389="","",'01_Master_Data'!M389)</f>
        <v/>
      </c>
      <c r="AP389">
        <f>IF(A389="","",IF(ISNUMBER(SEARCH("Icici",W389&amp;"")),1,0))</f>
        <v/>
      </c>
      <c r="AQ389">
        <f>IF(A389="","",IF(ISNUMBER(SEARCH("Propelld",W389&amp;"")),1,0))</f>
        <v/>
      </c>
      <c r="AR389">
        <f>IF(A389="","",IF(ISNUMBER(SEARCH("GyanDhan",W389&amp;"")),1,0))</f>
        <v/>
      </c>
      <c r="AS389">
        <f>IF(A389="","",IF(ISNUMBER(SEARCH("vidyalakshmi",LOWER(W389&amp;""))),1,0))</f>
        <v/>
      </c>
      <c r="AT389">
        <f>IF(A389="","",IF(ISNUMBER(SEARCH("other bank",LOWER(W389&amp;""))),1,0))</f>
        <v/>
      </c>
      <c r="AU389">
        <f>IF(A389="","",IF(ISNUMBER(SEARCH("sanctioned",LOWER(W389&amp;""))),1,0))</f>
        <v/>
      </c>
      <c r="AV389">
        <f>IF(A389="","",IF(ISNUMBER(SEARCH("Docs Pending",W389&amp;"")),1,0))</f>
        <v/>
      </c>
      <c r="AW389">
        <f>IF(A389="","",IF(OR(X389="Rejected",ISNUMBER(SEARCH("Not eligbile",W389&amp;""))),1,0))</f>
        <v/>
      </c>
    </row>
    <row r="390">
      <c r="A390">
        <f>IF('01_Master_Data'!B390="","",389)</f>
        <v/>
      </c>
      <c r="B390">
        <f>IF('01_Master_Data'!B390="","",IF('01_Master_Data'!C390&lt;&gt;"","MOB|"&amp;TEXT('01_Master_Data'!C390,"0"),IF('01_Master_Data'!D390&lt;&gt;"","PID|"&amp;TRIM('01_Master_Data'!D390&amp;""),"")))</f>
        <v/>
      </c>
      <c r="C390">
        <f>IF('01_Master_Data'!B390="","",'01_Master_Data'!B390)</f>
        <v/>
      </c>
      <c r="D390">
        <f>IF('01_Master_Data'!B390="","",'01_Master_Data'!C390)</f>
        <v/>
      </c>
      <c r="E390">
        <f>IF('01_Master_Data'!B390="","",'01_Master_Data'!D390)</f>
        <v/>
      </c>
      <c r="F390">
        <f>IF('01_Master_Data'!B390="","",'01_Master_Data'!E390)</f>
        <v/>
      </c>
      <c r="G390">
        <f>IF('01_Master_Data'!B390="","",IFERROR(VLOOKUP(TRIM('01_Master_Data'!E390&amp;""),'02_Configuration'!$A$40:$B$44,2,FALSE),UPPER(TRIM('01_Master_Data'!E390&amp;""))))</f>
        <v/>
      </c>
      <c r="H390">
        <f>IF('01_Master_Data'!B390="","",IF('01_Master_Data'!U390="","",TRIM('01_Master_Data'!U390&amp;"")))</f>
        <v/>
      </c>
      <c r="I390">
        <f>IF('01_Master_Data'!B390="","",TRIM('01_Master_Data'!F390&amp;""))</f>
        <v/>
      </c>
      <c r="J390">
        <f>IF('01_Master_Data'!B390="","",TRIM('01_Master_Data'!G390&amp;""))</f>
        <v/>
      </c>
      <c r="K390">
        <f>IF('01_Master_Data'!B390="","",'01_Master_Data'!H390)</f>
        <v/>
      </c>
      <c r="L390">
        <f>IF('01_Master_Data'!B390="","",IF(LOWER(TRIM('01_Master_Data'!V390&amp;""))="yes",1,0))</f>
        <v/>
      </c>
      <c r="M390">
        <f>IF('01_Master_Data'!B390="","",IF(LOWER(TRIM('01_Master_Data'!W390&amp;""))="yes",1,0))</f>
        <v/>
      </c>
      <c r="N390">
        <f>IF('01_Master_Data'!B390="","",IF(LOWER(TRIM('01_Master_Data'!X390&amp;""))="yes",1,0))</f>
        <v/>
      </c>
      <c r="O390">
        <f>IF('01_Master_Data'!B390="","",IF(LOWER(TRIM('01_Master_Data'!Y390&amp;""))="yes",1,0))</f>
        <v/>
      </c>
      <c r="P390">
        <f>IF('01_Master_Data'!B390="","",IF(LOWER(TRIM('01_Master_Data'!Z390&amp;""))="yes",1,0))</f>
        <v/>
      </c>
      <c r="Q390">
        <f>IF(A390="","",L390+M390+N390+O390+P390)</f>
        <v/>
      </c>
      <c r="R390">
        <f>IF(A390="","",IF(Q390&gt;1,"Yes","No"))</f>
        <v/>
      </c>
      <c r="S390">
        <f>IF(A390="","",TEXTJOIN(", ",TRUE,IF(L390=1,"ICICI",""),IF(M390=1,"Propelld",""),IF(N390=1,"Study4Buddy",""),IF(O390=1,"Poonawala Fincorp",""),IF(P390=1,"GyanDhan","")))</f>
        <v/>
      </c>
      <c r="T390">
        <f>IF(A390="","",IF(L390=1,"ICICI",IF(M390=1,"Propelld",IF(P390=1,"GyanDhan",IF(N390=1,"Study4Buddy",IF(O390=1,"Poonawala Fincorp",IF(ISNUMBER(SEARCH("GyanDhan",W390&amp;"")),"GyanDhan",IF(ISNUMBER(SEARCH("Icici",W390&amp;"")),"ICICI",IF(ISNUMBER(SEARCH("Propelld",W390&amp;"")),"Propelld",IF(ISNUMBER(SEARCH("vidyalakshmi",LOWER(W390&amp;"")),"PM Vidyalakshmi","—"))))))))))</f>
        <v/>
      </c>
      <c r="U390">
        <f>IF(A390="","",TRIM('01_Master_Data'!AA390&amp;""))</f>
        <v/>
      </c>
      <c r="V390">
        <f>IF(A390="","",TRIM('01_Master_Data'!AG390&amp;""))</f>
        <v/>
      </c>
      <c r="W390">
        <f>IF(A390="","",TRIM('01_Master_Data'!AH390&amp;""))</f>
        <v/>
      </c>
      <c r="X390">
        <f>IF(A390="","",IF(OR(LOWER(H390)="refund",LOWER(U390)="refund case"),"Refund",IF(OR(LOWER(H390)="dnp",LOWER(U390)="dnp"),"DNP",IF(OR(LOWER(V390)="disbursed",ISNUMBER(SEARCH("Disbursed",W390&amp;""))),"Disbursed",IF(OR(LOWER(V390)="loan proccessed/accepted",ISNUMBER(SEARCH("sanctioned",LOWER(W390&amp;"")))),"Sanctioned",IF(OR(LOWER(V390)="rejected",ISNUMBER(SEARCH("Not eligbile",W390&amp;"")),ISNUMBER(SEARCH("Not eligible",W390&amp;""))),"Rejected",IF(ISNUMBER(SEARCH("Docs Pending",W390&amp;"")),"Documents Pending",IF(AND(LOWER(H390)="yes",LOWER(V390)="ongoing"),"Processing",IF(AND(LOWER(H390)="yes",Q390&gt;0,OR(V390="",LOWER(V390)="not even started")),"Vendor Assigned",IF(AND(LOWER(H390)="yes",LOWER(V390)="not even started"),"Need Loan",IF(LOWER(H390)="yes","Loan Started",IF(LOWER(H390)="not sure","Interested",IF(OR(LOWER(H390)="no",LOWER(V390)="not required"),"Not Required","Unclassified")))))))))))))</f>
        <v/>
      </c>
      <c r="Y390">
        <f>IF(A390="","",IF(OR(X390="Sanctioned",X390="Disbursed",X390="Approved"),"Approved",IF(X390="Rejected","Rejected",IF(OR(X390="Processing",X390="Documents Pending",X390="Vendor Assigned"),"In Progress",IF(X390="Need Loan","Pending Start","—"))))</f>
        <v/>
      </c>
      <c r="Z390">
        <f>IF(A390="","",IF(X390="Disbursed","Disbursed",IF(X390="Sanctioned","Sanctioned - Awaiting Disbursement","Not Disbursed")))</f>
        <v/>
      </c>
      <c r="AA390">
        <f>IF(A390="","",IF(LOWER(TRIM('01_Master_Data'!AI390&amp;""))="yes","Need FLDG",IF(LOWER(TRIM('01_Master_Data'!AK390&amp;""))="yes","Need Vidyalakshmi",IF(LOWER(TRIM('01_Master_Data'!AJ390&amp;""))="yes","Need Review",IF(LOWER(J390)="critical","Critical",IF(LOWER(U390)="risk","Risk Case",IF(X390="Refund","Refund","Normal")))))))</f>
        <v/>
      </c>
      <c r="AB390">
        <f>IF(A390="","",IF(OR(LOWER(J390)="critical",LOWER(TRIM('01_Master_Data'!AI390&amp;""))="yes",LOWER(TRIM('01_Master_Data'!AK390&amp;""))="yes",LOWER(U390)="risk"),"Yes","No"))</f>
        <v/>
      </c>
      <c r="AC390">
        <f>IF(A390="","",IF(LOWER(TRIM('01_Master_Data'!AI390&amp;""))="yes","Yes","No"))</f>
        <v/>
      </c>
      <c r="AD390">
        <f>IF(A390="","",IF(LOWER(TRIM('01_Master_Data'!AK390&amp;""))="yes","Yes","No"))</f>
        <v/>
      </c>
      <c r="AE390">
        <f>IF(A390="","",IF(LOWER(TRIM('01_Master_Data'!AJ390&amp;""))="yes","Yes","No"))</f>
        <v/>
      </c>
      <c r="AF390">
        <f>IF(A390="","",TRIM('01_Master_Data'!AL390&amp;""))</f>
        <v/>
      </c>
      <c r="AG390">
        <f>IF(A390="","",IF(AF390="","—",IF(ISNUMBER(SEARCH("DNP",AF390)),"Unreachable / DNP",IF(ISNUMBER(SEARCH("interest",LOWER(AF390))),"High Interest / Terms",IF(OR(ISNUMBER(SEARCH("eligib",LOWER(AF390))),ISNUMBER(SEARCH("income",LOWER(AF390)))),"Eligibility / Income",IF(OR(ISNUMBER(SEARCH("start",LOWER(AF390))),ISNUMBER(SEARCH("Newer",AF390)),ISNUMBER(SEARCH("Will start",AF390))),"Process Yet to Start",IF(ISNUMBER(SEARCH("sure",LOWER(AF390))),"Undecided",IF(OR(ISNUMBER(SEARCH("reject",LOWER(AF390))),ISNUMBER(SEARCH("SBI",AF390))),"Rejected Elsewhere",IF(ISNUMBER(SEARCH("call",LOWER(AF390))),"Bank Communication",IF(OR(ISNUMBER(SEARCH("father",LOWER(AF390))),ISNUMBER(SEARCH("sister",LOWER(AF390)))),"Family / Dependency","Other"))))))))))</f>
        <v/>
      </c>
      <c r="AH390">
        <f>IF(A390="","",'01_Master_Data'!AC390)</f>
        <v/>
      </c>
      <c r="AI390">
        <f>IF(A390="","",IF(OR(AH390="",NOT(ISNUMBER(AH390))),"",MAX(0,'02_Configuration'!$B$82-AH390)))</f>
        <v/>
      </c>
      <c r="AJ390">
        <f>IF(A390="","",IF(AI390="","Unknown",IF(AI390&lt;=3,"0–3 Days",IF(AI390&lt;=7,"4–7 Days",IF(AI390&lt;=15,"8–15 Days",IF(AI390&lt;=30,"16–30 Days","30+ Days"))))))</f>
        <v/>
      </c>
      <c r="AK390">
        <f>IF(A390="","",IF(LOWER(H390)="yes","Yes","No"))</f>
        <v/>
      </c>
      <c r="AL390">
        <f>IF(A390="","",'01_Master_Data'!T390)</f>
        <v/>
      </c>
      <c r="AM390">
        <f>IF(A390="","",'01_Master_Data'!S390)</f>
        <v/>
      </c>
      <c r="AN390">
        <f>IF(A390="","",'01_Master_Data'!I390)</f>
        <v/>
      </c>
      <c r="AO390">
        <f>IF(A390="","",'01_Master_Data'!M390)</f>
        <v/>
      </c>
      <c r="AP390">
        <f>IF(A390="","",IF(ISNUMBER(SEARCH("Icici",W390&amp;"")),1,0))</f>
        <v/>
      </c>
      <c r="AQ390">
        <f>IF(A390="","",IF(ISNUMBER(SEARCH("Propelld",W390&amp;"")),1,0))</f>
        <v/>
      </c>
      <c r="AR390">
        <f>IF(A390="","",IF(ISNUMBER(SEARCH("GyanDhan",W390&amp;"")),1,0))</f>
        <v/>
      </c>
      <c r="AS390">
        <f>IF(A390="","",IF(ISNUMBER(SEARCH("vidyalakshmi",LOWER(W390&amp;""))),1,0))</f>
        <v/>
      </c>
      <c r="AT390">
        <f>IF(A390="","",IF(ISNUMBER(SEARCH("other bank",LOWER(W390&amp;""))),1,0))</f>
        <v/>
      </c>
      <c r="AU390">
        <f>IF(A390="","",IF(ISNUMBER(SEARCH("sanctioned",LOWER(W390&amp;""))),1,0))</f>
        <v/>
      </c>
      <c r="AV390">
        <f>IF(A390="","",IF(ISNUMBER(SEARCH("Docs Pending",W390&amp;"")),1,0))</f>
        <v/>
      </c>
      <c r="AW390">
        <f>IF(A390="","",IF(OR(X390="Rejected",ISNUMBER(SEARCH("Not eligbile",W390&amp;""))),1,0))</f>
        <v/>
      </c>
    </row>
    <row r="391">
      <c r="A391">
        <f>IF('01_Master_Data'!B391="","",390)</f>
        <v/>
      </c>
      <c r="B391">
        <f>IF('01_Master_Data'!B391="","",IF('01_Master_Data'!C391&lt;&gt;"","MOB|"&amp;TEXT('01_Master_Data'!C391,"0"),IF('01_Master_Data'!D391&lt;&gt;"","PID|"&amp;TRIM('01_Master_Data'!D391&amp;""),"")))</f>
        <v/>
      </c>
      <c r="C391">
        <f>IF('01_Master_Data'!B391="","",'01_Master_Data'!B391)</f>
        <v/>
      </c>
      <c r="D391">
        <f>IF('01_Master_Data'!B391="","",'01_Master_Data'!C391)</f>
        <v/>
      </c>
      <c r="E391">
        <f>IF('01_Master_Data'!B391="","",'01_Master_Data'!D391)</f>
        <v/>
      </c>
      <c r="F391">
        <f>IF('01_Master_Data'!B391="","",'01_Master_Data'!E391)</f>
        <v/>
      </c>
      <c r="G391">
        <f>IF('01_Master_Data'!B391="","",IFERROR(VLOOKUP(TRIM('01_Master_Data'!E391&amp;""),'02_Configuration'!$A$40:$B$44,2,FALSE),UPPER(TRIM('01_Master_Data'!E391&amp;""))))</f>
        <v/>
      </c>
      <c r="H391">
        <f>IF('01_Master_Data'!B391="","",IF('01_Master_Data'!U391="","",TRIM('01_Master_Data'!U391&amp;"")))</f>
        <v/>
      </c>
      <c r="I391">
        <f>IF('01_Master_Data'!B391="","",TRIM('01_Master_Data'!F391&amp;""))</f>
        <v/>
      </c>
      <c r="J391">
        <f>IF('01_Master_Data'!B391="","",TRIM('01_Master_Data'!G391&amp;""))</f>
        <v/>
      </c>
      <c r="K391">
        <f>IF('01_Master_Data'!B391="","",'01_Master_Data'!H391)</f>
        <v/>
      </c>
      <c r="L391">
        <f>IF('01_Master_Data'!B391="","",IF(LOWER(TRIM('01_Master_Data'!V391&amp;""))="yes",1,0))</f>
        <v/>
      </c>
      <c r="M391">
        <f>IF('01_Master_Data'!B391="","",IF(LOWER(TRIM('01_Master_Data'!W391&amp;""))="yes",1,0))</f>
        <v/>
      </c>
      <c r="N391">
        <f>IF('01_Master_Data'!B391="","",IF(LOWER(TRIM('01_Master_Data'!X391&amp;""))="yes",1,0))</f>
        <v/>
      </c>
      <c r="O391">
        <f>IF('01_Master_Data'!B391="","",IF(LOWER(TRIM('01_Master_Data'!Y391&amp;""))="yes",1,0))</f>
        <v/>
      </c>
      <c r="P391">
        <f>IF('01_Master_Data'!B391="","",IF(LOWER(TRIM('01_Master_Data'!Z391&amp;""))="yes",1,0))</f>
        <v/>
      </c>
      <c r="Q391">
        <f>IF(A391="","",L391+M391+N391+O391+P391)</f>
        <v/>
      </c>
      <c r="R391">
        <f>IF(A391="","",IF(Q391&gt;1,"Yes","No"))</f>
        <v/>
      </c>
      <c r="S391">
        <f>IF(A391="","",TEXTJOIN(", ",TRUE,IF(L391=1,"ICICI",""),IF(M391=1,"Propelld",""),IF(N391=1,"Study4Buddy",""),IF(O391=1,"Poonawala Fincorp",""),IF(P391=1,"GyanDhan","")))</f>
        <v/>
      </c>
      <c r="T391">
        <f>IF(A391="","",IF(L391=1,"ICICI",IF(M391=1,"Propelld",IF(P391=1,"GyanDhan",IF(N391=1,"Study4Buddy",IF(O391=1,"Poonawala Fincorp",IF(ISNUMBER(SEARCH("GyanDhan",W391&amp;"")),"GyanDhan",IF(ISNUMBER(SEARCH("Icici",W391&amp;"")),"ICICI",IF(ISNUMBER(SEARCH("Propelld",W391&amp;"")),"Propelld",IF(ISNUMBER(SEARCH("vidyalakshmi",LOWER(W391&amp;"")),"PM Vidyalakshmi","—"))))))))))</f>
        <v/>
      </c>
      <c r="U391">
        <f>IF(A391="","",TRIM('01_Master_Data'!AA391&amp;""))</f>
        <v/>
      </c>
      <c r="V391">
        <f>IF(A391="","",TRIM('01_Master_Data'!AG391&amp;""))</f>
        <v/>
      </c>
      <c r="W391">
        <f>IF(A391="","",TRIM('01_Master_Data'!AH391&amp;""))</f>
        <v/>
      </c>
      <c r="X391">
        <f>IF(A391="","",IF(OR(LOWER(H391)="refund",LOWER(U391)="refund case"),"Refund",IF(OR(LOWER(H391)="dnp",LOWER(U391)="dnp"),"DNP",IF(OR(LOWER(V391)="disbursed",ISNUMBER(SEARCH("Disbursed",W391&amp;""))),"Disbursed",IF(OR(LOWER(V391)="loan proccessed/accepted",ISNUMBER(SEARCH("sanctioned",LOWER(W391&amp;"")))),"Sanctioned",IF(OR(LOWER(V391)="rejected",ISNUMBER(SEARCH("Not eligbile",W391&amp;"")),ISNUMBER(SEARCH("Not eligible",W391&amp;""))),"Rejected",IF(ISNUMBER(SEARCH("Docs Pending",W391&amp;"")),"Documents Pending",IF(AND(LOWER(H391)="yes",LOWER(V391)="ongoing"),"Processing",IF(AND(LOWER(H391)="yes",Q391&gt;0,OR(V391="",LOWER(V391)="not even started")),"Vendor Assigned",IF(AND(LOWER(H391)="yes",LOWER(V391)="not even started"),"Need Loan",IF(LOWER(H391)="yes","Loan Started",IF(LOWER(H391)="not sure","Interested",IF(OR(LOWER(H391)="no",LOWER(V391)="not required"),"Not Required","Unclassified")))))))))))))</f>
        <v/>
      </c>
      <c r="Y391">
        <f>IF(A391="","",IF(OR(X391="Sanctioned",X391="Disbursed",X391="Approved"),"Approved",IF(X391="Rejected","Rejected",IF(OR(X391="Processing",X391="Documents Pending",X391="Vendor Assigned"),"In Progress",IF(X391="Need Loan","Pending Start","—"))))</f>
        <v/>
      </c>
      <c r="Z391">
        <f>IF(A391="","",IF(X391="Disbursed","Disbursed",IF(X391="Sanctioned","Sanctioned - Awaiting Disbursement","Not Disbursed")))</f>
        <v/>
      </c>
      <c r="AA391">
        <f>IF(A391="","",IF(LOWER(TRIM('01_Master_Data'!AI391&amp;""))="yes","Need FLDG",IF(LOWER(TRIM('01_Master_Data'!AK391&amp;""))="yes","Need Vidyalakshmi",IF(LOWER(TRIM('01_Master_Data'!AJ391&amp;""))="yes","Need Review",IF(LOWER(J391)="critical","Critical",IF(LOWER(U391)="risk","Risk Case",IF(X391="Refund","Refund","Normal")))))))</f>
        <v/>
      </c>
      <c r="AB391">
        <f>IF(A391="","",IF(OR(LOWER(J391)="critical",LOWER(TRIM('01_Master_Data'!AI391&amp;""))="yes",LOWER(TRIM('01_Master_Data'!AK391&amp;""))="yes",LOWER(U391)="risk"),"Yes","No"))</f>
        <v/>
      </c>
      <c r="AC391">
        <f>IF(A391="","",IF(LOWER(TRIM('01_Master_Data'!AI391&amp;""))="yes","Yes","No"))</f>
        <v/>
      </c>
      <c r="AD391">
        <f>IF(A391="","",IF(LOWER(TRIM('01_Master_Data'!AK391&amp;""))="yes","Yes","No"))</f>
        <v/>
      </c>
      <c r="AE391">
        <f>IF(A391="","",IF(LOWER(TRIM('01_Master_Data'!AJ391&amp;""))="yes","Yes","No"))</f>
        <v/>
      </c>
      <c r="AF391">
        <f>IF(A391="","",TRIM('01_Master_Data'!AL391&amp;""))</f>
        <v/>
      </c>
      <c r="AG391">
        <f>IF(A391="","",IF(AF391="","—",IF(ISNUMBER(SEARCH("DNP",AF391)),"Unreachable / DNP",IF(ISNUMBER(SEARCH("interest",LOWER(AF391))),"High Interest / Terms",IF(OR(ISNUMBER(SEARCH("eligib",LOWER(AF391))),ISNUMBER(SEARCH("income",LOWER(AF391)))),"Eligibility / Income",IF(OR(ISNUMBER(SEARCH("start",LOWER(AF391))),ISNUMBER(SEARCH("Newer",AF391)),ISNUMBER(SEARCH("Will start",AF391))),"Process Yet to Start",IF(ISNUMBER(SEARCH("sure",LOWER(AF391))),"Undecided",IF(OR(ISNUMBER(SEARCH("reject",LOWER(AF391))),ISNUMBER(SEARCH("SBI",AF391))),"Rejected Elsewhere",IF(ISNUMBER(SEARCH("call",LOWER(AF391))),"Bank Communication",IF(OR(ISNUMBER(SEARCH("father",LOWER(AF391))),ISNUMBER(SEARCH("sister",LOWER(AF391)))),"Family / Dependency","Other"))))))))))</f>
        <v/>
      </c>
      <c r="AH391">
        <f>IF(A391="","",'01_Master_Data'!AC391)</f>
        <v/>
      </c>
      <c r="AI391">
        <f>IF(A391="","",IF(OR(AH391="",NOT(ISNUMBER(AH391))),"",MAX(0,'02_Configuration'!$B$82-AH391)))</f>
        <v/>
      </c>
      <c r="AJ391">
        <f>IF(A391="","",IF(AI391="","Unknown",IF(AI391&lt;=3,"0–3 Days",IF(AI391&lt;=7,"4–7 Days",IF(AI391&lt;=15,"8–15 Days",IF(AI391&lt;=30,"16–30 Days","30+ Days"))))))</f>
        <v/>
      </c>
      <c r="AK391">
        <f>IF(A391="","",IF(LOWER(H391)="yes","Yes","No"))</f>
        <v/>
      </c>
      <c r="AL391">
        <f>IF(A391="","",'01_Master_Data'!T391)</f>
        <v/>
      </c>
      <c r="AM391">
        <f>IF(A391="","",'01_Master_Data'!S391)</f>
        <v/>
      </c>
      <c r="AN391">
        <f>IF(A391="","",'01_Master_Data'!I391)</f>
        <v/>
      </c>
      <c r="AO391">
        <f>IF(A391="","",'01_Master_Data'!M391)</f>
        <v/>
      </c>
      <c r="AP391">
        <f>IF(A391="","",IF(ISNUMBER(SEARCH("Icici",W391&amp;"")),1,0))</f>
        <v/>
      </c>
      <c r="AQ391">
        <f>IF(A391="","",IF(ISNUMBER(SEARCH("Propelld",W391&amp;"")),1,0))</f>
        <v/>
      </c>
      <c r="AR391">
        <f>IF(A391="","",IF(ISNUMBER(SEARCH("GyanDhan",W391&amp;"")),1,0))</f>
        <v/>
      </c>
      <c r="AS391">
        <f>IF(A391="","",IF(ISNUMBER(SEARCH("vidyalakshmi",LOWER(W391&amp;""))),1,0))</f>
        <v/>
      </c>
      <c r="AT391">
        <f>IF(A391="","",IF(ISNUMBER(SEARCH("other bank",LOWER(W391&amp;""))),1,0))</f>
        <v/>
      </c>
      <c r="AU391">
        <f>IF(A391="","",IF(ISNUMBER(SEARCH("sanctioned",LOWER(W391&amp;""))),1,0))</f>
        <v/>
      </c>
      <c r="AV391">
        <f>IF(A391="","",IF(ISNUMBER(SEARCH("Docs Pending",W391&amp;"")),1,0))</f>
        <v/>
      </c>
      <c r="AW391">
        <f>IF(A391="","",IF(OR(X391="Rejected",ISNUMBER(SEARCH("Not eligbile",W391&amp;""))),1,0))</f>
        <v/>
      </c>
    </row>
    <row r="392">
      <c r="A392">
        <f>IF('01_Master_Data'!B392="","",391)</f>
        <v/>
      </c>
      <c r="B392">
        <f>IF('01_Master_Data'!B392="","",IF('01_Master_Data'!C392&lt;&gt;"","MOB|"&amp;TEXT('01_Master_Data'!C392,"0"),IF('01_Master_Data'!D392&lt;&gt;"","PID|"&amp;TRIM('01_Master_Data'!D392&amp;""),"")))</f>
        <v/>
      </c>
      <c r="C392">
        <f>IF('01_Master_Data'!B392="","",'01_Master_Data'!B392)</f>
        <v/>
      </c>
      <c r="D392">
        <f>IF('01_Master_Data'!B392="","",'01_Master_Data'!C392)</f>
        <v/>
      </c>
      <c r="E392">
        <f>IF('01_Master_Data'!B392="","",'01_Master_Data'!D392)</f>
        <v/>
      </c>
      <c r="F392">
        <f>IF('01_Master_Data'!B392="","",'01_Master_Data'!E392)</f>
        <v/>
      </c>
      <c r="G392">
        <f>IF('01_Master_Data'!B392="","",IFERROR(VLOOKUP(TRIM('01_Master_Data'!E392&amp;""),'02_Configuration'!$A$40:$B$44,2,FALSE),UPPER(TRIM('01_Master_Data'!E392&amp;""))))</f>
        <v/>
      </c>
      <c r="H392">
        <f>IF('01_Master_Data'!B392="","",IF('01_Master_Data'!U392="","",TRIM('01_Master_Data'!U392&amp;"")))</f>
        <v/>
      </c>
      <c r="I392">
        <f>IF('01_Master_Data'!B392="","",TRIM('01_Master_Data'!F392&amp;""))</f>
        <v/>
      </c>
      <c r="J392">
        <f>IF('01_Master_Data'!B392="","",TRIM('01_Master_Data'!G392&amp;""))</f>
        <v/>
      </c>
      <c r="K392">
        <f>IF('01_Master_Data'!B392="","",'01_Master_Data'!H392)</f>
        <v/>
      </c>
      <c r="L392">
        <f>IF('01_Master_Data'!B392="","",IF(LOWER(TRIM('01_Master_Data'!V392&amp;""))="yes",1,0))</f>
        <v/>
      </c>
      <c r="M392">
        <f>IF('01_Master_Data'!B392="","",IF(LOWER(TRIM('01_Master_Data'!W392&amp;""))="yes",1,0))</f>
        <v/>
      </c>
      <c r="N392">
        <f>IF('01_Master_Data'!B392="","",IF(LOWER(TRIM('01_Master_Data'!X392&amp;""))="yes",1,0))</f>
        <v/>
      </c>
      <c r="O392">
        <f>IF('01_Master_Data'!B392="","",IF(LOWER(TRIM('01_Master_Data'!Y392&amp;""))="yes",1,0))</f>
        <v/>
      </c>
      <c r="P392">
        <f>IF('01_Master_Data'!B392="","",IF(LOWER(TRIM('01_Master_Data'!Z392&amp;""))="yes",1,0))</f>
        <v/>
      </c>
      <c r="Q392">
        <f>IF(A392="","",L392+M392+N392+O392+P392)</f>
        <v/>
      </c>
      <c r="R392">
        <f>IF(A392="","",IF(Q392&gt;1,"Yes","No"))</f>
        <v/>
      </c>
      <c r="S392">
        <f>IF(A392="","",TEXTJOIN(", ",TRUE,IF(L392=1,"ICICI",""),IF(M392=1,"Propelld",""),IF(N392=1,"Study4Buddy",""),IF(O392=1,"Poonawala Fincorp",""),IF(P392=1,"GyanDhan","")))</f>
        <v/>
      </c>
      <c r="T392">
        <f>IF(A392="","",IF(L392=1,"ICICI",IF(M392=1,"Propelld",IF(P392=1,"GyanDhan",IF(N392=1,"Study4Buddy",IF(O392=1,"Poonawala Fincorp",IF(ISNUMBER(SEARCH("GyanDhan",W392&amp;"")),"GyanDhan",IF(ISNUMBER(SEARCH("Icici",W392&amp;"")),"ICICI",IF(ISNUMBER(SEARCH("Propelld",W392&amp;"")),"Propelld",IF(ISNUMBER(SEARCH("vidyalakshmi",LOWER(W392&amp;"")),"PM Vidyalakshmi","—"))))))))))</f>
        <v/>
      </c>
      <c r="U392">
        <f>IF(A392="","",TRIM('01_Master_Data'!AA392&amp;""))</f>
        <v/>
      </c>
      <c r="V392">
        <f>IF(A392="","",TRIM('01_Master_Data'!AG392&amp;""))</f>
        <v/>
      </c>
      <c r="W392">
        <f>IF(A392="","",TRIM('01_Master_Data'!AH392&amp;""))</f>
        <v/>
      </c>
      <c r="X392">
        <f>IF(A392="","",IF(OR(LOWER(H392)="refund",LOWER(U392)="refund case"),"Refund",IF(OR(LOWER(H392)="dnp",LOWER(U392)="dnp"),"DNP",IF(OR(LOWER(V392)="disbursed",ISNUMBER(SEARCH("Disbursed",W392&amp;""))),"Disbursed",IF(OR(LOWER(V392)="loan proccessed/accepted",ISNUMBER(SEARCH("sanctioned",LOWER(W392&amp;"")))),"Sanctioned",IF(OR(LOWER(V392)="rejected",ISNUMBER(SEARCH("Not eligbile",W392&amp;"")),ISNUMBER(SEARCH("Not eligible",W392&amp;""))),"Rejected",IF(ISNUMBER(SEARCH("Docs Pending",W392&amp;"")),"Documents Pending",IF(AND(LOWER(H392)="yes",LOWER(V392)="ongoing"),"Processing",IF(AND(LOWER(H392)="yes",Q392&gt;0,OR(V392="",LOWER(V392)="not even started")),"Vendor Assigned",IF(AND(LOWER(H392)="yes",LOWER(V392)="not even started"),"Need Loan",IF(LOWER(H392)="yes","Loan Started",IF(LOWER(H392)="not sure","Interested",IF(OR(LOWER(H392)="no",LOWER(V392)="not required"),"Not Required","Unclassified")))))))))))))</f>
        <v/>
      </c>
      <c r="Y392">
        <f>IF(A392="","",IF(OR(X392="Sanctioned",X392="Disbursed",X392="Approved"),"Approved",IF(X392="Rejected","Rejected",IF(OR(X392="Processing",X392="Documents Pending",X392="Vendor Assigned"),"In Progress",IF(X392="Need Loan","Pending Start","—"))))</f>
        <v/>
      </c>
      <c r="Z392">
        <f>IF(A392="","",IF(X392="Disbursed","Disbursed",IF(X392="Sanctioned","Sanctioned - Awaiting Disbursement","Not Disbursed")))</f>
        <v/>
      </c>
      <c r="AA392">
        <f>IF(A392="","",IF(LOWER(TRIM('01_Master_Data'!AI392&amp;""))="yes","Need FLDG",IF(LOWER(TRIM('01_Master_Data'!AK392&amp;""))="yes","Need Vidyalakshmi",IF(LOWER(TRIM('01_Master_Data'!AJ392&amp;""))="yes","Need Review",IF(LOWER(J392)="critical","Critical",IF(LOWER(U392)="risk","Risk Case",IF(X392="Refund","Refund","Normal")))))))</f>
        <v/>
      </c>
      <c r="AB392">
        <f>IF(A392="","",IF(OR(LOWER(J392)="critical",LOWER(TRIM('01_Master_Data'!AI392&amp;""))="yes",LOWER(TRIM('01_Master_Data'!AK392&amp;""))="yes",LOWER(U392)="risk"),"Yes","No"))</f>
        <v/>
      </c>
      <c r="AC392">
        <f>IF(A392="","",IF(LOWER(TRIM('01_Master_Data'!AI392&amp;""))="yes","Yes","No"))</f>
        <v/>
      </c>
      <c r="AD392">
        <f>IF(A392="","",IF(LOWER(TRIM('01_Master_Data'!AK392&amp;""))="yes","Yes","No"))</f>
        <v/>
      </c>
      <c r="AE392">
        <f>IF(A392="","",IF(LOWER(TRIM('01_Master_Data'!AJ392&amp;""))="yes","Yes","No"))</f>
        <v/>
      </c>
      <c r="AF392">
        <f>IF(A392="","",TRIM('01_Master_Data'!AL392&amp;""))</f>
        <v/>
      </c>
      <c r="AG392">
        <f>IF(A392="","",IF(AF392="","—",IF(ISNUMBER(SEARCH("DNP",AF392)),"Unreachable / DNP",IF(ISNUMBER(SEARCH("interest",LOWER(AF392))),"High Interest / Terms",IF(OR(ISNUMBER(SEARCH("eligib",LOWER(AF392))),ISNUMBER(SEARCH("income",LOWER(AF392)))),"Eligibility / Income",IF(OR(ISNUMBER(SEARCH("start",LOWER(AF392))),ISNUMBER(SEARCH("Newer",AF392)),ISNUMBER(SEARCH("Will start",AF392))),"Process Yet to Start",IF(ISNUMBER(SEARCH("sure",LOWER(AF392))),"Undecided",IF(OR(ISNUMBER(SEARCH("reject",LOWER(AF392))),ISNUMBER(SEARCH("SBI",AF392))),"Rejected Elsewhere",IF(ISNUMBER(SEARCH("call",LOWER(AF392))),"Bank Communication",IF(OR(ISNUMBER(SEARCH("father",LOWER(AF392))),ISNUMBER(SEARCH("sister",LOWER(AF392)))),"Family / Dependency","Other"))))))))))</f>
        <v/>
      </c>
      <c r="AH392">
        <f>IF(A392="","",'01_Master_Data'!AC392)</f>
        <v/>
      </c>
      <c r="AI392">
        <f>IF(A392="","",IF(OR(AH392="",NOT(ISNUMBER(AH392))),"",MAX(0,'02_Configuration'!$B$82-AH392)))</f>
        <v/>
      </c>
      <c r="AJ392">
        <f>IF(A392="","",IF(AI392="","Unknown",IF(AI392&lt;=3,"0–3 Days",IF(AI392&lt;=7,"4–7 Days",IF(AI392&lt;=15,"8–15 Days",IF(AI392&lt;=30,"16–30 Days","30+ Days"))))))</f>
        <v/>
      </c>
      <c r="AK392">
        <f>IF(A392="","",IF(LOWER(H392)="yes","Yes","No"))</f>
        <v/>
      </c>
      <c r="AL392">
        <f>IF(A392="","",'01_Master_Data'!T392)</f>
        <v/>
      </c>
      <c r="AM392">
        <f>IF(A392="","",'01_Master_Data'!S392)</f>
        <v/>
      </c>
      <c r="AN392">
        <f>IF(A392="","",'01_Master_Data'!I392)</f>
        <v/>
      </c>
      <c r="AO392">
        <f>IF(A392="","",'01_Master_Data'!M392)</f>
        <v/>
      </c>
      <c r="AP392">
        <f>IF(A392="","",IF(ISNUMBER(SEARCH("Icici",W392&amp;"")),1,0))</f>
        <v/>
      </c>
      <c r="AQ392">
        <f>IF(A392="","",IF(ISNUMBER(SEARCH("Propelld",W392&amp;"")),1,0))</f>
        <v/>
      </c>
      <c r="AR392">
        <f>IF(A392="","",IF(ISNUMBER(SEARCH("GyanDhan",W392&amp;"")),1,0))</f>
        <v/>
      </c>
      <c r="AS392">
        <f>IF(A392="","",IF(ISNUMBER(SEARCH("vidyalakshmi",LOWER(W392&amp;""))),1,0))</f>
        <v/>
      </c>
      <c r="AT392">
        <f>IF(A392="","",IF(ISNUMBER(SEARCH("other bank",LOWER(W392&amp;""))),1,0))</f>
        <v/>
      </c>
      <c r="AU392">
        <f>IF(A392="","",IF(ISNUMBER(SEARCH("sanctioned",LOWER(W392&amp;""))),1,0))</f>
        <v/>
      </c>
      <c r="AV392">
        <f>IF(A392="","",IF(ISNUMBER(SEARCH("Docs Pending",W392&amp;"")),1,0))</f>
        <v/>
      </c>
      <c r="AW392">
        <f>IF(A392="","",IF(OR(X392="Rejected",ISNUMBER(SEARCH("Not eligbile",W392&amp;""))),1,0))</f>
        <v/>
      </c>
    </row>
    <row r="393">
      <c r="A393">
        <f>IF('01_Master_Data'!B393="","",392)</f>
        <v/>
      </c>
      <c r="B393">
        <f>IF('01_Master_Data'!B393="","",IF('01_Master_Data'!C393&lt;&gt;"","MOB|"&amp;TEXT('01_Master_Data'!C393,"0"),IF('01_Master_Data'!D393&lt;&gt;"","PID|"&amp;TRIM('01_Master_Data'!D393&amp;""),"")))</f>
        <v/>
      </c>
      <c r="C393">
        <f>IF('01_Master_Data'!B393="","",'01_Master_Data'!B393)</f>
        <v/>
      </c>
      <c r="D393">
        <f>IF('01_Master_Data'!B393="","",'01_Master_Data'!C393)</f>
        <v/>
      </c>
      <c r="E393">
        <f>IF('01_Master_Data'!B393="","",'01_Master_Data'!D393)</f>
        <v/>
      </c>
      <c r="F393">
        <f>IF('01_Master_Data'!B393="","",'01_Master_Data'!E393)</f>
        <v/>
      </c>
      <c r="G393">
        <f>IF('01_Master_Data'!B393="","",IFERROR(VLOOKUP(TRIM('01_Master_Data'!E393&amp;""),'02_Configuration'!$A$40:$B$44,2,FALSE),UPPER(TRIM('01_Master_Data'!E393&amp;""))))</f>
        <v/>
      </c>
      <c r="H393">
        <f>IF('01_Master_Data'!B393="","",IF('01_Master_Data'!U393="","",TRIM('01_Master_Data'!U393&amp;"")))</f>
        <v/>
      </c>
      <c r="I393">
        <f>IF('01_Master_Data'!B393="","",TRIM('01_Master_Data'!F393&amp;""))</f>
        <v/>
      </c>
      <c r="J393">
        <f>IF('01_Master_Data'!B393="","",TRIM('01_Master_Data'!G393&amp;""))</f>
        <v/>
      </c>
      <c r="K393">
        <f>IF('01_Master_Data'!B393="","",'01_Master_Data'!H393)</f>
        <v/>
      </c>
      <c r="L393">
        <f>IF('01_Master_Data'!B393="","",IF(LOWER(TRIM('01_Master_Data'!V393&amp;""))="yes",1,0))</f>
        <v/>
      </c>
      <c r="M393">
        <f>IF('01_Master_Data'!B393="","",IF(LOWER(TRIM('01_Master_Data'!W393&amp;""))="yes",1,0))</f>
        <v/>
      </c>
      <c r="N393">
        <f>IF('01_Master_Data'!B393="","",IF(LOWER(TRIM('01_Master_Data'!X393&amp;""))="yes",1,0))</f>
        <v/>
      </c>
      <c r="O393">
        <f>IF('01_Master_Data'!B393="","",IF(LOWER(TRIM('01_Master_Data'!Y393&amp;""))="yes",1,0))</f>
        <v/>
      </c>
      <c r="P393">
        <f>IF('01_Master_Data'!B393="","",IF(LOWER(TRIM('01_Master_Data'!Z393&amp;""))="yes",1,0))</f>
        <v/>
      </c>
      <c r="Q393">
        <f>IF(A393="","",L393+M393+N393+O393+P393)</f>
        <v/>
      </c>
      <c r="R393">
        <f>IF(A393="","",IF(Q393&gt;1,"Yes","No"))</f>
        <v/>
      </c>
      <c r="S393">
        <f>IF(A393="","",TEXTJOIN(", ",TRUE,IF(L393=1,"ICICI",""),IF(M393=1,"Propelld",""),IF(N393=1,"Study4Buddy",""),IF(O393=1,"Poonawala Fincorp",""),IF(P393=1,"GyanDhan","")))</f>
        <v/>
      </c>
      <c r="T393">
        <f>IF(A393="","",IF(L393=1,"ICICI",IF(M393=1,"Propelld",IF(P393=1,"GyanDhan",IF(N393=1,"Study4Buddy",IF(O393=1,"Poonawala Fincorp",IF(ISNUMBER(SEARCH("GyanDhan",W393&amp;"")),"GyanDhan",IF(ISNUMBER(SEARCH("Icici",W393&amp;"")),"ICICI",IF(ISNUMBER(SEARCH("Propelld",W393&amp;"")),"Propelld",IF(ISNUMBER(SEARCH("vidyalakshmi",LOWER(W393&amp;"")),"PM Vidyalakshmi","—"))))))))))</f>
        <v/>
      </c>
      <c r="U393">
        <f>IF(A393="","",TRIM('01_Master_Data'!AA393&amp;""))</f>
        <v/>
      </c>
      <c r="V393">
        <f>IF(A393="","",TRIM('01_Master_Data'!AG393&amp;""))</f>
        <v/>
      </c>
      <c r="W393">
        <f>IF(A393="","",TRIM('01_Master_Data'!AH393&amp;""))</f>
        <v/>
      </c>
      <c r="X393">
        <f>IF(A393="","",IF(OR(LOWER(H393)="refund",LOWER(U393)="refund case"),"Refund",IF(OR(LOWER(H393)="dnp",LOWER(U393)="dnp"),"DNP",IF(OR(LOWER(V393)="disbursed",ISNUMBER(SEARCH("Disbursed",W393&amp;""))),"Disbursed",IF(OR(LOWER(V393)="loan proccessed/accepted",ISNUMBER(SEARCH("sanctioned",LOWER(W393&amp;"")))),"Sanctioned",IF(OR(LOWER(V393)="rejected",ISNUMBER(SEARCH("Not eligbile",W393&amp;"")),ISNUMBER(SEARCH("Not eligible",W393&amp;""))),"Rejected",IF(ISNUMBER(SEARCH("Docs Pending",W393&amp;"")),"Documents Pending",IF(AND(LOWER(H393)="yes",LOWER(V393)="ongoing"),"Processing",IF(AND(LOWER(H393)="yes",Q393&gt;0,OR(V393="",LOWER(V393)="not even started")),"Vendor Assigned",IF(AND(LOWER(H393)="yes",LOWER(V393)="not even started"),"Need Loan",IF(LOWER(H393)="yes","Loan Started",IF(LOWER(H393)="not sure","Interested",IF(OR(LOWER(H393)="no",LOWER(V393)="not required"),"Not Required","Unclassified")))))))))))))</f>
        <v/>
      </c>
      <c r="Y393">
        <f>IF(A393="","",IF(OR(X393="Sanctioned",X393="Disbursed",X393="Approved"),"Approved",IF(X393="Rejected","Rejected",IF(OR(X393="Processing",X393="Documents Pending",X393="Vendor Assigned"),"In Progress",IF(X393="Need Loan","Pending Start","—"))))</f>
        <v/>
      </c>
      <c r="Z393">
        <f>IF(A393="","",IF(X393="Disbursed","Disbursed",IF(X393="Sanctioned","Sanctioned - Awaiting Disbursement","Not Disbursed")))</f>
        <v/>
      </c>
      <c r="AA393">
        <f>IF(A393="","",IF(LOWER(TRIM('01_Master_Data'!AI393&amp;""))="yes","Need FLDG",IF(LOWER(TRIM('01_Master_Data'!AK393&amp;""))="yes","Need Vidyalakshmi",IF(LOWER(TRIM('01_Master_Data'!AJ393&amp;""))="yes","Need Review",IF(LOWER(J393)="critical","Critical",IF(LOWER(U393)="risk","Risk Case",IF(X393="Refund","Refund","Normal")))))))</f>
        <v/>
      </c>
      <c r="AB393">
        <f>IF(A393="","",IF(OR(LOWER(J393)="critical",LOWER(TRIM('01_Master_Data'!AI393&amp;""))="yes",LOWER(TRIM('01_Master_Data'!AK393&amp;""))="yes",LOWER(U393)="risk"),"Yes","No"))</f>
        <v/>
      </c>
      <c r="AC393">
        <f>IF(A393="","",IF(LOWER(TRIM('01_Master_Data'!AI393&amp;""))="yes","Yes","No"))</f>
        <v/>
      </c>
      <c r="AD393">
        <f>IF(A393="","",IF(LOWER(TRIM('01_Master_Data'!AK393&amp;""))="yes","Yes","No"))</f>
        <v/>
      </c>
      <c r="AE393">
        <f>IF(A393="","",IF(LOWER(TRIM('01_Master_Data'!AJ393&amp;""))="yes","Yes","No"))</f>
        <v/>
      </c>
      <c r="AF393">
        <f>IF(A393="","",TRIM('01_Master_Data'!AL393&amp;""))</f>
        <v/>
      </c>
      <c r="AG393">
        <f>IF(A393="","",IF(AF393="","—",IF(ISNUMBER(SEARCH("DNP",AF393)),"Unreachable / DNP",IF(ISNUMBER(SEARCH("interest",LOWER(AF393))),"High Interest / Terms",IF(OR(ISNUMBER(SEARCH("eligib",LOWER(AF393))),ISNUMBER(SEARCH("income",LOWER(AF393)))),"Eligibility / Income",IF(OR(ISNUMBER(SEARCH("start",LOWER(AF393))),ISNUMBER(SEARCH("Newer",AF393)),ISNUMBER(SEARCH("Will start",AF393))),"Process Yet to Start",IF(ISNUMBER(SEARCH("sure",LOWER(AF393))),"Undecided",IF(OR(ISNUMBER(SEARCH("reject",LOWER(AF393))),ISNUMBER(SEARCH("SBI",AF393))),"Rejected Elsewhere",IF(ISNUMBER(SEARCH("call",LOWER(AF393))),"Bank Communication",IF(OR(ISNUMBER(SEARCH("father",LOWER(AF393))),ISNUMBER(SEARCH("sister",LOWER(AF393)))),"Family / Dependency","Other"))))))))))</f>
        <v/>
      </c>
      <c r="AH393">
        <f>IF(A393="","",'01_Master_Data'!AC393)</f>
        <v/>
      </c>
      <c r="AI393">
        <f>IF(A393="","",IF(OR(AH393="",NOT(ISNUMBER(AH393))),"",MAX(0,'02_Configuration'!$B$82-AH393)))</f>
        <v/>
      </c>
      <c r="AJ393">
        <f>IF(A393="","",IF(AI393="","Unknown",IF(AI393&lt;=3,"0–3 Days",IF(AI393&lt;=7,"4–7 Days",IF(AI393&lt;=15,"8–15 Days",IF(AI393&lt;=30,"16–30 Days","30+ Days"))))))</f>
        <v/>
      </c>
      <c r="AK393">
        <f>IF(A393="","",IF(LOWER(H393)="yes","Yes","No"))</f>
        <v/>
      </c>
      <c r="AL393">
        <f>IF(A393="","",'01_Master_Data'!T393)</f>
        <v/>
      </c>
      <c r="AM393">
        <f>IF(A393="","",'01_Master_Data'!S393)</f>
        <v/>
      </c>
      <c r="AN393">
        <f>IF(A393="","",'01_Master_Data'!I393)</f>
        <v/>
      </c>
      <c r="AO393">
        <f>IF(A393="","",'01_Master_Data'!M393)</f>
        <v/>
      </c>
      <c r="AP393">
        <f>IF(A393="","",IF(ISNUMBER(SEARCH("Icici",W393&amp;"")),1,0))</f>
        <v/>
      </c>
      <c r="AQ393">
        <f>IF(A393="","",IF(ISNUMBER(SEARCH("Propelld",W393&amp;"")),1,0))</f>
        <v/>
      </c>
      <c r="AR393">
        <f>IF(A393="","",IF(ISNUMBER(SEARCH("GyanDhan",W393&amp;"")),1,0))</f>
        <v/>
      </c>
      <c r="AS393">
        <f>IF(A393="","",IF(ISNUMBER(SEARCH("vidyalakshmi",LOWER(W393&amp;""))),1,0))</f>
        <v/>
      </c>
      <c r="AT393">
        <f>IF(A393="","",IF(ISNUMBER(SEARCH("other bank",LOWER(W393&amp;""))),1,0))</f>
        <v/>
      </c>
      <c r="AU393">
        <f>IF(A393="","",IF(ISNUMBER(SEARCH("sanctioned",LOWER(W393&amp;""))),1,0))</f>
        <v/>
      </c>
      <c r="AV393">
        <f>IF(A393="","",IF(ISNUMBER(SEARCH("Docs Pending",W393&amp;"")),1,0))</f>
        <v/>
      </c>
      <c r="AW393">
        <f>IF(A393="","",IF(OR(X393="Rejected",ISNUMBER(SEARCH("Not eligbile",W393&amp;""))),1,0))</f>
        <v/>
      </c>
    </row>
    <row r="394">
      <c r="A394">
        <f>IF('01_Master_Data'!B394="","",393)</f>
        <v/>
      </c>
      <c r="B394">
        <f>IF('01_Master_Data'!B394="","",IF('01_Master_Data'!C394&lt;&gt;"","MOB|"&amp;TEXT('01_Master_Data'!C394,"0"),IF('01_Master_Data'!D394&lt;&gt;"","PID|"&amp;TRIM('01_Master_Data'!D394&amp;""),"")))</f>
        <v/>
      </c>
      <c r="C394">
        <f>IF('01_Master_Data'!B394="","",'01_Master_Data'!B394)</f>
        <v/>
      </c>
      <c r="D394">
        <f>IF('01_Master_Data'!B394="","",'01_Master_Data'!C394)</f>
        <v/>
      </c>
      <c r="E394">
        <f>IF('01_Master_Data'!B394="","",'01_Master_Data'!D394)</f>
        <v/>
      </c>
      <c r="F394">
        <f>IF('01_Master_Data'!B394="","",'01_Master_Data'!E394)</f>
        <v/>
      </c>
      <c r="G394">
        <f>IF('01_Master_Data'!B394="","",IFERROR(VLOOKUP(TRIM('01_Master_Data'!E394&amp;""),'02_Configuration'!$A$40:$B$44,2,FALSE),UPPER(TRIM('01_Master_Data'!E394&amp;""))))</f>
        <v/>
      </c>
      <c r="H394">
        <f>IF('01_Master_Data'!B394="","",IF('01_Master_Data'!U394="","",TRIM('01_Master_Data'!U394&amp;"")))</f>
        <v/>
      </c>
      <c r="I394">
        <f>IF('01_Master_Data'!B394="","",TRIM('01_Master_Data'!F394&amp;""))</f>
        <v/>
      </c>
      <c r="J394">
        <f>IF('01_Master_Data'!B394="","",TRIM('01_Master_Data'!G394&amp;""))</f>
        <v/>
      </c>
      <c r="K394">
        <f>IF('01_Master_Data'!B394="","",'01_Master_Data'!H394)</f>
        <v/>
      </c>
      <c r="L394">
        <f>IF('01_Master_Data'!B394="","",IF(LOWER(TRIM('01_Master_Data'!V394&amp;""))="yes",1,0))</f>
        <v/>
      </c>
      <c r="M394">
        <f>IF('01_Master_Data'!B394="","",IF(LOWER(TRIM('01_Master_Data'!W394&amp;""))="yes",1,0))</f>
        <v/>
      </c>
      <c r="N394">
        <f>IF('01_Master_Data'!B394="","",IF(LOWER(TRIM('01_Master_Data'!X394&amp;""))="yes",1,0))</f>
        <v/>
      </c>
      <c r="O394">
        <f>IF('01_Master_Data'!B394="","",IF(LOWER(TRIM('01_Master_Data'!Y394&amp;""))="yes",1,0))</f>
        <v/>
      </c>
      <c r="P394">
        <f>IF('01_Master_Data'!B394="","",IF(LOWER(TRIM('01_Master_Data'!Z394&amp;""))="yes",1,0))</f>
        <v/>
      </c>
      <c r="Q394">
        <f>IF(A394="","",L394+M394+N394+O394+P394)</f>
        <v/>
      </c>
      <c r="R394">
        <f>IF(A394="","",IF(Q394&gt;1,"Yes","No"))</f>
        <v/>
      </c>
      <c r="S394">
        <f>IF(A394="","",TEXTJOIN(", ",TRUE,IF(L394=1,"ICICI",""),IF(M394=1,"Propelld",""),IF(N394=1,"Study4Buddy",""),IF(O394=1,"Poonawala Fincorp",""),IF(P394=1,"GyanDhan","")))</f>
        <v/>
      </c>
      <c r="T394">
        <f>IF(A394="","",IF(L394=1,"ICICI",IF(M394=1,"Propelld",IF(P394=1,"GyanDhan",IF(N394=1,"Study4Buddy",IF(O394=1,"Poonawala Fincorp",IF(ISNUMBER(SEARCH("GyanDhan",W394&amp;"")),"GyanDhan",IF(ISNUMBER(SEARCH("Icici",W394&amp;"")),"ICICI",IF(ISNUMBER(SEARCH("Propelld",W394&amp;"")),"Propelld",IF(ISNUMBER(SEARCH("vidyalakshmi",LOWER(W394&amp;"")),"PM Vidyalakshmi","—"))))))))))</f>
        <v/>
      </c>
      <c r="U394">
        <f>IF(A394="","",TRIM('01_Master_Data'!AA394&amp;""))</f>
        <v/>
      </c>
      <c r="V394">
        <f>IF(A394="","",TRIM('01_Master_Data'!AG394&amp;""))</f>
        <v/>
      </c>
      <c r="W394">
        <f>IF(A394="","",TRIM('01_Master_Data'!AH394&amp;""))</f>
        <v/>
      </c>
      <c r="X394">
        <f>IF(A394="","",IF(OR(LOWER(H394)="refund",LOWER(U394)="refund case"),"Refund",IF(OR(LOWER(H394)="dnp",LOWER(U394)="dnp"),"DNP",IF(OR(LOWER(V394)="disbursed",ISNUMBER(SEARCH("Disbursed",W394&amp;""))),"Disbursed",IF(OR(LOWER(V394)="loan proccessed/accepted",ISNUMBER(SEARCH("sanctioned",LOWER(W394&amp;"")))),"Sanctioned",IF(OR(LOWER(V394)="rejected",ISNUMBER(SEARCH("Not eligbile",W394&amp;"")),ISNUMBER(SEARCH("Not eligible",W394&amp;""))),"Rejected",IF(ISNUMBER(SEARCH("Docs Pending",W394&amp;"")),"Documents Pending",IF(AND(LOWER(H394)="yes",LOWER(V394)="ongoing"),"Processing",IF(AND(LOWER(H394)="yes",Q394&gt;0,OR(V394="",LOWER(V394)="not even started")),"Vendor Assigned",IF(AND(LOWER(H394)="yes",LOWER(V394)="not even started"),"Need Loan",IF(LOWER(H394)="yes","Loan Started",IF(LOWER(H394)="not sure","Interested",IF(OR(LOWER(H394)="no",LOWER(V394)="not required"),"Not Required","Unclassified")))))))))))))</f>
        <v/>
      </c>
      <c r="Y394">
        <f>IF(A394="","",IF(OR(X394="Sanctioned",X394="Disbursed",X394="Approved"),"Approved",IF(X394="Rejected","Rejected",IF(OR(X394="Processing",X394="Documents Pending",X394="Vendor Assigned"),"In Progress",IF(X394="Need Loan","Pending Start","—"))))</f>
        <v/>
      </c>
      <c r="Z394">
        <f>IF(A394="","",IF(X394="Disbursed","Disbursed",IF(X394="Sanctioned","Sanctioned - Awaiting Disbursement","Not Disbursed")))</f>
        <v/>
      </c>
      <c r="AA394">
        <f>IF(A394="","",IF(LOWER(TRIM('01_Master_Data'!AI394&amp;""))="yes","Need FLDG",IF(LOWER(TRIM('01_Master_Data'!AK394&amp;""))="yes","Need Vidyalakshmi",IF(LOWER(TRIM('01_Master_Data'!AJ394&amp;""))="yes","Need Review",IF(LOWER(J394)="critical","Critical",IF(LOWER(U394)="risk","Risk Case",IF(X394="Refund","Refund","Normal")))))))</f>
        <v/>
      </c>
      <c r="AB394">
        <f>IF(A394="","",IF(OR(LOWER(J394)="critical",LOWER(TRIM('01_Master_Data'!AI394&amp;""))="yes",LOWER(TRIM('01_Master_Data'!AK394&amp;""))="yes",LOWER(U394)="risk"),"Yes","No"))</f>
        <v/>
      </c>
      <c r="AC394">
        <f>IF(A394="","",IF(LOWER(TRIM('01_Master_Data'!AI394&amp;""))="yes","Yes","No"))</f>
        <v/>
      </c>
      <c r="AD394">
        <f>IF(A394="","",IF(LOWER(TRIM('01_Master_Data'!AK394&amp;""))="yes","Yes","No"))</f>
        <v/>
      </c>
      <c r="AE394">
        <f>IF(A394="","",IF(LOWER(TRIM('01_Master_Data'!AJ394&amp;""))="yes","Yes","No"))</f>
        <v/>
      </c>
      <c r="AF394">
        <f>IF(A394="","",TRIM('01_Master_Data'!AL394&amp;""))</f>
        <v/>
      </c>
      <c r="AG394">
        <f>IF(A394="","",IF(AF394="","—",IF(ISNUMBER(SEARCH("DNP",AF394)),"Unreachable / DNP",IF(ISNUMBER(SEARCH("interest",LOWER(AF394))),"High Interest / Terms",IF(OR(ISNUMBER(SEARCH("eligib",LOWER(AF394))),ISNUMBER(SEARCH("income",LOWER(AF394)))),"Eligibility / Income",IF(OR(ISNUMBER(SEARCH("start",LOWER(AF394))),ISNUMBER(SEARCH("Newer",AF394)),ISNUMBER(SEARCH("Will start",AF394))),"Process Yet to Start",IF(ISNUMBER(SEARCH("sure",LOWER(AF394))),"Undecided",IF(OR(ISNUMBER(SEARCH("reject",LOWER(AF394))),ISNUMBER(SEARCH("SBI",AF394))),"Rejected Elsewhere",IF(ISNUMBER(SEARCH("call",LOWER(AF394))),"Bank Communication",IF(OR(ISNUMBER(SEARCH("father",LOWER(AF394))),ISNUMBER(SEARCH("sister",LOWER(AF394)))),"Family / Dependency","Other"))))))))))</f>
        <v/>
      </c>
      <c r="AH394">
        <f>IF(A394="","",'01_Master_Data'!AC394)</f>
        <v/>
      </c>
      <c r="AI394">
        <f>IF(A394="","",IF(OR(AH394="",NOT(ISNUMBER(AH394))),"",MAX(0,'02_Configuration'!$B$82-AH394)))</f>
        <v/>
      </c>
      <c r="AJ394">
        <f>IF(A394="","",IF(AI394="","Unknown",IF(AI394&lt;=3,"0–3 Days",IF(AI394&lt;=7,"4–7 Days",IF(AI394&lt;=15,"8–15 Days",IF(AI394&lt;=30,"16–30 Days","30+ Days"))))))</f>
        <v/>
      </c>
      <c r="AK394">
        <f>IF(A394="","",IF(LOWER(H394)="yes","Yes","No"))</f>
        <v/>
      </c>
      <c r="AL394">
        <f>IF(A394="","",'01_Master_Data'!T394)</f>
        <v/>
      </c>
      <c r="AM394">
        <f>IF(A394="","",'01_Master_Data'!S394)</f>
        <v/>
      </c>
      <c r="AN394">
        <f>IF(A394="","",'01_Master_Data'!I394)</f>
        <v/>
      </c>
      <c r="AO394">
        <f>IF(A394="","",'01_Master_Data'!M394)</f>
        <v/>
      </c>
      <c r="AP394">
        <f>IF(A394="","",IF(ISNUMBER(SEARCH("Icici",W394&amp;"")),1,0))</f>
        <v/>
      </c>
      <c r="AQ394">
        <f>IF(A394="","",IF(ISNUMBER(SEARCH("Propelld",W394&amp;"")),1,0))</f>
        <v/>
      </c>
      <c r="AR394">
        <f>IF(A394="","",IF(ISNUMBER(SEARCH("GyanDhan",W394&amp;"")),1,0))</f>
        <v/>
      </c>
      <c r="AS394">
        <f>IF(A394="","",IF(ISNUMBER(SEARCH("vidyalakshmi",LOWER(W394&amp;""))),1,0))</f>
        <v/>
      </c>
      <c r="AT394">
        <f>IF(A394="","",IF(ISNUMBER(SEARCH("other bank",LOWER(W394&amp;""))),1,0))</f>
        <v/>
      </c>
      <c r="AU394">
        <f>IF(A394="","",IF(ISNUMBER(SEARCH("sanctioned",LOWER(W394&amp;""))),1,0))</f>
        <v/>
      </c>
      <c r="AV394">
        <f>IF(A394="","",IF(ISNUMBER(SEARCH("Docs Pending",W394&amp;"")),1,0))</f>
        <v/>
      </c>
      <c r="AW394">
        <f>IF(A394="","",IF(OR(X394="Rejected",ISNUMBER(SEARCH("Not eligbile",W394&amp;""))),1,0))</f>
        <v/>
      </c>
    </row>
    <row r="395">
      <c r="A395">
        <f>IF('01_Master_Data'!B395="","",394)</f>
        <v/>
      </c>
      <c r="B395">
        <f>IF('01_Master_Data'!B395="","",IF('01_Master_Data'!C395&lt;&gt;"","MOB|"&amp;TEXT('01_Master_Data'!C395,"0"),IF('01_Master_Data'!D395&lt;&gt;"","PID|"&amp;TRIM('01_Master_Data'!D395&amp;""),"")))</f>
        <v/>
      </c>
      <c r="C395">
        <f>IF('01_Master_Data'!B395="","",'01_Master_Data'!B395)</f>
        <v/>
      </c>
      <c r="D395">
        <f>IF('01_Master_Data'!B395="","",'01_Master_Data'!C395)</f>
        <v/>
      </c>
      <c r="E395">
        <f>IF('01_Master_Data'!B395="","",'01_Master_Data'!D395)</f>
        <v/>
      </c>
      <c r="F395">
        <f>IF('01_Master_Data'!B395="","",'01_Master_Data'!E395)</f>
        <v/>
      </c>
      <c r="G395">
        <f>IF('01_Master_Data'!B395="","",IFERROR(VLOOKUP(TRIM('01_Master_Data'!E395&amp;""),'02_Configuration'!$A$40:$B$44,2,FALSE),UPPER(TRIM('01_Master_Data'!E395&amp;""))))</f>
        <v/>
      </c>
      <c r="H395">
        <f>IF('01_Master_Data'!B395="","",IF('01_Master_Data'!U395="","",TRIM('01_Master_Data'!U395&amp;"")))</f>
        <v/>
      </c>
      <c r="I395">
        <f>IF('01_Master_Data'!B395="","",TRIM('01_Master_Data'!F395&amp;""))</f>
        <v/>
      </c>
      <c r="J395">
        <f>IF('01_Master_Data'!B395="","",TRIM('01_Master_Data'!G395&amp;""))</f>
        <v/>
      </c>
      <c r="K395">
        <f>IF('01_Master_Data'!B395="","",'01_Master_Data'!H395)</f>
        <v/>
      </c>
      <c r="L395">
        <f>IF('01_Master_Data'!B395="","",IF(LOWER(TRIM('01_Master_Data'!V395&amp;""))="yes",1,0))</f>
        <v/>
      </c>
      <c r="M395">
        <f>IF('01_Master_Data'!B395="","",IF(LOWER(TRIM('01_Master_Data'!W395&amp;""))="yes",1,0))</f>
        <v/>
      </c>
      <c r="N395">
        <f>IF('01_Master_Data'!B395="","",IF(LOWER(TRIM('01_Master_Data'!X395&amp;""))="yes",1,0))</f>
        <v/>
      </c>
      <c r="O395">
        <f>IF('01_Master_Data'!B395="","",IF(LOWER(TRIM('01_Master_Data'!Y395&amp;""))="yes",1,0))</f>
        <v/>
      </c>
      <c r="P395">
        <f>IF('01_Master_Data'!B395="","",IF(LOWER(TRIM('01_Master_Data'!Z395&amp;""))="yes",1,0))</f>
        <v/>
      </c>
      <c r="Q395">
        <f>IF(A395="","",L395+M395+N395+O395+P395)</f>
        <v/>
      </c>
      <c r="R395">
        <f>IF(A395="","",IF(Q395&gt;1,"Yes","No"))</f>
        <v/>
      </c>
      <c r="S395">
        <f>IF(A395="","",TEXTJOIN(", ",TRUE,IF(L395=1,"ICICI",""),IF(M395=1,"Propelld",""),IF(N395=1,"Study4Buddy",""),IF(O395=1,"Poonawala Fincorp",""),IF(P395=1,"GyanDhan","")))</f>
        <v/>
      </c>
      <c r="T395">
        <f>IF(A395="","",IF(L395=1,"ICICI",IF(M395=1,"Propelld",IF(P395=1,"GyanDhan",IF(N395=1,"Study4Buddy",IF(O395=1,"Poonawala Fincorp",IF(ISNUMBER(SEARCH("GyanDhan",W395&amp;"")),"GyanDhan",IF(ISNUMBER(SEARCH("Icici",W395&amp;"")),"ICICI",IF(ISNUMBER(SEARCH("Propelld",W395&amp;"")),"Propelld",IF(ISNUMBER(SEARCH("vidyalakshmi",LOWER(W395&amp;"")),"PM Vidyalakshmi","—"))))))))))</f>
        <v/>
      </c>
      <c r="U395">
        <f>IF(A395="","",TRIM('01_Master_Data'!AA395&amp;""))</f>
        <v/>
      </c>
      <c r="V395">
        <f>IF(A395="","",TRIM('01_Master_Data'!AG395&amp;""))</f>
        <v/>
      </c>
      <c r="W395">
        <f>IF(A395="","",TRIM('01_Master_Data'!AH395&amp;""))</f>
        <v/>
      </c>
      <c r="X395">
        <f>IF(A395="","",IF(OR(LOWER(H395)="refund",LOWER(U395)="refund case"),"Refund",IF(OR(LOWER(H395)="dnp",LOWER(U395)="dnp"),"DNP",IF(OR(LOWER(V395)="disbursed",ISNUMBER(SEARCH("Disbursed",W395&amp;""))),"Disbursed",IF(OR(LOWER(V395)="loan proccessed/accepted",ISNUMBER(SEARCH("sanctioned",LOWER(W395&amp;"")))),"Sanctioned",IF(OR(LOWER(V395)="rejected",ISNUMBER(SEARCH("Not eligbile",W395&amp;"")),ISNUMBER(SEARCH("Not eligible",W395&amp;""))),"Rejected",IF(ISNUMBER(SEARCH("Docs Pending",W395&amp;"")),"Documents Pending",IF(AND(LOWER(H395)="yes",LOWER(V395)="ongoing"),"Processing",IF(AND(LOWER(H395)="yes",Q395&gt;0,OR(V395="",LOWER(V395)="not even started")),"Vendor Assigned",IF(AND(LOWER(H395)="yes",LOWER(V395)="not even started"),"Need Loan",IF(LOWER(H395)="yes","Loan Started",IF(LOWER(H395)="not sure","Interested",IF(OR(LOWER(H395)="no",LOWER(V395)="not required"),"Not Required","Unclassified")))))))))))))</f>
        <v/>
      </c>
      <c r="Y395">
        <f>IF(A395="","",IF(OR(X395="Sanctioned",X395="Disbursed",X395="Approved"),"Approved",IF(X395="Rejected","Rejected",IF(OR(X395="Processing",X395="Documents Pending",X395="Vendor Assigned"),"In Progress",IF(X395="Need Loan","Pending Start","—"))))</f>
        <v/>
      </c>
      <c r="Z395">
        <f>IF(A395="","",IF(X395="Disbursed","Disbursed",IF(X395="Sanctioned","Sanctioned - Awaiting Disbursement","Not Disbursed")))</f>
        <v/>
      </c>
      <c r="AA395">
        <f>IF(A395="","",IF(LOWER(TRIM('01_Master_Data'!AI395&amp;""))="yes","Need FLDG",IF(LOWER(TRIM('01_Master_Data'!AK395&amp;""))="yes","Need Vidyalakshmi",IF(LOWER(TRIM('01_Master_Data'!AJ395&amp;""))="yes","Need Review",IF(LOWER(J395)="critical","Critical",IF(LOWER(U395)="risk","Risk Case",IF(X395="Refund","Refund","Normal")))))))</f>
        <v/>
      </c>
      <c r="AB395">
        <f>IF(A395="","",IF(OR(LOWER(J395)="critical",LOWER(TRIM('01_Master_Data'!AI395&amp;""))="yes",LOWER(TRIM('01_Master_Data'!AK395&amp;""))="yes",LOWER(U395)="risk"),"Yes","No"))</f>
        <v/>
      </c>
      <c r="AC395">
        <f>IF(A395="","",IF(LOWER(TRIM('01_Master_Data'!AI395&amp;""))="yes","Yes","No"))</f>
        <v/>
      </c>
      <c r="AD395">
        <f>IF(A395="","",IF(LOWER(TRIM('01_Master_Data'!AK395&amp;""))="yes","Yes","No"))</f>
        <v/>
      </c>
      <c r="AE395">
        <f>IF(A395="","",IF(LOWER(TRIM('01_Master_Data'!AJ395&amp;""))="yes","Yes","No"))</f>
        <v/>
      </c>
      <c r="AF395">
        <f>IF(A395="","",TRIM('01_Master_Data'!AL395&amp;""))</f>
        <v/>
      </c>
      <c r="AG395">
        <f>IF(A395="","",IF(AF395="","—",IF(ISNUMBER(SEARCH("DNP",AF395)),"Unreachable / DNP",IF(ISNUMBER(SEARCH("interest",LOWER(AF395))),"High Interest / Terms",IF(OR(ISNUMBER(SEARCH("eligib",LOWER(AF395))),ISNUMBER(SEARCH("income",LOWER(AF395)))),"Eligibility / Income",IF(OR(ISNUMBER(SEARCH("start",LOWER(AF395))),ISNUMBER(SEARCH("Newer",AF395)),ISNUMBER(SEARCH("Will start",AF395))),"Process Yet to Start",IF(ISNUMBER(SEARCH("sure",LOWER(AF395))),"Undecided",IF(OR(ISNUMBER(SEARCH("reject",LOWER(AF395))),ISNUMBER(SEARCH("SBI",AF395))),"Rejected Elsewhere",IF(ISNUMBER(SEARCH("call",LOWER(AF395))),"Bank Communication",IF(OR(ISNUMBER(SEARCH("father",LOWER(AF395))),ISNUMBER(SEARCH("sister",LOWER(AF395)))),"Family / Dependency","Other"))))))))))</f>
        <v/>
      </c>
      <c r="AH395">
        <f>IF(A395="","",'01_Master_Data'!AC395)</f>
        <v/>
      </c>
      <c r="AI395">
        <f>IF(A395="","",IF(OR(AH395="",NOT(ISNUMBER(AH395))),"",MAX(0,'02_Configuration'!$B$82-AH395)))</f>
        <v/>
      </c>
      <c r="AJ395">
        <f>IF(A395="","",IF(AI395="","Unknown",IF(AI395&lt;=3,"0–3 Days",IF(AI395&lt;=7,"4–7 Days",IF(AI395&lt;=15,"8–15 Days",IF(AI395&lt;=30,"16–30 Days","30+ Days"))))))</f>
        <v/>
      </c>
      <c r="AK395">
        <f>IF(A395="","",IF(LOWER(H395)="yes","Yes","No"))</f>
        <v/>
      </c>
      <c r="AL395">
        <f>IF(A395="","",'01_Master_Data'!T395)</f>
        <v/>
      </c>
      <c r="AM395">
        <f>IF(A395="","",'01_Master_Data'!S395)</f>
        <v/>
      </c>
      <c r="AN395">
        <f>IF(A395="","",'01_Master_Data'!I395)</f>
        <v/>
      </c>
      <c r="AO395">
        <f>IF(A395="","",'01_Master_Data'!M395)</f>
        <v/>
      </c>
      <c r="AP395">
        <f>IF(A395="","",IF(ISNUMBER(SEARCH("Icici",W395&amp;"")),1,0))</f>
        <v/>
      </c>
      <c r="AQ395">
        <f>IF(A395="","",IF(ISNUMBER(SEARCH("Propelld",W395&amp;"")),1,0))</f>
        <v/>
      </c>
      <c r="AR395">
        <f>IF(A395="","",IF(ISNUMBER(SEARCH("GyanDhan",W395&amp;"")),1,0))</f>
        <v/>
      </c>
      <c r="AS395">
        <f>IF(A395="","",IF(ISNUMBER(SEARCH("vidyalakshmi",LOWER(W395&amp;""))),1,0))</f>
        <v/>
      </c>
      <c r="AT395">
        <f>IF(A395="","",IF(ISNUMBER(SEARCH("other bank",LOWER(W395&amp;""))),1,0))</f>
        <v/>
      </c>
      <c r="AU395">
        <f>IF(A395="","",IF(ISNUMBER(SEARCH("sanctioned",LOWER(W395&amp;""))),1,0))</f>
        <v/>
      </c>
      <c r="AV395">
        <f>IF(A395="","",IF(ISNUMBER(SEARCH("Docs Pending",W395&amp;"")),1,0))</f>
        <v/>
      </c>
      <c r="AW395">
        <f>IF(A395="","",IF(OR(X395="Rejected",ISNUMBER(SEARCH("Not eligbile",W395&amp;""))),1,0))</f>
        <v/>
      </c>
    </row>
    <row r="396">
      <c r="A396">
        <f>IF('01_Master_Data'!B396="","",395)</f>
        <v/>
      </c>
      <c r="B396">
        <f>IF('01_Master_Data'!B396="","",IF('01_Master_Data'!C396&lt;&gt;"","MOB|"&amp;TEXT('01_Master_Data'!C396,"0"),IF('01_Master_Data'!D396&lt;&gt;"","PID|"&amp;TRIM('01_Master_Data'!D396&amp;""),"")))</f>
        <v/>
      </c>
      <c r="C396">
        <f>IF('01_Master_Data'!B396="","",'01_Master_Data'!B396)</f>
        <v/>
      </c>
      <c r="D396">
        <f>IF('01_Master_Data'!B396="","",'01_Master_Data'!C396)</f>
        <v/>
      </c>
      <c r="E396">
        <f>IF('01_Master_Data'!B396="","",'01_Master_Data'!D396)</f>
        <v/>
      </c>
      <c r="F396">
        <f>IF('01_Master_Data'!B396="","",'01_Master_Data'!E396)</f>
        <v/>
      </c>
      <c r="G396">
        <f>IF('01_Master_Data'!B396="","",IFERROR(VLOOKUP(TRIM('01_Master_Data'!E396&amp;""),'02_Configuration'!$A$40:$B$44,2,FALSE),UPPER(TRIM('01_Master_Data'!E396&amp;""))))</f>
        <v/>
      </c>
      <c r="H396">
        <f>IF('01_Master_Data'!B396="","",IF('01_Master_Data'!U396="","",TRIM('01_Master_Data'!U396&amp;"")))</f>
        <v/>
      </c>
      <c r="I396">
        <f>IF('01_Master_Data'!B396="","",TRIM('01_Master_Data'!F396&amp;""))</f>
        <v/>
      </c>
      <c r="J396">
        <f>IF('01_Master_Data'!B396="","",TRIM('01_Master_Data'!G396&amp;""))</f>
        <v/>
      </c>
      <c r="K396">
        <f>IF('01_Master_Data'!B396="","",'01_Master_Data'!H396)</f>
        <v/>
      </c>
      <c r="L396">
        <f>IF('01_Master_Data'!B396="","",IF(LOWER(TRIM('01_Master_Data'!V396&amp;""))="yes",1,0))</f>
        <v/>
      </c>
      <c r="M396">
        <f>IF('01_Master_Data'!B396="","",IF(LOWER(TRIM('01_Master_Data'!W396&amp;""))="yes",1,0))</f>
        <v/>
      </c>
      <c r="N396">
        <f>IF('01_Master_Data'!B396="","",IF(LOWER(TRIM('01_Master_Data'!X396&amp;""))="yes",1,0))</f>
        <v/>
      </c>
      <c r="O396">
        <f>IF('01_Master_Data'!B396="","",IF(LOWER(TRIM('01_Master_Data'!Y396&amp;""))="yes",1,0))</f>
        <v/>
      </c>
      <c r="P396">
        <f>IF('01_Master_Data'!B396="","",IF(LOWER(TRIM('01_Master_Data'!Z396&amp;""))="yes",1,0))</f>
        <v/>
      </c>
      <c r="Q396">
        <f>IF(A396="","",L396+M396+N396+O396+P396)</f>
        <v/>
      </c>
      <c r="R396">
        <f>IF(A396="","",IF(Q396&gt;1,"Yes","No"))</f>
        <v/>
      </c>
      <c r="S396">
        <f>IF(A396="","",TEXTJOIN(", ",TRUE,IF(L396=1,"ICICI",""),IF(M396=1,"Propelld",""),IF(N396=1,"Study4Buddy",""),IF(O396=1,"Poonawala Fincorp",""),IF(P396=1,"GyanDhan","")))</f>
        <v/>
      </c>
      <c r="T396">
        <f>IF(A396="","",IF(L396=1,"ICICI",IF(M396=1,"Propelld",IF(P396=1,"GyanDhan",IF(N396=1,"Study4Buddy",IF(O396=1,"Poonawala Fincorp",IF(ISNUMBER(SEARCH("GyanDhan",W396&amp;"")),"GyanDhan",IF(ISNUMBER(SEARCH("Icici",W396&amp;"")),"ICICI",IF(ISNUMBER(SEARCH("Propelld",W396&amp;"")),"Propelld",IF(ISNUMBER(SEARCH("vidyalakshmi",LOWER(W396&amp;"")),"PM Vidyalakshmi","—"))))))))))</f>
        <v/>
      </c>
      <c r="U396">
        <f>IF(A396="","",TRIM('01_Master_Data'!AA396&amp;""))</f>
        <v/>
      </c>
      <c r="V396">
        <f>IF(A396="","",TRIM('01_Master_Data'!AG396&amp;""))</f>
        <v/>
      </c>
      <c r="W396">
        <f>IF(A396="","",TRIM('01_Master_Data'!AH396&amp;""))</f>
        <v/>
      </c>
      <c r="X396">
        <f>IF(A396="","",IF(OR(LOWER(H396)="refund",LOWER(U396)="refund case"),"Refund",IF(OR(LOWER(H396)="dnp",LOWER(U396)="dnp"),"DNP",IF(OR(LOWER(V396)="disbursed",ISNUMBER(SEARCH("Disbursed",W396&amp;""))),"Disbursed",IF(OR(LOWER(V396)="loan proccessed/accepted",ISNUMBER(SEARCH("sanctioned",LOWER(W396&amp;"")))),"Sanctioned",IF(OR(LOWER(V396)="rejected",ISNUMBER(SEARCH("Not eligbile",W396&amp;"")),ISNUMBER(SEARCH("Not eligible",W396&amp;""))),"Rejected",IF(ISNUMBER(SEARCH("Docs Pending",W396&amp;"")),"Documents Pending",IF(AND(LOWER(H396)="yes",LOWER(V396)="ongoing"),"Processing",IF(AND(LOWER(H396)="yes",Q396&gt;0,OR(V396="",LOWER(V396)="not even started")),"Vendor Assigned",IF(AND(LOWER(H396)="yes",LOWER(V396)="not even started"),"Need Loan",IF(LOWER(H396)="yes","Loan Started",IF(LOWER(H396)="not sure","Interested",IF(OR(LOWER(H396)="no",LOWER(V396)="not required"),"Not Required","Unclassified")))))))))))))</f>
        <v/>
      </c>
      <c r="Y396">
        <f>IF(A396="","",IF(OR(X396="Sanctioned",X396="Disbursed",X396="Approved"),"Approved",IF(X396="Rejected","Rejected",IF(OR(X396="Processing",X396="Documents Pending",X396="Vendor Assigned"),"In Progress",IF(X396="Need Loan","Pending Start","—"))))</f>
        <v/>
      </c>
      <c r="Z396">
        <f>IF(A396="","",IF(X396="Disbursed","Disbursed",IF(X396="Sanctioned","Sanctioned - Awaiting Disbursement","Not Disbursed")))</f>
        <v/>
      </c>
      <c r="AA396">
        <f>IF(A396="","",IF(LOWER(TRIM('01_Master_Data'!AI396&amp;""))="yes","Need FLDG",IF(LOWER(TRIM('01_Master_Data'!AK396&amp;""))="yes","Need Vidyalakshmi",IF(LOWER(TRIM('01_Master_Data'!AJ396&amp;""))="yes","Need Review",IF(LOWER(J396)="critical","Critical",IF(LOWER(U396)="risk","Risk Case",IF(X396="Refund","Refund","Normal")))))))</f>
        <v/>
      </c>
      <c r="AB396">
        <f>IF(A396="","",IF(OR(LOWER(J396)="critical",LOWER(TRIM('01_Master_Data'!AI396&amp;""))="yes",LOWER(TRIM('01_Master_Data'!AK396&amp;""))="yes",LOWER(U396)="risk"),"Yes","No"))</f>
        <v/>
      </c>
      <c r="AC396">
        <f>IF(A396="","",IF(LOWER(TRIM('01_Master_Data'!AI396&amp;""))="yes","Yes","No"))</f>
        <v/>
      </c>
      <c r="AD396">
        <f>IF(A396="","",IF(LOWER(TRIM('01_Master_Data'!AK396&amp;""))="yes","Yes","No"))</f>
        <v/>
      </c>
      <c r="AE396">
        <f>IF(A396="","",IF(LOWER(TRIM('01_Master_Data'!AJ396&amp;""))="yes","Yes","No"))</f>
        <v/>
      </c>
      <c r="AF396">
        <f>IF(A396="","",TRIM('01_Master_Data'!AL396&amp;""))</f>
        <v/>
      </c>
      <c r="AG396">
        <f>IF(A396="","",IF(AF396="","—",IF(ISNUMBER(SEARCH("DNP",AF396)),"Unreachable / DNP",IF(ISNUMBER(SEARCH("interest",LOWER(AF396))),"High Interest / Terms",IF(OR(ISNUMBER(SEARCH("eligib",LOWER(AF396))),ISNUMBER(SEARCH("income",LOWER(AF396)))),"Eligibility / Income",IF(OR(ISNUMBER(SEARCH("start",LOWER(AF396))),ISNUMBER(SEARCH("Newer",AF396)),ISNUMBER(SEARCH("Will start",AF396))),"Process Yet to Start",IF(ISNUMBER(SEARCH("sure",LOWER(AF396))),"Undecided",IF(OR(ISNUMBER(SEARCH("reject",LOWER(AF396))),ISNUMBER(SEARCH("SBI",AF396))),"Rejected Elsewhere",IF(ISNUMBER(SEARCH("call",LOWER(AF396))),"Bank Communication",IF(OR(ISNUMBER(SEARCH("father",LOWER(AF396))),ISNUMBER(SEARCH("sister",LOWER(AF396)))),"Family / Dependency","Other"))))))))))</f>
        <v/>
      </c>
      <c r="AH396">
        <f>IF(A396="","",'01_Master_Data'!AC396)</f>
        <v/>
      </c>
      <c r="AI396">
        <f>IF(A396="","",IF(OR(AH396="",NOT(ISNUMBER(AH396))),"",MAX(0,'02_Configuration'!$B$82-AH396)))</f>
        <v/>
      </c>
      <c r="AJ396">
        <f>IF(A396="","",IF(AI396="","Unknown",IF(AI396&lt;=3,"0–3 Days",IF(AI396&lt;=7,"4–7 Days",IF(AI396&lt;=15,"8–15 Days",IF(AI396&lt;=30,"16–30 Days","30+ Days"))))))</f>
        <v/>
      </c>
      <c r="AK396">
        <f>IF(A396="","",IF(LOWER(H396)="yes","Yes","No"))</f>
        <v/>
      </c>
      <c r="AL396">
        <f>IF(A396="","",'01_Master_Data'!T396)</f>
        <v/>
      </c>
      <c r="AM396">
        <f>IF(A396="","",'01_Master_Data'!S396)</f>
        <v/>
      </c>
      <c r="AN396">
        <f>IF(A396="","",'01_Master_Data'!I396)</f>
        <v/>
      </c>
      <c r="AO396">
        <f>IF(A396="","",'01_Master_Data'!M396)</f>
        <v/>
      </c>
      <c r="AP396">
        <f>IF(A396="","",IF(ISNUMBER(SEARCH("Icici",W396&amp;"")),1,0))</f>
        <v/>
      </c>
      <c r="AQ396">
        <f>IF(A396="","",IF(ISNUMBER(SEARCH("Propelld",W396&amp;"")),1,0))</f>
        <v/>
      </c>
      <c r="AR396">
        <f>IF(A396="","",IF(ISNUMBER(SEARCH("GyanDhan",W396&amp;"")),1,0))</f>
        <v/>
      </c>
      <c r="AS396">
        <f>IF(A396="","",IF(ISNUMBER(SEARCH("vidyalakshmi",LOWER(W396&amp;""))),1,0))</f>
        <v/>
      </c>
      <c r="AT396">
        <f>IF(A396="","",IF(ISNUMBER(SEARCH("other bank",LOWER(W396&amp;""))),1,0))</f>
        <v/>
      </c>
      <c r="AU396">
        <f>IF(A396="","",IF(ISNUMBER(SEARCH("sanctioned",LOWER(W396&amp;""))),1,0))</f>
        <v/>
      </c>
      <c r="AV396">
        <f>IF(A396="","",IF(ISNUMBER(SEARCH("Docs Pending",W396&amp;"")),1,0))</f>
        <v/>
      </c>
      <c r="AW396">
        <f>IF(A396="","",IF(OR(X396="Rejected",ISNUMBER(SEARCH("Not eligbile",W396&amp;""))),1,0))</f>
        <v/>
      </c>
    </row>
    <row r="397">
      <c r="A397">
        <f>IF('01_Master_Data'!B397="","",396)</f>
        <v/>
      </c>
      <c r="B397">
        <f>IF('01_Master_Data'!B397="","",IF('01_Master_Data'!C397&lt;&gt;"","MOB|"&amp;TEXT('01_Master_Data'!C397,"0"),IF('01_Master_Data'!D397&lt;&gt;"","PID|"&amp;TRIM('01_Master_Data'!D397&amp;""),"")))</f>
        <v/>
      </c>
      <c r="C397">
        <f>IF('01_Master_Data'!B397="","",'01_Master_Data'!B397)</f>
        <v/>
      </c>
      <c r="D397">
        <f>IF('01_Master_Data'!B397="","",'01_Master_Data'!C397)</f>
        <v/>
      </c>
      <c r="E397">
        <f>IF('01_Master_Data'!B397="","",'01_Master_Data'!D397)</f>
        <v/>
      </c>
      <c r="F397">
        <f>IF('01_Master_Data'!B397="","",'01_Master_Data'!E397)</f>
        <v/>
      </c>
      <c r="G397">
        <f>IF('01_Master_Data'!B397="","",IFERROR(VLOOKUP(TRIM('01_Master_Data'!E397&amp;""),'02_Configuration'!$A$40:$B$44,2,FALSE),UPPER(TRIM('01_Master_Data'!E397&amp;""))))</f>
        <v/>
      </c>
      <c r="H397">
        <f>IF('01_Master_Data'!B397="","",IF('01_Master_Data'!U397="","",TRIM('01_Master_Data'!U397&amp;"")))</f>
        <v/>
      </c>
      <c r="I397">
        <f>IF('01_Master_Data'!B397="","",TRIM('01_Master_Data'!F397&amp;""))</f>
        <v/>
      </c>
      <c r="J397">
        <f>IF('01_Master_Data'!B397="","",TRIM('01_Master_Data'!G397&amp;""))</f>
        <v/>
      </c>
      <c r="K397">
        <f>IF('01_Master_Data'!B397="","",'01_Master_Data'!H397)</f>
        <v/>
      </c>
      <c r="L397">
        <f>IF('01_Master_Data'!B397="","",IF(LOWER(TRIM('01_Master_Data'!V397&amp;""))="yes",1,0))</f>
        <v/>
      </c>
      <c r="M397">
        <f>IF('01_Master_Data'!B397="","",IF(LOWER(TRIM('01_Master_Data'!W397&amp;""))="yes",1,0))</f>
        <v/>
      </c>
      <c r="N397">
        <f>IF('01_Master_Data'!B397="","",IF(LOWER(TRIM('01_Master_Data'!X397&amp;""))="yes",1,0))</f>
        <v/>
      </c>
      <c r="O397">
        <f>IF('01_Master_Data'!B397="","",IF(LOWER(TRIM('01_Master_Data'!Y397&amp;""))="yes",1,0))</f>
        <v/>
      </c>
      <c r="P397">
        <f>IF('01_Master_Data'!B397="","",IF(LOWER(TRIM('01_Master_Data'!Z397&amp;""))="yes",1,0))</f>
        <v/>
      </c>
      <c r="Q397">
        <f>IF(A397="","",L397+M397+N397+O397+P397)</f>
        <v/>
      </c>
      <c r="R397">
        <f>IF(A397="","",IF(Q397&gt;1,"Yes","No"))</f>
        <v/>
      </c>
      <c r="S397">
        <f>IF(A397="","",TEXTJOIN(", ",TRUE,IF(L397=1,"ICICI",""),IF(M397=1,"Propelld",""),IF(N397=1,"Study4Buddy",""),IF(O397=1,"Poonawala Fincorp",""),IF(P397=1,"GyanDhan","")))</f>
        <v/>
      </c>
      <c r="T397">
        <f>IF(A397="","",IF(L397=1,"ICICI",IF(M397=1,"Propelld",IF(P397=1,"GyanDhan",IF(N397=1,"Study4Buddy",IF(O397=1,"Poonawala Fincorp",IF(ISNUMBER(SEARCH("GyanDhan",W397&amp;"")),"GyanDhan",IF(ISNUMBER(SEARCH("Icici",W397&amp;"")),"ICICI",IF(ISNUMBER(SEARCH("Propelld",W397&amp;"")),"Propelld",IF(ISNUMBER(SEARCH("vidyalakshmi",LOWER(W397&amp;"")),"PM Vidyalakshmi","—"))))))))))</f>
        <v/>
      </c>
      <c r="U397">
        <f>IF(A397="","",TRIM('01_Master_Data'!AA397&amp;""))</f>
        <v/>
      </c>
      <c r="V397">
        <f>IF(A397="","",TRIM('01_Master_Data'!AG397&amp;""))</f>
        <v/>
      </c>
      <c r="W397">
        <f>IF(A397="","",TRIM('01_Master_Data'!AH397&amp;""))</f>
        <v/>
      </c>
      <c r="X397">
        <f>IF(A397="","",IF(OR(LOWER(H397)="refund",LOWER(U397)="refund case"),"Refund",IF(OR(LOWER(H397)="dnp",LOWER(U397)="dnp"),"DNP",IF(OR(LOWER(V397)="disbursed",ISNUMBER(SEARCH("Disbursed",W397&amp;""))),"Disbursed",IF(OR(LOWER(V397)="loan proccessed/accepted",ISNUMBER(SEARCH("sanctioned",LOWER(W397&amp;"")))),"Sanctioned",IF(OR(LOWER(V397)="rejected",ISNUMBER(SEARCH("Not eligbile",W397&amp;"")),ISNUMBER(SEARCH("Not eligible",W397&amp;""))),"Rejected",IF(ISNUMBER(SEARCH("Docs Pending",W397&amp;"")),"Documents Pending",IF(AND(LOWER(H397)="yes",LOWER(V397)="ongoing"),"Processing",IF(AND(LOWER(H397)="yes",Q397&gt;0,OR(V397="",LOWER(V397)="not even started")),"Vendor Assigned",IF(AND(LOWER(H397)="yes",LOWER(V397)="not even started"),"Need Loan",IF(LOWER(H397)="yes","Loan Started",IF(LOWER(H397)="not sure","Interested",IF(OR(LOWER(H397)="no",LOWER(V397)="not required"),"Not Required","Unclassified")))))))))))))</f>
        <v/>
      </c>
      <c r="Y397">
        <f>IF(A397="","",IF(OR(X397="Sanctioned",X397="Disbursed",X397="Approved"),"Approved",IF(X397="Rejected","Rejected",IF(OR(X397="Processing",X397="Documents Pending",X397="Vendor Assigned"),"In Progress",IF(X397="Need Loan","Pending Start","—"))))</f>
        <v/>
      </c>
      <c r="Z397">
        <f>IF(A397="","",IF(X397="Disbursed","Disbursed",IF(X397="Sanctioned","Sanctioned - Awaiting Disbursement","Not Disbursed")))</f>
        <v/>
      </c>
      <c r="AA397">
        <f>IF(A397="","",IF(LOWER(TRIM('01_Master_Data'!AI397&amp;""))="yes","Need FLDG",IF(LOWER(TRIM('01_Master_Data'!AK397&amp;""))="yes","Need Vidyalakshmi",IF(LOWER(TRIM('01_Master_Data'!AJ397&amp;""))="yes","Need Review",IF(LOWER(J397)="critical","Critical",IF(LOWER(U397)="risk","Risk Case",IF(X397="Refund","Refund","Normal")))))))</f>
        <v/>
      </c>
      <c r="AB397">
        <f>IF(A397="","",IF(OR(LOWER(J397)="critical",LOWER(TRIM('01_Master_Data'!AI397&amp;""))="yes",LOWER(TRIM('01_Master_Data'!AK397&amp;""))="yes",LOWER(U397)="risk"),"Yes","No"))</f>
        <v/>
      </c>
      <c r="AC397">
        <f>IF(A397="","",IF(LOWER(TRIM('01_Master_Data'!AI397&amp;""))="yes","Yes","No"))</f>
        <v/>
      </c>
      <c r="AD397">
        <f>IF(A397="","",IF(LOWER(TRIM('01_Master_Data'!AK397&amp;""))="yes","Yes","No"))</f>
        <v/>
      </c>
      <c r="AE397">
        <f>IF(A397="","",IF(LOWER(TRIM('01_Master_Data'!AJ397&amp;""))="yes","Yes","No"))</f>
        <v/>
      </c>
      <c r="AF397">
        <f>IF(A397="","",TRIM('01_Master_Data'!AL397&amp;""))</f>
        <v/>
      </c>
      <c r="AG397">
        <f>IF(A397="","",IF(AF397="","—",IF(ISNUMBER(SEARCH("DNP",AF397)),"Unreachable / DNP",IF(ISNUMBER(SEARCH("interest",LOWER(AF397))),"High Interest / Terms",IF(OR(ISNUMBER(SEARCH("eligib",LOWER(AF397))),ISNUMBER(SEARCH("income",LOWER(AF397)))),"Eligibility / Income",IF(OR(ISNUMBER(SEARCH("start",LOWER(AF397))),ISNUMBER(SEARCH("Newer",AF397)),ISNUMBER(SEARCH("Will start",AF397))),"Process Yet to Start",IF(ISNUMBER(SEARCH("sure",LOWER(AF397))),"Undecided",IF(OR(ISNUMBER(SEARCH("reject",LOWER(AF397))),ISNUMBER(SEARCH("SBI",AF397))),"Rejected Elsewhere",IF(ISNUMBER(SEARCH("call",LOWER(AF397))),"Bank Communication",IF(OR(ISNUMBER(SEARCH("father",LOWER(AF397))),ISNUMBER(SEARCH("sister",LOWER(AF397)))),"Family / Dependency","Other"))))))))))</f>
        <v/>
      </c>
      <c r="AH397">
        <f>IF(A397="","",'01_Master_Data'!AC397)</f>
        <v/>
      </c>
      <c r="AI397">
        <f>IF(A397="","",IF(OR(AH397="",NOT(ISNUMBER(AH397))),"",MAX(0,'02_Configuration'!$B$82-AH397)))</f>
        <v/>
      </c>
      <c r="AJ397">
        <f>IF(A397="","",IF(AI397="","Unknown",IF(AI397&lt;=3,"0–3 Days",IF(AI397&lt;=7,"4–7 Days",IF(AI397&lt;=15,"8–15 Days",IF(AI397&lt;=30,"16–30 Days","30+ Days"))))))</f>
        <v/>
      </c>
      <c r="AK397">
        <f>IF(A397="","",IF(LOWER(H397)="yes","Yes","No"))</f>
        <v/>
      </c>
      <c r="AL397">
        <f>IF(A397="","",'01_Master_Data'!T397)</f>
        <v/>
      </c>
      <c r="AM397">
        <f>IF(A397="","",'01_Master_Data'!S397)</f>
        <v/>
      </c>
      <c r="AN397">
        <f>IF(A397="","",'01_Master_Data'!I397)</f>
        <v/>
      </c>
      <c r="AO397">
        <f>IF(A397="","",'01_Master_Data'!M397)</f>
        <v/>
      </c>
      <c r="AP397">
        <f>IF(A397="","",IF(ISNUMBER(SEARCH("Icici",W397&amp;"")),1,0))</f>
        <v/>
      </c>
      <c r="AQ397">
        <f>IF(A397="","",IF(ISNUMBER(SEARCH("Propelld",W397&amp;"")),1,0))</f>
        <v/>
      </c>
      <c r="AR397">
        <f>IF(A397="","",IF(ISNUMBER(SEARCH("GyanDhan",W397&amp;"")),1,0))</f>
        <v/>
      </c>
      <c r="AS397">
        <f>IF(A397="","",IF(ISNUMBER(SEARCH("vidyalakshmi",LOWER(W397&amp;""))),1,0))</f>
        <v/>
      </c>
      <c r="AT397">
        <f>IF(A397="","",IF(ISNUMBER(SEARCH("other bank",LOWER(W397&amp;""))),1,0))</f>
        <v/>
      </c>
      <c r="AU397">
        <f>IF(A397="","",IF(ISNUMBER(SEARCH("sanctioned",LOWER(W397&amp;""))),1,0))</f>
        <v/>
      </c>
      <c r="AV397">
        <f>IF(A397="","",IF(ISNUMBER(SEARCH("Docs Pending",W397&amp;"")),1,0))</f>
        <v/>
      </c>
      <c r="AW397">
        <f>IF(A397="","",IF(OR(X397="Rejected",ISNUMBER(SEARCH("Not eligbile",W397&amp;""))),1,0))</f>
        <v/>
      </c>
    </row>
    <row r="398">
      <c r="A398">
        <f>IF('01_Master_Data'!B398="","",397)</f>
        <v/>
      </c>
      <c r="B398">
        <f>IF('01_Master_Data'!B398="","",IF('01_Master_Data'!C398&lt;&gt;"","MOB|"&amp;TEXT('01_Master_Data'!C398,"0"),IF('01_Master_Data'!D398&lt;&gt;"","PID|"&amp;TRIM('01_Master_Data'!D398&amp;""),"")))</f>
        <v/>
      </c>
      <c r="C398">
        <f>IF('01_Master_Data'!B398="","",'01_Master_Data'!B398)</f>
        <v/>
      </c>
      <c r="D398">
        <f>IF('01_Master_Data'!B398="","",'01_Master_Data'!C398)</f>
        <v/>
      </c>
      <c r="E398">
        <f>IF('01_Master_Data'!B398="","",'01_Master_Data'!D398)</f>
        <v/>
      </c>
      <c r="F398">
        <f>IF('01_Master_Data'!B398="","",'01_Master_Data'!E398)</f>
        <v/>
      </c>
      <c r="G398">
        <f>IF('01_Master_Data'!B398="","",IFERROR(VLOOKUP(TRIM('01_Master_Data'!E398&amp;""),'02_Configuration'!$A$40:$B$44,2,FALSE),UPPER(TRIM('01_Master_Data'!E398&amp;""))))</f>
        <v/>
      </c>
      <c r="H398">
        <f>IF('01_Master_Data'!B398="","",IF('01_Master_Data'!U398="","",TRIM('01_Master_Data'!U398&amp;"")))</f>
        <v/>
      </c>
      <c r="I398">
        <f>IF('01_Master_Data'!B398="","",TRIM('01_Master_Data'!F398&amp;""))</f>
        <v/>
      </c>
      <c r="J398">
        <f>IF('01_Master_Data'!B398="","",TRIM('01_Master_Data'!G398&amp;""))</f>
        <v/>
      </c>
      <c r="K398">
        <f>IF('01_Master_Data'!B398="","",'01_Master_Data'!H398)</f>
        <v/>
      </c>
      <c r="L398">
        <f>IF('01_Master_Data'!B398="","",IF(LOWER(TRIM('01_Master_Data'!V398&amp;""))="yes",1,0))</f>
        <v/>
      </c>
      <c r="M398">
        <f>IF('01_Master_Data'!B398="","",IF(LOWER(TRIM('01_Master_Data'!W398&amp;""))="yes",1,0))</f>
        <v/>
      </c>
      <c r="N398">
        <f>IF('01_Master_Data'!B398="","",IF(LOWER(TRIM('01_Master_Data'!X398&amp;""))="yes",1,0))</f>
        <v/>
      </c>
      <c r="O398">
        <f>IF('01_Master_Data'!B398="","",IF(LOWER(TRIM('01_Master_Data'!Y398&amp;""))="yes",1,0))</f>
        <v/>
      </c>
      <c r="P398">
        <f>IF('01_Master_Data'!B398="","",IF(LOWER(TRIM('01_Master_Data'!Z398&amp;""))="yes",1,0))</f>
        <v/>
      </c>
      <c r="Q398">
        <f>IF(A398="","",L398+M398+N398+O398+P398)</f>
        <v/>
      </c>
      <c r="R398">
        <f>IF(A398="","",IF(Q398&gt;1,"Yes","No"))</f>
        <v/>
      </c>
      <c r="S398">
        <f>IF(A398="","",TEXTJOIN(", ",TRUE,IF(L398=1,"ICICI",""),IF(M398=1,"Propelld",""),IF(N398=1,"Study4Buddy",""),IF(O398=1,"Poonawala Fincorp",""),IF(P398=1,"GyanDhan","")))</f>
        <v/>
      </c>
      <c r="T398">
        <f>IF(A398="","",IF(L398=1,"ICICI",IF(M398=1,"Propelld",IF(P398=1,"GyanDhan",IF(N398=1,"Study4Buddy",IF(O398=1,"Poonawala Fincorp",IF(ISNUMBER(SEARCH("GyanDhan",W398&amp;"")),"GyanDhan",IF(ISNUMBER(SEARCH("Icici",W398&amp;"")),"ICICI",IF(ISNUMBER(SEARCH("Propelld",W398&amp;"")),"Propelld",IF(ISNUMBER(SEARCH("vidyalakshmi",LOWER(W398&amp;"")),"PM Vidyalakshmi","—"))))))))))</f>
        <v/>
      </c>
      <c r="U398">
        <f>IF(A398="","",TRIM('01_Master_Data'!AA398&amp;""))</f>
        <v/>
      </c>
      <c r="V398">
        <f>IF(A398="","",TRIM('01_Master_Data'!AG398&amp;""))</f>
        <v/>
      </c>
      <c r="W398">
        <f>IF(A398="","",TRIM('01_Master_Data'!AH398&amp;""))</f>
        <v/>
      </c>
      <c r="X398">
        <f>IF(A398="","",IF(OR(LOWER(H398)="refund",LOWER(U398)="refund case"),"Refund",IF(OR(LOWER(H398)="dnp",LOWER(U398)="dnp"),"DNP",IF(OR(LOWER(V398)="disbursed",ISNUMBER(SEARCH("Disbursed",W398&amp;""))),"Disbursed",IF(OR(LOWER(V398)="loan proccessed/accepted",ISNUMBER(SEARCH("sanctioned",LOWER(W398&amp;"")))),"Sanctioned",IF(OR(LOWER(V398)="rejected",ISNUMBER(SEARCH("Not eligbile",W398&amp;"")),ISNUMBER(SEARCH("Not eligible",W398&amp;""))),"Rejected",IF(ISNUMBER(SEARCH("Docs Pending",W398&amp;"")),"Documents Pending",IF(AND(LOWER(H398)="yes",LOWER(V398)="ongoing"),"Processing",IF(AND(LOWER(H398)="yes",Q398&gt;0,OR(V398="",LOWER(V398)="not even started")),"Vendor Assigned",IF(AND(LOWER(H398)="yes",LOWER(V398)="not even started"),"Need Loan",IF(LOWER(H398)="yes","Loan Started",IF(LOWER(H398)="not sure","Interested",IF(OR(LOWER(H398)="no",LOWER(V398)="not required"),"Not Required","Unclassified")))))))))))))</f>
        <v/>
      </c>
      <c r="Y398">
        <f>IF(A398="","",IF(OR(X398="Sanctioned",X398="Disbursed",X398="Approved"),"Approved",IF(X398="Rejected","Rejected",IF(OR(X398="Processing",X398="Documents Pending",X398="Vendor Assigned"),"In Progress",IF(X398="Need Loan","Pending Start","—"))))</f>
        <v/>
      </c>
      <c r="Z398">
        <f>IF(A398="","",IF(X398="Disbursed","Disbursed",IF(X398="Sanctioned","Sanctioned - Awaiting Disbursement","Not Disbursed")))</f>
        <v/>
      </c>
      <c r="AA398">
        <f>IF(A398="","",IF(LOWER(TRIM('01_Master_Data'!AI398&amp;""))="yes","Need FLDG",IF(LOWER(TRIM('01_Master_Data'!AK398&amp;""))="yes","Need Vidyalakshmi",IF(LOWER(TRIM('01_Master_Data'!AJ398&amp;""))="yes","Need Review",IF(LOWER(J398)="critical","Critical",IF(LOWER(U398)="risk","Risk Case",IF(X398="Refund","Refund","Normal")))))))</f>
        <v/>
      </c>
      <c r="AB398">
        <f>IF(A398="","",IF(OR(LOWER(J398)="critical",LOWER(TRIM('01_Master_Data'!AI398&amp;""))="yes",LOWER(TRIM('01_Master_Data'!AK398&amp;""))="yes",LOWER(U398)="risk"),"Yes","No"))</f>
        <v/>
      </c>
      <c r="AC398">
        <f>IF(A398="","",IF(LOWER(TRIM('01_Master_Data'!AI398&amp;""))="yes","Yes","No"))</f>
        <v/>
      </c>
      <c r="AD398">
        <f>IF(A398="","",IF(LOWER(TRIM('01_Master_Data'!AK398&amp;""))="yes","Yes","No"))</f>
        <v/>
      </c>
      <c r="AE398">
        <f>IF(A398="","",IF(LOWER(TRIM('01_Master_Data'!AJ398&amp;""))="yes","Yes","No"))</f>
        <v/>
      </c>
      <c r="AF398">
        <f>IF(A398="","",TRIM('01_Master_Data'!AL398&amp;""))</f>
        <v/>
      </c>
      <c r="AG398">
        <f>IF(A398="","",IF(AF398="","—",IF(ISNUMBER(SEARCH("DNP",AF398)),"Unreachable / DNP",IF(ISNUMBER(SEARCH("interest",LOWER(AF398))),"High Interest / Terms",IF(OR(ISNUMBER(SEARCH("eligib",LOWER(AF398))),ISNUMBER(SEARCH("income",LOWER(AF398)))),"Eligibility / Income",IF(OR(ISNUMBER(SEARCH("start",LOWER(AF398))),ISNUMBER(SEARCH("Newer",AF398)),ISNUMBER(SEARCH("Will start",AF398))),"Process Yet to Start",IF(ISNUMBER(SEARCH("sure",LOWER(AF398))),"Undecided",IF(OR(ISNUMBER(SEARCH("reject",LOWER(AF398))),ISNUMBER(SEARCH("SBI",AF398))),"Rejected Elsewhere",IF(ISNUMBER(SEARCH("call",LOWER(AF398))),"Bank Communication",IF(OR(ISNUMBER(SEARCH("father",LOWER(AF398))),ISNUMBER(SEARCH("sister",LOWER(AF398)))),"Family / Dependency","Other"))))))))))</f>
        <v/>
      </c>
      <c r="AH398">
        <f>IF(A398="","",'01_Master_Data'!AC398)</f>
        <v/>
      </c>
      <c r="AI398">
        <f>IF(A398="","",IF(OR(AH398="",NOT(ISNUMBER(AH398))),"",MAX(0,'02_Configuration'!$B$82-AH398)))</f>
        <v/>
      </c>
      <c r="AJ398">
        <f>IF(A398="","",IF(AI398="","Unknown",IF(AI398&lt;=3,"0–3 Days",IF(AI398&lt;=7,"4–7 Days",IF(AI398&lt;=15,"8–15 Days",IF(AI398&lt;=30,"16–30 Days","30+ Days"))))))</f>
        <v/>
      </c>
      <c r="AK398">
        <f>IF(A398="","",IF(LOWER(H398)="yes","Yes","No"))</f>
        <v/>
      </c>
      <c r="AL398">
        <f>IF(A398="","",'01_Master_Data'!T398)</f>
        <v/>
      </c>
      <c r="AM398">
        <f>IF(A398="","",'01_Master_Data'!S398)</f>
        <v/>
      </c>
      <c r="AN398">
        <f>IF(A398="","",'01_Master_Data'!I398)</f>
        <v/>
      </c>
      <c r="AO398">
        <f>IF(A398="","",'01_Master_Data'!M398)</f>
        <v/>
      </c>
      <c r="AP398">
        <f>IF(A398="","",IF(ISNUMBER(SEARCH("Icici",W398&amp;"")),1,0))</f>
        <v/>
      </c>
      <c r="AQ398">
        <f>IF(A398="","",IF(ISNUMBER(SEARCH("Propelld",W398&amp;"")),1,0))</f>
        <v/>
      </c>
      <c r="AR398">
        <f>IF(A398="","",IF(ISNUMBER(SEARCH("GyanDhan",W398&amp;"")),1,0))</f>
        <v/>
      </c>
      <c r="AS398">
        <f>IF(A398="","",IF(ISNUMBER(SEARCH("vidyalakshmi",LOWER(W398&amp;""))),1,0))</f>
        <v/>
      </c>
      <c r="AT398">
        <f>IF(A398="","",IF(ISNUMBER(SEARCH("other bank",LOWER(W398&amp;""))),1,0))</f>
        <v/>
      </c>
      <c r="AU398">
        <f>IF(A398="","",IF(ISNUMBER(SEARCH("sanctioned",LOWER(W398&amp;""))),1,0))</f>
        <v/>
      </c>
      <c r="AV398">
        <f>IF(A398="","",IF(ISNUMBER(SEARCH("Docs Pending",W398&amp;"")),1,0))</f>
        <v/>
      </c>
      <c r="AW398">
        <f>IF(A398="","",IF(OR(X398="Rejected",ISNUMBER(SEARCH("Not eligbile",W398&amp;""))),1,0))</f>
        <v/>
      </c>
    </row>
    <row r="399">
      <c r="A399">
        <f>IF('01_Master_Data'!B399="","",398)</f>
        <v/>
      </c>
      <c r="B399">
        <f>IF('01_Master_Data'!B399="","",IF('01_Master_Data'!C399&lt;&gt;"","MOB|"&amp;TEXT('01_Master_Data'!C399,"0"),IF('01_Master_Data'!D399&lt;&gt;"","PID|"&amp;TRIM('01_Master_Data'!D399&amp;""),"")))</f>
        <v/>
      </c>
      <c r="C399">
        <f>IF('01_Master_Data'!B399="","",'01_Master_Data'!B399)</f>
        <v/>
      </c>
      <c r="D399">
        <f>IF('01_Master_Data'!B399="","",'01_Master_Data'!C399)</f>
        <v/>
      </c>
      <c r="E399">
        <f>IF('01_Master_Data'!B399="","",'01_Master_Data'!D399)</f>
        <v/>
      </c>
      <c r="F399">
        <f>IF('01_Master_Data'!B399="","",'01_Master_Data'!E399)</f>
        <v/>
      </c>
      <c r="G399">
        <f>IF('01_Master_Data'!B399="","",IFERROR(VLOOKUP(TRIM('01_Master_Data'!E399&amp;""),'02_Configuration'!$A$40:$B$44,2,FALSE),UPPER(TRIM('01_Master_Data'!E399&amp;""))))</f>
        <v/>
      </c>
      <c r="H399">
        <f>IF('01_Master_Data'!B399="","",IF('01_Master_Data'!U399="","",TRIM('01_Master_Data'!U399&amp;"")))</f>
        <v/>
      </c>
      <c r="I399">
        <f>IF('01_Master_Data'!B399="","",TRIM('01_Master_Data'!F399&amp;""))</f>
        <v/>
      </c>
      <c r="J399">
        <f>IF('01_Master_Data'!B399="","",TRIM('01_Master_Data'!G399&amp;""))</f>
        <v/>
      </c>
      <c r="K399">
        <f>IF('01_Master_Data'!B399="","",'01_Master_Data'!H399)</f>
        <v/>
      </c>
      <c r="L399">
        <f>IF('01_Master_Data'!B399="","",IF(LOWER(TRIM('01_Master_Data'!V399&amp;""))="yes",1,0))</f>
        <v/>
      </c>
      <c r="M399">
        <f>IF('01_Master_Data'!B399="","",IF(LOWER(TRIM('01_Master_Data'!W399&amp;""))="yes",1,0))</f>
        <v/>
      </c>
      <c r="N399">
        <f>IF('01_Master_Data'!B399="","",IF(LOWER(TRIM('01_Master_Data'!X399&amp;""))="yes",1,0))</f>
        <v/>
      </c>
      <c r="O399">
        <f>IF('01_Master_Data'!B399="","",IF(LOWER(TRIM('01_Master_Data'!Y399&amp;""))="yes",1,0))</f>
        <v/>
      </c>
      <c r="P399">
        <f>IF('01_Master_Data'!B399="","",IF(LOWER(TRIM('01_Master_Data'!Z399&amp;""))="yes",1,0))</f>
        <v/>
      </c>
      <c r="Q399">
        <f>IF(A399="","",L399+M399+N399+O399+P399)</f>
        <v/>
      </c>
      <c r="R399">
        <f>IF(A399="","",IF(Q399&gt;1,"Yes","No"))</f>
        <v/>
      </c>
      <c r="S399">
        <f>IF(A399="","",TEXTJOIN(", ",TRUE,IF(L399=1,"ICICI",""),IF(M399=1,"Propelld",""),IF(N399=1,"Study4Buddy",""),IF(O399=1,"Poonawala Fincorp",""),IF(P399=1,"GyanDhan","")))</f>
        <v/>
      </c>
      <c r="T399">
        <f>IF(A399="","",IF(L399=1,"ICICI",IF(M399=1,"Propelld",IF(P399=1,"GyanDhan",IF(N399=1,"Study4Buddy",IF(O399=1,"Poonawala Fincorp",IF(ISNUMBER(SEARCH("GyanDhan",W399&amp;"")),"GyanDhan",IF(ISNUMBER(SEARCH("Icici",W399&amp;"")),"ICICI",IF(ISNUMBER(SEARCH("Propelld",W399&amp;"")),"Propelld",IF(ISNUMBER(SEARCH("vidyalakshmi",LOWER(W399&amp;"")),"PM Vidyalakshmi","—"))))))))))</f>
        <v/>
      </c>
      <c r="U399">
        <f>IF(A399="","",TRIM('01_Master_Data'!AA399&amp;""))</f>
        <v/>
      </c>
      <c r="V399">
        <f>IF(A399="","",TRIM('01_Master_Data'!AG399&amp;""))</f>
        <v/>
      </c>
      <c r="W399">
        <f>IF(A399="","",TRIM('01_Master_Data'!AH399&amp;""))</f>
        <v/>
      </c>
      <c r="X399">
        <f>IF(A399="","",IF(OR(LOWER(H399)="refund",LOWER(U399)="refund case"),"Refund",IF(OR(LOWER(H399)="dnp",LOWER(U399)="dnp"),"DNP",IF(OR(LOWER(V399)="disbursed",ISNUMBER(SEARCH("Disbursed",W399&amp;""))),"Disbursed",IF(OR(LOWER(V399)="loan proccessed/accepted",ISNUMBER(SEARCH("sanctioned",LOWER(W399&amp;"")))),"Sanctioned",IF(OR(LOWER(V399)="rejected",ISNUMBER(SEARCH("Not eligbile",W399&amp;"")),ISNUMBER(SEARCH("Not eligible",W399&amp;""))),"Rejected",IF(ISNUMBER(SEARCH("Docs Pending",W399&amp;"")),"Documents Pending",IF(AND(LOWER(H399)="yes",LOWER(V399)="ongoing"),"Processing",IF(AND(LOWER(H399)="yes",Q399&gt;0,OR(V399="",LOWER(V399)="not even started")),"Vendor Assigned",IF(AND(LOWER(H399)="yes",LOWER(V399)="not even started"),"Need Loan",IF(LOWER(H399)="yes","Loan Started",IF(LOWER(H399)="not sure","Interested",IF(OR(LOWER(H399)="no",LOWER(V399)="not required"),"Not Required","Unclassified")))))))))))))</f>
        <v/>
      </c>
      <c r="Y399">
        <f>IF(A399="","",IF(OR(X399="Sanctioned",X399="Disbursed",X399="Approved"),"Approved",IF(X399="Rejected","Rejected",IF(OR(X399="Processing",X399="Documents Pending",X399="Vendor Assigned"),"In Progress",IF(X399="Need Loan","Pending Start","—"))))</f>
        <v/>
      </c>
      <c r="Z399">
        <f>IF(A399="","",IF(X399="Disbursed","Disbursed",IF(X399="Sanctioned","Sanctioned - Awaiting Disbursement","Not Disbursed")))</f>
        <v/>
      </c>
      <c r="AA399">
        <f>IF(A399="","",IF(LOWER(TRIM('01_Master_Data'!AI399&amp;""))="yes","Need FLDG",IF(LOWER(TRIM('01_Master_Data'!AK399&amp;""))="yes","Need Vidyalakshmi",IF(LOWER(TRIM('01_Master_Data'!AJ399&amp;""))="yes","Need Review",IF(LOWER(J399)="critical","Critical",IF(LOWER(U399)="risk","Risk Case",IF(X399="Refund","Refund","Normal")))))))</f>
        <v/>
      </c>
      <c r="AB399">
        <f>IF(A399="","",IF(OR(LOWER(J399)="critical",LOWER(TRIM('01_Master_Data'!AI399&amp;""))="yes",LOWER(TRIM('01_Master_Data'!AK399&amp;""))="yes",LOWER(U399)="risk"),"Yes","No"))</f>
        <v/>
      </c>
      <c r="AC399">
        <f>IF(A399="","",IF(LOWER(TRIM('01_Master_Data'!AI399&amp;""))="yes","Yes","No"))</f>
        <v/>
      </c>
      <c r="AD399">
        <f>IF(A399="","",IF(LOWER(TRIM('01_Master_Data'!AK399&amp;""))="yes","Yes","No"))</f>
        <v/>
      </c>
      <c r="AE399">
        <f>IF(A399="","",IF(LOWER(TRIM('01_Master_Data'!AJ399&amp;""))="yes","Yes","No"))</f>
        <v/>
      </c>
      <c r="AF399">
        <f>IF(A399="","",TRIM('01_Master_Data'!AL399&amp;""))</f>
        <v/>
      </c>
      <c r="AG399">
        <f>IF(A399="","",IF(AF399="","—",IF(ISNUMBER(SEARCH("DNP",AF399)),"Unreachable / DNP",IF(ISNUMBER(SEARCH("interest",LOWER(AF399))),"High Interest / Terms",IF(OR(ISNUMBER(SEARCH("eligib",LOWER(AF399))),ISNUMBER(SEARCH("income",LOWER(AF399)))),"Eligibility / Income",IF(OR(ISNUMBER(SEARCH("start",LOWER(AF399))),ISNUMBER(SEARCH("Newer",AF399)),ISNUMBER(SEARCH("Will start",AF399))),"Process Yet to Start",IF(ISNUMBER(SEARCH("sure",LOWER(AF399))),"Undecided",IF(OR(ISNUMBER(SEARCH("reject",LOWER(AF399))),ISNUMBER(SEARCH("SBI",AF399))),"Rejected Elsewhere",IF(ISNUMBER(SEARCH("call",LOWER(AF399))),"Bank Communication",IF(OR(ISNUMBER(SEARCH("father",LOWER(AF399))),ISNUMBER(SEARCH("sister",LOWER(AF399)))),"Family / Dependency","Other"))))))))))</f>
        <v/>
      </c>
      <c r="AH399">
        <f>IF(A399="","",'01_Master_Data'!AC399)</f>
        <v/>
      </c>
      <c r="AI399">
        <f>IF(A399="","",IF(OR(AH399="",NOT(ISNUMBER(AH399))),"",MAX(0,'02_Configuration'!$B$82-AH399)))</f>
        <v/>
      </c>
      <c r="AJ399">
        <f>IF(A399="","",IF(AI399="","Unknown",IF(AI399&lt;=3,"0–3 Days",IF(AI399&lt;=7,"4–7 Days",IF(AI399&lt;=15,"8–15 Days",IF(AI399&lt;=30,"16–30 Days","30+ Days"))))))</f>
        <v/>
      </c>
      <c r="AK399">
        <f>IF(A399="","",IF(LOWER(H399)="yes","Yes","No"))</f>
        <v/>
      </c>
      <c r="AL399">
        <f>IF(A399="","",'01_Master_Data'!T399)</f>
        <v/>
      </c>
      <c r="AM399">
        <f>IF(A399="","",'01_Master_Data'!S399)</f>
        <v/>
      </c>
      <c r="AN399">
        <f>IF(A399="","",'01_Master_Data'!I399)</f>
        <v/>
      </c>
      <c r="AO399">
        <f>IF(A399="","",'01_Master_Data'!M399)</f>
        <v/>
      </c>
      <c r="AP399">
        <f>IF(A399="","",IF(ISNUMBER(SEARCH("Icici",W399&amp;"")),1,0))</f>
        <v/>
      </c>
      <c r="AQ399">
        <f>IF(A399="","",IF(ISNUMBER(SEARCH("Propelld",W399&amp;"")),1,0))</f>
        <v/>
      </c>
      <c r="AR399">
        <f>IF(A399="","",IF(ISNUMBER(SEARCH("GyanDhan",W399&amp;"")),1,0))</f>
        <v/>
      </c>
      <c r="AS399">
        <f>IF(A399="","",IF(ISNUMBER(SEARCH("vidyalakshmi",LOWER(W399&amp;""))),1,0))</f>
        <v/>
      </c>
      <c r="AT399">
        <f>IF(A399="","",IF(ISNUMBER(SEARCH("other bank",LOWER(W399&amp;""))),1,0))</f>
        <v/>
      </c>
      <c r="AU399">
        <f>IF(A399="","",IF(ISNUMBER(SEARCH("sanctioned",LOWER(W399&amp;""))),1,0))</f>
        <v/>
      </c>
      <c r="AV399">
        <f>IF(A399="","",IF(ISNUMBER(SEARCH("Docs Pending",W399&amp;"")),1,0))</f>
        <v/>
      </c>
      <c r="AW399">
        <f>IF(A399="","",IF(OR(X399="Rejected",ISNUMBER(SEARCH("Not eligbile",W399&amp;""))),1,0))</f>
        <v/>
      </c>
    </row>
    <row r="400">
      <c r="A400">
        <f>IF('01_Master_Data'!B400="","",399)</f>
        <v/>
      </c>
      <c r="B400">
        <f>IF('01_Master_Data'!B400="","",IF('01_Master_Data'!C400&lt;&gt;"","MOB|"&amp;TEXT('01_Master_Data'!C400,"0"),IF('01_Master_Data'!D400&lt;&gt;"","PID|"&amp;TRIM('01_Master_Data'!D400&amp;""),"")))</f>
        <v/>
      </c>
      <c r="C400">
        <f>IF('01_Master_Data'!B400="","",'01_Master_Data'!B400)</f>
        <v/>
      </c>
      <c r="D400">
        <f>IF('01_Master_Data'!B400="","",'01_Master_Data'!C400)</f>
        <v/>
      </c>
      <c r="E400">
        <f>IF('01_Master_Data'!B400="","",'01_Master_Data'!D400)</f>
        <v/>
      </c>
      <c r="F400">
        <f>IF('01_Master_Data'!B400="","",'01_Master_Data'!E400)</f>
        <v/>
      </c>
      <c r="G400">
        <f>IF('01_Master_Data'!B400="","",IFERROR(VLOOKUP(TRIM('01_Master_Data'!E400&amp;""),'02_Configuration'!$A$40:$B$44,2,FALSE),UPPER(TRIM('01_Master_Data'!E400&amp;""))))</f>
        <v/>
      </c>
      <c r="H400">
        <f>IF('01_Master_Data'!B400="","",IF('01_Master_Data'!U400="","",TRIM('01_Master_Data'!U400&amp;"")))</f>
        <v/>
      </c>
      <c r="I400">
        <f>IF('01_Master_Data'!B400="","",TRIM('01_Master_Data'!F400&amp;""))</f>
        <v/>
      </c>
      <c r="J400">
        <f>IF('01_Master_Data'!B400="","",TRIM('01_Master_Data'!G400&amp;""))</f>
        <v/>
      </c>
      <c r="K400">
        <f>IF('01_Master_Data'!B400="","",'01_Master_Data'!H400)</f>
        <v/>
      </c>
      <c r="L400">
        <f>IF('01_Master_Data'!B400="","",IF(LOWER(TRIM('01_Master_Data'!V400&amp;""))="yes",1,0))</f>
        <v/>
      </c>
      <c r="M400">
        <f>IF('01_Master_Data'!B400="","",IF(LOWER(TRIM('01_Master_Data'!W400&amp;""))="yes",1,0))</f>
        <v/>
      </c>
      <c r="N400">
        <f>IF('01_Master_Data'!B400="","",IF(LOWER(TRIM('01_Master_Data'!X400&amp;""))="yes",1,0))</f>
        <v/>
      </c>
      <c r="O400">
        <f>IF('01_Master_Data'!B400="","",IF(LOWER(TRIM('01_Master_Data'!Y400&amp;""))="yes",1,0))</f>
        <v/>
      </c>
      <c r="P400">
        <f>IF('01_Master_Data'!B400="","",IF(LOWER(TRIM('01_Master_Data'!Z400&amp;""))="yes",1,0))</f>
        <v/>
      </c>
      <c r="Q400">
        <f>IF(A400="","",L400+M400+N400+O400+P400)</f>
        <v/>
      </c>
      <c r="R400">
        <f>IF(A400="","",IF(Q400&gt;1,"Yes","No"))</f>
        <v/>
      </c>
      <c r="S400">
        <f>IF(A400="","",TEXTJOIN(", ",TRUE,IF(L400=1,"ICICI",""),IF(M400=1,"Propelld",""),IF(N400=1,"Study4Buddy",""),IF(O400=1,"Poonawala Fincorp",""),IF(P400=1,"GyanDhan","")))</f>
        <v/>
      </c>
      <c r="T400">
        <f>IF(A400="","",IF(L400=1,"ICICI",IF(M400=1,"Propelld",IF(P400=1,"GyanDhan",IF(N400=1,"Study4Buddy",IF(O400=1,"Poonawala Fincorp",IF(ISNUMBER(SEARCH("GyanDhan",W400&amp;"")),"GyanDhan",IF(ISNUMBER(SEARCH("Icici",W400&amp;"")),"ICICI",IF(ISNUMBER(SEARCH("Propelld",W400&amp;"")),"Propelld",IF(ISNUMBER(SEARCH("vidyalakshmi",LOWER(W400&amp;"")),"PM Vidyalakshmi","—"))))))))))</f>
        <v/>
      </c>
      <c r="U400">
        <f>IF(A400="","",TRIM('01_Master_Data'!AA400&amp;""))</f>
        <v/>
      </c>
      <c r="V400">
        <f>IF(A400="","",TRIM('01_Master_Data'!AG400&amp;""))</f>
        <v/>
      </c>
      <c r="W400">
        <f>IF(A400="","",TRIM('01_Master_Data'!AH400&amp;""))</f>
        <v/>
      </c>
      <c r="X400">
        <f>IF(A400="","",IF(OR(LOWER(H400)="refund",LOWER(U400)="refund case"),"Refund",IF(OR(LOWER(H400)="dnp",LOWER(U400)="dnp"),"DNP",IF(OR(LOWER(V400)="disbursed",ISNUMBER(SEARCH("Disbursed",W400&amp;""))),"Disbursed",IF(OR(LOWER(V400)="loan proccessed/accepted",ISNUMBER(SEARCH("sanctioned",LOWER(W400&amp;"")))),"Sanctioned",IF(OR(LOWER(V400)="rejected",ISNUMBER(SEARCH("Not eligbile",W400&amp;"")),ISNUMBER(SEARCH("Not eligible",W400&amp;""))),"Rejected",IF(ISNUMBER(SEARCH("Docs Pending",W400&amp;"")),"Documents Pending",IF(AND(LOWER(H400)="yes",LOWER(V400)="ongoing"),"Processing",IF(AND(LOWER(H400)="yes",Q400&gt;0,OR(V400="",LOWER(V400)="not even started")),"Vendor Assigned",IF(AND(LOWER(H400)="yes",LOWER(V400)="not even started"),"Need Loan",IF(LOWER(H400)="yes","Loan Started",IF(LOWER(H400)="not sure","Interested",IF(OR(LOWER(H400)="no",LOWER(V400)="not required"),"Not Required","Unclassified")))))))))))))</f>
        <v/>
      </c>
      <c r="Y400">
        <f>IF(A400="","",IF(OR(X400="Sanctioned",X400="Disbursed",X400="Approved"),"Approved",IF(X400="Rejected","Rejected",IF(OR(X400="Processing",X400="Documents Pending",X400="Vendor Assigned"),"In Progress",IF(X400="Need Loan","Pending Start","—"))))</f>
        <v/>
      </c>
      <c r="Z400">
        <f>IF(A400="","",IF(X400="Disbursed","Disbursed",IF(X400="Sanctioned","Sanctioned - Awaiting Disbursement","Not Disbursed")))</f>
        <v/>
      </c>
      <c r="AA400">
        <f>IF(A400="","",IF(LOWER(TRIM('01_Master_Data'!AI400&amp;""))="yes","Need FLDG",IF(LOWER(TRIM('01_Master_Data'!AK400&amp;""))="yes","Need Vidyalakshmi",IF(LOWER(TRIM('01_Master_Data'!AJ400&amp;""))="yes","Need Review",IF(LOWER(J400)="critical","Critical",IF(LOWER(U400)="risk","Risk Case",IF(X400="Refund","Refund","Normal")))))))</f>
        <v/>
      </c>
      <c r="AB400">
        <f>IF(A400="","",IF(OR(LOWER(J400)="critical",LOWER(TRIM('01_Master_Data'!AI400&amp;""))="yes",LOWER(TRIM('01_Master_Data'!AK400&amp;""))="yes",LOWER(U400)="risk"),"Yes","No"))</f>
        <v/>
      </c>
      <c r="AC400">
        <f>IF(A400="","",IF(LOWER(TRIM('01_Master_Data'!AI400&amp;""))="yes","Yes","No"))</f>
        <v/>
      </c>
      <c r="AD400">
        <f>IF(A400="","",IF(LOWER(TRIM('01_Master_Data'!AK400&amp;""))="yes","Yes","No"))</f>
        <v/>
      </c>
      <c r="AE400">
        <f>IF(A400="","",IF(LOWER(TRIM('01_Master_Data'!AJ400&amp;""))="yes","Yes","No"))</f>
        <v/>
      </c>
      <c r="AF400">
        <f>IF(A400="","",TRIM('01_Master_Data'!AL400&amp;""))</f>
        <v/>
      </c>
      <c r="AG400">
        <f>IF(A400="","",IF(AF400="","—",IF(ISNUMBER(SEARCH("DNP",AF400)),"Unreachable / DNP",IF(ISNUMBER(SEARCH("interest",LOWER(AF400))),"High Interest / Terms",IF(OR(ISNUMBER(SEARCH("eligib",LOWER(AF400))),ISNUMBER(SEARCH("income",LOWER(AF400)))),"Eligibility / Income",IF(OR(ISNUMBER(SEARCH("start",LOWER(AF400))),ISNUMBER(SEARCH("Newer",AF400)),ISNUMBER(SEARCH("Will start",AF400))),"Process Yet to Start",IF(ISNUMBER(SEARCH("sure",LOWER(AF400))),"Undecided",IF(OR(ISNUMBER(SEARCH("reject",LOWER(AF400))),ISNUMBER(SEARCH("SBI",AF400))),"Rejected Elsewhere",IF(ISNUMBER(SEARCH("call",LOWER(AF400))),"Bank Communication",IF(OR(ISNUMBER(SEARCH("father",LOWER(AF400))),ISNUMBER(SEARCH("sister",LOWER(AF400)))),"Family / Dependency","Other"))))))))))</f>
        <v/>
      </c>
      <c r="AH400">
        <f>IF(A400="","",'01_Master_Data'!AC400)</f>
        <v/>
      </c>
      <c r="AI400">
        <f>IF(A400="","",IF(OR(AH400="",NOT(ISNUMBER(AH400))),"",MAX(0,'02_Configuration'!$B$82-AH400)))</f>
        <v/>
      </c>
      <c r="AJ400">
        <f>IF(A400="","",IF(AI400="","Unknown",IF(AI400&lt;=3,"0–3 Days",IF(AI400&lt;=7,"4–7 Days",IF(AI400&lt;=15,"8–15 Days",IF(AI400&lt;=30,"16–30 Days","30+ Days"))))))</f>
        <v/>
      </c>
      <c r="AK400">
        <f>IF(A400="","",IF(LOWER(H400)="yes","Yes","No"))</f>
        <v/>
      </c>
      <c r="AL400">
        <f>IF(A400="","",'01_Master_Data'!T400)</f>
        <v/>
      </c>
      <c r="AM400">
        <f>IF(A400="","",'01_Master_Data'!S400)</f>
        <v/>
      </c>
      <c r="AN400">
        <f>IF(A400="","",'01_Master_Data'!I400)</f>
        <v/>
      </c>
      <c r="AO400">
        <f>IF(A400="","",'01_Master_Data'!M400)</f>
        <v/>
      </c>
      <c r="AP400">
        <f>IF(A400="","",IF(ISNUMBER(SEARCH("Icici",W400&amp;"")),1,0))</f>
        <v/>
      </c>
      <c r="AQ400">
        <f>IF(A400="","",IF(ISNUMBER(SEARCH("Propelld",W400&amp;"")),1,0))</f>
        <v/>
      </c>
      <c r="AR400">
        <f>IF(A400="","",IF(ISNUMBER(SEARCH("GyanDhan",W400&amp;"")),1,0))</f>
        <v/>
      </c>
      <c r="AS400">
        <f>IF(A400="","",IF(ISNUMBER(SEARCH("vidyalakshmi",LOWER(W400&amp;""))),1,0))</f>
        <v/>
      </c>
      <c r="AT400">
        <f>IF(A400="","",IF(ISNUMBER(SEARCH("other bank",LOWER(W400&amp;""))),1,0))</f>
        <v/>
      </c>
      <c r="AU400">
        <f>IF(A400="","",IF(ISNUMBER(SEARCH("sanctioned",LOWER(W400&amp;""))),1,0))</f>
        <v/>
      </c>
      <c r="AV400">
        <f>IF(A400="","",IF(ISNUMBER(SEARCH("Docs Pending",W400&amp;"")),1,0))</f>
        <v/>
      </c>
      <c r="AW400">
        <f>IF(A400="","",IF(OR(X400="Rejected",ISNUMBER(SEARCH("Not eligbile",W400&amp;""))),1,0))</f>
        <v/>
      </c>
    </row>
    <row r="401">
      <c r="A401">
        <f>IF('01_Master_Data'!B401="","",400)</f>
        <v/>
      </c>
      <c r="B401">
        <f>IF('01_Master_Data'!B401="","",IF('01_Master_Data'!C401&lt;&gt;"","MOB|"&amp;TEXT('01_Master_Data'!C401,"0"),IF('01_Master_Data'!D401&lt;&gt;"","PID|"&amp;TRIM('01_Master_Data'!D401&amp;""),"")))</f>
        <v/>
      </c>
      <c r="C401">
        <f>IF('01_Master_Data'!B401="","",'01_Master_Data'!B401)</f>
        <v/>
      </c>
      <c r="D401">
        <f>IF('01_Master_Data'!B401="","",'01_Master_Data'!C401)</f>
        <v/>
      </c>
      <c r="E401">
        <f>IF('01_Master_Data'!B401="","",'01_Master_Data'!D401)</f>
        <v/>
      </c>
      <c r="F401">
        <f>IF('01_Master_Data'!B401="","",'01_Master_Data'!E401)</f>
        <v/>
      </c>
      <c r="G401">
        <f>IF('01_Master_Data'!B401="","",IFERROR(VLOOKUP(TRIM('01_Master_Data'!E401&amp;""),'02_Configuration'!$A$40:$B$44,2,FALSE),UPPER(TRIM('01_Master_Data'!E401&amp;""))))</f>
        <v/>
      </c>
      <c r="H401">
        <f>IF('01_Master_Data'!B401="","",IF('01_Master_Data'!U401="","",TRIM('01_Master_Data'!U401&amp;"")))</f>
        <v/>
      </c>
      <c r="I401">
        <f>IF('01_Master_Data'!B401="","",TRIM('01_Master_Data'!F401&amp;""))</f>
        <v/>
      </c>
      <c r="J401">
        <f>IF('01_Master_Data'!B401="","",TRIM('01_Master_Data'!G401&amp;""))</f>
        <v/>
      </c>
      <c r="K401">
        <f>IF('01_Master_Data'!B401="","",'01_Master_Data'!H401)</f>
        <v/>
      </c>
      <c r="L401">
        <f>IF('01_Master_Data'!B401="","",IF(LOWER(TRIM('01_Master_Data'!V401&amp;""))="yes",1,0))</f>
        <v/>
      </c>
      <c r="M401">
        <f>IF('01_Master_Data'!B401="","",IF(LOWER(TRIM('01_Master_Data'!W401&amp;""))="yes",1,0))</f>
        <v/>
      </c>
      <c r="N401">
        <f>IF('01_Master_Data'!B401="","",IF(LOWER(TRIM('01_Master_Data'!X401&amp;""))="yes",1,0))</f>
        <v/>
      </c>
      <c r="O401">
        <f>IF('01_Master_Data'!B401="","",IF(LOWER(TRIM('01_Master_Data'!Y401&amp;""))="yes",1,0))</f>
        <v/>
      </c>
      <c r="P401">
        <f>IF('01_Master_Data'!B401="","",IF(LOWER(TRIM('01_Master_Data'!Z401&amp;""))="yes",1,0))</f>
        <v/>
      </c>
      <c r="Q401">
        <f>IF(A401="","",L401+M401+N401+O401+P401)</f>
        <v/>
      </c>
      <c r="R401">
        <f>IF(A401="","",IF(Q401&gt;1,"Yes","No"))</f>
        <v/>
      </c>
      <c r="S401">
        <f>IF(A401="","",TEXTJOIN(", ",TRUE,IF(L401=1,"ICICI",""),IF(M401=1,"Propelld",""),IF(N401=1,"Study4Buddy",""),IF(O401=1,"Poonawala Fincorp",""),IF(P401=1,"GyanDhan","")))</f>
        <v/>
      </c>
      <c r="T401">
        <f>IF(A401="","",IF(L401=1,"ICICI",IF(M401=1,"Propelld",IF(P401=1,"GyanDhan",IF(N401=1,"Study4Buddy",IF(O401=1,"Poonawala Fincorp",IF(ISNUMBER(SEARCH("GyanDhan",W401&amp;"")),"GyanDhan",IF(ISNUMBER(SEARCH("Icici",W401&amp;"")),"ICICI",IF(ISNUMBER(SEARCH("Propelld",W401&amp;"")),"Propelld",IF(ISNUMBER(SEARCH("vidyalakshmi",LOWER(W401&amp;"")),"PM Vidyalakshmi","—"))))))))))</f>
        <v/>
      </c>
      <c r="U401">
        <f>IF(A401="","",TRIM('01_Master_Data'!AA401&amp;""))</f>
        <v/>
      </c>
      <c r="V401">
        <f>IF(A401="","",TRIM('01_Master_Data'!AG401&amp;""))</f>
        <v/>
      </c>
      <c r="W401">
        <f>IF(A401="","",TRIM('01_Master_Data'!AH401&amp;""))</f>
        <v/>
      </c>
      <c r="X401">
        <f>IF(A401="","",IF(OR(LOWER(H401)="refund",LOWER(U401)="refund case"),"Refund",IF(OR(LOWER(H401)="dnp",LOWER(U401)="dnp"),"DNP",IF(OR(LOWER(V401)="disbursed",ISNUMBER(SEARCH("Disbursed",W401&amp;""))),"Disbursed",IF(OR(LOWER(V401)="loan proccessed/accepted",ISNUMBER(SEARCH("sanctioned",LOWER(W401&amp;"")))),"Sanctioned",IF(OR(LOWER(V401)="rejected",ISNUMBER(SEARCH("Not eligbile",W401&amp;"")),ISNUMBER(SEARCH("Not eligible",W401&amp;""))),"Rejected",IF(ISNUMBER(SEARCH("Docs Pending",W401&amp;"")),"Documents Pending",IF(AND(LOWER(H401)="yes",LOWER(V401)="ongoing"),"Processing",IF(AND(LOWER(H401)="yes",Q401&gt;0,OR(V401="",LOWER(V401)="not even started")),"Vendor Assigned",IF(AND(LOWER(H401)="yes",LOWER(V401)="not even started"),"Need Loan",IF(LOWER(H401)="yes","Loan Started",IF(LOWER(H401)="not sure","Interested",IF(OR(LOWER(H401)="no",LOWER(V401)="not required"),"Not Required","Unclassified")))))))))))))</f>
        <v/>
      </c>
      <c r="Y401">
        <f>IF(A401="","",IF(OR(X401="Sanctioned",X401="Disbursed",X401="Approved"),"Approved",IF(X401="Rejected","Rejected",IF(OR(X401="Processing",X401="Documents Pending",X401="Vendor Assigned"),"In Progress",IF(X401="Need Loan","Pending Start","—"))))</f>
        <v/>
      </c>
      <c r="Z401">
        <f>IF(A401="","",IF(X401="Disbursed","Disbursed",IF(X401="Sanctioned","Sanctioned - Awaiting Disbursement","Not Disbursed")))</f>
        <v/>
      </c>
      <c r="AA401">
        <f>IF(A401="","",IF(LOWER(TRIM('01_Master_Data'!AI401&amp;""))="yes","Need FLDG",IF(LOWER(TRIM('01_Master_Data'!AK401&amp;""))="yes","Need Vidyalakshmi",IF(LOWER(TRIM('01_Master_Data'!AJ401&amp;""))="yes","Need Review",IF(LOWER(J401)="critical","Critical",IF(LOWER(U401)="risk","Risk Case",IF(X401="Refund","Refund","Normal")))))))</f>
        <v/>
      </c>
      <c r="AB401">
        <f>IF(A401="","",IF(OR(LOWER(J401)="critical",LOWER(TRIM('01_Master_Data'!AI401&amp;""))="yes",LOWER(TRIM('01_Master_Data'!AK401&amp;""))="yes",LOWER(U401)="risk"),"Yes","No"))</f>
        <v/>
      </c>
      <c r="AC401">
        <f>IF(A401="","",IF(LOWER(TRIM('01_Master_Data'!AI401&amp;""))="yes","Yes","No"))</f>
        <v/>
      </c>
      <c r="AD401">
        <f>IF(A401="","",IF(LOWER(TRIM('01_Master_Data'!AK401&amp;""))="yes","Yes","No"))</f>
        <v/>
      </c>
      <c r="AE401">
        <f>IF(A401="","",IF(LOWER(TRIM('01_Master_Data'!AJ401&amp;""))="yes","Yes","No"))</f>
        <v/>
      </c>
      <c r="AF401">
        <f>IF(A401="","",TRIM('01_Master_Data'!AL401&amp;""))</f>
        <v/>
      </c>
      <c r="AG401">
        <f>IF(A401="","",IF(AF401="","—",IF(ISNUMBER(SEARCH("DNP",AF401)),"Unreachable / DNP",IF(ISNUMBER(SEARCH("interest",LOWER(AF401))),"High Interest / Terms",IF(OR(ISNUMBER(SEARCH("eligib",LOWER(AF401))),ISNUMBER(SEARCH("income",LOWER(AF401)))),"Eligibility / Income",IF(OR(ISNUMBER(SEARCH("start",LOWER(AF401))),ISNUMBER(SEARCH("Newer",AF401)),ISNUMBER(SEARCH("Will start",AF401))),"Process Yet to Start",IF(ISNUMBER(SEARCH("sure",LOWER(AF401))),"Undecided",IF(OR(ISNUMBER(SEARCH("reject",LOWER(AF401))),ISNUMBER(SEARCH("SBI",AF401))),"Rejected Elsewhere",IF(ISNUMBER(SEARCH("call",LOWER(AF401))),"Bank Communication",IF(OR(ISNUMBER(SEARCH("father",LOWER(AF401))),ISNUMBER(SEARCH("sister",LOWER(AF401)))),"Family / Dependency","Other"))))))))))</f>
        <v/>
      </c>
      <c r="AH401">
        <f>IF(A401="","",'01_Master_Data'!AC401)</f>
        <v/>
      </c>
      <c r="AI401">
        <f>IF(A401="","",IF(OR(AH401="",NOT(ISNUMBER(AH401))),"",MAX(0,'02_Configuration'!$B$82-AH401)))</f>
        <v/>
      </c>
      <c r="AJ401">
        <f>IF(A401="","",IF(AI401="","Unknown",IF(AI401&lt;=3,"0–3 Days",IF(AI401&lt;=7,"4–7 Days",IF(AI401&lt;=15,"8–15 Days",IF(AI401&lt;=30,"16–30 Days","30+ Days"))))))</f>
        <v/>
      </c>
      <c r="AK401">
        <f>IF(A401="","",IF(LOWER(H401)="yes","Yes","No"))</f>
        <v/>
      </c>
      <c r="AL401">
        <f>IF(A401="","",'01_Master_Data'!T401)</f>
        <v/>
      </c>
      <c r="AM401">
        <f>IF(A401="","",'01_Master_Data'!S401)</f>
        <v/>
      </c>
      <c r="AN401">
        <f>IF(A401="","",'01_Master_Data'!I401)</f>
        <v/>
      </c>
      <c r="AO401">
        <f>IF(A401="","",'01_Master_Data'!M401)</f>
        <v/>
      </c>
      <c r="AP401">
        <f>IF(A401="","",IF(ISNUMBER(SEARCH("Icici",W401&amp;"")),1,0))</f>
        <v/>
      </c>
      <c r="AQ401">
        <f>IF(A401="","",IF(ISNUMBER(SEARCH("Propelld",W401&amp;"")),1,0))</f>
        <v/>
      </c>
      <c r="AR401">
        <f>IF(A401="","",IF(ISNUMBER(SEARCH("GyanDhan",W401&amp;"")),1,0))</f>
        <v/>
      </c>
      <c r="AS401">
        <f>IF(A401="","",IF(ISNUMBER(SEARCH("vidyalakshmi",LOWER(W401&amp;""))),1,0))</f>
        <v/>
      </c>
      <c r="AT401">
        <f>IF(A401="","",IF(ISNUMBER(SEARCH("other bank",LOWER(W401&amp;""))),1,0))</f>
        <v/>
      </c>
      <c r="AU401">
        <f>IF(A401="","",IF(ISNUMBER(SEARCH("sanctioned",LOWER(W401&amp;""))),1,0))</f>
        <v/>
      </c>
      <c r="AV401">
        <f>IF(A401="","",IF(ISNUMBER(SEARCH("Docs Pending",W401&amp;"")),1,0))</f>
        <v/>
      </c>
      <c r="AW401">
        <f>IF(A401="","",IF(OR(X401="Rejected",ISNUMBER(SEARCH("Not eligbile",W401&amp;""))),1,0))</f>
        <v/>
      </c>
    </row>
    <row r="402">
      <c r="A402">
        <f>IF('01_Master_Data'!B402="","",401)</f>
        <v/>
      </c>
      <c r="B402">
        <f>IF('01_Master_Data'!B402="","",IF('01_Master_Data'!C402&lt;&gt;"","MOB|"&amp;TEXT('01_Master_Data'!C402,"0"),IF('01_Master_Data'!D402&lt;&gt;"","PID|"&amp;TRIM('01_Master_Data'!D402&amp;""),"")))</f>
        <v/>
      </c>
      <c r="C402">
        <f>IF('01_Master_Data'!B402="","",'01_Master_Data'!B402)</f>
        <v/>
      </c>
      <c r="D402">
        <f>IF('01_Master_Data'!B402="","",'01_Master_Data'!C402)</f>
        <v/>
      </c>
      <c r="E402">
        <f>IF('01_Master_Data'!B402="","",'01_Master_Data'!D402)</f>
        <v/>
      </c>
      <c r="F402">
        <f>IF('01_Master_Data'!B402="","",'01_Master_Data'!E402)</f>
        <v/>
      </c>
      <c r="G402">
        <f>IF('01_Master_Data'!B402="","",IFERROR(VLOOKUP(TRIM('01_Master_Data'!E402&amp;""),'02_Configuration'!$A$40:$B$44,2,FALSE),UPPER(TRIM('01_Master_Data'!E402&amp;""))))</f>
        <v/>
      </c>
      <c r="H402">
        <f>IF('01_Master_Data'!B402="","",IF('01_Master_Data'!U402="","",TRIM('01_Master_Data'!U402&amp;"")))</f>
        <v/>
      </c>
      <c r="I402">
        <f>IF('01_Master_Data'!B402="","",TRIM('01_Master_Data'!F402&amp;""))</f>
        <v/>
      </c>
      <c r="J402">
        <f>IF('01_Master_Data'!B402="","",TRIM('01_Master_Data'!G402&amp;""))</f>
        <v/>
      </c>
      <c r="K402">
        <f>IF('01_Master_Data'!B402="","",'01_Master_Data'!H402)</f>
        <v/>
      </c>
      <c r="L402">
        <f>IF('01_Master_Data'!B402="","",IF(LOWER(TRIM('01_Master_Data'!V402&amp;""))="yes",1,0))</f>
        <v/>
      </c>
      <c r="M402">
        <f>IF('01_Master_Data'!B402="","",IF(LOWER(TRIM('01_Master_Data'!W402&amp;""))="yes",1,0))</f>
        <v/>
      </c>
      <c r="N402">
        <f>IF('01_Master_Data'!B402="","",IF(LOWER(TRIM('01_Master_Data'!X402&amp;""))="yes",1,0))</f>
        <v/>
      </c>
      <c r="O402">
        <f>IF('01_Master_Data'!B402="","",IF(LOWER(TRIM('01_Master_Data'!Y402&amp;""))="yes",1,0))</f>
        <v/>
      </c>
      <c r="P402">
        <f>IF('01_Master_Data'!B402="","",IF(LOWER(TRIM('01_Master_Data'!Z402&amp;""))="yes",1,0))</f>
        <v/>
      </c>
      <c r="Q402">
        <f>IF(A402="","",L402+M402+N402+O402+P402)</f>
        <v/>
      </c>
      <c r="R402">
        <f>IF(A402="","",IF(Q402&gt;1,"Yes","No"))</f>
        <v/>
      </c>
      <c r="S402">
        <f>IF(A402="","",TEXTJOIN(", ",TRUE,IF(L402=1,"ICICI",""),IF(M402=1,"Propelld",""),IF(N402=1,"Study4Buddy",""),IF(O402=1,"Poonawala Fincorp",""),IF(P402=1,"GyanDhan","")))</f>
        <v/>
      </c>
      <c r="T402">
        <f>IF(A402="","",IF(L402=1,"ICICI",IF(M402=1,"Propelld",IF(P402=1,"GyanDhan",IF(N402=1,"Study4Buddy",IF(O402=1,"Poonawala Fincorp",IF(ISNUMBER(SEARCH("GyanDhan",W402&amp;"")),"GyanDhan",IF(ISNUMBER(SEARCH("Icici",W402&amp;"")),"ICICI",IF(ISNUMBER(SEARCH("Propelld",W402&amp;"")),"Propelld",IF(ISNUMBER(SEARCH("vidyalakshmi",LOWER(W402&amp;"")),"PM Vidyalakshmi","—"))))))))))</f>
        <v/>
      </c>
      <c r="U402">
        <f>IF(A402="","",TRIM('01_Master_Data'!AA402&amp;""))</f>
        <v/>
      </c>
      <c r="V402">
        <f>IF(A402="","",TRIM('01_Master_Data'!AG402&amp;""))</f>
        <v/>
      </c>
      <c r="W402">
        <f>IF(A402="","",TRIM('01_Master_Data'!AH402&amp;""))</f>
        <v/>
      </c>
      <c r="X402">
        <f>IF(A402="","",IF(OR(LOWER(H402)="refund",LOWER(U402)="refund case"),"Refund",IF(OR(LOWER(H402)="dnp",LOWER(U402)="dnp"),"DNP",IF(OR(LOWER(V402)="disbursed",ISNUMBER(SEARCH("Disbursed",W402&amp;""))),"Disbursed",IF(OR(LOWER(V402)="loan proccessed/accepted",ISNUMBER(SEARCH("sanctioned",LOWER(W402&amp;"")))),"Sanctioned",IF(OR(LOWER(V402)="rejected",ISNUMBER(SEARCH("Not eligbile",W402&amp;"")),ISNUMBER(SEARCH("Not eligible",W402&amp;""))),"Rejected",IF(ISNUMBER(SEARCH("Docs Pending",W402&amp;"")),"Documents Pending",IF(AND(LOWER(H402)="yes",LOWER(V402)="ongoing"),"Processing",IF(AND(LOWER(H402)="yes",Q402&gt;0,OR(V402="",LOWER(V402)="not even started")),"Vendor Assigned",IF(AND(LOWER(H402)="yes",LOWER(V402)="not even started"),"Need Loan",IF(LOWER(H402)="yes","Loan Started",IF(LOWER(H402)="not sure","Interested",IF(OR(LOWER(H402)="no",LOWER(V402)="not required"),"Not Required","Unclassified")))))))))))))</f>
        <v/>
      </c>
      <c r="Y402">
        <f>IF(A402="","",IF(OR(X402="Sanctioned",X402="Disbursed",X402="Approved"),"Approved",IF(X402="Rejected","Rejected",IF(OR(X402="Processing",X402="Documents Pending",X402="Vendor Assigned"),"In Progress",IF(X402="Need Loan","Pending Start","—"))))</f>
        <v/>
      </c>
      <c r="Z402">
        <f>IF(A402="","",IF(X402="Disbursed","Disbursed",IF(X402="Sanctioned","Sanctioned - Awaiting Disbursement","Not Disbursed")))</f>
        <v/>
      </c>
      <c r="AA402">
        <f>IF(A402="","",IF(LOWER(TRIM('01_Master_Data'!AI402&amp;""))="yes","Need FLDG",IF(LOWER(TRIM('01_Master_Data'!AK402&amp;""))="yes","Need Vidyalakshmi",IF(LOWER(TRIM('01_Master_Data'!AJ402&amp;""))="yes","Need Review",IF(LOWER(J402)="critical","Critical",IF(LOWER(U402)="risk","Risk Case",IF(X402="Refund","Refund","Normal")))))))</f>
        <v/>
      </c>
      <c r="AB402">
        <f>IF(A402="","",IF(OR(LOWER(J402)="critical",LOWER(TRIM('01_Master_Data'!AI402&amp;""))="yes",LOWER(TRIM('01_Master_Data'!AK402&amp;""))="yes",LOWER(U402)="risk"),"Yes","No"))</f>
        <v/>
      </c>
      <c r="AC402">
        <f>IF(A402="","",IF(LOWER(TRIM('01_Master_Data'!AI402&amp;""))="yes","Yes","No"))</f>
        <v/>
      </c>
      <c r="AD402">
        <f>IF(A402="","",IF(LOWER(TRIM('01_Master_Data'!AK402&amp;""))="yes","Yes","No"))</f>
        <v/>
      </c>
      <c r="AE402">
        <f>IF(A402="","",IF(LOWER(TRIM('01_Master_Data'!AJ402&amp;""))="yes","Yes","No"))</f>
        <v/>
      </c>
      <c r="AF402">
        <f>IF(A402="","",TRIM('01_Master_Data'!AL402&amp;""))</f>
        <v/>
      </c>
      <c r="AG402">
        <f>IF(A402="","",IF(AF402="","—",IF(ISNUMBER(SEARCH("DNP",AF402)),"Unreachable / DNP",IF(ISNUMBER(SEARCH("interest",LOWER(AF402))),"High Interest / Terms",IF(OR(ISNUMBER(SEARCH("eligib",LOWER(AF402))),ISNUMBER(SEARCH("income",LOWER(AF402)))),"Eligibility / Income",IF(OR(ISNUMBER(SEARCH("start",LOWER(AF402))),ISNUMBER(SEARCH("Newer",AF402)),ISNUMBER(SEARCH("Will start",AF402))),"Process Yet to Start",IF(ISNUMBER(SEARCH("sure",LOWER(AF402))),"Undecided",IF(OR(ISNUMBER(SEARCH("reject",LOWER(AF402))),ISNUMBER(SEARCH("SBI",AF402))),"Rejected Elsewhere",IF(ISNUMBER(SEARCH("call",LOWER(AF402))),"Bank Communication",IF(OR(ISNUMBER(SEARCH("father",LOWER(AF402))),ISNUMBER(SEARCH("sister",LOWER(AF402)))),"Family / Dependency","Other"))))))))))</f>
        <v/>
      </c>
      <c r="AH402">
        <f>IF(A402="","",'01_Master_Data'!AC402)</f>
        <v/>
      </c>
      <c r="AI402">
        <f>IF(A402="","",IF(OR(AH402="",NOT(ISNUMBER(AH402))),"",MAX(0,'02_Configuration'!$B$82-AH402)))</f>
        <v/>
      </c>
      <c r="AJ402">
        <f>IF(A402="","",IF(AI402="","Unknown",IF(AI402&lt;=3,"0–3 Days",IF(AI402&lt;=7,"4–7 Days",IF(AI402&lt;=15,"8–15 Days",IF(AI402&lt;=30,"16–30 Days","30+ Days"))))))</f>
        <v/>
      </c>
      <c r="AK402">
        <f>IF(A402="","",IF(LOWER(H402)="yes","Yes","No"))</f>
        <v/>
      </c>
      <c r="AL402">
        <f>IF(A402="","",'01_Master_Data'!T402)</f>
        <v/>
      </c>
      <c r="AM402">
        <f>IF(A402="","",'01_Master_Data'!S402)</f>
        <v/>
      </c>
      <c r="AN402">
        <f>IF(A402="","",'01_Master_Data'!I402)</f>
        <v/>
      </c>
      <c r="AO402">
        <f>IF(A402="","",'01_Master_Data'!M402)</f>
        <v/>
      </c>
      <c r="AP402">
        <f>IF(A402="","",IF(ISNUMBER(SEARCH("Icici",W402&amp;"")),1,0))</f>
        <v/>
      </c>
      <c r="AQ402">
        <f>IF(A402="","",IF(ISNUMBER(SEARCH("Propelld",W402&amp;"")),1,0))</f>
        <v/>
      </c>
      <c r="AR402">
        <f>IF(A402="","",IF(ISNUMBER(SEARCH("GyanDhan",W402&amp;"")),1,0))</f>
        <v/>
      </c>
      <c r="AS402">
        <f>IF(A402="","",IF(ISNUMBER(SEARCH("vidyalakshmi",LOWER(W402&amp;""))),1,0))</f>
        <v/>
      </c>
      <c r="AT402">
        <f>IF(A402="","",IF(ISNUMBER(SEARCH("other bank",LOWER(W402&amp;""))),1,0))</f>
        <v/>
      </c>
      <c r="AU402">
        <f>IF(A402="","",IF(ISNUMBER(SEARCH("sanctioned",LOWER(W402&amp;""))),1,0))</f>
        <v/>
      </c>
      <c r="AV402">
        <f>IF(A402="","",IF(ISNUMBER(SEARCH("Docs Pending",W402&amp;"")),1,0))</f>
        <v/>
      </c>
      <c r="AW402">
        <f>IF(A402="","",IF(OR(X402="Rejected",ISNUMBER(SEARCH("Not eligbile",W402&amp;""))),1,0))</f>
        <v/>
      </c>
    </row>
    <row r="403">
      <c r="A403">
        <f>IF('01_Master_Data'!B403="","",402)</f>
        <v/>
      </c>
      <c r="B403">
        <f>IF('01_Master_Data'!B403="","",IF('01_Master_Data'!C403&lt;&gt;"","MOB|"&amp;TEXT('01_Master_Data'!C403,"0"),IF('01_Master_Data'!D403&lt;&gt;"","PID|"&amp;TRIM('01_Master_Data'!D403&amp;""),"")))</f>
        <v/>
      </c>
      <c r="C403">
        <f>IF('01_Master_Data'!B403="","",'01_Master_Data'!B403)</f>
        <v/>
      </c>
      <c r="D403">
        <f>IF('01_Master_Data'!B403="","",'01_Master_Data'!C403)</f>
        <v/>
      </c>
      <c r="E403">
        <f>IF('01_Master_Data'!B403="","",'01_Master_Data'!D403)</f>
        <v/>
      </c>
      <c r="F403">
        <f>IF('01_Master_Data'!B403="","",'01_Master_Data'!E403)</f>
        <v/>
      </c>
      <c r="G403">
        <f>IF('01_Master_Data'!B403="","",IFERROR(VLOOKUP(TRIM('01_Master_Data'!E403&amp;""),'02_Configuration'!$A$40:$B$44,2,FALSE),UPPER(TRIM('01_Master_Data'!E403&amp;""))))</f>
        <v/>
      </c>
      <c r="H403">
        <f>IF('01_Master_Data'!B403="","",IF('01_Master_Data'!U403="","",TRIM('01_Master_Data'!U403&amp;"")))</f>
        <v/>
      </c>
      <c r="I403">
        <f>IF('01_Master_Data'!B403="","",TRIM('01_Master_Data'!F403&amp;""))</f>
        <v/>
      </c>
      <c r="J403">
        <f>IF('01_Master_Data'!B403="","",TRIM('01_Master_Data'!G403&amp;""))</f>
        <v/>
      </c>
      <c r="K403">
        <f>IF('01_Master_Data'!B403="","",'01_Master_Data'!H403)</f>
        <v/>
      </c>
      <c r="L403">
        <f>IF('01_Master_Data'!B403="","",IF(LOWER(TRIM('01_Master_Data'!V403&amp;""))="yes",1,0))</f>
        <v/>
      </c>
      <c r="M403">
        <f>IF('01_Master_Data'!B403="","",IF(LOWER(TRIM('01_Master_Data'!W403&amp;""))="yes",1,0))</f>
        <v/>
      </c>
      <c r="N403">
        <f>IF('01_Master_Data'!B403="","",IF(LOWER(TRIM('01_Master_Data'!X403&amp;""))="yes",1,0))</f>
        <v/>
      </c>
      <c r="O403">
        <f>IF('01_Master_Data'!B403="","",IF(LOWER(TRIM('01_Master_Data'!Y403&amp;""))="yes",1,0))</f>
        <v/>
      </c>
      <c r="P403">
        <f>IF('01_Master_Data'!B403="","",IF(LOWER(TRIM('01_Master_Data'!Z403&amp;""))="yes",1,0))</f>
        <v/>
      </c>
      <c r="Q403">
        <f>IF(A403="","",L403+M403+N403+O403+P403)</f>
        <v/>
      </c>
      <c r="R403">
        <f>IF(A403="","",IF(Q403&gt;1,"Yes","No"))</f>
        <v/>
      </c>
      <c r="S403">
        <f>IF(A403="","",TEXTJOIN(", ",TRUE,IF(L403=1,"ICICI",""),IF(M403=1,"Propelld",""),IF(N403=1,"Study4Buddy",""),IF(O403=1,"Poonawala Fincorp",""),IF(P403=1,"GyanDhan","")))</f>
        <v/>
      </c>
      <c r="T403">
        <f>IF(A403="","",IF(L403=1,"ICICI",IF(M403=1,"Propelld",IF(P403=1,"GyanDhan",IF(N403=1,"Study4Buddy",IF(O403=1,"Poonawala Fincorp",IF(ISNUMBER(SEARCH("GyanDhan",W403&amp;"")),"GyanDhan",IF(ISNUMBER(SEARCH("Icici",W403&amp;"")),"ICICI",IF(ISNUMBER(SEARCH("Propelld",W403&amp;"")),"Propelld",IF(ISNUMBER(SEARCH("vidyalakshmi",LOWER(W403&amp;"")),"PM Vidyalakshmi","—"))))))))))</f>
        <v/>
      </c>
      <c r="U403">
        <f>IF(A403="","",TRIM('01_Master_Data'!AA403&amp;""))</f>
        <v/>
      </c>
      <c r="V403">
        <f>IF(A403="","",TRIM('01_Master_Data'!AG403&amp;""))</f>
        <v/>
      </c>
      <c r="W403">
        <f>IF(A403="","",TRIM('01_Master_Data'!AH403&amp;""))</f>
        <v/>
      </c>
      <c r="X403">
        <f>IF(A403="","",IF(OR(LOWER(H403)="refund",LOWER(U403)="refund case"),"Refund",IF(OR(LOWER(H403)="dnp",LOWER(U403)="dnp"),"DNP",IF(OR(LOWER(V403)="disbursed",ISNUMBER(SEARCH("Disbursed",W403&amp;""))),"Disbursed",IF(OR(LOWER(V403)="loan proccessed/accepted",ISNUMBER(SEARCH("sanctioned",LOWER(W403&amp;"")))),"Sanctioned",IF(OR(LOWER(V403)="rejected",ISNUMBER(SEARCH("Not eligbile",W403&amp;"")),ISNUMBER(SEARCH("Not eligible",W403&amp;""))),"Rejected",IF(ISNUMBER(SEARCH("Docs Pending",W403&amp;"")),"Documents Pending",IF(AND(LOWER(H403)="yes",LOWER(V403)="ongoing"),"Processing",IF(AND(LOWER(H403)="yes",Q403&gt;0,OR(V403="",LOWER(V403)="not even started")),"Vendor Assigned",IF(AND(LOWER(H403)="yes",LOWER(V403)="not even started"),"Need Loan",IF(LOWER(H403)="yes","Loan Started",IF(LOWER(H403)="not sure","Interested",IF(OR(LOWER(H403)="no",LOWER(V403)="not required"),"Not Required","Unclassified")))))))))))))</f>
        <v/>
      </c>
      <c r="Y403">
        <f>IF(A403="","",IF(OR(X403="Sanctioned",X403="Disbursed",X403="Approved"),"Approved",IF(X403="Rejected","Rejected",IF(OR(X403="Processing",X403="Documents Pending",X403="Vendor Assigned"),"In Progress",IF(X403="Need Loan","Pending Start","—"))))</f>
        <v/>
      </c>
      <c r="Z403">
        <f>IF(A403="","",IF(X403="Disbursed","Disbursed",IF(X403="Sanctioned","Sanctioned - Awaiting Disbursement","Not Disbursed")))</f>
        <v/>
      </c>
      <c r="AA403">
        <f>IF(A403="","",IF(LOWER(TRIM('01_Master_Data'!AI403&amp;""))="yes","Need FLDG",IF(LOWER(TRIM('01_Master_Data'!AK403&amp;""))="yes","Need Vidyalakshmi",IF(LOWER(TRIM('01_Master_Data'!AJ403&amp;""))="yes","Need Review",IF(LOWER(J403)="critical","Critical",IF(LOWER(U403)="risk","Risk Case",IF(X403="Refund","Refund","Normal")))))))</f>
        <v/>
      </c>
      <c r="AB403">
        <f>IF(A403="","",IF(OR(LOWER(J403)="critical",LOWER(TRIM('01_Master_Data'!AI403&amp;""))="yes",LOWER(TRIM('01_Master_Data'!AK403&amp;""))="yes",LOWER(U403)="risk"),"Yes","No"))</f>
        <v/>
      </c>
      <c r="AC403">
        <f>IF(A403="","",IF(LOWER(TRIM('01_Master_Data'!AI403&amp;""))="yes","Yes","No"))</f>
        <v/>
      </c>
      <c r="AD403">
        <f>IF(A403="","",IF(LOWER(TRIM('01_Master_Data'!AK403&amp;""))="yes","Yes","No"))</f>
        <v/>
      </c>
      <c r="AE403">
        <f>IF(A403="","",IF(LOWER(TRIM('01_Master_Data'!AJ403&amp;""))="yes","Yes","No"))</f>
        <v/>
      </c>
      <c r="AF403">
        <f>IF(A403="","",TRIM('01_Master_Data'!AL403&amp;""))</f>
        <v/>
      </c>
      <c r="AG403">
        <f>IF(A403="","",IF(AF403="","—",IF(ISNUMBER(SEARCH("DNP",AF403)),"Unreachable / DNP",IF(ISNUMBER(SEARCH("interest",LOWER(AF403))),"High Interest / Terms",IF(OR(ISNUMBER(SEARCH("eligib",LOWER(AF403))),ISNUMBER(SEARCH("income",LOWER(AF403)))),"Eligibility / Income",IF(OR(ISNUMBER(SEARCH("start",LOWER(AF403))),ISNUMBER(SEARCH("Newer",AF403)),ISNUMBER(SEARCH("Will start",AF403))),"Process Yet to Start",IF(ISNUMBER(SEARCH("sure",LOWER(AF403))),"Undecided",IF(OR(ISNUMBER(SEARCH("reject",LOWER(AF403))),ISNUMBER(SEARCH("SBI",AF403))),"Rejected Elsewhere",IF(ISNUMBER(SEARCH("call",LOWER(AF403))),"Bank Communication",IF(OR(ISNUMBER(SEARCH("father",LOWER(AF403))),ISNUMBER(SEARCH("sister",LOWER(AF403)))),"Family / Dependency","Other"))))))))))</f>
        <v/>
      </c>
      <c r="AH403">
        <f>IF(A403="","",'01_Master_Data'!AC403)</f>
        <v/>
      </c>
      <c r="AI403">
        <f>IF(A403="","",IF(OR(AH403="",NOT(ISNUMBER(AH403))),"",MAX(0,'02_Configuration'!$B$82-AH403)))</f>
        <v/>
      </c>
      <c r="AJ403">
        <f>IF(A403="","",IF(AI403="","Unknown",IF(AI403&lt;=3,"0–3 Days",IF(AI403&lt;=7,"4–7 Days",IF(AI403&lt;=15,"8–15 Days",IF(AI403&lt;=30,"16–30 Days","30+ Days"))))))</f>
        <v/>
      </c>
      <c r="AK403">
        <f>IF(A403="","",IF(LOWER(H403)="yes","Yes","No"))</f>
        <v/>
      </c>
      <c r="AL403">
        <f>IF(A403="","",'01_Master_Data'!T403)</f>
        <v/>
      </c>
      <c r="AM403">
        <f>IF(A403="","",'01_Master_Data'!S403)</f>
        <v/>
      </c>
      <c r="AN403">
        <f>IF(A403="","",'01_Master_Data'!I403)</f>
        <v/>
      </c>
      <c r="AO403">
        <f>IF(A403="","",'01_Master_Data'!M403)</f>
        <v/>
      </c>
      <c r="AP403">
        <f>IF(A403="","",IF(ISNUMBER(SEARCH("Icici",W403&amp;"")),1,0))</f>
        <v/>
      </c>
      <c r="AQ403">
        <f>IF(A403="","",IF(ISNUMBER(SEARCH("Propelld",W403&amp;"")),1,0))</f>
        <v/>
      </c>
      <c r="AR403">
        <f>IF(A403="","",IF(ISNUMBER(SEARCH("GyanDhan",W403&amp;"")),1,0))</f>
        <v/>
      </c>
      <c r="AS403">
        <f>IF(A403="","",IF(ISNUMBER(SEARCH("vidyalakshmi",LOWER(W403&amp;""))),1,0))</f>
        <v/>
      </c>
      <c r="AT403">
        <f>IF(A403="","",IF(ISNUMBER(SEARCH("other bank",LOWER(W403&amp;""))),1,0))</f>
        <v/>
      </c>
      <c r="AU403">
        <f>IF(A403="","",IF(ISNUMBER(SEARCH("sanctioned",LOWER(W403&amp;""))),1,0))</f>
        <v/>
      </c>
      <c r="AV403">
        <f>IF(A403="","",IF(ISNUMBER(SEARCH("Docs Pending",W403&amp;"")),1,0))</f>
        <v/>
      </c>
      <c r="AW403">
        <f>IF(A403="","",IF(OR(X403="Rejected",ISNUMBER(SEARCH("Not eligbile",W403&amp;""))),1,0))</f>
        <v/>
      </c>
    </row>
    <row r="404">
      <c r="A404">
        <f>IF('01_Master_Data'!B404="","",403)</f>
        <v/>
      </c>
      <c r="B404">
        <f>IF('01_Master_Data'!B404="","",IF('01_Master_Data'!C404&lt;&gt;"","MOB|"&amp;TEXT('01_Master_Data'!C404,"0"),IF('01_Master_Data'!D404&lt;&gt;"","PID|"&amp;TRIM('01_Master_Data'!D404&amp;""),"")))</f>
        <v/>
      </c>
      <c r="C404">
        <f>IF('01_Master_Data'!B404="","",'01_Master_Data'!B404)</f>
        <v/>
      </c>
      <c r="D404">
        <f>IF('01_Master_Data'!B404="","",'01_Master_Data'!C404)</f>
        <v/>
      </c>
      <c r="E404">
        <f>IF('01_Master_Data'!B404="","",'01_Master_Data'!D404)</f>
        <v/>
      </c>
      <c r="F404">
        <f>IF('01_Master_Data'!B404="","",'01_Master_Data'!E404)</f>
        <v/>
      </c>
      <c r="G404">
        <f>IF('01_Master_Data'!B404="","",IFERROR(VLOOKUP(TRIM('01_Master_Data'!E404&amp;""),'02_Configuration'!$A$40:$B$44,2,FALSE),UPPER(TRIM('01_Master_Data'!E404&amp;""))))</f>
        <v/>
      </c>
      <c r="H404">
        <f>IF('01_Master_Data'!B404="","",IF('01_Master_Data'!U404="","",TRIM('01_Master_Data'!U404&amp;"")))</f>
        <v/>
      </c>
      <c r="I404">
        <f>IF('01_Master_Data'!B404="","",TRIM('01_Master_Data'!F404&amp;""))</f>
        <v/>
      </c>
      <c r="J404">
        <f>IF('01_Master_Data'!B404="","",TRIM('01_Master_Data'!G404&amp;""))</f>
        <v/>
      </c>
      <c r="K404">
        <f>IF('01_Master_Data'!B404="","",'01_Master_Data'!H404)</f>
        <v/>
      </c>
      <c r="L404">
        <f>IF('01_Master_Data'!B404="","",IF(LOWER(TRIM('01_Master_Data'!V404&amp;""))="yes",1,0))</f>
        <v/>
      </c>
      <c r="M404">
        <f>IF('01_Master_Data'!B404="","",IF(LOWER(TRIM('01_Master_Data'!W404&amp;""))="yes",1,0))</f>
        <v/>
      </c>
      <c r="N404">
        <f>IF('01_Master_Data'!B404="","",IF(LOWER(TRIM('01_Master_Data'!X404&amp;""))="yes",1,0))</f>
        <v/>
      </c>
      <c r="O404">
        <f>IF('01_Master_Data'!B404="","",IF(LOWER(TRIM('01_Master_Data'!Y404&amp;""))="yes",1,0))</f>
        <v/>
      </c>
      <c r="P404">
        <f>IF('01_Master_Data'!B404="","",IF(LOWER(TRIM('01_Master_Data'!Z404&amp;""))="yes",1,0))</f>
        <v/>
      </c>
      <c r="Q404">
        <f>IF(A404="","",L404+M404+N404+O404+P404)</f>
        <v/>
      </c>
      <c r="R404">
        <f>IF(A404="","",IF(Q404&gt;1,"Yes","No"))</f>
        <v/>
      </c>
      <c r="S404">
        <f>IF(A404="","",TEXTJOIN(", ",TRUE,IF(L404=1,"ICICI",""),IF(M404=1,"Propelld",""),IF(N404=1,"Study4Buddy",""),IF(O404=1,"Poonawala Fincorp",""),IF(P404=1,"GyanDhan","")))</f>
        <v/>
      </c>
      <c r="T404">
        <f>IF(A404="","",IF(L404=1,"ICICI",IF(M404=1,"Propelld",IF(P404=1,"GyanDhan",IF(N404=1,"Study4Buddy",IF(O404=1,"Poonawala Fincorp",IF(ISNUMBER(SEARCH("GyanDhan",W404&amp;"")),"GyanDhan",IF(ISNUMBER(SEARCH("Icici",W404&amp;"")),"ICICI",IF(ISNUMBER(SEARCH("Propelld",W404&amp;"")),"Propelld",IF(ISNUMBER(SEARCH("vidyalakshmi",LOWER(W404&amp;"")),"PM Vidyalakshmi","—"))))))))))</f>
        <v/>
      </c>
      <c r="U404">
        <f>IF(A404="","",TRIM('01_Master_Data'!AA404&amp;""))</f>
        <v/>
      </c>
      <c r="V404">
        <f>IF(A404="","",TRIM('01_Master_Data'!AG404&amp;""))</f>
        <v/>
      </c>
      <c r="W404">
        <f>IF(A404="","",TRIM('01_Master_Data'!AH404&amp;""))</f>
        <v/>
      </c>
      <c r="X404">
        <f>IF(A404="","",IF(OR(LOWER(H404)="refund",LOWER(U404)="refund case"),"Refund",IF(OR(LOWER(H404)="dnp",LOWER(U404)="dnp"),"DNP",IF(OR(LOWER(V404)="disbursed",ISNUMBER(SEARCH("Disbursed",W404&amp;""))),"Disbursed",IF(OR(LOWER(V404)="loan proccessed/accepted",ISNUMBER(SEARCH("sanctioned",LOWER(W404&amp;"")))),"Sanctioned",IF(OR(LOWER(V404)="rejected",ISNUMBER(SEARCH("Not eligbile",W404&amp;"")),ISNUMBER(SEARCH("Not eligible",W404&amp;""))),"Rejected",IF(ISNUMBER(SEARCH("Docs Pending",W404&amp;"")),"Documents Pending",IF(AND(LOWER(H404)="yes",LOWER(V404)="ongoing"),"Processing",IF(AND(LOWER(H404)="yes",Q404&gt;0,OR(V404="",LOWER(V404)="not even started")),"Vendor Assigned",IF(AND(LOWER(H404)="yes",LOWER(V404)="not even started"),"Need Loan",IF(LOWER(H404)="yes","Loan Started",IF(LOWER(H404)="not sure","Interested",IF(OR(LOWER(H404)="no",LOWER(V404)="not required"),"Not Required","Unclassified")))))))))))))</f>
        <v/>
      </c>
      <c r="Y404">
        <f>IF(A404="","",IF(OR(X404="Sanctioned",X404="Disbursed",X404="Approved"),"Approved",IF(X404="Rejected","Rejected",IF(OR(X404="Processing",X404="Documents Pending",X404="Vendor Assigned"),"In Progress",IF(X404="Need Loan","Pending Start","—"))))</f>
        <v/>
      </c>
      <c r="Z404">
        <f>IF(A404="","",IF(X404="Disbursed","Disbursed",IF(X404="Sanctioned","Sanctioned - Awaiting Disbursement","Not Disbursed")))</f>
        <v/>
      </c>
      <c r="AA404">
        <f>IF(A404="","",IF(LOWER(TRIM('01_Master_Data'!AI404&amp;""))="yes","Need FLDG",IF(LOWER(TRIM('01_Master_Data'!AK404&amp;""))="yes","Need Vidyalakshmi",IF(LOWER(TRIM('01_Master_Data'!AJ404&amp;""))="yes","Need Review",IF(LOWER(J404)="critical","Critical",IF(LOWER(U404)="risk","Risk Case",IF(X404="Refund","Refund","Normal")))))))</f>
        <v/>
      </c>
      <c r="AB404">
        <f>IF(A404="","",IF(OR(LOWER(J404)="critical",LOWER(TRIM('01_Master_Data'!AI404&amp;""))="yes",LOWER(TRIM('01_Master_Data'!AK404&amp;""))="yes",LOWER(U404)="risk"),"Yes","No"))</f>
        <v/>
      </c>
      <c r="AC404">
        <f>IF(A404="","",IF(LOWER(TRIM('01_Master_Data'!AI404&amp;""))="yes","Yes","No"))</f>
        <v/>
      </c>
      <c r="AD404">
        <f>IF(A404="","",IF(LOWER(TRIM('01_Master_Data'!AK404&amp;""))="yes","Yes","No"))</f>
        <v/>
      </c>
      <c r="AE404">
        <f>IF(A404="","",IF(LOWER(TRIM('01_Master_Data'!AJ404&amp;""))="yes","Yes","No"))</f>
        <v/>
      </c>
      <c r="AF404">
        <f>IF(A404="","",TRIM('01_Master_Data'!AL404&amp;""))</f>
        <v/>
      </c>
      <c r="AG404">
        <f>IF(A404="","",IF(AF404="","—",IF(ISNUMBER(SEARCH("DNP",AF404)),"Unreachable / DNP",IF(ISNUMBER(SEARCH("interest",LOWER(AF404))),"High Interest / Terms",IF(OR(ISNUMBER(SEARCH("eligib",LOWER(AF404))),ISNUMBER(SEARCH("income",LOWER(AF404)))),"Eligibility / Income",IF(OR(ISNUMBER(SEARCH("start",LOWER(AF404))),ISNUMBER(SEARCH("Newer",AF404)),ISNUMBER(SEARCH("Will start",AF404))),"Process Yet to Start",IF(ISNUMBER(SEARCH("sure",LOWER(AF404))),"Undecided",IF(OR(ISNUMBER(SEARCH("reject",LOWER(AF404))),ISNUMBER(SEARCH("SBI",AF404))),"Rejected Elsewhere",IF(ISNUMBER(SEARCH("call",LOWER(AF404))),"Bank Communication",IF(OR(ISNUMBER(SEARCH("father",LOWER(AF404))),ISNUMBER(SEARCH("sister",LOWER(AF404)))),"Family / Dependency","Other"))))))))))</f>
        <v/>
      </c>
      <c r="AH404">
        <f>IF(A404="","",'01_Master_Data'!AC404)</f>
        <v/>
      </c>
      <c r="AI404">
        <f>IF(A404="","",IF(OR(AH404="",NOT(ISNUMBER(AH404))),"",MAX(0,'02_Configuration'!$B$82-AH404)))</f>
        <v/>
      </c>
      <c r="AJ404">
        <f>IF(A404="","",IF(AI404="","Unknown",IF(AI404&lt;=3,"0–3 Days",IF(AI404&lt;=7,"4–7 Days",IF(AI404&lt;=15,"8–15 Days",IF(AI404&lt;=30,"16–30 Days","30+ Days"))))))</f>
        <v/>
      </c>
      <c r="AK404">
        <f>IF(A404="","",IF(LOWER(H404)="yes","Yes","No"))</f>
        <v/>
      </c>
      <c r="AL404">
        <f>IF(A404="","",'01_Master_Data'!T404)</f>
        <v/>
      </c>
      <c r="AM404">
        <f>IF(A404="","",'01_Master_Data'!S404)</f>
        <v/>
      </c>
      <c r="AN404">
        <f>IF(A404="","",'01_Master_Data'!I404)</f>
        <v/>
      </c>
      <c r="AO404">
        <f>IF(A404="","",'01_Master_Data'!M404)</f>
        <v/>
      </c>
      <c r="AP404">
        <f>IF(A404="","",IF(ISNUMBER(SEARCH("Icici",W404&amp;"")),1,0))</f>
        <v/>
      </c>
      <c r="AQ404">
        <f>IF(A404="","",IF(ISNUMBER(SEARCH("Propelld",W404&amp;"")),1,0))</f>
        <v/>
      </c>
      <c r="AR404">
        <f>IF(A404="","",IF(ISNUMBER(SEARCH("GyanDhan",W404&amp;"")),1,0))</f>
        <v/>
      </c>
      <c r="AS404">
        <f>IF(A404="","",IF(ISNUMBER(SEARCH("vidyalakshmi",LOWER(W404&amp;""))),1,0))</f>
        <v/>
      </c>
      <c r="AT404">
        <f>IF(A404="","",IF(ISNUMBER(SEARCH("other bank",LOWER(W404&amp;""))),1,0))</f>
        <v/>
      </c>
      <c r="AU404">
        <f>IF(A404="","",IF(ISNUMBER(SEARCH("sanctioned",LOWER(W404&amp;""))),1,0))</f>
        <v/>
      </c>
      <c r="AV404">
        <f>IF(A404="","",IF(ISNUMBER(SEARCH("Docs Pending",W404&amp;"")),1,0))</f>
        <v/>
      </c>
      <c r="AW404">
        <f>IF(A404="","",IF(OR(X404="Rejected",ISNUMBER(SEARCH("Not eligbile",W404&amp;""))),1,0))</f>
        <v/>
      </c>
    </row>
    <row r="405">
      <c r="A405">
        <f>IF('01_Master_Data'!B405="","",404)</f>
        <v/>
      </c>
      <c r="B405">
        <f>IF('01_Master_Data'!B405="","",IF('01_Master_Data'!C405&lt;&gt;"","MOB|"&amp;TEXT('01_Master_Data'!C405,"0"),IF('01_Master_Data'!D405&lt;&gt;"","PID|"&amp;TRIM('01_Master_Data'!D405&amp;""),"")))</f>
        <v/>
      </c>
      <c r="C405">
        <f>IF('01_Master_Data'!B405="","",'01_Master_Data'!B405)</f>
        <v/>
      </c>
      <c r="D405">
        <f>IF('01_Master_Data'!B405="","",'01_Master_Data'!C405)</f>
        <v/>
      </c>
      <c r="E405">
        <f>IF('01_Master_Data'!B405="","",'01_Master_Data'!D405)</f>
        <v/>
      </c>
      <c r="F405">
        <f>IF('01_Master_Data'!B405="","",'01_Master_Data'!E405)</f>
        <v/>
      </c>
      <c r="G405">
        <f>IF('01_Master_Data'!B405="","",IFERROR(VLOOKUP(TRIM('01_Master_Data'!E405&amp;""),'02_Configuration'!$A$40:$B$44,2,FALSE),UPPER(TRIM('01_Master_Data'!E405&amp;""))))</f>
        <v/>
      </c>
      <c r="H405">
        <f>IF('01_Master_Data'!B405="","",IF('01_Master_Data'!U405="","",TRIM('01_Master_Data'!U405&amp;"")))</f>
        <v/>
      </c>
      <c r="I405">
        <f>IF('01_Master_Data'!B405="","",TRIM('01_Master_Data'!F405&amp;""))</f>
        <v/>
      </c>
      <c r="J405">
        <f>IF('01_Master_Data'!B405="","",TRIM('01_Master_Data'!G405&amp;""))</f>
        <v/>
      </c>
      <c r="K405">
        <f>IF('01_Master_Data'!B405="","",'01_Master_Data'!H405)</f>
        <v/>
      </c>
      <c r="L405">
        <f>IF('01_Master_Data'!B405="","",IF(LOWER(TRIM('01_Master_Data'!V405&amp;""))="yes",1,0))</f>
        <v/>
      </c>
      <c r="M405">
        <f>IF('01_Master_Data'!B405="","",IF(LOWER(TRIM('01_Master_Data'!W405&amp;""))="yes",1,0))</f>
        <v/>
      </c>
      <c r="N405">
        <f>IF('01_Master_Data'!B405="","",IF(LOWER(TRIM('01_Master_Data'!X405&amp;""))="yes",1,0))</f>
        <v/>
      </c>
      <c r="O405">
        <f>IF('01_Master_Data'!B405="","",IF(LOWER(TRIM('01_Master_Data'!Y405&amp;""))="yes",1,0))</f>
        <v/>
      </c>
      <c r="P405">
        <f>IF('01_Master_Data'!B405="","",IF(LOWER(TRIM('01_Master_Data'!Z405&amp;""))="yes",1,0))</f>
        <v/>
      </c>
      <c r="Q405">
        <f>IF(A405="","",L405+M405+N405+O405+P405)</f>
        <v/>
      </c>
      <c r="R405">
        <f>IF(A405="","",IF(Q405&gt;1,"Yes","No"))</f>
        <v/>
      </c>
      <c r="S405">
        <f>IF(A405="","",TEXTJOIN(", ",TRUE,IF(L405=1,"ICICI",""),IF(M405=1,"Propelld",""),IF(N405=1,"Study4Buddy",""),IF(O405=1,"Poonawala Fincorp",""),IF(P405=1,"GyanDhan","")))</f>
        <v/>
      </c>
      <c r="T405">
        <f>IF(A405="","",IF(L405=1,"ICICI",IF(M405=1,"Propelld",IF(P405=1,"GyanDhan",IF(N405=1,"Study4Buddy",IF(O405=1,"Poonawala Fincorp",IF(ISNUMBER(SEARCH("GyanDhan",W405&amp;"")),"GyanDhan",IF(ISNUMBER(SEARCH("Icici",W405&amp;"")),"ICICI",IF(ISNUMBER(SEARCH("Propelld",W405&amp;"")),"Propelld",IF(ISNUMBER(SEARCH("vidyalakshmi",LOWER(W405&amp;"")),"PM Vidyalakshmi","—"))))))))))</f>
        <v/>
      </c>
      <c r="U405">
        <f>IF(A405="","",TRIM('01_Master_Data'!AA405&amp;""))</f>
        <v/>
      </c>
      <c r="V405">
        <f>IF(A405="","",TRIM('01_Master_Data'!AG405&amp;""))</f>
        <v/>
      </c>
      <c r="W405">
        <f>IF(A405="","",TRIM('01_Master_Data'!AH405&amp;""))</f>
        <v/>
      </c>
      <c r="X405">
        <f>IF(A405="","",IF(OR(LOWER(H405)="refund",LOWER(U405)="refund case"),"Refund",IF(OR(LOWER(H405)="dnp",LOWER(U405)="dnp"),"DNP",IF(OR(LOWER(V405)="disbursed",ISNUMBER(SEARCH("Disbursed",W405&amp;""))),"Disbursed",IF(OR(LOWER(V405)="loan proccessed/accepted",ISNUMBER(SEARCH("sanctioned",LOWER(W405&amp;"")))),"Sanctioned",IF(OR(LOWER(V405)="rejected",ISNUMBER(SEARCH("Not eligbile",W405&amp;"")),ISNUMBER(SEARCH("Not eligible",W405&amp;""))),"Rejected",IF(ISNUMBER(SEARCH("Docs Pending",W405&amp;"")),"Documents Pending",IF(AND(LOWER(H405)="yes",LOWER(V405)="ongoing"),"Processing",IF(AND(LOWER(H405)="yes",Q405&gt;0,OR(V405="",LOWER(V405)="not even started")),"Vendor Assigned",IF(AND(LOWER(H405)="yes",LOWER(V405)="not even started"),"Need Loan",IF(LOWER(H405)="yes","Loan Started",IF(LOWER(H405)="not sure","Interested",IF(OR(LOWER(H405)="no",LOWER(V405)="not required"),"Not Required","Unclassified")))))))))))))</f>
        <v/>
      </c>
      <c r="Y405">
        <f>IF(A405="","",IF(OR(X405="Sanctioned",X405="Disbursed",X405="Approved"),"Approved",IF(X405="Rejected","Rejected",IF(OR(X405="Processing",X405="Documents Pending",X405="Vendor Assigned"),"In Progress",IF(X405="Need Loan","Pending Start","—"))))</f>
        <v/>
      </c>
      <c r="Z405">
        <f>IF(A405="","",IF(X405="Disbursed","Disbursed",IF(X405="Sanctioned","Sanctioned - Awaiting Disbursement","Not Disbursed")))</f>
        <v/>
      </c>
      <c r="AA405">
        <f>IF(A405="","",IF(LOWER(TRIM('01_Master_Data'!AI405&amp;""))="yes","Need FLDG",IF(LOWER(TRIM('01_Master_Data'!AK405&amp;""))="yes","Need Vidyalakshmi",IF(LOWER(TRIM('01_Master_Data'!AJ405&amp;""))="yes","Need Review",IF(LOWER(J405)="critical","Critical",IF(LOWER(U405)="risk","Risk Case",IF(X405="Refund","Refund","Normal")))))))</f>
        <v/>
      </c>
      <c r="AB405">
        <f>IF(A405="","",IF(OR(LOWER(J405)="critical",LOWER(TRIM('01_Master_Data'!AI405&amp;""))="yes",LOWER(TRIM('01_Master_Data'!AK405&amp;""))="yes",LOWER(U405)="risk"),"Yes","No"))</f>
        <v/>
      </c>
      <c r="AC405">
        <f>IF(A405="","",IF(LOWER(TRIM('01_Master_Data'!AI405&amp;""))="yes","Yes","No"))</f>
        <v/>
      </c>
      <c r="AD405">
        <f>IF(A405="","",IF(LOWER(TRIM('01_Master_Data'!AK405&amp;""))="yes","Yes","No"))</f>
        <v/>
      </c>
      <c r="AE405">
        <f>IF(A405="","",IF(LOWER(TRIM('01_Master_Data'!AJ405&amp;""))="yes","Yes","No"))</f>
        <v/>
      </c>
      <c r="AF405">
        <f>IF(A405="","",TRIM('01_Master_Data'!AL405&amp;""))</f>
        <v/>
      </c>
      <c r="AG405">
        <f>IF(A405="","",IF(AF405="","—",IF(ISNUMBER(SEARCH("DNP",AF405)),"Unreachable / DNP",IF(ISNUMBER(SEARCH("interest",LOWER(AF405))),"High Interest / Terms",IF(OR(ISNUMBER(SEARCH("eligib",LOWER(AF405))),ISNUMBER(SEARCH("income",LOWER(AF405)))),"Eligibility / Income",IF(OR(ISNUMBER(SEARCH("start",LOWER(AF405))),ISNUMBER(SEARCH("Newer",AF405)),ISNUMBER(SEARCH("Will start",AF405))),"Process Yet to Start",IF(ISNUMBER(SEARCH("sure",LOWER(AF405))),"Undecided",IF(OR(ISNUMBER(SEARCH("reject",LOWER(AF405))),ISNUMBER(SEARCH("SBI",AF405))),"Rejected Elsewhere",IF(ISNUMBER(SEARCH("call",LOWER(AF405))),"Bank Communication",IF(OR(ISNUMBER(SEARCH("father",LOWER(AF405))),ISNUMBER(SEARCH("sister",LOWER(AF405)))),"Family / Dependency","Other"))))))))))</f>
        <v/>
      </c>
      <c r="AH405">
        <f>IF(A405="","",'01_Master_Data'!AC405)</f>
        <v/>
      </c>
      <c r="AI405">
        <f>IF(A405="","",IF(OR(AH405="",NOT(ISNUMBER(AH405))),"",MAX(0,'02_Configuration'!$B$82-AH405)))</f>
        <v/>
      </c>
      <c r="AJ405">
        <f>IF(A405="","",IF(AI405="","Unknown",IF(AI405&lt;=3,"0–3 Days",IF(AI405&lt;=7,"4–7 Days",IF(AI405&lt;=15,"8–15 Days",IF(AI405&lt;=30,"16–30 Days","30+ Days"))))))</f>
        <v/>
      </c>
      <c r="AK405">
        <f>IF(A405="","",IF(LOWER(H405)="yes","Yes","No"))</f>
        <v/>
      </c>
      <c r="AL405">
        <f>IF(A405="","",'01_Master_Data'!T405)</f>
        <v/>
      </c>
      <c r="AM405">
        <f>IF(A405="","",'01_Master_Data'!S405)</f>
        <v/>
      </c>
      <c r="AN405">
        <f>IF(A405="","",'01_Master_Data'!I405)</f>
        <v/>
      </c>
      <c r="AO405">
        <f>IF(A405="","",'01_Master_Data'!M405)</f>
        <v/>
      </c>
      <c r="AP405">
        <f>IF(A405="","",IF(ISNUMBER(SEARCH("Icici",W405&amp;"")),1,0))</f>
        <v/>
      </c>
      <c r="AQ405">
        <f>IF(A405="","",IF(ISNUMBER(SEARCH("Propelld",W405&amp;"")),1,0))</f>
        <v/>
      </c>
      <c r="AR405">
        <f>IF(A405="","",IF(ISNUMBER(SEARCH("GyanDhan",W405&amp;"")),1,0))</f>
        <v/>
      </c>
      <c r="AS405">
        <f>IF(A405="","",IF(ISNUMBER(SEARCH("vidyalakshmi",LOWER(W405&amp;""))),1,0))</f>
        <v/>
      </c>
      <c r="AT405">
        <f>IF(A405="","",IF(ISNUMBER(SEARCH("other bank",LOWER(W405&amp;""))),1,0))</f>
        <v/>
      </c>
      <c r="AU405">
        <f>IF(A405="","",IF(ISNUMBER(SEARCH("sanctioned",LOWER(W405&amp;""))),1,0))</f>
        <v/>
      </c>
      <c r="AV405">
        <f>IF(A405="","",IF(ISNUMBER(SEARCH("Docs Pending",W405&amp;"")),1,0))</f>
        <v/>
      </c>
      <c r="AW405">
        <f>IF(A405="","",IF(OR(X405="Rejected",ISNUMBER(SEARCH("Not eligbile",W405&amp;""))),1,0))</f>
        <v/>
      </c>
    </row>
    <row r="406">
      <c r="A406">
        <f>IF('01_Master_Data'!B406="","",405)</f>
        <v/>
      </c>
      <c r="B406">
        <f>IF('01_Master_Data'!B406="","",IF('01_Master_Data'!C406&lt;&gt;"","MOB|"&amp;TEXT('01_Master_Data'!C406,"0"),IF('01_Master_Data'!D406&lt;&gt;"","PID|"&amp;TRIM('01_Master_Data'!D406&amp;""),"")))</f>
        <v/>
      </c>
      <c r="C406">
        <f>IF('01_Master_Data'!B406="","",'01_Master_Data'!B406)</f>
        <v/>
      </c>
      <c r="D406">
        <f>IF('01_Master_Data'!B406="","",'01_Master_Data'!C406)</f>
        <v/>
      </c>
      <c r="E406">
        <f>IF('01_Master_Data'!B406="","",'01_Master_Data'!D406)</f>
        <v/>
      </c>
      <c r="F406">
        <f>IF('01_Master_Data'!B406="","",'01_Master_Data'!E406)</f>
        <v/>
      </c>
      <c r="G406">
        <f>IF('01_Master_Data'!B406="","",IFERROR(VLOOKUP(TRIM('01_Master_Data'!E406&amp;""),'02_Configuration'!$A$40:$B$44,2,FALSE),UPPER(TRIM('01_Master_Data'!E406&amp;""))))</f>
        <v/>
      </c>
      <c r="H406">
        <f>IF('01_Master_Data'!B406="","",IF('01_Master_Data'!U406="","",TRIM('01_Master_Data'!U406&amp;"")))</f>
        <v/>
      </c>
      <c r="I406">
        <f>IF('01_Master_Data'!B406="","",TRIM('01_Master_Data'!F406&amp;""))</f>
        <v/>
      </c>
      <c r="J406">
        <f>IF('01_Master_Data'!B406="","",TRIM('01_Master_Data'!G406&amp;""))</f>
        <v/>
      </c>
      <c r="K406">
        <f>IF('01_Master_Data'!B406="","",'01_Master_Data'!H406)</f>
        <v/>
      </c>
      <c r="L406">
        <f>IF('01_Master_Data'!B406="","",IF(LOWER(TRIM('01_Master_Data'!V406&amp;""))="yes",1,0))</f>
        <v/>
      </c>
      <c r="M406">
        <f>IF('01_Master_Data'!B406="","",IF(LOWER(TRIM('01_Master_Data'!W406&amp;""))="yes",1,0))</f>
        <v/>
      </c>
      <c r="N406">
        <f>IF('01_Master_Data'!B406="","",IF(LOWER(TRIM('01_Master_Data'!X406&amp;""))="yes",1,0))</f>
        <v/>
      </c>
      <c r="O406">
        <f>IF('01_Master_Data'!B406="","",IF(LOWER(TRIM('01_Master_Data'!Y406&amp;""))="yes",1,0))</f>
        <v/>
      </c>
      <c r="P406">
        <f>IF('01_Master_Data'!B406="","",IF(LOWER(TRIM('01_Master_Data'!Z406&amp;""))="yes",1,0))</f>
        <v/>
      </c>
      <c r="Q406">
        <f>IF(A406="","",L406+M406+N406+O406+P406)</f>
        <v/>
      </c>
      <c r="R406">
        <f>IF(A406="","",IF(Q406&gt;1,"Yes","No"))</f>
        <v/>
      </c>
      <c r="S406">
        <f>IF(A406="","",TEXTJOIN(", ",TRUE,IF(L406=1,"ICICI",""),IF(M406=1,"Propelld",""),IF(N406=1,"Study4Buddy",""),IF(O406=1,"Poonawala Fincorp",""),IF(P406=1,"GyanDhan","")))</f>
        <v/>
      </c>
      <c r="T406">
        <f>IF(A406="","",IF(L406=1,"ICICI",IF(M406=1,"Propelld",IF(P406=1,"GyanDhan",IF(N406=1,"Study4Buddy",IF(O406=1,"Poonawala Fincorp",IF(ISNUMBER(SEARCH("GyanDhan",W406&amp;"")),"GyanDhan",IF(ISNUMBER(SEARCH("Icici",W406&amp;"")),"ICICI",IF(ISNUMBER(SEARCH("Propelld",W406&amp;"")),"Propelld",IF(ISNUMBER(SEARCH("vidyalakshmi",LOWER(W406&amp;"")),"PM Vidyalakshmi","—"))))))))))</f>
        <v/>
      </c>
      <c r="U406">
        <f>IF(A406="","",TRIM('01_Master_Data'!AA406&amp;""))</f>
        <v/>
      </c>
      <c r="V406">
        <f>IF(A406="","",TRIM('01_Master_Data'!AG406&amp;""))</f>
        <v/>
      </c>
      <c r="W406">
        <f>IF(A406="","",TRIM('01_Master_Data'!AH406&amp;""))</f>
        <v/>
      </c>
      <c r="X406">
        <f>IF(A406="","",IF(OR(LOWER(H406)="refund",LOWER(U406)="refund case"),"Refund",IF(OR(LOWER(H406)="dnp",LOWER(U406)="dnp"),"DNP",IF(OR(LOWER(V406)="disbursed",ISNUMBER(SEARCH("Disbursed",W406&amp;""))),"Disbursed",IF(OR(LOWER(V406)="loan proccessed/accepted",ISNUMBER(SEARCH("sanctioned",LOWER(W406&amp;"")))),"Sanctioned",IF(OR(LOWER(V406)="rejected",ISNUMBER(SEARCH("Not eligbile",W406&amp;"")),ISNUMBER(SEARCH("Not eligible",W406&amp;""))),"Rejected",IF(ISNUMBER(SEARCH("Docs Pending",W406&amp;"")),"Documents Pending",IF(AND(LOWER(H406)="yes",LOWER(V406)="ongoing"),"Processing",IF(AND(LOWER(H406)="yes",Q406&gt;0,OR(V406="",LOWER(V406)="not even started")),"Vendor Assigned",IF(AND(LOWER(H406)="yes",LOWER(V406)="not even started"),"Need Loan",IF(LOWER(H406)="yes","Loan Started",IF(LOWER(H406)="not sure","Interested",IF(OR(LOWER(H406)="no",LOWER(V406)="not required"),"Not Required","Unclassified")))))))))))))</f>
        <v/>
      </c>
      <c r="Y406">
        <f>IF(A406="","",IF(OR(X406="Sanctioned",X406="Disbursed",X406="Approved"),"Approved",IF(X406="Rejected","Rejected",IF(OR(X406="Processing",X406="Documents Pending",X406="Vendor Assigned"),"In Progress",IF(X406="Need Loan","Pending Start","—"))))</f>
        <v/>
      </c>
      <c r="Z406">
        <f>IF(A406="","",IF(X406="Disbursed","Disbursed",IF(X406="Sanctioned","Sanctioned - Awaiting Disbursement","Not Disbursed")))</f>
        <v/>
      </c>
      <c r="AA406">
        <f>IF(A406="","",IF(LOWER(TRIM('01_Master_Data'!AI406&amp;""))="yes","Need FLDG",IF(LOWER(TRIM('01_Master_Data'!AK406&amp;""))="yes","Need Vidyalakshmi",IF(LOWER(TRIM('01_Master_Data'!AJ406&amp;""))="yes","Need Review",IF(LOWER(J406)="critical","Critical",IF(LOWER(U406)="risk","Risk Case",IF(X406="Refund","Refund","Normal")))))))</f>
        <v/>
      </c>
      <c r="AB406">
        <f>IF(A406="","",IF(OR(LOWER(J406)="critical",LOWER(TRIM('01_Master_Data'!AI406&amp;""))="yes",LOWER(TRIM('01_Master_Data'!AK406&amp;""))="yes",LOWER(U406)="risk"),"Yes","No"))</f>
        <v/>
      </c>
      <c r="AC406">
        <f>IF(A406="","",IF(LOWER(TRIM('01_Master_Data'!AI406&amp;""))="yes","Yes","No"))</f>
        <v/>
      </c>
      <c r="AD406">
        <f>IF(A406="","",IF(LOWER(TRIM('01_Master_Data'!AK406&amp;""))="yes","Yes","No"))</f>
        <v/>
      </c>
      <c r="AE406">
        <f>IF(A406="","",IF(LOWER(TRIM('01_Master_Data'!AJ406&amp;""))="yes","Yes","No"))</f>
        <v/>
      </c>
      <c r="AF406">
        <f>IF(A406="","",TRIM('01_Master_Data'!AL406&amp;""))</f>
        <v/>
      </c>
      <c r="AG406">
        <f>IF(A406="","",IF(AF406="","—",IF(ISNUMBER(SEARCH("DNP",AF406)),"Unreachable / DNP",IF(ISNUMBER(SEARCH("interest",LOWER(AF406))),"High Interest / Terms",IF(OR(ISNUMBER(SEARCH("eligib",LOWER(AF406))),ISNUMBER(SEARCH("income",LOWER(AF406)))),"Eligibility / Income",IF(OR(ISNUMBER(SEARCH("start",LOWER(AF406))),ISNUMBER(SEARCH("Newer",AF406)),ISNUMBER(SEARCH("Will start",AF406))),"Process Yet to Start",IF(ISNUMBER(SEARCH("sure",LOWER(AF406))),"Undecided",IF(OR(ISNUMBER(SEARCH("reject",LOWER(AF406))),ISNUMBER(SEARCH("SBI",AF406))),"Rejected Elsewhere",IF(ISNUMBER(SEARCH("call",LOWER(AF406))),"Bank Communication",IF(OR(ISNUMBER(SEARCH("father",LOWER(AF406))),ISNUMBER(SEARCH("sister",LOWER(AF406)))),"Family / Dependency","Other"))))))))))</f>
        <v/>
      </c>
      <c r="AH406">
        <f>IF(A406="","",'01_Master_Data'!AC406)</f>
        <v/>
      </c>
      <c r="AI406">
        <f>IF(A406="","",IF(OR(AH406="",NOT(ISNUMBER(AH406))),"",MAX(0,'02_Configuration'!$B$82-AH406)))</f>
        <v/>
      </c>
      <c r="AJ406">
        <f>IF(A406="","",IF(AI406="","Unknown",IF(AI406&lt;=3,"0–3 Days",IF(AI406&lt;=7,"4–7 Days",IF(AI406&lt;=15,"8–15 Days",IF(AI406&lt;=30,"16–30 Days","30+ Days"))))))</f>
        <v/>
      </c>
      <c r="AK406">
        <f>IF(A406="","",IF(LOWER(H406)="yes","Yes","No"))</f>
        <v/>
      </c>
      <c r="AL406">
        <f>IF(A406="","",'01_Master_Data'!T406)</f>
        <v/>
      </c>
      <c r="AM406">
        <f>IF(A406="","",'01_Master_Data'!S406)</f>
        <v/>
      </c>
      <c r="AN406">
        <f>IF(A406="","",'01_Master_Data'!I406)</f>
        <v/>
      </c>
      <c r="AO406">
        <f>IF(A406="","",'01_Master_Data'!M406)</f>
        <v/>
      </c>
      <c r="AP406">
        <f>IF(A406="","",IF(ISNUMBER(SEARCH("Icici",W406&amp;"")),1,0))</f>
        <v/>
      </c>
      <c r="AQ406">
        <f>IF(A406="","",IF(ISNUMBER(SEARCH("Propelld",W406&amp;"")),1,0))</f>
        <v/>
      </c>
      <c r="AR406">
        <f>IF(A406="","",IF(ISNUMBER(SEARCH("GyanDhan",W406&amp;"")),1,0))</f>
        <v/>
      </c>
      <c r="AS406">
        <f>IF(A406="","",IF(ISNUMBER(SEARCH("vidyalakshmi",LOWER(W406&amp;""))),1,0))</f>
        <v/>
      </c>
      <c r="AT406">
        <f>IF(A406="","",IF(ISNUMBER(SEARCH("other bank",LOWER(W406&amp;""))),1,0))</f>
        <v/>
      </c>
      <c r="AU406">
        <f>IF(A406="","",IF(ISNUMBER(SEARCH("sanctioned",LOWER(W406&amp;""))),1,0))</f>
        <v/>
      </c>
      <c r="AV406">
        <f>IF(A406="","",IF(ISNUMBER(SEARCH("Docs Pending",W406&amp;"")),1,0))</f>
        <v/>
      </c>
      <c r="AW406">
        <f>IF(A406="","",IF(OR(X406="Rejected",ISNUMBER(SEARCH("Not eligbile",W406&amp;""))),1,0))</f>
        <v/>
      </c>
    </row>
    <row r="407">
      <c r="A407">
        <f>IF('01_Master_Data'!B407="","",406)</f>
        <v/>
      </c>
      <c r="B407">
        <f>IF('01_Master_Data'!B407="","",IF('01_Master_Data'!C407&lt;&gt;"","MOB|"&amp;TEXT('01_Master_Data'!C407,"0"),IF('01_Master_Data'!D407&lt;&gt;"","PID|"&amp;TRIM('01_Master_Data'!D407&amp;""),"")))</f>
        <v/>
      </c>
      <c r="C407">
        <f>IF('01_Master_Data'!B407="","",'01_Master_Data'!B407)</f>
        <v/>
      </c>
      <c r="D407">
        <f>IF('01_Master_Data'!B407="","",'01_Master_Data'!C407)</f>
        <v/>
      </c>
      <c r="E407">
        <f>IF('01_Master_Data'!B407="","",'01_Master_Data'!D407)</f>
        <v/>
      </c>
      <c r="F407">
        <f>IF('01_Master_Data'!B407="","",'01_Master_Data'!E407)</f>
        <v/>
      </c>
      <c r="G407">
        <f>IF('01_Master_Data'!B407="","",IFERROR(VLOOKUP(TRIM('01_Master_Data'!E407&amp;""),'02_Configuration'!$A$40:$B$44,2,FALSE),UPPER(TRIM('01_Master_Data'!E407&amp;""))))</f>
        <v/>
      </c>
      <c r="H407">
        <f>IF('01_Master_Data'!B407="","",IF('01_Master_Data'!U407="","",TRIM('01_Master_Data'!U407&amp;"")))</f>
        <v/>
      </c>
      <c r="I407">
        <f>IF('01_Master_Data'!B407="","",TRIM('01_Master_Data'!F407&amp;""))</f>
        <v/>
      </c>
      <c r="J407">
        <f>IF('01_Master_Data'!B407="","",TRIM('01_Master_Data'!G407&amp;""))</f>
        <v/>
      </c>
      <c r="K407">
        <f>IF('01_Master_Data'!B407="","",'01_Master_Data'!H407)</f>
        <v/>
      </c>
      <c r="L407">
        <f>IF('01_Master_Data'!B407="","",IF(LOWER(TRIM('01_Master_Data'!V407&amp;""))="yes",1,0))</f>
        <v/>
      </c>
      <c r="M407">
        <f>IF('01_Master_Data'!B407="","",IF(LOWER(TRIM('01_Master_Data'!W407&amp;""))="yes",1,0))</f>
        <v/>
      </c>
      <c r="N407">
        <f>IF('01_Master_Data'!B407="","",IF(LOWER(TRIM('01_Master_Data'!X407&amp;""))="yes",1,0))</f>
        <v/>
      </c>
      <c r="O407">
        <f>IF('01_Master_Data'!B407="","",IF(LOWER(TRIM('01_Master_Data'!Y407&amp;""))="yes",1,0))</f>
        <v/>
      </c>
      <c r="P407">
        <f>IF('01_Master_Data'!B407="","",IF(LOWER(TRIM('01_Master_Data'!Z407&amp;""))="yes",1,0))</f>
        <v/>
      </c>
      <c r="Q407">
        <f>IF(A407="","",L407+M407+N407+O407+P407)</f>
        <v/>
      </c>
      <c r="R407">
        <f>IF(A407="","",IF(Q407&gt;1,"Yes","No"))</f>
        <v/>
      </c>
      <c r="S407">
        <f>IF(A407="","",TEXTJOIN(", ",TRUE,IF(L407=1,"ICICI",""),IF(M407=1,"Propelld",""),IF(N407=1,"Study4Buddy",""),IF(O407=1,"Poonawala Fincorp",""),IF(P407=1,"GyanDhan","")))</f>
        <v/>
      </c>
      <c r="T407">
        <f>IF(A407="","",IF(L407=1,"ICICI",IF(M407=1,"Propelld",IF(P407=1,"GyanDhan",IF(N407=1,"Study4Buddy",IF(O407=1,"Poonawala Fincorp",IF(ISNUMBER(SEARCH("GyanDhan",W407&amp;"")),"GyanDhan",IF(ISNUMBER(SEARCH("Icici",W407&amp;"")),"ICICI",IF(ISNUMBER(SEARCH("Propelld",W407&amp;"")),"Propelld",IF(ISNUMBER(SEARCH("vidyalakshmi",LOWER(W407&amp;"")),"PM Vidyalakshmi","—"))))))))))</f>
        <v/>
      </c>
      <c r="U407">
        <f>IF(A407="","",TRIM('01_Master_Data'!AA407&amp;""))</f>
        <v/>
      </c>
      <c r="V407">
        <f>IF(A407="","",TRIM('01_Master_Data'!AG407&amp;""))</f>
        <v/>
      </c>
      <c r="W407">
        <f>IF(A407="","",TRIM('01_Master_Data'!AH407&amp;""))</f>
        <v/>
      </c>
      <c r="X407">
        <f>IF(A407="","",IF(OR(LOWER(H407)="refund",LOWER(U407)="refund case"),"Refund",IF(OR(LOWER(H407)="dnp",LOWER(U407)="dnp"),"DNP",IF(OR(LOWER(V407)="disbursed",ISNUMBER(SEARCH("Disbursed",W407&amp;""))),"Disbursed",IF(OR(LOWER(V407)="loan proccessed/accepted",ISNUMBER(SEARCH("sanctioned",LOWER(W407&amp;"")))),"Sanctioned",IF(OR(LOWER(V407)="rejected",ISNUMBER(SEARCH("Not eligbile",W407&amp;"")),ISNUMBER(SEARCH("Not eligible",W407&amp;""))),"Rejected",IF(ISNUMBER(SEARCH("Docs Pending",W407&amp;"")),"Documents Pending",IF(AND(LOWER(H407)="yes",LOWER(V407)="ongoing"),"Processing",IF(AND(LOWER(H407)="yes",Q407&gt;0,OR(V407="",LOWER(V407)="not even started")),"Vendor Assigned",IF(AND(LOWER(H407)="yes",LOWER(V407)="not even started"),"Need Loan",IF(LOWER(H407)="yes","Loan Started",IF(LOWER(H407)="not sure","Interested",IF(OR(LOWER(H407)="no",LOWER(V407)="not required"),"Not Required","Unclassified")))))))))))))</f>
        <v/>
      </c>
      <c r="Y407">
        <f>IF(A407="","",IF(OR(X407="Sanctioned",X407="Disbursed",X407="Approved"),"Approved",IF(X407="Rejected","Rejected",IF(OR(X407="Processing",X407="Documents Pending",X407="Vendor Assigned"),"In Progress",IF(X407="Need Loan","Pending Start","—"))))</f>
        <v/>
      </c>
      <c r="Z407">
        <f>IF(A407="","",IF(X407="Disbursed","Disbursed",IF(X407="Sanctioned","Sanctioned - Awaiting Disbursement","Not Disbursed")))</f>
        <v/>
      </c>
      <c r="AA407">
        <f>IF(A407="","",IF(LOWER(TRIM('01_Master_Data'!AI407&amp;""))="yes","Need FLDG",IF(LOWER(TRIM('01_Master_Data'!AK407&amp;""))="yes","Need Vidyalakshmi",IF(LOWER(TRIM('01_Master_Data'!AJ407&amp;""))="yes","Need Review",IF(LOWER(J407)="critical","Critical",IF(LOWER(U407)="risk","Risk Case",IF(X407="Refund","Refund","Normal")))))))</f>
        <v/>
      </c>
      <c r="AB407">
        <f>IF(A407="","",IF(OR(LOWER(J407)="critical",LOWER(TRIM('01_Master_Data'!AI407&amp;""))="yes",LOWER(TRIM('01_Master_Data'!AK407&amp;""))="yes",LOWER(U407)="risk"),"Yes","No"))</f>
        <v/>
      </c>
      <c r="AC407">
        <f>IF(A407="","",IF(LOWER(TRIM('01_Master_Data'!AI407&amp;""))="yes","Yes","No"))</f>
        <v/>
      </c>
      <c r="AD407">
        <f>IF(A407="","",IF(LOWER(TRIM('01_Master_Data'!AK407&amp;""))="yes","Yes","No"))</f>
        <v/>
      </c>
      <c r="AE407">
        <f>IF(A407="","",IF(LOWER(TRIM('01_Master_Data'!AJ407&amp;""))="yes","Yes","No"))</f>
        <v/>
      </c>
      <c r="AF407">
        <f>IF(A407="","",TRIM('01_Master_Data'!AL407&amp;""))</f>
        <v/>
      </c>
      <c r="AG407">
        <f>IF(A407="","",IF(AF407="","—",IF(ISNUMBER(SEARCH("DNP",AF407)),"Unreachable / DNP",IF(ISNUMBER(SEARCH("interest",LOWER(AF407))),"High Interest / Terms",IF(OR(ISNUMBER(SEARCH("eligib",LOWER(AF407))),ISNUMBER(SEARCH("income",LOWER(AF407)))),"Eligibility / Income",IF(OR(ISNUMBER(SEARCH("start",LOWER(AF407))),ISNUMBER(SEARCH("Newer",AF407)),ISNUMBER(SEARCH("Will start",AF407))),"Process Yet to Start",IF(ISNUMBER(SEARCH("sure",LOWER(AF407))),"Undecided",IF(OR(ISNUMBER(SEARCH("reject",LOWER(AF407))),ISNUMBER(SEARCH("SBI",AF407))),"Rejected Elsewhere",IF(ISNUMBER(SEARCH("call",LOWER(AF407))),"Bank Communication",IF(OR(ISNUMBER(SEARCH("father",LOWER(AF407))),ISNUMBER(SEARCH("sister",LOWER(AF407)))),"Family / Dependency","Other"))))))))))</f>
        <v/>
      </c>
      <c r="AH407">
        <f>IF(A407="","",'01_Master_Data'!AC407)</f>
        <v/>
      </c>
      <c r="AI407">
        <f>IF(A407="","",IF(OR(AH407="",NOT(ISNUMBER(AH407))),"",MAX(0,'02_Configuration'!$B$82-AH407)))</f>
        <v/>
      </c>
      <c r="AJ407">
        <f>IF(A407="","",IF(AI407="","Unknown",IF(AI407&lt;=3,"0–3 Days",IF(AI407&lt;=7,"4–7 Days",IF(AI407&lt;=15,"8–15 Days",IF(AI407&lt;=30,"16–30 Days","30+ Days"))))))</f>
        <v/>
      </c>
      <c r="AK407">
        <f>IF(A407="","",IF(LOWER(H407)="yes","Yes","No"))</f>
        <v/>
      </c>
      <c r="AL407">
        <f>IF(A407="","",'01_Master_Data'!T407)</f>
        <v/>
      </c>
      <c r="AM407">
        <f>IF(A407="","",'01_Master_Data'!S407)</f>
        <v/>
      </c>
      <c r="AN407">
        <f>IF(A407="","",'01_Master_Data'!I407)</f>
        <v/>
      </c>
      <c r="AO407">
        <f>IF(A407="","",'01_Master_Data'!M407)</f>
        <v/>
      </c>
      <c r="AP407">
        <f>IF(A407="","",IF(ISNUMBER(SEARCH("Icici",W407&amp;"")),1,0))</f>
        <v/>
      </c>
      <c r="AQ407">
        <f>IF(A407="","",IF(ISNUMBER(SEARCH("Propelld",W407&amp;"")),1,0))</f>
        <v/>
      </c>
      <c r="AR407">
        <f>IF(A407="","",IF(ISNUMBER(SEARCH("GyanDhan",W407&amp;"")),1,0))</f>
        <v/>
      </c>
      <c r="AS407">
        <f>IF(A407="","",IF(ISNUMBER(SEARCH("vidyalakshmi",LOWER(W407&amp;""))),1,0))</f>
        <v/>
      </c>
      <c r="AT407">
        <f>IF(A407="","",IF(ISNUMBER(SEARCH("other bank",LOWER(W407&amp;""))),1,0))</f>
        <v/>
      </c>
      <c r="AU407">
        <f>IF(A407="","",IF(ISNUMBER(SEARCH("sanctioned",LOWER(W407&amp;""))),1,0))</f>
        <v/>
      </c>
      <c r="AV407">
        <f>IF(A407="","",IF(ISNUMBER(SEARCH("Docs Pending",W407&amp;"")),1,0))</f>
        <v/>
      </c>
      <c r="AW407">
        <f>IF(A407="","",IF(OR(X407="Rejected",ISNUMBER(SEARCH("Not eligbile",W407&amp;""))),1,0))</f>
        <v/>
      </c>
    </row>
    <row r="408">
      <c r="A408">
        <f>IF('01_Master_Data'!B408="","",407)</f>
        <v/>
      </c>
      <c r="B408">
        <f>IF('01_Master_Data'!B408="","",IF('01_Master_Data'!C408&lt;&gt;"","MOB|"&amp;TEXT('01_Master_Data'!C408,"0"),IF('01_Master_Data'!D408&lt;&gt;"","PID|"&amp;TRIM('01_Master_Data'!D408&amp;""),"")))</f>
        <v/>
      </c>
      <c r="C408">
        <f>IF('01_Master_Data'!B408="","",'01_Master_Data'!B408)</f>
        <v/>
      </c>
      <c r="D408">
        <f>IF('01_Master_Data'!B408="","",'01_Master_Data'!C408)</f>
        <v/>
      </c>
      <c r="E408">
        <f>IF('01_Master_Data'!B408="","",'01_Master_Data'!D408)</f>
        <v/>
      </c>
      <c r="F408">
        <f>IF('01_Master_Data'!B408="","",'01_Master_Data'!E408)</f>
        <v/>
      </c>
      <c r="G408">
        <f>IF('01_Master_Data'!B408="","",IFERROR(VLOOKUP(TRIM('01_Master_Data'!E408&amp;""),'02_Configuration'!$A$40:$B$44,2,FALSE),UPPER(TRIM('01_Master_Data'!E408&amp;""))))</f>
        <v/>
      </c>
      <c r="H408">
        <f>IF('01_Master_Data'!B408="","",IF('01_Master_Data'!U408="","",TRIM('01_Master_Data'!U408&amp;"")))</f>
        <v/>
      </c>
      <c r="I408">
        <f>IF('01_Master_Data'!B408="","",TRIM('01_Master_Data'!F408&amp;""))</f>
        <v/>
      </c>
      <c r="J408">
        <f>IF('01_Master_Data'!B408="","",TRIM('01_Master_Data'!G408&amp;""))</f>
        <v/>
      </c>
      <c r="K408">
        <f>IF('01_Master_Data'!B408="","",'01_Master_Data'!H408)</f>
        <v/>
      </c>
      <c r="L408">
        <f>IF('01_Master_Data'!B408="","",IF(LOWER(TRIM('01_Master_Data'!V408&amp;""))="yes",1,0))</f>
        <v/>
      </c>
      <c r="M408">
        <f>IF('01_Master_Data'!B408="","",IF(LOWER(TRIM('01_Master_Data'!W408&amp;""))="yes",1,0))</f>
        <v/>
      </c>
      <c r="N408">
        <f>IF('01_Master_Data'!B408="","",IF(LOWER(TRIM('01_Master_Data'!X408&amp;""))="yes",1,0))</f>
        <v/>
      </c>
      <c r="O408">
        <f>IF('01_Master_Data'!B408="","",IF(LOWER(TRIM('01_Master_Data'!Y408&amp;""))="yes",1,0))</f>
        <v/>
      </c>
      <c r="P408">
        <f>IF('01_Master_Data'!B408="","",IF(LOWER(TRIM('01_Master_Data'!Z408&amp;""))="yes",1,0))</f>
        <v/>
      </c>
      <c r="Q408">
        <f>IF(A408="","",L408+M408+N408+O408+P408)</f>
        <v/>
      </c>
      <c r="R408">
        <f>IF(A408="","",IF(Q408&gt;1,"Yes","No"))</f>
        <v/>
      </c>
      <c r="S408">
        <f>IF(A408="","",TEXTJOIN(", ",TRUE,IF(L408=1,"ICICI",""),IF(M408=1,"Propelld",""),IF(N408=1,"Study4Buddy",""),IF(O408=1,"Poonawala Fincorp",""),IF(P408=1,"GyanDhan","")))</f>
        <v/>
      </c>
      <c r="T408">
        <f>IF(A408="","",IF(L408=1,"ICICI",IF(M408=1,"Propelld",IF(P408=1,"GyanDhan",IF(N408=1,"Study4Buddy",IF(O408=1,"Poonawala Fincorp",IF(ISNUMBER(SEARCH("GyanDhan",W408&amp;"")),"GyanDhan",IF(ISNUMBER(SEARCH("Icici",W408&amp;"")),"ICICI",IF(ISNUMBER(SEARCH("Propelld",W408&amp;"")),"Propelld",IF(ISNUMBER(SEARCH("vidyalakshmi",LOWER(W408&amp;"")),"PM Vidyalakshmi","—"))))))))))</f>
        <v/>
      </c>
      <c r="U408">
        <f>IF(A408="","",TRIM('01_Master_Data'!AA408&amp;""))</f>
        <v/>
      </c>
      <c r="V408">
        <f>IF(A408="","",TRIM('01_Master_Data'!AG408&amp;""))</f>
        <v/>
      </c>
      <c r="W408">
        <f>IF(A408="","",TRIM('01_Master_Data'!AH408&amp;""))</f>
        <v/>
      </c>
      <c r="X408">
        <f>IF(A408="","",IF(OR(LOWER(H408)="refund",LOWER(U408)="refund case"),"Refund",IF(OR(LOWER(H408)="dnp",LOWER(U408)="dnp"),"DNP",IF(OR(LOWER(V408)="disbursed",ISNUMBER(SEARCH("Disbursed",W408&amp;""))),"Disbursed",IF(OR(LOWER(V408)="loan proccessed/accepted",ISNUMBER(SEARCH("sanctioned",LOWER(W408&amp;"")))),"Sanctioned",IF(OR(LOWER(V408)="rejected",ISNUMBER(SEARCH("Not eligbile",W408&amp;"")),ISNUMBER(SEARCH("Not eligible",W408&amp;""))),"Rejected",IF(ISNUMBER(SEARCH("Docs Pending",W408&amp;"")),"Documents Pending",IF(AND(LOWER(H408)="yes",LOWER(V408)="ongoing"),"Processing",IF(AND(LOWER(H408)="yes",Q408&gt;0,OR(V408="",LOWER(V408)="not even started")),"Vendor Assigned",IF(AND(LOWER(H408)="yes",LOWER(V408)="not even started"),"Need Loan",IF(LOWER(H408)="yes","Loan Started",IF(LOWER(H408)="not sure","Interested",IF(OR(LOWER(H408)="no",LOWER(V408)="not required"),"Not Required","Unclassified")))))))))))))</f>
        <v/>
      </c>
      <c r="Y408">
        <f>IF(A408="","",IF(OR(X408="Sanctioned",X408="Disbursed",X408="Approved"),"Approved",IF(X408="Rejected","Rejected",IF(OR(X408="Processing",X408="Documents Pending",X408="Vendor Assigned"),"In Progress",IF(X408="Need Loan","Pending Start","—"))))</f>
        <v/>
      </c>
      <c r="Z408">
        <f>IF(A408="","",IF(X408="Disbursed","Disbursed",IF(X408="Sanctioned","Sanctioned - Awaiting Disbursement","Not Disbursed")))</f>
        <v/>
      </c>
      <c r="AA408">
        <f>IF(A408="","",IF(LOWER(TRIM('01_Master_Data'!AI408&amp;""))="yes","Need FLDG",IF(LOWER(TRIM('01_Master_Data'!AK408&amp;""))="yes","Need Vidyalakshmi",IF(LOWER(TRIM('01_Master_Data'!AJ408&amp;""))="yes","Need Review",IF(LOWER(J408)="critical","Critical",IF(LOWER(U408)="risk","Risk Case",IF(X408="Refund","Refund","Normal")))))))</f>
        <v/>
      </c>
      <c r="AB408">
        <f>IF(A408="","",IF(OR(LOWER(J408)="critical",LOWER(TRIM('01_Master_Data'!AI408&amp;""))="yes",LOWER(TRIM('01_Master_Data'!AK408&amp;""))="yes",LOWER(U408)="risk"),"Yes","No"))</f>
        <v/>
      </c>
      <c r="AC408">
        <f>IF(A408="","",IF(LOWER(TRIM('01_Master_Data'!AI408&amp;""))="yes","Yes","No"))</f>
        <v/>
      </c>
      <c r="AD408">
        <f>IF(A408="","",IF(LOWER(TRIM('01_Master_Data'!AK408&amp;""))="yes","Yes","No"))</f>
        <v/>
      </c>
      <c r="AE408">
        <f>IF(A408="","",IF(LOWER(TRIM('01_Master_Data'!AJ408&amp;""))="yes","Yes","No"))</f>
        <v/>
      </c>
      <c r="AF408">
        <f>IF(A408="","",TRIM('01_Master_Data'!AL408&amp;""))</f>
        <v/>
      </c>
      <c r="AG408">
        <f>IF(A408="","",IF(AF408="","—",IF(ISNUMBER(SEARCH("DNP",AF408)),"Unreachable / DNP",IF(ISNUMBER(SEARCH("interest",LOWER(AF408))),"High Interest / Terms",IF(OR(ISNUMBER(SEARCH("eligib",LOWER(AF408))),ISNUMBER(SEARCH("income",LOWER(AF408)))),"Eligibility / Income",IF(OR(ISNUMBER(SEARCH("start",LOWER(AF408))),ISNUMBER(SEARCH("Newer",AF408)),ISNUMBER(SEARCH("Will start",AF408))),"Process Yet to Start",IF(ISNUMBER(SEARCH("sure",LOWER(AF408))),"Undecided",IF(OR(ISNUMBER(SEARCH("reject",LOWER(AF408))),ISNUMBER(SEARCH("SBI",AF408))),"Rejected Elsewhere",IF(ISNUMBER(SEARCH("call",LOWER(AF408))),"Bank Communication",IF(OR(ISNUMBER(SEARCH("father",LOWER(AF408))),ISNUMBER(SEARCH("sister",LOWER(AF408)))),"Family / Dependency","Other"))))))))))</f>
        <v/>
      </c>
      <c r="AH408">
        <f>IF(A408="","",'01_Master_Data'!AC408)</f>
        <v/>
      </c>
      <c r="AI408">
        <f>IF(A408="","",IF(OR(AH408="",NOT(ISNUMBER(AH408))),"",MAX(0,'02_Configuration'!$B$82-AH408)))</f>
        <v/>
      </c>
      <c r="AJ408">
        <f>IF(A408="","",IF(AI408="","Unknown",IF(AI408&lt;=3,"0–3 Days",IF(AI408&lt;=7,"4–7 Days",IF(AI408&lt;=15,"8–15 Days",IF(AI408&lt;=30,"16–30 Days","30+ Days"))))))</f>
        <v/>
      </c>
      <c r="AK408">
        <f>IF(A408="","",IF(LOWER(H408)="yes","Yes","No"))</f>
        <v/>
      </c>
      <c r="AL408">
        <f>IF(A408="","",'01_Master_Data'!T408)</f>
        <v/>
      </c>
      <c r="AM408">
        <f>IF(A408="","",'01_Master_Data'!S408)</f>
        <v/>
      </c>
      <c r="AN408">
        <f>IF(A408="","",'01_Master_Data'!I408)</f>
        <v/>
      </c>
      <c r="AO408">
        <f>IF(A408="","",'01_Master_Data'!M408)</f>
        <v/>
      </c>
      <c r="AP408">
        <f>IF(A408="","",IF(ISNUMBER(SEARCH("Icici",W408&amp;"")),1,0))</f>
        <v/>
      </c>
      <c r="AQ408">
        <f>IF(A408="","",IF(ISNUMBER(SEARCH("Propelld",W408&amp;"")),1,0))</f>
        <v/>
      </c>
      <c r="AR408">
        <f>IF(A408="","",IF(ISNUMBER(SEARCH("GyanDhan",W408&amp;"")),1,0))</f>
        <v/>
      </c>
      <c r="AS408">
        <f>IF(A408="","",IF(ISNUMBER(SEARCH("vidyalakshmi",LOWER(W408&amp;""))),1,0))</f>
        <v/>
      </c>
      <c r="AT408">
        <f>IF(A408="","",IF(ISNUMBER(SEARCH("other bank",LOWER(W408&amp;""))),1,0))</f>
        <v/>
      </c>
      <c r="AU408">
        <f>IF(A408="","",IF(ISNUMBER(SEARCH("sanctioned",LOWER(W408&amp;""))),1,0))</f>
        <v/>
      </c>
      <c r="AV408">
        <f>IF(A408="","",IF(ISNUMBER(SEARCH("Docs Pending",W408&amp;"")),1,0))</f>
        <v/>
      </c>
      <c r="AW408">
        <f>IF(A408="","",IF(OR(X408="Rejected",ISNUMBER(SEARCH("Not eligbile",W408&amp;""))),1,0))</f>
        <v/>
      </c>
    </row>
    <row r="409">
      <c r="A409">
        <f>IF('01_Master_Data'!B409="","",408)</f>
        <v/>
      </c>
      <c r="B409">
        <f>IF('01_Master_Data'!B409="","",IF('01_Master_Data'!C409&lt;&gt;"","MOB|"&amp;TEXT('01_Master_Data'!C409,"0"),IF('01_Master_Data'!D409&lt;&gt;"","PID|"&amp;TRIM('01_Master_Data'!D409&amp;""),"")))</f>
        <v/>
      </c>
      <c r="C409">
        <f>IF('01_Master_Data'!B409="","",'01_Master_Data'!B409)</f>
        <v/>
      </c>
      <c r="D409">
        <f>IF('01_Master_Data'!B409="","",'01_Master_Data'!C409)</f>
        <v/>
      </c>
      <c r="E409">
        <f>IF('01_Master_Data'!B409="","",'01_Master_Data'!D409)</f>
        <v/>
      </c>
      <c r="F409">
        <f>IF('01_Master_Data'!B409="","",'01_Master_Data'!E409)</f>
        <v/>
      </c>
      <c r="G409">
        <f>IF('01_Master_Data'!B409="","",IFERROR(VLOOKUP(TRIM('01_Master_Data'!E409&amp;""),'02_Configuration'!$A$40:$B$44,2,FALSE),UPPER(TRIM('01_Master_Data'!E409&amp;""))))</f>
        <v/>
      </c>
      <c r="H409">
        <f>IF('01_Master_Data'!B409="","",IF('01_Master_Data'!U409="","",TRIM('01_Master_Data'!U409&amp;"")))</f>
        <v/>
      </c>
      <c r="I409">
        <f>IF('01_Master_Data'!B409="","",TRIM('01_Master_Data'!F409&amp;""))</f>
        <v/>
      </c>
      <c r="J409">
        <f>IF('01_Master_Data'!B409="","",TRIM('01_Master_Data'!G409&amp;""))</f>
        <v/>
      </c>
      <c r="K409">
        <f>IF('01_Master_Data'!B409="","",'01_Master_Data'!H409)</f>
        <v/>
      </c>
      <c r="L409">
        <f>IF('01_Master_Data'!B409="","",IF(LOWER(TRIM('01_Master_Data'!V409&amp;""))="yes",1,0))</f>
        <v/>
      </c>
      <c r="M409">
        <f>IF('01_Master_Data'!B409="","",IF(LOWER(TRIM('01_Master_Data'!W409&amp;""))="yes",1,0))</f>
        <v/>
      </c>
      <c r="N409">
        <f>IF('01_Master_Data'!B409="","",IF(LOWER(TRIM('01_Master_Data'!X409&amp;""))="yes",1,0))</f>
        <v/>
      </c>
      <c r="O409">
        <f>IF('01_Master_Data'!B409="","",IF(LOWER(TRIM('01_Master_Data'!Y409&amp;""))="yes",1,0))</f>
        <v/>
      </c>
      <c r="P409">
        <f>IF('01_Master_Data'!B409="","",IF(LOWER(TRIM('01_Master_Data'!Z409&amp;""))="yes",1,0))</f>
        <v/>
      </c>
      <c r="Q409">
        <f>IF(A409="","",L409+M409+N409+O409+P409)</f>
        <v/>
      </c>
      <c r="R409">
        <f>IF(A409="","",IF(Q409&gt;1,"Yes","No"))</f>
        <v/>
      </c>
      <c r="S409">
        <f>IF(A409="","",TEXTJOIN(", ",TRUE,IF(L409=1,"ICICI",""),IF(M409=1,"Propelld",""),IF(N409=1,"Study4Buddy",""),IF(O409=1,"Poonawala Fincorp",""),IF(P409=1,"GyanDhan","")))</f>
        <v/>
      </c>
      <c r="T409">
        <f>IF(A409="","",IF(L409=1,"ICICI",IF(M409=1,"Propelld",IF(P409=1,"GyanDhan",IF(N409=1,"Study4Buddy",IF(O409=1,"Poonawala Fincorp",IF(ISNUMBER(SEARCH("GyanDhan",W409&amp;"")),"GyanDhan",IF(ISNUMBER(SEARCH("Icici",W409&amp;"")),"ICICI",IF(ISNUMBER(SEARCH("Propelld",W409&amp;"")),"Propelld",IF(ISNUMBER(SEARCH("vidyalakshmi",LOWER(W409&amp;"")),"PM Vidyalakshmi","—"))))))))))</f>
        <v/>
      </c>
      <c r="U409">
        <f>IF(A409="","",TRIM('01_Master_Data'!AA409&amp;""))</f>
        <v/>
      </c>
      <c r="V409">
        <f>IF(A409="","",TRIM('01_Master_Data'!AG409&amp;""))</f>
        <v/>
      </c>
      <c r="W409">
        <f>IF(A409="","",TRIM('01_Master_Data'!AH409&amp;""))</f>
        <v/>
      </c>
      <c r="X409">
        <f>IF(A409="","",IF(OR(LOWER(H409)="refund",LOWER(U409)="refund case"),"Refund",IF(OR(LOWER(H409)="dnp",LOWER(U409)="dnp"),"DNP",IF(OR(LOWER(V409)="disbursed",ISNUMBER(SEARCH("Disbursed",W409&amp;""))),"Disbursed",IF(OR(LOWER(V409)="loan proccessed/accepted",ISNUMBER(SEARCH("sanctioned",LOWER(W409&amp;"")))),"Sanctioned",IF(OR(LOWER(V409)="rejected",ISNUMBER(SEARCH("Not eligbile",W409&amp;"")),ISNUMBER(SEARCH("Not eligible",W409&amp;""))),"Rejected",IF(ISNUMBER(SEARCH("Docs Pending",W409&amp;"")),"Documents Pending",IF(AND(LOWER(H409)="yes",LOWER(V409)="ongoing"),"Processing",IF(AND(LOWER(H409)="yes",Q409&gt;0,OR(V409="",LOWER(V409)="not even started")),"Vendor Assigned",IF(AND(LOWER(H409)="yes",LOWER(V409)="not even started"),"Need Loan",IF(LOWER(H409)="yes","Loan Started",IF(LOWER(H409)="not sure","Interested",IF(OR(LOWER(H409)="no",LOWER(V409)="not required"),"Not Required","Unclassified")))))))))))))</f>
        <v/>
      </c>
      <c r="Y409">
        <f>IF(A409="","",IF(OR(X409="Sanctioned",X409="Disbursed",X409="Approved"),"Approved",IF(X409="Rejected","Rejected",IF(OR(X409="Processing",X409="Documents Pending",X409="Vendor Assigned"),"In Progress",IF(X409="Need Loan","Pending Start","—"))))</f>
        <v/>
      </c>
      <c r="Z409">
        <f>IF(A409="","",IF(X409="Disbursed","Disbursed",IF(X409="Sanctioned","Sanctioned - Awaiting Disbursement","Not Disbursed")))</f>
        <v/>
      </c>
      <c r="AA409">
        <f>IF(A409="","",IF(LOWER(TRIM('01_Master_Data'!AI409&amp;""))="yes","Need FLDG",IF(LOWER(TRIM('01_Master_Data'!AK409&amp;""))="yes","Need Vidyalakshmi",IF(LOWER(TRIM('01_Master_Data'!AJ409&amp;""))="yes","Need Review",IF(LOWER(J409)="critical","Critical",IF(LOWER(U409)="risk","Risk Case",IF(X409="Refund","Refund","Normal")))))))</f>
        <v/>
      </c>
      <c r="AB409">
        <f>IF(A409="","",IF(OR(LOWER(J409)="critical",LOWER(TRIM('01_Master_Data'!AI409&amp;""))="yes",LOWER(TRIM('01_Master_Data'!AK409&amp;""))="yes",LOWER(U409)="risk"),"Yes","No"))</f>
        <v/>
      </c>
      <c r="AC409">
        <f>IF(A409="","",IF(LOWER(TRIM('01_Master_Data'!AI409&amp;""))="yes","Yes","No"))</f>
        <v/>
      </c>
      <c r="AD409">
        <f>IF(A409="","",IF(LOWER(TRIM('01_Master_Data'!AK409&amp;""))="yes","Yes","No"))</f>
        <v/>
      </c>
      <c r="AE409">
        <f>IF(A409="","",IF(LOWER(TRIM('01_Master_Data'!AJ409&amp;""))="yes","Yes","No"))</f>
        <v/>
      </c>
      <c r="AF409">
        <f>IF(A409="","",TRIM('01_Master_Data'!AL409&amp;""))</f>
        <v/>
      </c>
      <c r="AG409">
        <f>IF(A409="","",IF(AF409="","—",IF(ISNUMBER(SEARCH("DNP",AF409)),"Unreachable / DNP",IF(ISNUMBER(SEARCH("interest",LOWER(AF409))),"High Interest / Terms",IF(OR(ISNUMBER(SEARCH("eligib",LOWER(AF409))),ISNUMBER(SEARCH("income",LOWER(AF409)))),"Eligibility / Income",IF(OR(ISNUMBER(SEARCH("start",LOWER(AF409))),ISNUMBER(SEARCH("Newer",AF409)),ISNUMBER(SEARCH("Will start",AF409))),"Process Yet to Start",IF(ISNUMBER(SEARCH("sure",LOWER(AF409))),"Undecided",IF(OR(ISNUMBER(SEARCH("reject",LOWER(AF409))),ISNUMBER(SEARCH("SBI",AF409))),"Rejected Elsewhere",IF(ISNUMBER(SEARCH("call",LOWER(AF409))),"Bank Communication",IF(OR(ISNUMBER(SEARCH("father",LOWER(AF409))),ISNUMBER(SEARCH("sister",LOWER(AF409)))),"Family / Dependency","Other"))))))))))</f>
        <v/>
      </c>
      <c r="AH409">
        <f>IF(A409="","",'01_Master_Data'!AC409)</f>
        <v/>
      </c>
      <c r="AI409">
        <f>IF(A409="","",IF(OR(AH409="",NOT(ISNUMBER(AH409))),"",MAX(0,'02_Configuration'!$B$82-AH409)))</f>
        <v/>
      </c>
      <c r="AJ409">
        <f>IF(A409="","",IF(AI409="","Unknown",IF(AI409&lt;=3,"0–3 Days",IF(AI409&lt;=7,"4–7 Days",IF(AI409&lt;=15,"8–15 Days",IF(AI409&lt;=30,"16–30 Days","30+ Days"))))))</f>
        <v/>
      </c>
      <c r="AK409">
        <f>IF(A409="","",IF(LOWER(H409)="yes","Yes","No"))</f>
        <v/>
      </c>
      <c r="AL409">
        <f>IF(A409="","",'01_Master_Data'!T409)</f>
        <v/>
      </c>
      <c r="AM409">
        <f>IF(A409="","",'01_Master_Data'!S409)</f>
        <v/>
      </c>
      <c r="AN409">
        <f>IF(A409="","",'01_Master_Data'!I409)</f>
        <v/>
      </c>
      <c r="AO409">
        <f>IF(A409="","",'01_Master_Data'!M409)</f>
        <v/>
      </c>
      <c r="AP409">
        <f>IF(A409="","",IF(ISNUMBER(SEARCH("Icici",W409&amp;"")),1,0))</f>
        <v/>
      </c>
      <c r="AQ409">
        <f>IF(A409="","",IF(ISNUMBER(SEARCH("Propelld",W409&amp;"")),1,0))</f>
        <v/>
      </c>
      <c r="AR409">
        <f>IF(A409="","",IF(ISNUMBER(SEARCH("GyanDhan",W409&amp;"")),1,0))</f>
        <v/>
      </c>
      <c r="AS409">
        <f>IF(A409="","",IF(ISNUMBER(SEARCH("vidyalakshmi",LOWER(W409&amp;""))),1,0))</f>
        <v/>
      </c>
      <c r="AT409">
        <f>IF(A409="","",IF(ISNUMBER(SEARCH("other bank",LOWER(W409&amp;""))),1,0))</f>
        <v/>
      </c>
      <c r="AU409">
        <f>IF(A409="","",IF(ISNUMBER(SEARCH("sanctioned",LOWER(W409&amp;""))),1,0))</f>
        <v/>
      </c>
      <c r="AV409">
        <f>IF(A409="","",IF(ISNUMBER(SEARCH("Docs Pending",W409&amp;"")),1,0))</f>
        <v/>
      </c>
      <c r="AW409">
        <f>IF(A409="","",IF(OR(X409="Rejected",ISNUMBER(SEARCH("Not eligbile",W409&amp;""))),1,0))</f>
        <v/>
      </c>
    </row>
    <row r="410">
      <c r="A410">
        <f>IF('01_Master_Data'!B410="","",409)</f>
        <v/>
      </c>
      <c r="B410">
        <f>IF('01_Master_Data'!B410="","",IF('01_Master_Data'!C410&lt;&gt;"","MOB|"&amp;TEXT('01_Master_Data'!C410,"0"),IF('01_Master_Data'!D410&lt;&gt;"","PID|"&amp;TRIM('01_Master_Data'!D410&amp;""),"")))</f>
        <v/>
      </c>
      <c r="C410">
        <f>IF('01_Master_Data'!B410="","",'01_Master_Data'!B410)</f>
        <v/>
      </c>
      <c r="D410">
        <f>IF('01_Master_Data'!B410="","",'01_Master_Data'!C410)</f>
        <v/>
      </c>
      <c r="E410">
        <f>IF('01_Master_Data'!B410="","",'01_Master_Data'!D410)</f>
        <v/>
      </c>
      <c r="F410">
        <f>IF('01_Master_Data'!B410="","",'01_Master_Data'!E410)</f>
        <v/>
      </c>
      <c r="G410">
        <f>IF('01_Master_Data'!B410="","",IFERROR(VLOOKUP(TRIM('01_Master_Data'!E410&amp;""),'02_Configuration'!$A$40:$B$44,2,FALSE),UPPER(TRIM('01_Master_Data'!E410&amp;""))))</f>
        <v/>
      </c>
      <c r="H410">
        <f>IF('01_Master_Data'!B410="","",IF('01_Master_Data'!U410="","",TRIM('01_Master_Data'!U410&amp;"")))</f>
        <v/>
      </c>
      <c r="I410">
        <f>IF('01_Master_Data'!B410="","",TRIM('01_Master_Data'!F410&amp;""))</f>
        <v/>
      </c>
      <c r="J410">
        <f>IF('01_Master_Data'!B410="","",TRIM('01_Master_Data'!G410&amp;""))</f>
        <v/>
      </c>
      <c r="K410">
        <f>IF('01_Master_Data'!B410="","",'01_Master_Data'!H410)</f>
        <v/>
      </c>
      <c r="L410">
        <f>IF('01_Master_Data'!B410="","",IF(LOWER(TRIM('01_Master_Data'!V410&amp;""))="yes",1,0))</f>
        <v/>
      </c>
      <c r="M410">
        <f>IF('01_Master_Data'!B410="","",IF(LOWER(TRIM('01_Master_Data'!W410&amp;""))="yes",1,0))</f>
        <v/>
      </c>
      <c r="N410">
        <f>IF('01_Master_Data'!B410="","",IF(LOWER(TRIM('01_Master_Data'!X410&amp;""))="yes",1,0))</f>
        <v/>
      </c>
      <c r="O410">
        <f>IF('01_Master_Data'!B410="","",IF(LOWER(TRIM('01_Master_Data'!Y410&amp;""))="yes",1,0))</f>
        <v/>
      </c>
      <c r="P410">
        <f>IF('01_Master_Data'!B410="","",IF(LOWER(TRIM('01_Master_Data'!Z410&amp;""))="yes",1,0))</f>
        <v/>
      </c>
      <c r="Q410">
        <f>IF(A410="","",L410+M410+N410+O410+P410)</f>
        <v/>
      </c>
      <c r="R410">
        <f>IF(A410="","",IF(Q410&gt;1,"Yes","No"))</f>
        <v/>
      </c>
      <c r="S410">
        <f>IF(A410="","",TEXTJOIN(", ",TRUE,IF(L410=1,"ICICI",""),IF(M410=1,"Propelld",""),IF(N410=1,"Study4Buddy",""),IF(O410=1,"Poonawala Fincorp",""),IF(P410=1,"GyanDhan","")))</f>
        <v/>
      </c>
      <c r="T410">
        <f>IF(A410="","",IF(L410=1,"ICICI",IF(M410=1,"Propelld",IF(P410=1,"GyanDhan",IF(N410=1,"Study4Buddy",IF(O410=1,"Poonawala Fincorp",IF(ISNUMBER(SEARCH("GyanDhan",W410&amp;"")),"GyanDhan",IF(ISNUMBER(SEARCH("Icici",W410&amp;"")),"ICICI",IF(ISNUMBER(SEARCH("Propelld",W410&amp;"")),"Propelld",IF(ISNUMBER(SEARCH("vidyalakshmi",LOWER(W410&amp;"")),"PM Vidyalakshmi","—"))))))))))</f>
        <v/>
      </c>
      <c r="U410">
        <f>IF(A410="","",TRIM('01_Master_Data'!AA410&amp;""))</f>
        <v/>
      </c>
      <c r="V410">
        <f>IF(A410="","",TRIM('01_Master_Data'!AG410&amp;""))</f>
        <v/>
      </c>
      <c r="W410">
        <f>IF(A410="","",TRIM('01_Master_Data'!AH410&amp;""))</f>
        <v/>
      </c>
      <c r="X410">
        <f>IF(A410="","",IF(OR(LOWER(H410)="refund",LOWER(U410)="refund case"),"Refund",IF(OR(LOWER(H410)="dnp",LOWER(U410)="dnp"),"DNP",IF(OR(LOWER(V410)="disbursed",ISNUMBER(SEARCH("Disbursed",W410&amp;""))),"Disbursed",IF(OR(LOWER(V410)="loan proccessed/accepted",ISNUMBER(SEARCH("sanctioned",LOWER(W410&amp;"")))),"Sanctioned",IF(OR(LOWER(V410)="rejected",ISNUMBER(SEARCH("Not eligbile",W410&amp;"")),ISNUMBER(SEARCH("Not eligible",W410&amp;""))),"Rejected",IF(ISNUMBER(SEARCH("Docs Pending",W410&amp;"")),"Documents Pending",IF(AND(LOWER(H410)="yes",LOWER(V410)="ongoing"),"Processing",IF(AND(LOWER(H410)="yes",Q410&gt;0,OR(V410="",LOWER(V410)="not even started")),"Vendor Assigned",IF(AND(LOWER(H410)="yes",LOWER(V410)="not even started"),"Need Loan",IF(LOWER(H410)="yes","Loan Started",IF(LOWER(H410)="not sure","Interested",IF(OR(LOWER(H410)="no",LOWER(V410)="not required"),"Not Required","Unclassified")))))))))))))</f>
        <v/>
      </c>
      <c r="Y410">
        <f>IF(A410="","",IF(OR(X410="Sanctioned",X410="Disbursed",X410="Approved"),"Approved",IF(X410="Rejected","Rejected",IF(OR(X410="Processing",X410="Documents Pending",X410="Vendor Assigned"),"In Progress",IF(X410="Need Loan","Pending Start","—"))))</f>
        <v/>
      </c>
      <c r="Z410">
        <f>IF(A410="","",IF(X410="Disbursed","Disbursed",IF(X410="Sanctioned","Sanctioned - Awaiting Disbursement","Not Disbursed")))</f>
        <v/>
      </c>
      <c r="AA410">
        <f>IF(A410="","",IF(LOWER(TRIM('01_Master_Data'!AI410&amp;""))="yes","Need FLDG",IF(LOWER(TRIM('01_Master_Data'!AK410&amp;""))="yes","Need Vidyalakshmi",IF(LOWER(TRIM('01_Master_Data'!AJ410&amp;""))="yes","Need Review",IF(LOWER(J410)="critical","Critical",IF(LOWER(U410)="risk","Risk Case",IF(X410="Refund","Refund","Normal")))))))</f>
        <v/>
      </c>
      <c r="AB410">
        <f>IF(A410="","",IF(OR(LOWER(J410)="critical",LOWER(TRIM('01_Master_Data'!AI410&amp;""))="yes",LOWER(TRIM('01_Master_Data'!AK410&amp;""))="yes",LOWER(U410)="risk"),"Yes","No"))</f>
        <v/>
      </c>
      <c r="AC410">
        <f>IF(A410="","",IF(LOWER(TRIM('01_Master_Data'!AI410&amp;""))="yes","Yes","No"))</f>
        <v/>
      </c>
      <c r="AD410">
        <f>IF(A410="","",IF(LOWER(TRIM('01_Master_Data'!AK410&amp;""))="yes","Yes","No"))</f>
        <v/>
      </c>
      <c r="AE410">
        <f>IF(A410="","",IF(LOWER(TRIM('01_Master_Data'!AJ410&amp;""))="yes","Yes","No"))</f>
        <v/>
      </c>
      <c r="AF410">
        <f>IF(A410="","",TRIM('01_Master_Data'!AL410&amp;""))</f>
        <v/>
      </c>
      <c r="AG410">
        <f>IF(A410="","",IF(AF410="","—",IF(ISNUMBER(SEARCH("DNP",AF410)),"Unreachable / DNP",IF(ISNUMBER(SEARCH("interest",LOWER(AF410))),"High Interest / Terms",IF(OR(ISNUMBER(SEARCH("eligib",LOWER(AF410))),ISNUMBER(SEARCH("income",LOWER(AF410)))),"Eligibility / Income",IF(OR(ISNUMBER(SEARCH("start",LOWER(AF410))),ISNUMBER(SEARCH("Newer",AF410)),ISNUMBER(SEARCH("Will start",AF410))),"Process Yet to Start",IF(ISNUMBER(SEARCH("sure",LOWER(AF410))),"Undecided",IF(OR(ISNUMBER(SEARCH("reject",LOWER(AF410))),ISNUMBER(SEARCH("SBI",AF410))),"Rejected Elsewhere",IF(ISNUMBER(SEARCH("call",LOWER(AF410))),"Bank Communication",IF(OR(ISNUMBER(SEARCH("father",LOWER(AF410))),ISNUMBER(SEARCH("sister",LOWER(AF410)))),"Family / Dependency","Other"))))))))))</f>
        <v/>
      </c>
      <c r="AH410">
        <f>IF(A410="","",'01_Master_Data'!AC410)</f>
        <v/>
      </c>
      <c r="AI410">
        <f>IF(A410="","",IF(OR(AH410="",NOT(ISNUMBER(AH410))),"",MAX(0,'02_Configuration'!$B$82-AH410)))</f>
        <v/>
      </c>
      <c r="AJ410">
        <f>IF(A410="","",IF(AI410="","Unknown",IF(AI410&lt;=3,"0–3 Days",IF(AI410&lt;=7,"4–7 Days",IF(AI410&lt;=15,"8–15 Days",IF(AI410&lt;=30,"16–30 Days","30+ Days"))))))</f>
        <v/>
      </c>
      <c r="AK410">
        <f>IF(A410="","",IF(LOWER(H410)="yes","Yes","No"))</f>
        <v/>
      </c>
      <c r="AL410">
        <f>IF(A410="","",'01_Master_Data'!T410)</f>
        <v/>
      </c>
      <c r="AM410">
        <f>IF(A410="","",'01_Master_Data'!S410)</f>
        <v/>
      </c>
      <c r="AN410">
        <f>IF(A410="","",'01_Master_Data'!I410)</f>
        <v/>
      </c>
      <c r="AO410">
        <f>IF(A410="","",'01_Master_Data'!M410)</f>
        <v/>
      </c>
      <c r="AP410">
        <f>IF(A410="","",IF(ISNUMBER(SEARCH("Icici",W410&amp;"")),1,0))</f>
        <v/>
      </c>
      <c r="AQ410">
        <f>IF(A410="","",IF(ISNUMBER(SEARCH("Propelld",W410&amp;"")),1,0))</f>
        <v/>
      </c>
      <c r="AR410">
        <f>IF(A410="","",IF(ISNUMBER(SEARCH("GyanDhan",W410&amp;"")),1,0))</f>
        <v/>
      </c>
      <c r="AS410">
        <f>IF(A410="","",IF(ISNUMBER(SEARCH("vidyalakshmi",LOWER(W410&amp;""))),1,0))</f>
        <v/>
      </c>
      <c r="AT410">
        <f>IF(A410="","",IF(ISNUMBER(SEARCH("other bank",LOWER(W410&amp;""))),1,0))</f>
        <v/>
      </c>
      <c r="AU410">
        <f>IF(A410="","",IF(ISNUMBER(SEARCH("sanctioned",LOWER(W410&amp;""))),1,0))</f>
        <v/>
      </c>
      <c r="AV410">
        <f>IF(A410="","",IF(ISNUMBER(SEARCH("Docs Pending",W410&amp;"")),1,0))</f>
        <v/>
      </c>
      <c r="AW410">
        <f>IF(A410="","",IF(OR(X410="Rejected",ISNUMBER(SEARCH("Not eligbile",W410&amp;""))),1,0))</f>
        <v/>
      </c>
    </row>
    <row r="411">
      <c r="A411">
        <f>IF('01_Master_Data'!B411="","",410)</f>
        <v/>
      </c>
      <c r="B411">
        <f>IF('01_Master_Data'!B411="","",IF('01_Master_Data'!C411&lt;&gt;"","MOB|"&amp;TEXT('01_Master_Data'!C411,"0"),IF('01_Master_Data'!D411&lt;&gt;"","PID|"&amp;TRIM('01_Master_Data'!D411&amp;""),"")))</f>
        <v/>
      </c>
      <c r="C411">
        <f>IF('01_Master_Data'!B411="","",'01_Master_Data'!B411)</f>
        <v/>
      </c>
      <c r="D411">
        <f>IF('01_Master_Data'!B411="","",'01_Master_Data'!C411)</f>
        <v/>
      </c>
      <c r="E411">
        <f>IF('01_Master_Data'!B411="","",'01_Master_Data'!D411)</f>
        <v/>
      </c>
      <c r="F411">
        <f>IF('01_Master_Data'!B411="","",'01_Master_Data'!E411)</f>
        <v/>
      </c>
      <c r="G411">
        <f>IF('01_Master_Data'!B411="","",IFERROR(VLOOKUP(TRIM('01_Master_Data'!E411&amp;""),'02_Configuration'!$A$40:$B$44,2,FALSE),UPPER(TRIM('01_Master_Data'!E411&amp;""))))</f>
        <v/>
      </c>
      <c r="H411">
        <f>IF('01_Master_Data'!B411="","",IF('01_Master_Data'!U411="","",TRIM('01_Master_Data'!U411&amp;"")))</f>
        <v/>
      </c>
      <c r="I411">
        <f>IF('01_Master_Data'!B411="","",TRIM('01_Master_Data'!F411&amp;""))</f>
        <v/>
      </c>
      <c r="J411">
        <f>IF('01_Master_Data'!B411="","",TRIM('01_Master_Data'!G411&amp;""))</f>
        <v/>
      </c>
      <c r="K411">
        <f>IF('01_Master_Data'!B411="","",'01_Master_Data'!H411)</f>
        <v/>
      </c>
      <c r="L411">
        <f>IF('01_Master_Data'!B411="","",IF(LOWER(TRIM('01_Master_Data'!V411&amp;""))="yes",1,0))</f>
        <v/>
      </c>
      <c r="M411">
        <f>IF('01_Master_Data'!B411="","",IF(LOWER(TRIM('01_Master_Data'!W411&amp;""))="yes",1,0))</f>
        <v/>
      </c>
      <c r="N411">
        <f>IF('01_Master_Data'!B411="","",IF(LOWER(TRIM('01_Master_Data'!X411&amp;""))="yes",1,0))</f>
        <v/>
      </c>
      <c r="O411">
        <f>IF('01_Master_Data'!B411="","",IF(LOWER(TRIM('01_Master_Data'!Y411&amp;""))="yes",1,0))</f>
        <v/>
      </c>
      <c r="P411">
        <f>IF('01_Master_Data'!B411="","",IF(LOWER(TRIM('01_Master_Data'!Z411&amp;""))="yes",1,0))</f>
        <v/>
      </c>
      <c r="Q411">
        <f>IF(A411="","",L411+M411+N411+O411+P411)</f>
        <v/>
      </c>
      <c r="R411">
        <f>IF(A411="","",IF(Q411&gt;1,"Yes","No"))</f>
        <v/>
      </c>
      <c r="S411">
        <f>IF(A411="","",TEXTJOIN(", ",TRUE,IF(L411=1,"ICICI",""),IF(M411=1,"Propelld",""),IF(N411=1,"Study4Buddy",""),IF(O411=1,"Poonawala Fincorp",""),IF(P411=1,"GyanDhan","")))</f>
        <v/>
      </c>
      <c r="T411">
        <f>IF(A411="","",IF(L411=1,"ICICI",IF(M411=1,"Propelld",IF(P411=1,"GyanDhan",IF(N411=1,"Study4Buddy",IF(O411=1,"Poonawala Fincorp",IF(ISNUMBER(SEARCH("GyanDhan",W411&amp;"")),"GyanDhan",IF(ISNUMBER(SEARCH("Icici",W411&amp;"")),"ICICI",IF(ISNUMBER(SEARCH("Propelld",W411&amp;"")),"Propelld",IF(ISNUMBER(SEARCH("vidyalakshmi",LOWER(W411&amp;"")),"PM Vidyalakshmi","—"))))))))))</f>
        <v/>
      </c>
      <c r="U411">
        <f>IF(A411="","",TRIM('01_Master_Data'!AA411&amp;""))</f>
        <v/>
      </c>
      <c r="V411">
        <f>IF(A411="","",TRIM('01_Master_Data'!AG411&amp;""))</f>
        <v/>
      </c>
      <c r="W411">
        <f>IF(A411="","",TRIM('01_Master_Data'!AH411&amp;""))</f>
        <v/>
      </c>
      <c r="X411">
        <f>IF(A411="","",IF(OR(LOWER(H411)="refund",LOWER(U411)="refund case"),"Refund",IF(OR(LOWER(H411)="dnp",LOWER(U411)="dnp"),"DNP",IF(OR(LOWER(V411)="disbursed",ISNUMBER(SEARCH("Disbursed",W411&amp;""))),"Disbursed",IF(OR(LOWER(V411)="loan proccessed/accepted",ISNUMBER(SEARCH("sanctioned",LOWER(W411&amp;"")))),"Sanctioned",IF(OR(LOWER(V411)="rejected",ISNUMBER(SEARCH("Not eligbile",W411&amp;"")),ISNUMBER(SEARCH("Not eligible",W411&amp;""))),"Rejected",IF(ISNUMBER(SEARCH("Docs Pending",W411&amp;"")),"Documents Pending",IF(AND(LOWER(H411)="yes",LOWER(V411)="ongoing"),"Processing",IF(AND(LOWER(H411)="yes",Q411&gt;0,OR(V411="",LOWER(V411)="not even started")),"Vendor Assigned",IF(AND(LOWER(H411)="yes",LOWER(V411)="not even started"),"Need Loan",IF(LOWER(H411)="yes","Loan Started",IF(LOWER(H411)="not sure","Interested",IF(OR(LOWER(H411)="no",LOWER(V411)="not required"),"Not Required","Unclassified")))))))))))))</f>
        <v/>
      </c>
      <c r="Y411">
        <f>IF(A411="","",IF(OR(X411="Sanctioned",X411="Disbursed",X411="Approved"),"Approved",IF(X411="Rejected","Rejected",IF(OR(X411="Processing",X411="Documents Pending",X411="Vendor Assigned"),"In Progress",IF(X411="Need Loan","Pending Start","—"))))</f>
        <v/>
      </c>
      <c r="Z411">
        <f>IF(A411="","",IF(X411="Disbursed","Disbursed",IF(X411="Sanctioned","Sanctioned - Awaiting Disbursement","Not Disbursed")))</f>
        <v/>
      </c>
      <c r="AA411">
        <f>IF(A411="","",IF(LOWER(TRIM('01_Master_Data'!AI411&amp;""))="yes","Need FLDG",IF(LOWER(TRIM('01_Master_Data'!AK411&amp;""))="yes","Need Vidyalakshmi",IF(LOWER(TRIM('01_Master_Data'!AJ411&amp;""))="yes","Need Review",IF(LOWER(J411)="critical","Critical",IF(LOWER(U411)="risk","Risk Case",IF(X411="Refund","Refund","Normal")))))))</f>
        <v/>
      </c>
      <c r="AB411">
        <f>IF(A411="","",IF(OR(LOWER(J411)="critical",LOWER(TRIM('01_Master_Data'!AI411&amp;""))="yes",LOWER(TRIM('01_Master_Data'!AK411&amp;""))="yes",LOWER(U411)="risk"),"Yes","No"))</f>
        <v/>
      </c>
      <c r="AC411">
        <f>IF(A411="","",IF(LOWER(TRIM('01_Master_Data'!AI411&amp;""))="yes","Yes","No"))</f>
        <v/>
      </c>
      <c r="AD411">
        <f>IF(A411="","",IF(LOWER(TRIM('01_Master_Data'!AK411&amp;""))="yes","Yes","No"))</f>
        <v/>
      </c>
      <c r="AE411">
        <f>IF(A411="","",IF(LOWER(TRIM('01_Master_Data'!AJ411&amp;""))="yes","Yes","No"))</f>
        <v/>
      </c>
      <c r="AF411">
        <f>IF(A411="","",TRIM('01_Master_Data'!AL411&amp;""))</f>
        <v/>
      </c>
      <c r="AG411">
        <f>IF(A411="","",IF(AF411="","—",IF(ISNUMBER(SEARCH("DNP",AF411)),"Unreachable / DNP",IF(ISNUMBER(SEARCH("interest",LOWER(AF411))),"High Interest / Terms",IF(OR(ISNUMBER(SEARCH("eligib",LOWER(AF411))),ISNUMBER(SEARCH("income",LOWER(AF411)))),"Eligibility / Income",IF(OR(ISNUMBER(SEARCH("start",LOWER(AF411))),ISNUMBER(SEARCH("Newer",AF411)),ISNUMBER(SEARCH("Will start",AF411))),"Process Yet to Start",IF(ISNUMBER(SEARCH("sure",LOWER(AF411))),"Undecided",IF(OR(ISNUMBER(SEARCH("reject",LOWER(AF411))),ISNUMBER(SEARCH("SBI",AF411))),"Rejected Elsewhere",IF(ISNUMBER(SEARCH("call",LOWER(AF411))),"Bank Communication",IF(OR(ISNUMBER(SEARCH("father",LOWER(AF411))),ISNUMBER(SEARCH("sister",LOWER(AF411)))),"Family / Dependency","Other"))))))))))</f>
        <v/>
      </c>
      <c r="AH411">
        <f>IF(A411="","",'01_Master_Data'!AC411)</f>
        <v/>
      </c>
      <c r="AI411">
        <f>IF(A411="","",IF(OR(AH411="",NOT(ISNUMBER(AH411))),"",MAX(0,'02_Configuration'!$B$82-AH411)))</f>
        <v/>
      </c>
      <c r="AJ411">
        <f>IF(A411="","",IF(AI411="","Unknown",IF(AI411&lt;=3,"0–3 Days",IF(AI411&lt;=7,"4–7 Days",IF(AI411&lt;=15,"8–15 Days",IF(AI411&lt;=30,"16–30 Days","30+ Days"))))))</f>
        <v/>
      </c>
      <c r="AK411">
        <f>IF(A411="","",IF(LOWER(H411)="yes","Yes","No"))</f>
        <v/>
      </c>
      <c r="AL411">
        <f>IF(A411="","",'01_Master_Data'!T411)</f>
        <v/>
      </c>
      <c r="AM411">
        <f>IF(A411="","",'01_Master_Data'!S411)</f>
        <v/>
      </c>
      <c r="AN411">
        <f>IF(A411="","",'01_Master_Data'!I411)</f>
        <v/>
      </c>
      <c r="AO411">
        <f>IF(A411="","",'01_Master_Data'!M411)</f>
        <v/>
      </c>
      <c r="AP411">
        <f>IF(A411="","",IF(ISNUMBER(SEARCH("Icici",W411&amp;"")),1,0))</f>
        <v/>
      </c>
      <c r="AQ411">
        <f>IF(A411="","",IF(ISNUMBER(SEARCH("Propelld",W411&amp;"")),1,0))</f>
        <v/>
      </c>
      <c r="AR411">
        <f>IF(A411="","",IF(ISNUMBER(SEARCH("GyanDhan",W411&amp;"")),1,0))</f>
        <v/>
      </c>
      <c r="AS411">
        <f>IF(A411="","",IF(ISNUMBER(SEARCH("vidyalakshmi",LOWER(W411&amp;""))),1,0))</f>
        <v/>
      </c>
      <c r="AT411">
        <f>IF(A411="","",IF(ISNUMBER(SEARCH("other bank",LOWER(W411&amp;""))),1,0))</f>
        <v/>
      </c>
      <c r="AU411">
        <f>IF(A411="","",IF(ISNUMBER(SEARCH("sanctioned",LOWER(W411&amp;""))),1,0))</f>
        <v/>
      </c>
      <c r="AV411">
        <f>IF(A411="","",IF(ISNUMBER(SEARCH("Docs Pending",W411&amp;"")),1,0))</f>
        <v/>
      </c>
      <c r="AW411">
        <f>IF(A411="","",IF(OR(X411="Rejected",ISNUMBER(SEARCH("Not eligbile",W411&amp;""))),1,0))</f>
        <v/>
      </c>
    </row>
    <row r="412">
      <c r="A412">
        <f>IF('01_Master_Data'!B412="","",411)</f>
        <v/>
      </c>
      <c r="B412">
        <f>IF('01_Master_Data'!B412="","",IF('01_Master_Data'!C412&lt;&gt;"","MOB|"&amp;TEXT('01_Master_Data'!C412,"0"),IF('01_Master_Data'!D412&lt;&gt;"","PID|"&amp;TRIM('01_Master_Data'!D412&amp;""),"")))</f>
        <v/>
      </c>
      <c r="C412">
        <f>IF('01_Master_Data'!B412="","",'01_Master_Data'!B412)</f>
        <v/>
      </c>
      <c r="D412">
        <f>IF('01_Master_Data'!B412="","",'01_Master_Data'!C412)</f>
        <v/>
      </c>
      <c r="E412">
        <f>IF('01_Master_Data'!B412="","",'01_Master_Data'!D412)</f>
        <v/>
      </c>
      <c r="F412">
        <f>IF('01_Master_Data'!B412="","",'01_Master_Data'!E412)</f>
        <v/>
      </c>
      <c r="G412">
        <f>IF('01_Master_Data'!B412="","",IFERROR(VLOOKUP(TRIM('01_Master_Data'!E412&amp;""),'02_Configuration'!$A$40:$B$44,2,FALSE),UPPER(TRIM('01_Master_Data'!E412&amp;""))))</f>
        <v/>
      </c>
      <c r="H412">
        <f>IF('01_Master_Data'!B412="","",IF('01_Master_Data'!U412="","",TRIM('01_Master_Data'!U412&amp;"")))</f>
        <v/>
      </c>
      <c r="I412">
        <f>IF('01_Master_Data'!B412="","",TRIM('01_Master_Data'!F412&amp;""))</f>
        <v/>
      </c>
      <c r="J412">
        <f>IF('01_Master_Data'!B412="","",TRIM('01_Master_Data'!G412&amp;""))</f>
        <v/>
      </c>
      <c r="K412">
        <f>IF('01_Master_Data'!B412="","",'01_Master_Data'!H412)</f>
        <v/>
      </c>
      <c r="L412">
        <f>IF('01_Master_Data'!B412="","",IF(LOWER(TRIM('01_Master_Data'!V412&amp;""))="yes",1,0))</f>
        <v/>
      </c>
      <c r="M412">
        <f>IF('01_Master_Data'!B412="","",IF(LOWER(TRIM('01_Master_Data'!W412&amp;""))="yes",1,0))</f>
        <v/>
      </c>
      <c r="N412">
        <f>IF('01_Master_Data'!B412="","",IF(LOWER(TRIM('01_Master_Data'!X412&amp;""))="yes",1,0))</f>
        <v/>
      </c>
      <c r="O412">
        <f>IF('01_Master_Data'!B412="","",IF(LOWER(TRIM('01_Master_Data'!Y412&amp;""))="yes",1,0))</f>
        <v/>
      </c>
      <c r="P412">
        <f>IF('01_Master_Data'!B412="","",IF(LOWER(TRIM('01_Master_Data'!Z412&amp;""))="yes",1,0))</f>
        <v/>
      </c>
      <c r="Q412">
        <f>IF(A412="","",L412+M412+N412+O412+P412)</f>
        <v/>
      </c>
      <c r="R412">
        <f>IF(A412="","",IF(Q412&gt;1,"Yes","No"))</f>
        <v/>
      </c>
      <c r="S412">
        <f>IF(A412="","",TEXTJOIN(", ",TRUE,IF(L412=1,"ICICI",""),IF(M412=1,"Propelld",""),IF(N412=1,"Study4Buddy",""),IF(O412=1,"Poonawala Fincorp",""),IF(P412=1,"GyanDhan","")))</f>
        <v/>
      </c>
      <c r="T412">
        <f>IF(A412="","",IF(L412=1,"ICICI",IF(M412=1,"Propelld",IF(P412=1,"GyanDhan",IF(N412=1,"Study4Buddy",IF(O412=1,"Poonawala Fincorp",IF(ISNUMBER(SEARCH("GyanDhan",W412&amp;"")),"GyanDhan",IF(ISNUMBER(SEARCH("Icici",W412&amp;"")),"ICICI",IF(ISNUMBER(SEARCH("Propelld",W412&amp;"")),"Propelld",IF(ISNUMBER(SEARCH("vidyalakshmi",LOWER(W412&amp;"")),"PM Vidyalakshmi","—"))))))))))</f>
        <v/>
      </c>
      <c r="U412">
        <f>IF(A412="","",TRIM('01_Master_Data'!AA412&amp;""))</f>
        <v/>
      </c>
      <c r="V412">
        <f>IF(A412="","",TRIM('01_Master_Data'!AG412&amp;""))</f>
        <v/>
      </c>
      <c r="W412">
        <f>IF(A412="","",TRIM('01_Master_Data'!AH412&amp;""))</f>
        <v/>
      </c>
      <c r="X412">
        <f>IF(A412="","",IF(OR(LOWER(H412)="refund",LOWER(U412)="refund case"),"Refund",IF(OR(LOWER(H412)="dnp",LOWER(U412)="dnp"),"DNP",IF(OR(LOWER(V412)="disbursed",ISNUMBER(SEARCH("Disbursed",W412&amp;""))),"Disbursed",IF(OR(LOWER(V412)="loan proccessed/accepted",ISNUMBER(SEARCH("sanctioned",LOWER(W412&amp;"")))),"Sanctioned",IF(OR(LOWER(V412)="rejected",ISNUMBER(SEARCH("Not eligbile",W412&amp;"")),ISNUMBER(SEARCH("Not eligible",W412&amp;""))),"Rejected",IF(ISNUMBER(SEARCH("Docs Pending",W412&amp;"")),"Documents Pending",IF(AND(LOWER(H412)="yes",LOWER(V412)="ongoing"),"Processing",IF(AND(LOWER(H412)="yes",Q412&gt;0,OR(V412="",LOWER(V412)="not even started")),"Vendor Assigned",IF(AND(LOWER(H412)="yes",LOWER(V412)="not even started"),"Need Loan",IF(LOWER(H412)="yes","Loan Started",IF(LOWER(H412)="not sure","Interested",IF(OR(LOWER(H412)="no",LOWER(V412)="not required"),"Not Required","Unclassified")))))))))))))</f>
        <v/>
      </c>
      <c r="Y412">
        <f>IF(A412="","",IF(OR(X412="Sanctioned",X412="Disbursed",X412="Approved"),"Approved",IF(X412="Rejected","Rejected",IF(OR(X412="Processing",X412="Documents Pending",X412="Vendor Assigned"),"In Progress",IF(X412="Need Loan","Pending Start","—"))))</f>
        <v/>
      </c>
      <c r="Z412">
        <f>IF(A412="","",IF(X412="Disbursed","Disbursed",IF(X412="Sanctioned","Sanctioned - Awaiting Disbursement","Not Disbursed")))</f>
        <v/>
      </c>
      <c r="AA412">
        <f>IF(A412="","",IF(LOWER(TRIM('01_Master_Data'!AI412&amp;""))="yes","Need FLDG",IF(LOWER(TRIM('01_Master_Data'!AK412&amp;""))="yes","Need Vidyalakshmi",IF(LOWER(TRIM('01_Master_Data'!AJ412&amp;""))="yes","Need Review",IF(LOWER(J412)="critical","Critical",IF(LOWER(U412)="risk","Risk Case",IF(X412="Refund","Refund","Normal")))))))</f>
        <v/>
      </c>
      <c r="AB412">
        <f>IF(A412="","",IF(OR(LOWER(J412)="critical",LOWER(TRIM('01_Master_Data'!AI412&amp;""))="yes",LOWER(TRIM('01_Master_Data'!AK412&amp;""))="yes",LOWER(U412)="risk"),"Yes","No"))</f>
        <v/>
      </c>
      <c r="AC412">
        <f>IF(A412="","",IF(LOWER(TRIM('01_Master_Data'!AI412&amp;""))="yes","Yes","No"))</f>
        <v/>
      </c>
      <c r="AD412">
        <f>IF(A412="","",IF(LOWER(TRIM('01_Master_Data'!AK412&amp;""))="yes","Yes","No"))</f>
        <v/>
      </c>
      <c r="AE412">
        <f>IF(A412="","",IF(LOWER(TRIM('01_Master_Data'!AJ412&amp;""))="yes","Yes","No"))</f>
        <v/>
      </c>
      <c r="AF412">
        <f>IF(A412="","",TRIM('01_Master_Data'!AL412&amp;""))</f>
        <v/>
      </c>
      <c r="AG412">
        <f>IF(A412="","",IF(AF412="","—",IF(ISNUMBER(SEARCH("DNP",AF412)),"Unreachable / DNP",IF(ISNUMBER(SEARCH("interest",LOWER(AF412))),"High Interest / Terms",IF(OR(ISNUMBER(SEARCH("eligib",LOWER(AF412))),ISNUMBER(SEARCH("income",LOWER(AF412)))),"Eligibility / Income",IF(OR(ISNUMBER(SEARCH("start",LOWER(AF412))),ISNUMBER(SEARCH("Newer",AF412)),ISNUMBER(SEARCH("Will start",AF412))),"Process Yet to Start",IF(ISNUMBER(SEARCH("sure",LOWER(AF412))),"Undecided",IF(OR(ISNUMBER(SEARCH("reject",LOWER(AF412))),ISNUMBER(SEARCH("SBI",AF412))),"Rejected Elsewhere",IF(ISNUMBER(SEARCH("call",LOWER(AF412))),"Bank Communication",IF(OR(ISNUMBER(SEARCH("father",LOWER(AF412))),ISNUMBER(SEARCH("sister",LOWER(AF412)))),"Family / Dependency","Other"))))))))))</f>
        <v/>
      </c>
      <c r="AH412">
        <f>IF(A412="","",'01_Master_Data'!AC412)</f>
        <v/>
      </c>
      <c r="AI412">
        <f>IF(A412="","",IF(OR(AH412="",NOT(ISNUMBER(AH412))),"",MAX(0,'02_Configuration'!$B$82-AH412)))</f>
        <v/>
      </c>
      <c r="AJ412">
        <f>IF(A412="","",IF(AI412="","Unknown",IF(AI412&lt;=3,"0–3 Days",IF(AI412&lt;=7,"4–7 Days",IF(AI412&lt;=15,"8–15 Days",IF(AI412&lt;=30,"16–30 Days","30+ Days"))))))</f>
        <v/>
      </c>
      <c r="AK412">
        <f>IF(A412="","",IF(LOWER(H412)="yes","Yes","No"))</f>
        <v/>
      </c>
      <c r="AL412">
        <f>IF(A412="","",'01_Master_Data'!T412)</f>
        <v/>
      </c>
      <c r="AM412">
        <f>IF(A412="","",'01_Master_Data'!S412)</f>
        <v/>
      </c>
      <c r="AN412">
        <f>IF(A412="","",'01_Master_Data'!I412)</f>
        <v/>
      </c>
      <c r="AO412">
        <f>IF(A412="","",'01_Master_Data'!M412)</f>
        <v/>
      </c>
      <c r="AP412">
        <f>IF(A412="","",IF(ISNUMBER(SEARCH("Icici",W412&amp;"")),1,0))</f>
        <v/>
      </c>
      <c r="AQ412">
        <f>IF(A412="","",IF(ISNUMBER(SEARCH("Propelld",W412&amp;"")),1,0))</f>
        <v/>
      </c>
      <c r="AR412">
        <f>IF(A412="","",IF(ISNUMBER(SEARCH("GyanDhan",W412&amp;"")),1,0))</f>
        <v/>
      </c>
      <c r="AS412">
        <f>IF(A412="","",IF(ISNUMBER(SEARCH("vidyalakshmi",LOWER(W412&amp;""))),1,0))</f>
        <v/>
      </c>
      <c r="AT412">
        <f>IF(A412="","",IF(ISNUMBER(SEARCH("other bank",LOWER(W412&amp;""))),1,0))</f>
        <v/>
      </c>
      <c r="AU412">
        <f>IF(A412="","",IF(ISNUMBER(SEARCH("sanctioned",LOWER(W412&amp;""))),1,0))</f>
        <v/>
      </c>
      <c r="AV412">
        <f>IF(A412="","",IF(ISNUMBER(SEARCH("Docs Pending",W412&amp;"")),1,0))</f>
        <v/>
      </c>
      <c r="AW412">
        <f>IF(A412="","",IF(OR(X412="Rejected",ISNUMBER(SEARCH("Not eligbile",W412&amp;""))),1,0))</f>
        <v/>
      </c>
    </row>
    <row r="413">
      <c r="A413">
        <f>IF('01_Master_Data'!B413="","",412)</f>
        <v/>
      </c>
      <c r="B413">
        <f>IF('01_Master_Data'!B413="","",IF('01_Master_Data'!C413&lt;&gt;"","MOB|"&amp;TEXT('01_Master_Data'!C413,"0"),IF('01_Master_Data'!D413&lt;&gt;"","PID|"&amp;TRIM('01_Master_Data'!D413&amp;""),"")))</f>
        <v/>
      </c>
      <c r="C413">
        <f>IF('01_Master_Data'!B413="","",'01_Master_Data'!B413)</f>
        <v/>
      </c>
      <c r="D413">
        <f>IF('01_Master_Data'!B413="","",'01_Master_Data'!C413)</f>
        <v/>
      </c>
      <c r="E413">
        <f>IF('01_Master_Data'!B413="","",'01_Master_Data'!D413)</f>
        <v/>
      </c>
      <c r="F413">
        <f>IF('01_Master_Data'!B413="","",'01_Master_Data'!E413)</f>
        <v/>
      </c>
      <c r="G413">
        <f>IF('01_Master_Data'!B413="","",IFERROR(VLOOKUP(TRIM('01_Master_Data'!E413&amp;""),'02_Configuration'!$A$40:$B$44,2,FALSE),UPPER(TRIM('01_Master_Data'!E413&amp;""))))</f>
        <v/>
      </c>
      <c r="H413">
        <f>IF('01_Master_Data'!B413="","",IF('01_Master_Data'!U413="","",TRIM('01_Master_Data'!U413&amp;"")))</f>
        <v/>
      </c>
      <c r="I413">
        <f>IF('01_Master_Data'!B413="","",TRIM('01_Master_Data'!F413&amp;""))</f>
        <v/>
      </c>
      <c r="J413">
        <f>IF('01_Master_Data'!B413="","",TRIM('01_Master_Data'!G413&amp;""))</f>
        <v/>
      </c>
      <c r="K413">
        <f>IF('01_Master_Data'!B413="","",'01_Master_Data'!H413)</f>
        <v/>
      </c>
      <c r="L413">
        <f>IF('01_Master_Data'!B413="","",IF(LOWER(TRIM('01_Master_Data'!V413&amp;""))="yes",1,0))</f>
        <v/>
      </c>
      <c r="M413">
        <f>IF('01_Master_Data'!B413="","",IF(LOWER(TRIM('01_Master_Data'!W413&amp;""))="yes",1,0))</f>
        <v/>
      </c>
      <c r="N413">
        <f>IF('01_Master_Data'!B413="","",IF(LOWER(TRIM('01_Master_Data'!X413&amp;""))="yes",1,0))</f>
        <v/>
      </c>
      <c r="O413">
        <f>IF('01_Master_Data'!B413="","",IF(LOWER(TRIM('01_Master_Data'!Y413&amp;""))="yes",1,0))</f>
        <v/>
      </c>
      <c r="P413">
        <f>IF('01_Master_Data'!B413="","",IF(LOWER(TRIM('01_Master_Data'!Z413&amp;""))="yes",1,0))</f>
        <v/>
      </c>
      <c r="Q413">
        <f>IF(A413="","",L413+M413+N413+O413+P413)</f>
        <v/>
      </c>
      <c r="R413">
        <f>IF(A413="","",IF(Q413&gt;1,"Yes","No"))</f>
        <v/>
      </c>
      <c r="S413">
        <f>IF(A413="","",TEXTJOIN(", ",TRUE,IF(L413=1,"ICICI",""),IF(M413=1,"Propelld",""),IF(N413=1,"Study4Buddy",""),IF(O413=1,"Poonawala Fincorp",""),IF(P413=1,"GyanDhan","")))</f>
        <v/>
      </c>
      <c r="T413">
        <f>IF(A413="","",IF(L413=1,"ICICI",IF(M413=1,"Propelld",IF(P413=1,"GyanDhan",IF(N413=1,"Study4Buddy",IF(O413=1,"Poonawala Fincorp",IF(ISNUMBER(SEARCH("GyanDhan",W413&amp;"")),"GyanDhan",IF(ISNUMBER(SEARCH("Icici",W413&amp;"")),"ICICI",IF(ISNUMBER(SEARCH("Propelld",W413&amp;"")),"Propelld",IF(ISNUMBER(SEARCH("vidyalakshmi",LOWER(W413&amp;"")),"PM Vidyalakshmi","—"))))))))))</f>
        <v/>
      </c>
      <c r="U413">
        <f>IF(A413="","",TRIM('01_Master_Data'!AA413&amp;""))</f>
        <v/>
      </c>
      <c r="V413">
        <f>IF(A413="","",TRIM('01_Master_Data'!AG413&amp;""))</f>
        <v/>
      </c>
      <c r="W413">
        <f>IF(A413="","",TRIM('01_Master_Data'!AH413&amp;""))</f>
        <v/>
      </c>
      <c r="X413">
        <f>IF(A413="","",IF(OR(LOWER(H413)="refund",LOWER(U413)="refund case"),"Refund",IF(OR(LOWER(H413)="dnp",LOWER(U413)="dnp"),"DNP",IF(OR(LOWER(V413)="disbursed",ISNUMBER(SEARCH("Disbursed",W413&amp;""))),"Disbursed",IF(OR(LOWER(V413)="loan proccessed/accepted",ISNUMBER(SEARCH("sanctioned",LOWER(W413&amp;"")))),"Sanctioned",IF(OR(LOWER(V413)="rejected",ISNUMBER(SEARCH("Not eligbile",W413&amp;"")),ISNUMBER(SEARCH("Not eligible",W413&amp;""))),"Rejected",IF(ISNUMBER(SEARCH("Docs Pending",W413&amp;"")),"Documents Pending",IF(AND(LOWER(H413)="yes",LOWER(V413)="ongoing"),"Processing",IF(AND(LOWER(H413)="yes",Q413&gt;0,OR(V413="",LOWER(V413)="not even started")),"Vendor Assigned",IF(AND(LOWER(H413)="yes",LOWER(V413)="not even started"),"Need Loan",IF(LOWER(H413)="yes","Loan Started",IF(LOWER(H413)="not sure","Interested",IF(OR(LOWER(H413)="no",LOWER(V413)="not required"),"Not Required","Unclassified")))))))))))))</f>
        <v/>
      </c>
      <c r="Y413">
        <f>IF(A413="","",IF(OR(X413="Sanctioned",X413="Disbursed",X413="Approved"),"Approved",IF(X413="Rejected","Rejected",IF(OR(X413="Processing",X413="Documents Pending",X413="Vendor Assigned"),"In Progress",IF(X413="Need Loan","Pending Start","—"))))</f>
        <v/>
      </c>
      <c r="Z413">
        <f>IF(A413="","",IF(X413="Disbursed","Disbursed",IF(X413="Sanctioned","Sanctioned - Awaiting Disbursement","Not Disbursed")))</f>
        <v/>
      </c>
      <c r="AA413">
        <f>IF(A413="","",IF(LOWER(TRIM('01_Master_Data'!AI413&amp;""))="yes","Need FLDG",IF(LOWER(TRIM('01_Master_Data'!AK413&amp;""))="yes","Need Vidyalakshmi",IF(LOWER(TRIM('01_Master_Data'!AJ413&amp;""))="yes","Need Review",IF(LOWER(J413)="critical","Critical",IF(LOWER(U413)="risk","Risk Case",IF(X413="Refund","Refund","Normal")))))))</f>
        <v/>
      </c>
      <c r="AB413">
        <f>IF(A413="","",IF(OR(LOWER(J413)="critical",LOWER(TRIM('01_Master_Data'!AI413&amp;""))="yes",LOWER(TRIM('01_Master_Data'!AK413&amp;""))="yes",LOWER(U413)="risk"),"Yes","No"))</f>
        <v/>
      </c>
      <c r="AC413">
        <f>IF(A413="","",IF(LOWER(TRIM('01_Master_Data'!AI413&amp;""))="yes","Yes","No"))</f>
        <v/>
      </c>
      <c r="AD413">
        <f>IF(A413="","",IF(LOWER(TRIM('01_Master_Data'!AK413&amp;""))="yes","Yes","No"))</f>
        <v/>
      </c>
      <c r="AE413">
        <f>IF(A413="","",IF(LOWER(TRIM('01_Master_Data'!AJ413&amp;""))="yes","Yes","No"))</f>
        <v/>
      </c>
      <c r="AF413">
        <f>IF(A413="","",TRIM('01_Master_Data'!AL413&amp;""))</f>
        <v/>
      </c>
      <c r="AG413">
        <f>IF(A413="","",IF(AF413="","—",IF(ISNUMBER(SEARCH("DNP",AF413)),"Unreachable / DNP",IF(ISNUMBER(SEARCH("interest",LOWER(AF413))),"High Interest / Terms",IF(OR(ISNUMBER(SEARCH("eligib",LOWER(AF413))),ISNUMBER(SEARCH("income",LOWER(AF413)))),"Eligibility / Income",IF(OR(ISNUMBER(SEARCH("start",LOWER(AF413))),ISNUMBER(SEARCH("Newer",AF413)),ISNUMBER(SEARCH("Will start",AF413))),"Process Yet to Start",IF(ISNUMBER(SEARCH("sure",LOWER(AF413))),"Undecided",IF(OR(ISNUMBER(SEARCH("reject",LOWER(AF413))),ISNUMBER(SEARCH("SBI",AF413))),"Rejected Elsewhere",IF(ISNUMBER(SEARCH("call",LOWER(AF413))),"Bank Communication",IF(OR(ISNUMBER(SEARCH("father",LOWER(AF413))),ISNUMBER(SEARCH("sister",LOWER(AF413)))),"Family / Dependency","Other"))))))))))</f>
        <v/>
      </c>
      <c r="AH413">
        <f>IF(A413="","",'01_Master_Data'!AC413)</f>
        <v/>
      </c>
      <c r="AI413">
        <f>IF(A413="","",IF(OR(AH413="",NOT(ISNUMBER(AH413))),"",MAX(0,'02_Configuration'!$B$82-AH413)))</f>
        <v/>
      </c>
      <c r="AJ413">
        <f>IF(A413="","",IF(AI413="","Unknown",IF(AI413&lt;=3,"0–3 Days",IF(AI413&lt;=7,"4–7 Days",IF(AI413&lt;=15,"8–15 Days",IF(AI413&lt;=30,"16–30 Days","30+ Days"))))))</f>
        <v/>
      </c>
      <c r="AK413">
        <f>IF(A413="","",IF(LOWER(H413)="yes","Yes","No"))</f>
        <v/>
      </c>
      <c r="AL413">
        <f>IF(A413="","",'01_Master_Data'!T413)</f>
        <v/>
      </c>
      <c r="AM413">
        <f>IF(A413="","",'01_Master_Data'!S413)</f>
        <v/>
      </c>
      <c r="AN413">
        <f>IF(A413="","",'01_Master_Data'!I413)</f>
        <v/>
      </c>
      <c r="AO413">
        <f>IF(A413="","",'01_Master_Data'!M413)</f>
        <v/>
      </c>
      <c r="AP413">
        <f>IF(A413="","",IF(ISNUMBER(SEARCH("Icici",W413&amp;"")),1,0))</f>
        <v/>
      </c>
      <c r="AQ413">
        <f>IF(A413="","",IF(ISNUMBER(SEARCH("Propelld",W413&amp;"")),1,0))</f>
        <v/>
      </c>
      <c r="AR413">
        <f>IF(A413="","",IF(ISNUMBER(SEARCH("GyanDhan",W413&amp;"")),1,0))</f>
        <v/>
      </c>
      <c r="AS413">
        <f>IF(A413="","",IF(ISNUMBER(SEARCH("vidyalakshmi",LOWER(W413&amp;""))),1,0))</f>
        <v/>
      </c>
      <c r="AT413">
        <f>IF(A413="","",IF(ISNUMBER(SEARCH("other bank",LOWER(W413&amp;""))),1,0))</f>
        <v/>
      </c>
      <c r="AU413">
        <f>IF(A413="","",IF(ISNUMBER(SEARCH("sanctioned",LOWER(W413&amp;""))),1,0))</f>
        <v/>
      </c>
      <c r="AV413">
        <f>IF(A413="","",IF(ISNUMBER(SEARCH("Docs Pending",W413&amp;"")),1,0))</f>
        <v/>
      </c>
      <c r="AW413">
        <f>IF(A413="","",IF(OR(X413="Rejected",ISNUMBER(SEARCH("Not eligbile",W413&amp;""))),1,0))</f>
        <v/>
      </c>
    </row>
    <row r="414">
      <c r="A414">
        <f>IF('01_Master_Data'!B414="","",413)</f>
        <v/>
      </c>
      <c r="B414">
        <f>IF('01_Master_Data'!B414="","",IF('01_Master_Data'!C414&lt;&gt;"","MOB|"&amp;TEXT('01_Master_Data'!C414,"0"),IF('01_Master_Data'!D414&lt;&gt;"","PID|"&amp;TRIM('01_Master_Data'!D414&amp;""),"")))</f>
        <v/>
      </c>
      <c r="C414">
        <f>IF('01_Master_Data'!B414="","",'01_Master_Data'!B414)</f>
        <v/>
      </c>
      <c r="D414">
        <f>IF('01_Master_Data'!B414="","",'01_Master_Data'!C414)</f>
        <v/>
      </c>
      <c r="E414">
        <f>IF('01_Master_Data'!B414="","",'01_Master_Data'!D414)</f>
        <v/>
      </c>
      <c r="F414">
        <f>IF('01_Master_Data'!B414="","",'01_Master_Data'!E414)</f>
        <v/>
      </c>
      <c r="G414">
        <f>IF('01_Master_Data'!B414="","",IFERROR(VLOOKUP(TRIM('01_Master_Data'!E414&amp;""),'02_Configuration'!$A$40:$B$44,2,FALSE),UPPER(TRIM('01_Master_Data'!E414&amp;""))))</f>
        <v/>
      </c>
      <c r="H414">
        <f>IF('01_Master_Data'!B414="","",IF('01_Master_Data'!U414="","",TRIM('01_Master_Data'!U414&amp;"")))</f>
        <v/>
      </c>
      <c r="I414">
        <f>IF('01_Master_Data'!B414="","",TRIM('01_Master_Data'!F414&amp;""))</f>
        <v/>
      </c>
      <c r="J414">
        <f>IF('01_Master_Data'!B414="","",TRIM('01_Master_Data'!G414&amp;""))</f>
        <v/>
      </c>
      <c r="K414">
        <f>IF('01_Master_Data'!B414="","",'01_Master_Data'!H414)</f>
        <v/>
      </c>
      <c r="L414">
        <f>IF('01_Master_Data'!B414="","",IF(LOWER(TRIM('01_Master_Data'!V414&amp;""))="yes",1,0))</f>
        <v/>
      </c>
      <c r="M414">
        <f>IF('01_Master_Data'!B414="","",IF(LOWER(TRIM('01_Master_Data'!W414&amp;""))="yes",1,0))</f>
        <v/>
      </c>
      <c r="N414">
        <f>IF('01_Master_Data'!B414="","",IF(LOWER(TRIM('01_Master_Data'!X414&amp;""))="yes",1,0))</f>
        <v/>
      </c>
      <c r="O414">
        <f>IF('01_Master_Data'!B414="","",IF(LOWER(TRIM('01_Master_Data'!Y414&amp;""))="yes",1,0))</f>
        <v/>
      </c>
      <c r="P414">
        <f>IF('01_Master_Data'!B414="","",IF(LOWER(TRIM('01_Master_Data'!Z414&amp;""))="yes",1,0))</f>
        <v/>
      </c>
      <c r="Q414">
        <f>IF(A414="","",L414+M414+N414+O414+P414)</f>
        <v/>
      </c>
      <c r="R414">
        <f>IF(A414="","",IF(Q414&gt;1,"Yes","No"))</f>
        <v/>
      </c>
      <c r="S414">
        <f>IF(A414="","",TEXTJOIN(", ",TRUE,IF(L414=1,"ICICI",""),IF(M414=1,"Propelld",""),IF(N414=1,"Study4Buddy",""),IF(O414=1,"Poonawala Fincorp",""),IF(P414=1,"GyanDhan","")))</f>
        <v/>
      </c>
      <c r="T414">
        <f>IF(A414="","",IF(L414=1,"ICICI",IF(M414=1,"Propelld",IF(P414=1,"GyanDhan",IF(N414=1,"Study4Buddy",IF(O414=1,"Poonawala Fincorp",IF(ISNUMBER(SEARCH("GyanDhan",W414&amp;"")),"GyanDhan",IF(ISNUMBER(SEARCH("Icici",W414&amp;"")),"ICICI",IF(ISNUMBER(SEARCH("Propelld",W414&amp;"")),"Propelld",IF(ISNUMBER(SEARCH("vidyalakshmi",LOWER(W414&amp;"")),"PM Vidyalakshmi","—"))))))))))</f>
        <v/>
      </c>
      <c r="U414">
        <f>IF(A414="","",TRIM('01_Master_Data'!AA414&amp;""))</f>
        <v/>
      </c>
      <c r="V414">
        <f>IF(A414="","",TRIM('01_Master_Data'!AG414&amp;""))</f>
        <v/>
      </c>
      <c r="W414">
        <f>IF(A414="","",TRIM('01_Master_Data'!AH414&amp;""))</f>
        <v/>
      </c>
      <c r="X414">
        <f>IF(A414="","",IF(OR(LOWER(H414)="refund",LOWER(U414)="refund case"),"Refund",IF(OR(LOWER(H414)="dnp",LOWER(U414)="dnp"),"DNP",IF(OR(LOWER(V414)="disbursed",ISNUMBER(SEARCH("Disbursed",W414&amp;""))),"Disbursed",IF(OR(LOWER(V414)="loan proccessed/accepted",ISNUMBER(SEARCH("sanctioned",LOWER(W414&amp;"")))),"Sanctioned",IF(OR(LOWER(V414)="rejected",ISNUMBER(SEARCH("Not eligbile",W414&amp;"")),ISNUMBER(SEARCH("Not eligible",W414&amp;""))),"Rejected",IF(ISNUMBER(SEARCH("Docs Pending",W414&amp;"")),"Documents Pending",IF(AND(LOWER(H414)="yes",LOWER(V414)="ongoing"),"Processing",IF(AND(LOWER(H414)="yes",Q414&gt;0,OR(V414="",LOWER(V414)="not even started")),"Vendor Assigned",IF(AND(LOWER(H414)="yes",LOWER(V414)="not even started"),"Need Loan",IF(LOWER(H414)="yes","Loan Started",IF(LOWER(H414)="not sure","Interested",IF(OR(LOWER(H414)="no",LOWER(V414)="not required"),"Not Required","Unclassified")))))))))))))</f>
        <v/>
      </c>
      <c r="Y414">
        <f>IF(A414="","",IF(OR(X414="Sanctioned",X414="Disbursed",X414="Approved"),"Approved",IF(X414="Rejected","Rejected",IF(OR(X414="Processing",X414="Documents Pending",X414="Vendor Assigned"),"In Progress",IF(X414="Need Loan","Pending Start","—"))))</f>
        <v/>
      </c>
      <c r="Z414">
        <f>IF(A414="","",IF(X414="Disbursed","Disbursed",IF(X414="Sanctioned","Sanctioned - Awaiting Disbursement","Not Disbursed")))</f>
        <v/>
      </c>
      <c r="AA414">
        <f>IF(A414="","",IF(LOWER(TRIM('01_Master_Data'!AI414&amp;""))="yes","Need FLDG",IF(LOWER(TRIM('01_Master_Data'!AK414&amp;""))="yes","Need Vidyalakshmi",IF(LOWER(TRIM('01_Master_Data'!AJ414&amp;""))="yes","Need Review",IF(LOWER(J414)="critical","Critical",IF(LOWER(U414)="risk","Risk Case",IF(X414="Refund","Refund","Normal")))))))</f>
        <v/>
      </c>
      <c r="AB414">
        <f>IF(A414="","",IF(OR(LOWER(J414)="critical",LOWER(TRIM('01_Master_Data'!AI414&amp;""))="yes",LOWER(TRIM('01_Master_Data'!AK414&amp;""))="yes",LOWER(U414)="risk"),"Yes","No"))</f>
        <v/>
      </c>
      <c r="AC414">
        <f>IF(A414="","",IF(LOWER(TRIM('01_Master_Data'!AI414&amp;""))="yes","Yes","No"))</f>
        <v/>
      </c>
      <c r="AD414">
        <f>IF(A414="","",IF(LOWER(TRIM('01_Master_Data'!AK414&amp;""))="yes","Yes","No"))</f>
        <v/>
      </c>
      <c r="AE414">
        <f>IF(A414="","",IF(LOWER(TRIM('01_Master_Data'!AJ414&amp;""))="yes","Yes","No"))</f>
        <v/>
      </c>
      <c r="AF414">
        <f>IF(A414="","",TRIM('01_Master_Data'!AL414&amp;""))</f>
        <v/>
      </c>
      <c r="AG414">
        <f>IF(A414="","",IF(AF414="","—",IF(ISNUMBER(SEARCH("DNP",AF414)),"Unreachable / DNP",IF(ISNUMBER(SEARCH("interest",LOWER(AF414))),"High Interest / Terms",IF(OR(ISNUMBER(SEARCH("eligib",LOWER(AF414))),ISNUMBER(SEARCH("income",LOWER(AF414)))),"Eligibility / Income",IF(OR(ISNUMBER(SEARCH("start",LOWER(AF414))),ISNUMBER(SEARCH("Newer",AF414)),ISNUMBER(SEARCH("Will start",AF414))),"Process Yet to Start",IF(ISNUMBER(SEARCH("sure",LOWER(AF414))),"Undecided",IF(OR(ISNUMBER(SEARCH("reject",LOWER(AF414))),ISNUMBER(SEARCH("SBI",AF414))),"Rejected Elsewhere",IF(ISNUMBER(SEARCH("call",LOWER(AF414))),"Bank Communication",IF(OR(ISNUMBER(SEARCH("father",LOWER(AF414))),ISNUMBER(SEARCH("sister",LOWER(AF414)))),"Family / Dependency","Other"))))))))))</f>
        <v/>
      </c>
      <c r="AH414">
        <f>IF(A414="","",'01_Master_Data'!AC414)</f>
        <v/>
      </c>
      <c r="AI414">
        <f>IF(A414="","",IF(OR(AH414="",NOT(ISNUMBER(AH414))),"",MAX(0,'02_Configuration'!$B$82-AH414)))</f>
        <v/>
      </c>
      <c r="AJ414">
        <f>IF(A414="","",IF(AI414="","Unknown",IF(AI414&lt;=3,"0–3 Days",IF(AI414&lt;=7,"4–7 Days",IF(AI414&lt;=15,"8–15 Days",IF(AI414&lt;=30,"16–30 Days","30+ Days"))))))</f>
        <v/>
      </c>
      <c r="AK414">
        <f>IF(A414="","",IF(LOWER(H414)="yes","Yes","No"))</f>
        <v/>
      </c>
      <c r="AL414">
        <f>IF(A414="","",'01_Master_Data'!T414)</f>
        <v/>
      </c>
      <c r="AM414">
        <f>IF(A414="","",'01_Master_Data'!S414)</f>
        <v/>
      </c>
      <c r="AN414">
        <f>IF(A414="","",'01_Master_Data'!I414)</f>
        <v/>
      </c>
      <c r="AO414">
        <f>IF(A414="","",'01_Master_Data'!M414)</f>
        <v/>
      </c>
      <c r="AP414">
        <f>IF(A414="","",IF(ISNUMBER(SEARCH("Icici",W414&amp;"")),1,0))</f>
        <v/>
      </c>
      <c r="AQ414">
        <f>IF(A414="","",IF(ISNUMBER(SEARCH("Propelld",W414&amp;"")),1,0))</f>
        <v/>
      </c>
      <c r="AR414">
        <f>IF(A414="","",IF(ISNUMBER(SEARCH("GyanDhan",W414&amp;"")),1,0))</f>
        <v/>
      </c>
      <c r="AS414">
        <f>IF(A414="","",IF(ISNUMBER(SEARCH("vidyalakshmi",LOWER(W414&amp;""))),1,0))</f>
        <v/>
      </c>
      <c r="AT414">
        <f>IF(A414="","",IF(ISNUMBER(SEARCH("other bank",LOWER(W414&amp;""))),1,0))</f>
        <v/>
      </c>
      <c r="AU414">
        <f>IF(A414="","",IF(ISNUMBER(SEARCH("sanctioned",LOWER(W414&amp;""))),1,0))</f>
        <v/>
      </c>
      <c r="AV414">
        <f>IF(A414="","",IF(ISNUMBER(SEARCH("Docs Pending",W414&amp;"")),1,0))</f>
        <v/>
      </c>
      <c r="AW414">
        <f>IF(A414="","",IF(OR(X414="Rejected",ISNUMBER(SEARCH("Not eligbile",W414&amp;""))),1,0))</f>
        <v/>
      </c>
    </row>
    <row r="415">
      <c r="A415">
        <f>IF('01_Master_Data'!B415="","",414)</f>
        <v/>
      </c>
      <c r="B415">
        <f>IF('01_Master_Data'!B415="","",IF('01_Master_Data'!C415&lt;&gt;"","MOB|"&amp;TEXT('01_Master_Data'!C415,"0"),IF('01_Master_Data'!D415&lt;&gt;"","PID|"&amp;TRIM('01_Master_Data'!D415&amp;""),"")))</f>
        <v/>
      </c>
      <c r="C415">
        <f>IF('01_Master_Data'!B415="","",'01_Master_Data'!B415)</f>
        <v/>
      </c>
      <c r="D415">
        <f>IF('01_Master_Data'!B415="","",'01_Master_Data'!C415)</f>
        <v/>
      </c>
      <c r="E415">
        <f>IF('01_Master_Data'!B415="","",'01_Master_Data'!D415)</f>
        <v/>
      </c>
      <c r="F415">
        <f>IF('01_Master_Data'!B415="","",'01_Master_Data'!E415)</f>
        <v/>
      </c>
      <c r="G415">
        <f>IF('01_Master_Data'!B415="","",IFERROR(VLOOKUP(TRIM('01_Master_Data'!E415&amp;""),'02_Configuration'!$A$40:$B$44,2,FALSE),UPPER(TRIM('01_Master_Data'!E415&amp;""))))</f>
        <v/>
      </c>
      <c r="H415">
        <f>IF('01_Master_Data'!B415="","",IF('01_Master_Data'!U415="","",TRIM('01_Master_Data'!U415&amp;"")))</f>
        <v/>
      </c>
      <c r="I415">
        <f>IF('01_Master_Data'!B415="","",TRIM('01_Master_Data'!F415&amp;""))</f>
        <v/>
      </c>
      <c r="J415">
        <f>IF('01_Master_Data'!B415="","",TRIM('01_Master_Data'!G415&amp;""))</f>
        <v/>
      </c>
      <c r="K415">
        <f>IF('01_Master_Data'!B415="","",'01_Master_Data'!H415)</f>
        <v/>
      </c>
      <c r="L415">
        <f>IF('01_Master_Data'!B415="","",IF(LOWER(TRIM('01_Master_Data'!V415&amp;""))="yes",1,0))</f>
        <v/>
      </c>
      <c r="M415">
        <f>IF('01_Master_Data'!B415="","",IF(LOWER(TRIM('01_Master_Data'!W415&amp;""))="yes",1,0))</f>
        <v/>
      </c>
      <c r="N415">
        <f>IF('01_Master_Data'!B415="","",IF(LOWER(TRIM('01_Master_Data'!X415&amp;""))="yes",1,0))</f>
        <v/>
      </c>
      <c r="O415">
        <f>IF('01_Master_Data'!B415="","",IF(LOWER(TRIM('01_Master_Data'!Y415&amp;""))="yes",1,0))</f>
        <v/>
      </c>
      <c r="P415">
        <f>IF('01_Master_Data'!B415="","",IF(LOWER(TRIM('01_Master_Data'!Z415&amp;""))="yes",1,0))</f>
        <v/>
      </c>
      <c r="Q415">
        <f>IF(A415="","",L415+M415+N415+O415+P415)</f>
        <v/>
      </c>
      <c r="R415">
        <f>IF(A415="","",IF(Q415&gt;1,"Yes","No"))</f>
        <v/>
      </c>
      <c r="S415">
        <f>IF(A415="","",TEXTJOIN(", ",TRUE,IF(L415=1,"ICICI",""),IF(M415=1,"Propelld",""),IF(N415=1,"Study4Buddy",""),IF(O415=1,"Poonawala Fincorp",""),IF(P415=1,"GyanDhan","")))</f>
        <v/>
      </c>
      <c r="T415">
        <f>IF(A415="","",IF(L415=1,"ICICI",IF(M415=1,"Propelld",IF(P415=1,"GyanDhan",IF(N415=1,"Study4Buddy",IF(O415=1,"Poonawala Fincorp",IF(ISNUMBER(SEARCH("GyanDhan",W415&amp;"")),"GyanDhan",IF(ISNUMBER(SEARCH("Icici",W415&amp;"")),"ICICI",IF(ISNUMBER(SEARCH("Propelld",W415&amp;"")),"Propelld",IF(ISNUMBER(SEARCH("vidyalakshmi",LOWER(W415&amp;"")),"PM Vidyalakshmi","—"))))))))))</f>
        <v/>
      </c>
      <c r="U415">
        <f>IF(A415="","",TRIM('01_Master_Data'!AA415&amp;""))</f>
        <v/>
      </c>
      <c r="V415">
        <f>IF(A415="","",TRIM('01_Master_Data'!AG415&amp;""))</f>
        <v/>
      </c>
      <c r="W415">
        <f>IF(A415="","",TRIM('01_Master_Data'!AH415&amp;""))</f>
        <v/>
      </c>
      <c r="X415">
        <f>IF(A415="","",IF(OR(LOWER(H415)="refund",LOWER(U415)="refund case"),"Refund",IF(OR(LOWER(H415)="dnp",LOWER(U415)="dnp"),"DNP",IF(OR(LOWER(V415)="disbursed",ISNUMBER(SEARCH("Disbursed",W415&amp;""))),"Disbursed",IF(OR(LOWER(V415)="loan proccessed/accepted",ISNUMBER(SEARCH("sanctioned",LOWER(W415&amp;"")))),"Sanctioned",IF(OR(LOWER(V415)="rejected",ISNUMBER(SEARCH("Not eligbile",W415&amp;"")),ISNUMBER(SEARCH("Not eligible",W415&amp;""))),"Rejected",IF(ISNUMBER(SEARCH("Docs Pending",W415&amp;"")),"Documents Pending",IF(AND(LOWER(H415)="yes",LOWER(V415)="ongoing"),"Processing",IF(AND(LOWER(H415)="yes",Q415&gt;0,OR(V415="",LOWER(V415)="not even started")),"Vendor Assigned",IF(AND(LOWER(H415)="yes",LOWER(V415)="not even started"),"Need Loan",IF(LOWER(H415)="yes","Loan Started",IF(LOWER(H415)="not sure","Interested",IF(OR(LOWER(H415)="no",LOWER(V415)="not required"),"Not Required","Unclassified")))))))))))))</f>
        <v/>
      </c>
      <c r="Y415">
        <f>IF(A415="","",IF(OR(X415="Sanctioned",X415="Disbursed",X415="Approved"),"Approved",IF(X415="Rejected","Rejected",IF(OR(X415="Processing",X415="Documents Pending",X415="Vendor Assigned"),"In Progress",IF(X415="Need Loan","Pending Start","—"))))</f>
        <v/>
      </c>
      <c r="Z415">
        <f>IF(A415="","",IF(X415="Disbursed","Disbursed",IF(X415="Sanctioned","Sanctioned - Awaiting Disbursement","Not Disbursed")))</f>
        <v/>
      </c>
      <c r="AA415">
        <f>IF(A415="","",IF(LOWER(TRIM('01_Master_Data'!AI415&amp;""))="yes","Need FLDG",IF(LOWER(TRIM('01_Master_Data'!AK415&amp;""))="yes","Need Vidyalakshmi",IF(LOWER(TRIM('01_Master_Data'!AJ415&amp;""))="yes","Need Review",IF(LOWER(J415)="critical","Critical",IF(LOWER(U415)="risk","Risk Case",IF(X415="Refund","Refund","Normal")))))))</f>
        <v/>
      </c>
      <c r="AB415">
        <f>IF(A415="","",IF(OR(LOWER(J415)="critical",LOWER(TRIM('01_Master_Data'!AI415&amp;""))="yes",LOWER(TRIM('01_Master_Data'!AK415&amp;""))="yes",LOWER(U415)="risk"),"Yes","No"))</f>
        <v/>
      </c>
      <c r="AC415">
        <f>IF(A415="","",IF(LOWER(TRIM('01_Master_Data'!AI415&amp;""))="yes","Yes","No"))</f>
        <v/>
      </c>
      <c r="AD415">
        <f>IF(A415="","",IF(LOWER(TRIM('01_Master_Data'!AK415&amp;""))="yes","Yes","No"))</f>
        <v/>
      </c>
      <c r="AE415">
        <f>IF(A415="","",IF(LOWER(TRIM('01_Master_Data'!AJ415&amp;""))="yes","Yes","No"))</f>
        <v/>
      </c>
      <c r="AF415">
        <f>IF(A415="","",TRIM('01_Master_Data'!AL415&amp;""))</f>
        <v/>
      </c>
      <c r="AG415">
        <f>IF(A415="","",IF(AF415="","—",IF(ISNUMBER(SEARCH("DNP",AF415)),"Unreachable / DNP",IF(ISNUMBER(SEARCH("interest",LOWER(AF415))),"High Interest / Terms",IF(OR(ISNUMBER(SEARCH("eligib",LOWER(AF415))),ISNUMBER(SEARCH("income",LOWER(AF415)))),"Eligibility / Income",IF(OR(ISNUMBER(SEARCH("start",LOWER(AF415))),ISNUMBER(SEARCH("Newer",AF415)),ISNUMBER(SEARCH("Will start",AF415))),"Process Yet to Start",IF(ISNUMBER(SEARCH("sure",LOWER(AF415))),"Undecided",IF(OR(ISNUMBER(SEARCH("reject",LOWER(AF415))),ISNUMBER(SEARCH("SBI",AF415))),"Rejected Elsewhere",IF(ISNUMBER(SEARCH("call",LOWER(AF415))),"Bank Communication",IF(OR(ISNUMBER(SEARCH("father",LOWER(AF415))),ISNUMBER(SEARCH("sister",LOWER(AF415)))),"Family / Dependency","Other"))))))))))</f>
        <v/>
      </c>
      <c r="AH415">
        <f>IF(A415="","",'01_Master_Data'!AC415)</f>
        <v/>
      </c>
      <c r="AI415">
        <f>IF(A415="","",IF(OR(AH415="",NOT(ISNUMBER(AH415))),"",MAX(0,'02_Configuration'!$B$82-AH415)))</f>
        <v/>
      </c>
      <c r="AJ415">
        <f>IF(A415="","",IF(AI415="","Unknown",IF(AI415&lt;=3,"0–3 Days",IF(AI415&lt;=7,"4–7 Days",IF(AI415&lt;=15,"8–15 Days",IF(AI415&lt;=30,"16–30 Days","30+ Days"))))))</f>
        <v/>
      </c>
      <c r="AK415">
        <f>IF(A415="","",IF(LOWER(H415)="yes","Yes","No"))</f>
        <v/>
      </c>
      <c r="AL415">
        <f>IF(A415="","",'01_Master_Data'!T415)</f>
        <v/>
      </c>
      <c r="AM415">
        <f>IF(A415="","",'01_Master_Data'!S415)</f>
        <v/>
      </c>
      <c r="AN415">
        <f>IF(A415="","",'01_Master_Data'!I415)</f>
        <v/>
      </c>
      <c r="AO415">
        <f>IF(A415="","",'01_Master_Data'!M415)</f>
        <v/>
      </c>
      <c r="AP415">
        <f>IF(A415="","",IF(ISNUMBER(SEARCH("Icici",W415&amp;"")),1,0))</f>
        <v/>
      </c>
      <c r="AQ415">
        <f>IF(A415="","",IF(ISNUMBER(SEARCH("Propelld",W415&amp;"")),1,0))</f>
        <v/>
      </c>
      <c r="AR415">
        <f>IF(A415="","",IF(ISNUMBER(SEARCH("GyanDhan",W415&amp;"")),1,0))</f>
        <v/>
      </c>
      <c r="AS415">
        <f>IF(A415="","",IF(ISNUMBER(SEARCH("vidyalakshmi",LOWER(W415&amp;""))),1,0))</f>
        <v/>
      </c>
      <c r="AT415">
        <f>IF(A415="","",IF(ISNUMBER(SEARCH("other bank",LOWER(W415&amp;""))),1,0))</f>
        <v/>
      </c>
      <c r="AU415">
        <f>IF(A415="","",IF(ISNUMBER(SEARCH("sanctioned",LOWER(W415&amp;""))),1,0))</f>
        <v/>
      </c>
      <c r="AV415">
        <f>IF(A415="","",IF(ISNUMBER(SEARCH("Docs Pending",W415&amp;"")),1,0))</f>
        <v/>
      </c>
      <c r="AW415">
        <f>IF(A415="","",IF(OR(X415="Rejected",ISNUMBER(SEARCH("Not eligbile",W415&amp;""))),1,0))</f>
        <v/>
      </c>
    </row>
    <row r="416">
      <c r="A416">
        <f>IF('01_Master_Data'!B416="","",415)</f>
        <v/>
      </c>
      <c r="B416">
        <f>IF('01_Master_Data'!B416="","",IF('01_Master_Data'!C416&lt;&gt;"","MOB|"&amp;TEXT('01_Master_Data'!C416,"0"),IF('01_Master_Data'!D416&lt;&gt;"","PID|"&amp;TRIM('01_Master_Data'!D416&amp;""),"")))</f>
        <v/>
      </c>
      <c r="C416">
        <f>IF('01_Master_Data'!B416="","",'01_Master_Data'!B416)</f>
        <v/>
      </c>
      <c r="D416">
        <f>IF('01_Master_Data'!B416="","",'01_Master_Data'!C416)</f>
        <v/>
      </c>
      <c r="E416">
        <f>IF('01_Master_Data'!B416="","",'01_Master_Data'!D416)</f>
        <v/>
      </c>
      <c r="F416">
        <f>IF('01_Master_Data'!B416="","",'01_Master_Data'!E416)</f>
        <v/>
      </c>
      <c r="G416">
        <f>IF('01_Master_Data'!B416="","",IFERROR(VLOOKUP(TRIM('01_Master_Data'!E416&amp;""),'02_Configuration'!$A$40:$B$44,2,FALSE),UPPER(TRIM('01_Master_Data'!E416&amp;""))))</f>
        <v/>
      </c>
      <c r="H416">
        <f>IF('01_Master_Data'!B416="","",IF('01_Master_Data'!U416="","",TRIM('01_Master_Data'!U416&amp;"")))</f>
        <v/>
      </c>
      <c r="I416">
        <f>IF('01_Master_Data'!B416="","",TRIM('01_Master_Data'!F416&amp;""))</f>
        <v/>
      </c>
      <c r="J416">
        <f>IF('01_Master_Data'!B416="","",TRIM('01_Master_Data'!G416&amp;""))</f>
        <v/>
      </c>
      <c r="K416">
        <f>IF('01_Master_Data'!B416="","",'01_Master_Data'!H416)</f>
        <v/>
      </c>
      <c r="L416">
        <f>IF('01_Master_Data'!B416="","",IF(LOWER(TRIM('01_Master_Data'!V416&amp;""))="yes",1,0))</f>
        <v/>
      </c>
      <c r="M416">
        <f>IF('01_Master_Data'!B416="","",IF(LOWER(TRIM('01_Master_Data'!W416&amp;""))="yes",1,0))</f>
        <v/>
      </c>
      <c r="N416">
        <f>IF('01_Master_Data'!B416="","",IF(LOWER(TRIM('01_Master_Data'!X416&amp;""))="yes",1,0))</f>
        <v/>
      </c>
      <c r="O416">
        <f>IF('01_Master_Data'!B416="","",IF(LOWER(TRIM('01_Master_Data'!Y416&amp;""))="yes",1,0))</f>
        <v/>
      </c>
      <c r="P416">
        <f>IF('01_Master_Data'!B416="","",IF(LOWER(TRIM('01_Master_Data'!Z416&amp;""))="yes",1,0))</f>
        <v/>
      </c>
      <c r="Q416">
        <f>IF(A416="","",L416+M416+N416+O416+P416)</f>
        <v/>
      </c>
      <c r="R416">
        <f>IF(A416="","",IF(Q416&gt;1,"Yes","No"))</f>
        <v/>
      </c>
      <c r="S416">
        <f>IF(A416="","",TEXTJOIN(", ",TRUE,IF(L416=1,"ICICI",""),IF(M416=1,"Propelld",""),IF(N416=1,"Study4Buddy",""),IF(O416=1,"Poonawala Fincorp",""),IF(P416=1,"GyanDhan","")))</f>
        <v/>
      </c>
      <c r="T416">
        <f>IF(A416="","",IF(L416=1,"ICICI",IF(M416=1,"Propelld",IF(P416=1,"GyanDhan",IF(N416=1,"Study4Buddy",IF(O416=1,"Poonawala Fincorp",IF(ISNUMBER(SEARCH("GyanDhan",W416&amp;"")),"GyanDhan",IF(ISNUMBER(SEARCH("Icici",W416&amp;"")),"ICICI",IF(ISNUMBER(SEARCH("Propelld",W416&amp;"")),"Propelld",IF(ISNUMBER(SEARCH("vidyalakshmi",LOWER(W416&amp;"")),"PM Vidyalakshmi","—"))))))))))</f>
        <v/>
      </c>
      <c r="U416">
        <f>IF(A416="","",TRIM('01_Master_Data'!AA416&amp;""))</f>
        <v/>
      </c>
      <c r="V416">
        <f>IF(A416="","",TRIM('01_Master_Data'!AG416&amp;""))</f>
        <v/>
      </c>
      <c r="W416">
        <f>IF(A416="","",TRIM('01_Master_Data'!AH416&amp;""))</f>
        <v/>
      </c>
      <c r="X416">
        <f>IF(A416="","",IF(OR(LOWER(H416)="refund",LOWER(U416)="refund case"),"Refund",IF(OR(LOWER(H416)="dnp",LOWER(U416)="dnp"),"DNP",IF(OR(LOWER(V416)="disbursed",ISNUMBER(SEARCH("Disbursed",W416&amp;""))),"Disbursed",IF(OR(LOWER(V416)="loan proccessed/accepted",ISNUMBER(SEARCH("sanctioned",LOWER(W416&amp;"")))),"Sanctioned",IF(OR(LOWER(V416)="rejected",ISNUMBER(SEARCH("Not eligbile",W416&amp;"")),ISNUMBER(SEARCH("Not eligible",W416&amp;""))),"Rejected",IF(ISNUMBER(SEARCH("Docs Pending",W416&amp;"")),"Documents Pending",IF(AND(LOWER(H416)="yes",LOWER(V416)="ongoing"),"Processing",IF(AND(LOWER(H416)="yes",Q416&gt;0,OR(V416="",LOWER(V416)="not even started")),"Vendor Assigned",IF(AND(LOWER(H416)="yes",LOWER(V416)="not even started"),"Need Loan",IF(LOWER(H416)="yes","Loan Started",IF(LOWER(H416)="not sure","Interested",IF(OR(LOWER(H416)="no",LOWER(V416)="not required"),"Not Required","Unclassified")))))))))))))</f>
        <v/>
      </c>
      <c r="Y416">
        <f>IF(A416="","",IF(OR(X416="Sanctioned",X416="Disbursed",X416="Approved"),"Approved",IF(X416="Rejected","Rejected",IF(OR(X416="Processing",X416="Documents Pending",X416="Vendor Assigned"),"In Progress",IF(X416="Need Loan","Pending Start","—"))))</f>
        <v/>
      </c>
      <c r="Z416">
        <f>IF(A416="","",IF(X416="Disbursed","Disbursed",IF(X416="Sanctioned","Sanctioned - Awaiting Disbursement","Not Disbursed")))</f>
        <v/>
      </c>
      <c r="AA416">
        <f>IF(A416="","",IF(LOWER(TRIM('01_Master_Data'!AI416&amp;""))="yes","Need FLDG",IF(LOWER(TRIM('01_Master_Data'!AK416&amp;""))="yes","Need Vidyalakshmi",IF(LOWER(TRIM('01_Master_Data'!AJ416&amp;""))="yes","Need Review",IF(LOWER(J416)="critical","Critical",IF(LOWER(U416)="risk","Risk Case",IF(X416="Refund","Refund","Normal")))))))</f>
        <v/>
      </c>
      <c r="AB416">
        <f>IF(A416="","",IF(OR(LOWER(J416)="critical",LOWER(TRIM('01_Master_Data'!AI416&amp;""))="yes",LOWER(TRIM('01_Master_Data'!AK416&amp;""))="yes",LOWER(U416)="risk"),"Yes","No"))</f>
        <v/>
      </c>
      <c r="AC416">
        <f>IF(A416="","",IF(LOWER(TRIM('01_Master_Data'!AI416&amp;""))="yes","Yes","No"))</f>
        <v/>
      </c>
      <c r="AD416">
        <f>IF(A416="","",IF(LOWER(TRIM('01_Master_Data'!AK416&amp;""))="yes","Yes","No"))</f>
        <v/>
      </c>
      <c r="AE416">
        <f>IF(A416="","",IF(LOWER(TRIM('01_Master_Data'!AJ416&amp;""))="yes","Yes","No"))</f>
        <v/>
      </c>
      <c r="AF416">
        <f>IF(A416="","",TRIM('01_Master_Data'!AL416&amp;""))</f>
        <v/>
      </c>
      <c r="AG416">
        <f>IF(A416="","",IF(AF416="","—",IF(ISNUMBER(SEARCH("DNP",AF416)),"Unreachable / DNP",IF(ISNUMBER(SEARCH("interest",LOWER(AF416))),"High Interest / Terms",IF(OR(ISNUMBER(SEARCH("eligib",LOWER(AF416))),ISNUMBER(SEARCH("income",LOWER(AF416)))),"Eligibility / Income",IF(OR(ISNUMBER(SEARCH("start",LOWER(AF416))),ISNUMBER(SEARCH("Newer",AF416)),ISNUMBER(SEARCH("Will start",AF416))),"Process Yet to Start",IF(ISNUMBER(SEARCH("sure",LOWER(AF416))),"Undecided",IF(OR(ISNUMBER(SEARCH("reject",LOWER(AF416))),ISNUMBER(SEARCH("SBI",AF416))),"Rejected Elsewhere",IF(ISNUMBER(SEARCH("call",LOWER(AF416))),"Bank Communication",IF(OR(ISNUMBER(SEARCH("father",LOWER(AF416))),ISNUMBER(SEARCH("sister",LOWER(AF416)))),"Family / Dependency","Other"))))))))))</f>
        <v/>
      </c>
      <c r="AH416">
        <f>IF(A416="","",'01_Master_Data'!AC416)</f>
        <v/>
      </c>
      <c r="AI416">
        <f>IF(A416="","",IF(OR(AH416="",NOT(ISNUMBER(AH416))),"",MAX(0,'02_Configuration'!$B$82-AH416)))</f>
        <v/>
      </c>
      <c r="AJ416">
        <f>IF(A416="","",IF(AI416="","Unknown",IF(AI416&lt;=3,"0–3 Days",IF(AI416&lt;=7,"4–7 Days",IF(AI416&lt;=15,"8–15 Days",IF(AI416&lt;=30,"16–30 Days","30+ Days"))))))</f>
        <v/>
      </c>
      <c r="AK416">
        <f>IF(A416="","",IF(LOWER(H416)="yes","Yes","No"))</f>
        <v/>
      </c>
      <c r="AL416">
        <f>IF(A416="","",'01_Master_Data'!T416)</f>
        <v/>
      </c>
      <c r="AM416">
        <f>IF(A416="","",'01_Master_Data'!S416)</f>
        <v/>
      </c>
      <c r="AN416">
        <f>IF(A416="","",'01_Master_Data'!I416)</f>
        <v/>
      </c>
      <c r="AO416">
        <f>IF(A416="","",'01_Master_Data'!M416)</f>
        <v/>
      </c>
      <c r="AP416">
        <f>IF(A416="","",IF(ISNUMBER(SEARCH("Icici",W416&amp;"")),1,0))</f>
        <v/>
      </c>
      <c r="AQ416">
        <f>IF(A416="","",IF(ISNUMBER(SEARCH("Propelld",W416&amp;"")),1,0))</f>
        <v/>
      </c>
      <c r="AR416">
        <f>IF(A416="","",IF(ISNUMBER(SEARCH("GyanDhan",W416&amp;"")),1,0))</f>
        <v/>
      </c>
      <c r="AS416">
        <f>IF(A416="","",IF(ISNUMBER(SEARCH("vidyalakshmi",LOWER(W416&amp;""))),1,0))</f>
        <v/>
      </c>
      <c r="AT416">
        <f>IF(A416="","",IF(ISNUMBER(SEARCH("other bank",LOWER(W416&amp;""))),1,0))</f>
        <v/>
      </c>
      <c r="AU416">
        <f>IF(A416="","",IF(ISNUMBER(SEARCH("sanctioned",LOWER(W416&amp;""))),1,0))</f>
        <v/>
      </c>
      <c r="AV416">
        <f>IF(A416="","",IF(ISNUMBER(SEARCH("Docs Pending",W416&amp;"")),1,0))</f>
        <v/>
      </c>
      <c r="AW416">
        <f>IF(A416="","",IF(OR(X416="Rejected",ISNUMBER(SEARCH("Not eligbile",W416&amp;""))),1,0))</f>
        <v/>
      </c>
    </row>
    <row r="417">
      <c r="A417">
        <f>IF('01_Master_Data'!B417="","",416)</f>
        <v/>
      </c>
      <c r="B417">
        <f>IF('01_Master_Data'!B417="","",IF('01_Master_Data'!C417&lt;&gt;"","MOB|"&amp;TEXT('01_Master_Data'!C417,"0"),IF('01_Master_Data'!D417&lt;&gt;"","PID|"&amp;TRIM('01_Master_Data'!D417&amp;""),"")))</f>
        <v/>
      </c>
      <c r="C417">
        <f>IF('01_Master_Data'!B417="","",'01_Master_Data'!B417)</f>
        <v/>
      </c>
      <c r="D417">
        <f>IF('01_Master_Data'!B417="","",'01_Master_Data'!C417)</f>
        <v/>
      </c>
      <c r="E417">
        <f>IF('01_Master_Data'!B417="","",'01_Master_Data'!D417)</f>
        <v/>
      </c>
      <c r="F417">
        <f>IF('01_Master_Data'!B417="","",'01_Master_Data'!E417)</f>
        <v/>
      </c>
      <c r="G417">
        <f>IF('01_Master_Data'!B417="","",IFERROR(VLOOKUP(TRIM('01_Master_Data'!E417&amp;""),'02_Configuration'!$A$40:$B$44,2,FALSE),UPPER(TRIM('01_Master_Data'!E417&amp;""))))</f>
        <v/>
      </c>
      <c r="H417">
        <f>IF('01_Master_Data'!B417="","",IF('01_Master_Data'!U417="","",TRIM('01_Master_Data'!U417&amp;"")))</f>
        <v/>
      </c>
      <c r="I417">
        <f>IF('01_Master_Data'!B417="","",TRIM('01_Master_Data'!F417&amp;""))</f>
        <v/>
      </c>
      <c r="J417">
        <f>IF('01_Master_Data'!B417="","",TRIM('01_Master_Data'!G417&amp;""))</f>
        <v/>
      </c>
      <c r="K417">
        <f>IF('01_Master_Data'!B417="","",'01_Master_Data'!H417)</f>
        <v/>
      </c>
      <c r="L417">
        <f>IF('01_Master_Data'!B417="","",IF(LOWER(TRIM('01_Master_Data'!V417&amp;""))="yes",1,0))</f>
        <v/>
      </c>
      <c r="M417">
        <f>IF('01_Master_Data'!B417="","",IF(LOWER(TRIM('01_Master_Data'!W417&amp;""))="yes",1,0))</f>
        <v/>
      </c>
      <c r="N417">
        <f>IF('01_Master_Data'!B417="","",IF(LOWER(TRIM('01_Master_Data'!X417&amp;""))="yes",1,0))</f>
        <v/>
      </c>
      <c r="O417">
        <f>IF('01_Master_Data'!B417="","",IF(LOWER(TRIM('01_Master_Data'!Y417&amp;""))="yes",1,0))</f>
        <v/>
      </c>
      <c r="P417">
        <f>IF('01_Master_Data'!B417="","",IF(LOWER(TRIM('01_Master_Data'!Z417&amp;""))="yes",1,0))</f>
        <v/>
      </c>
      <c r="Q417">
        <f>IF(A417="","",L417+M417+N417+O417+P417)</f>
        <v/>
      </c>
      <c r="R417">
        <f>IF(A417="","",IF(Q417&gt;1,"Yes","No"))</f>
        <v/>
      </c>
      <c r="S417">
        <f>IF(A417="","",TEXTJOIN(", ",TRUE,IF(L417=1,"ICICI",""),IF(M417=1,"Propelld",""),IF(N417=1,"Study4Buddy",""),IF(O417=1,"Poonawala Fincorp",""),IF(P417=1,"GyanDhan","")))</f>
        <v/>
      </c>
      <c r="T417">
        <f>IF(A417="","",IF(L417=1,"ICICI",IF(M417=1,"Propelld",IF(P417=1,"GyanDhan",IF(N417=1,"Study4Buddy",IF(O417=1,"Poonawala Fincorp",IF(ISNUMBER(SEARCH("GyanDhan",W417&amp;"")),"GyanDhan",IF(ISNUMBER(SEARCH("Icici",W417&amp;"")),"ICICI",IF(ISNUMBER(SEARCH("Propelld",W417&amp;"")),"Propelld",IF(ISNUMBER(SEARCH("vidyalakshmi",LOWER(W417&amp;"")),"PM Vidyalakshmi","—"))))))))))</f>
        <v/>
      </c>
      <c r="U417">
        <f>IF(A417="","",TRIM('01_Master_Data'!AA417&amp;""))</f>
        <v/>
      </c>
      <c r="V417">
        <f>IF(A417="","",TRIM('01_Master_Data'!AG417&amp;""))</f>
        <v/>
      </c>
      <c r="W417">
        <f>IF(A417="","",TRIM('01_Master_Data'!AH417&amp;""))</f>
        <v/>
      </c>
      <c r="X417">
        <f>IF(A417="","",IF(OR(LOWER(H417)="refund",LOWER(U417)="refund case"),"Refund",IF(OR(LOWER(H417)="dnp",LOWER(U417)="dnp"),"DNP",IF(OR(LOWER(V417)="disbursed",ISNUMBER(SEARCH("Disbursed",W417&amp;""))),"Disbursed",IF(OR(LOWER(V417)="loan proccessed/accepted",ISNUMBER(SEARCH("sanctioned",LOWER(W417&amp;"")))),"Sanctioned",IF(OR(LOWER(V417)="rejected",ISNUMBER(SEARCH("Not eligbile",W417&amp;"")),ISNUMBER(SEARCH("Not eligible",W417&amp;""))),"Rejected",IF(ISNUMBER(SEARCH("Docs Pending",W417&amp;"")),"Documents Pending",IF(AND(LOWER(H417)="yes",LOWER(V417)="ongoing"),"Processing",IF(AND(LOWER(H417)="yes",Q417&gt;0,OR(V417="",LOWER(V417)="not even started")),"Vendor Assigned",IF(AND(LOWER(H417)="yes",LOWER(V417)="not even started"),"Need Loan",IF(LOWER(H417)="yes","Loan Started",IF(LOWER(H417)="not sure","Interested",IF(OR(LOWER(H417)="no",LOWER(V417)="not required"),"Not Required","Unclassified")))))))))))))</f>
        <v/>
      </c>
      <c r="Y417">
        <f>IF(A417="","",IF(OR(X417="Sanctioned",X417="Disbursed",X417="Approved"),"Approved",IF(X417="Rejected","Rejected",IF(OR(X417="Processing",X417="Documents Pending",X417="Vendor Assigned"),"In Progress",IF(X417="Need Loan","Pending Start","—"))))</f>
        <v/>
      </c>
      <c r="Z417">
        <f>IF(A417="","",IF(X417="Disbursed","Disbursed",IF(X417="Sanctioned","Sanctioned - Awaiting Disbursement","Not Disbursed")))</f>
        <v/>
      </c>
      <c r="AA417">
        <f>IF(A417="","",IF(LOWER(TRIM('01_Master_Data'!AI417&amp;""))="yes","Need FLDG",IF(LOWER(TRIM('01_Master_Data'!AK417&amp;""))="yes","Need Vidyalakshmi",IF(LOWER(TRIM('01_Master_Data'!AJ417&amp;""))="yes","Need Review",IF(LOWER(J417)="critical","Critical",IF(LOWER(U417)="risk","Risk Case",IF(X417="Refund","Refund","Normal")))))))</f>
        <v/>
      </c>
      <c r="AB417">
        <f>IF(A417="","",IF(OR(LOWER(J417)="critical",LOWER(TRIM('01_Master_Data'!AI417&amp;""))="yes",LOWER(TRIM('01_Master_Data'!AK417&amp;""))="yes",LOWER(U417)="risk"),"Yes","No"))</f>
        <v/>
      </c>
      <c r="AC417">
        <f>IF(A417="","",IF(LOWER(TRIM('01_Master_Data'!AI417&amp;""))="yes","Yes","No"))</f>
        <v/>
      </c>
      <c r="AD417">
        <f>IF(A417="","",IF(LOWER(TRIM('01_Master_Data'!AK417&amp;""))="yes","Yes","No"))</f>
        <v/>
      </c>
      <c r="AE417">
        <f>IF(A417="","",IF(LOWER(TRIM('01_Master_Data'!AJ417&amp;""))="yes","Yes","No"))</f>
        <v/>
      </c>
      <c r="AF417">
        <f>IF(A417="","",TRIM('01_Master_Data'!AL417&amp;""))</f>
        <v/>
      </c>
      <c r="AG417">
        <f>IF(A417="","",IF(AF417="","—",IF(ISNUMBER(SEARCH("DNP",AF417)),"Unreachable / DNP",IF(ISNUMBER(SEARCH("interest",LOWER(AF417))),"High Interest / Terms",IF(OR(ISNUMBER(SEARCH("eligib",LOWER(AF417))),ISNUMBER(SEARCH("income",LOWER(AF417)))),"Eligibility / Income",IF(OR(ISNUMBER(SEARCH("start",LOWER(AF417))),ISNUMBER(SEARCH("Newer",AF417)),ISNUMBER(SEARCH("Will start",AF417))),"Process Yet to Start",IF(ISNUMBER(SEARCH("sure",LOWER(AF417))),"Undecided",IF(OR(ISNUMBER(SEARCH("reject",LOWER(AF417))),ISNUMBER(SEARCH("SBI",AF417))),"Rejected Elsewhere",IF(ISNUMBER(SEARCH("call",LOWER(AF417))),"Bank Communication",IF(OR(ISNUMBER(SEARCH("father",LOWER(AF417))),ISNUMBER(SEARCH("sister",LOWER(AF417)))),"Family / Dependency","Other"))))))))))</f>
        <v/>
      </c>
      <c r="AH417">
        <f>IF(A417="","",'01_Master_Data'!AC417)</f>
        <v/>
      </c>
      <c r="AI417">
        <f>IF(A417="","",IF(OR(AH417="",NOT(ISNUMBER(AH417))),"",MAX(0,'02_Configuration'!$B$82-AH417)))</f>
        <v/>
      </c>
      <c r="AJ417">
        <f>IF(A417="","",IF(AI417="","Unknown",IF(AI417&lt;=3,"0–3 Days",IF(AI417&lt;=7,"4–7 Days",IF(AI417&lt;=15,"8–15 Days",IF(AI417&lt;=30,"16–30 Days","30+ Days"))))))</f>
        <v/>
      </c>
      <c r="AK417">
        <f>IF(A417="","",IF(LOWER(H417)="yes","Yes","No"))</f>
        <v/>
      </c>
      <c r="AL417">
        <f>IF(A417="","",'01_Master_Data'!T417)</f>
        <v/>
      </c>
      <c r="AM417">
        <f>IF(A417="","",'01_Master_Data'!S417)</f>
        <v/>
      </c>
      <c r="AN417">
        <f>IF(A417="","",'01_Master_Data'!I417)</f>
        <v/>
      </c>
      <c r="AO417">
        <f>IF(A417="","",'01_Master_Data'!M417)</f>
        <v/>
      </c>
      <c r="AP417">
        <f>IF(A417="","",IF(ISNUMBER(SEARCH("Icici",W417&amp;"")),1,0))</f>
        <v/>
      </c>
      <c r="AQ417">
        <f>IF(A417="","",IF(ISNUMBER(SEARCH("Propelld",W417&amp;"")),1,0))</f>
        <v/>
      </c>
      <c r="AR417">
        <f>IF(A417="","",IF(ISNUMBER(SEARCH("GyanDhan",W417&amp;"")),1,0))</f>
        <v/>
      </c>
      <c r="AS417">
        <f>IF(A417="","",IF(ISNUMBER(SEARCH("vidyalakshmi",LOWER(W417&amp;""))),1,0))</f>
        <v/>
      </c>
      <c r="AT417">
        <f>IF(A417="","",IF(ISNUMBER(SEARCH("other bank",LOWER(W417&amp;""))),1,0))</f>
        <v/>
      </c>
      <c r="AU417">
        <f>IF(A417="","",IF(ISNUMBER(SEARCH("sanctioned",LOWER(W417&amp;""))),1,0))</f>
        <v/>
      </c>
      <c r="AV417">
        <f>IF(A417="","",IF(ISNUMBER(SEARCH("Docs Pending",W417&amp;"")),1,0))</f>
        <v/>
      </c>
      <c r="AW417">
        <f>IF(A417="","",IF(OR(X417="Rejected",ISNUMBER(SEARCH("Not eligbile",W417&amp;""))),1,0))</f>
        <v/>
      </c>
    </row>
    <row r="418">
      <c r="A418">
        <f>IF('01_Master_Data'!B418="","",417)</f>
        <v/>
      </c>
      <c r="B418">
        <f>IF('01_Master_Data'!B418="","",IF('01_Master_Data'!C418&lt;&gt;"","MOB|"&amp;TEXT('01_Master_Data'!C418,"0"),IF('01_Master_Data'!D418&lt;&gt;"","PID|"&amp;TRIM('01_Master_Data'!D418&amp;""),"")))</f>
        <v/>
      </c>
      <c r="C418">
        <f>IF('01_Master_Data'!B418="","",'01_Master_Data'!B418)</f>
        <v/>
      </c>
      <c r="D418">
        <f>IF('01_Master_Data'!B418="","",'01_Master_Data'!C418)</f>
        <v/>
      </c>
      <c r="E418">
        <f>IF('01_Master_Data'!B418="","",'01_Master_Data'!D418)</f>
        <v/>
      </c>
      <c r="F418">
        <f>IF('01_Master_Data'!B418="","",'01_Master_Data'!E418)</f>
        <v/>
      </c>
      <c r="G418">
        <f>IF('01_Master_Data'!B418="","",IFERROR(VLOOKUP(TRIM('01_Master_Data'!E418&amp;""),'02_Configuration'!$A$40:$B$44,2,FALSE),UPPER(TRIM('01_Master_Data'!E418&amp;""))))</f>
        <v/>
      </c>
      <c r="H418">
        <f>IF('01_Master_Data'!B418="","",IF('01_Master_Data'!U418="","",TRIM('01_Master_Data'!U418&amp;"")))</f>
        <v/>
      </c>
      <c r="I418">
        <f>IF('01_Master_Data'!B418="","",TRIM('01_Master_Data'!F418&amp;""))</f>
        <v/>
      </c>
      <c r="J418">
        <f>IF('01_Master_Data'!B418="","",TRIM('01_Master_Data'!G418&amp;""))</f>
        <v/>
      </c>
      <c r="K418">
        <f>IF('01_Master_Data'!B418="","",'01_Master_Data'!H418)</f>
        <v/>
      </c>
      <c r="L418">
        <f>IF('01_Master_Data'!B418="","",IF(LOWER(TRIM('01_Master_Data'!V418&amp;""))="yes",1,0))</f>
        <v/>
      </c>
      <c r="M418">
        <f>IF('01_Master_Data'!B418="","",IF(LOWER(TRIM('01_Master_Data'!W418&amp;""))="yes",1,0))</f>
        <v/>
      </c>
      <c r="N418">
        <f>IF('01_Master_Data'!B418="","",IF(LOWER(TRIM('01_Master_Data'!X418&amp;""))="yes",1,0))</f>
        <v/>
      </c>
      <c r="O418">
        <f>IF('01_Master_Data'!B418="","",IF(LOWER(TRIM('01_Master_Data'!Y418&amp;""))="yes",1,0))</f>
        <v/>
      </c>
      <c r="P418">
        <f>IF('01_Master_Data'!B418="","",IF(LOWER(TRIM('01_Master_Data'!Z418&amp;""))="yes",1,0))</f>
        <v/>
      </c>
      <c r="Q418">
        <f>IF(A418="","",L418+M418+N418+O418+P418)</f>
        <v/>
      </c>
      <c r="R418">
        <f>IF(A418="","",IF(Q418&gt;1,"Yes","No"))</f>
        <v/>
      </c>
      <c r="S418">
        <f>IF(A418="","",TEXTJOIN(", ",TRUE,IF(L418=1,"ICICI",""),IF(M418=1,"Propelld",""),IF(N418=1,"Study4Buddy",""),IF(O418=1,"Poonawala Fincorp",""),IF(P418=1,"GyanDhan","")))</f>
        <v/>
      </c>
      <c r="T418">
        <f>IF(A418="","",IF(L418=1,"ICICI",IF(M418=1,"Propelld",IF(P418=1,"GyanDhan",IF(N418=1,"Study4Buddy",IF(O418=1,"Poonawala Fincorp",IF(ISNUMBER(SEARCH("GyanDhan",W418&amp;"")),"GyanDhan",IF(ISNUMBER(SEARCH("Icici",W418&amp;"")),"ICICI",IF(ISNUMBER(SEARCH("Propelld",W418&amp;"")),"Propelld",IF(ISNUMBER(SEARCH("vidyalakshmi",LOWER(W418&amp;"")),"PM Vidyalakshmi","—"))))))))))</f>
        <v/>
      </c>
      <c r="U418">
        <f>IF(A418="","",TRIM('01_Master_Data'!AA418&amp;""))</f>
        <v/>
      </c>
      <c r="V418">
        <f>IF(A418="","",TRIM('01_Master_Data'!AG418&amp;""))</f>
        <v/>
      </c>
      <c r="W418">
        <f>IF(A418="","",TRIM('01_Master_Data'!AH418&amp;""))</f>
        <v/>
      </c>
      <c r="X418">
        <f>IF(A418="","",IF(OR(LOWER(H418)="refund",LOWER(U418)="refund case"),"Refund",IF(OR(LOWER(H418)="dnp",LOWER(U418)="dnp"),"DNP",IF(OR(LOWER(V418)="disbursed",ISNUMBER(SEARCH("Disbursed",W418&amp;""))),"Disbursed",IF(OR(LOWER(V418)="loan proccessed/accepted",ISNUMBER(SEARCH("sanctioned",LOWER(W418&amp;"")))),"Sanctioned",IF(OR(LOWER(V418)="rejected",ISNUMBER(SEARCH("Not eligbile",W418&amp;"")),ISNUMBER(SEARCH("Not eligible",W418&amp;""))),"Rejected",IF(ISNUMBER(SEARCH("Docs Pending",W418&amp;"")),"Documents Pending",IF(AND(LOWER(H418)="yes",LOWER(V418)="ongoing"),"Processing",IF(AND(LOWER(H418)="yes",Q418&gt;0,OR(V418="",LOWER(V418)="not even started")),"Vendor Assigned",IF(AND(LOWER(H418)="yes",LOWER(V418)="not even started"),"Need Loan",IF(LOWER(H418)="yes","Loan Started",IF(LOWER(H418)="not sure","Interested",IF(OR(LOWER(H418)="no",LOWER(V418)="not required"),"Not Required","Unclassified")))))))))))))</f>
        <v/>
      </c>
      <c r="Y418">
        <f>IF(A418="","",IF(OR(X418="Sanctioned",X418="Disbursed",X418="Approved"),"Approved",IF(X418="Rejected","Rejected",IF(OR(X418="Processing",X418="Documents Pending",X418="Vendor Assigned"),"In Progress",IF(X418="Need Loan","Pending Start","—"))))</f>
        <v/>
      </c>
      <c r="Z418">
        <f>IF(A418="","",IF(X418="Disbursed","Disbursed",IF(X418="Sanctioned","Sanctioned - Awaiting Disbursement","Not Disbursed")))</f>
        <v/>
      </c>
      <c r="AA418">
        <f>IF(A418="","",IF(LOWER(TRIM('01_Master_Data'!AI418&amp;""))="yes","Need FLDG",IF(LOWER(TRIM('01_Master_Data'!AK418&amp;""))="yes","Need Vidyalakshmi",IF(LOWER(TRIM('01_Master_Data'!AJ418&amp;""))="yes","Need Review",IF(LOWER(J418)="critical","Critical",IF(LOWER(U418)="risk","Risk Case",IF(X418="Refund","Refund","Normal")))))))</f>
        <v/>
      </c>
      <c r="AB418">
        <f>IF(A418="","",IF(OR(LOWER(J418)="critical",LOWER(TRIM('01_Master_Data'!AI418&amp;""))="yes",LOWER(TRIM('01_Master_Data'!AK418&amp;""))="yes",LOWER(U418)="risk"),"Yes","No"))</f>
        <v/>
      </c>
      <c r="AC418">
        <f>IF(A418="","",IF(LOWER(TRIM('01_Master_Data'!AI418&amp;""))="yes","Yes","No"))</f>
        <v/>
      </c>
      <c r="AD418">
        <f>IF(A418="","",IF(LOWER(TRIM('01_Master_Data'!AK418&amp;""))="yes","Yes","No"))</f>
        <v/>
      </c>
      <c r="AE418">
        <f>IF(A418="","",IF(LOWER(TRIM('01_Master_Data'!AJ418&amp;""))="yes","Yes","No"))</f>
        <v/>
      </c>
      <c r="AF418">
        <f>IF(A418="","",TRIM('01_Master_Data'!AL418&amp;""))</f>
        <v/>
      </c>
      <c r="AG418">
        <f>IF(A418="","",IF(AF418="","—",IF(ISNUMBER(SEARCH("DNP",AF418)),"Unreachable / DNP",IF(ISNUMBER(SEARCH("interest",LOWER(AF418))),"High Interest / Terms",IF(OR(ISNUMBER(SEARCH("eligib",LOWER(AF418))),ISNUMBER(SEARCH("income",LOWER(AF418)))),"Eligibility / Income",IF(OR(ISNUMBER(SEARCH("start",LOWER(AF418))),ISNUMBER(SEARCH("Newer",AF418)),ISNUMBER(SEARCH("Will start",AF418))),"Process Yet to Start",IF(ISNUMBER(SEARCH("sure",LOWER(AF418))),"Undecided",IF(OR(ISNUMBER(SEARCH("reject",LOWER(AF418))),ISNUMBER(SEARCH("SBI",AF418))),"Rejected Elsewhere",IF(ISNUMBER(SEARCH("call",LOWER(AF418))),"Bank Communication",IF(OR(ISNUMBER(SEARCH("father",LOWER(AF418))),ISNUMBER(SEARCH("sister",LOWER(AF418)))),"Family / Dependency","Other"))))))))))</f>
        <v/>
      </c>
      <c r="AH418">
        <f>IF(A418="","",'01_Master_Data'!AC418)</f>
        <v/>
      </c>
      <c r="AI418">
        <f>IF(A418="","",IF(OR(AH418="",NOT(ISNUMBER(AH418))),"",MAX(0,'02_Configuration'!$B$82-AH418)))</f>
        <v/>
      </c>
      <c r="AJ418">
        <f>IF(A418="","",IF(AI418="","Unknown",IF(AI418&lt;=3,"0–3 Days",IF(AI418&lt;=7,"4–7 Days",IF(AI418&lt;=15,"8–15 Days",IF(AI418&lt;=30,"16–30 Days","30+ Days"))))))</f>
        <v/>
      </c>
      <c r="AK418">
        <f>IF(A418="","",IF(LOWER(H418)="yes","Yes","No"))</f>
        <v/>
      </c>
      <c r="AL418">
        <f>IF(A418="","",'01_Master_Data'!T418)</f>
        <v/>
      </c>
      <c r="AM418">
        <f>IF(A418="","",'01_Master_Data'!S418)</f>
        <v/>
      </c>
      <c r="AN418">
        <f>IF(A418="","",'01_Master_Data'!I418)</f>
        <v/>
      </c>
      <c r="AO418">
        <f>IF(A418="","",'01_Master_Data'!M418)</f>
        <v/>
      </c>
      <c r="AP418">
        <f>IF(A418="","",IF(ISNUMBER(SEARCH("Icici",W418&amp;"")),1,0))</f>
        <v/>
      </c>
      <c r="AQ418">
        <f>IF(A418="","",IF(ISNUMBER(SEARCH("Propelld",W418&amp;"")),1,0))</f>
        <v/>
      </c>
      <c r="AR418">
        <f>IF(A418="","",IF(ISNUMBER(SEARCH("GyanDhan",W418&amp;"")),1,0))</f>
        <v/>
      </c>
      <c r="AS418">
        <f>IF(A418="","",IF(ISNUMBER(SEARCH("vidyalakshmi",LOWER(W418&amp;""))),1,0))</f>
        <v/>
      </c>
      <c r="AT418">
        <f>IF(A418="","",IF(ISNUMBER(SEARCH("other bank",LOWER(W418&amp;""))),1,0))</f>
        <v/>
      </c>
      <c r="AU418">
        <f>IF(A418="","",IF(ISNUMBER(SEARCH("sanctioned",LOWER(W418&amp;""))),1,0))</f>
        <v/>
      </c>
      <c r="AV418">
        <f>IF(A418="","",IF(ISNUMBER(SEARCH("Docs Pending",W418&amp;"")),1,0))</f>
        <v/>
      </c>
      <c r="AW418">
        <f>IF(A418="","",IF(OR(X418="Rejected",ISNUMBER(SEARCH("Not eligbile",W418&amp;""))),1,0))</f>
        <v/>
      </c>
    </row>
    <row r="419">
      <c r="A419">
        <f>IF('01_Master_Data'!B419="","",418)</f>
        <v/>
      </c>
      <c r="B419">
        <f>IF('01_Master_Data'!B419="","",IF('01_Master_Data'!C419&lt;&gt;"","MOB|"&amp;TEXT('01_Master_Data'!C419,"0"),IF('01_Master_Data'!D419&lt;&gt;"","PID|"&amp;TRIM('01_Master_Data'!D419&amp;""),"")))</f>
        <v/>
      </c>
      <c r="C419">
        <f>IF('01_Master_Data'!B419="","",'01_Master_Data'!B419)</f>
        <v/>
      </c>
      <c r="D419">
        <f>IF('01_Master_Data'!B419="","",'01_Master_Data'!C419)</f>
        <v/>
      </c>
      <c r="E419">
        <f>IF('01_Master_Data'!B419="","",'01_Master_Data'!D419)</f>
        <v/>
      </c>
      <c r="F419">
        <f>IF('01_Master_Data'!B419="","",'01_Master_Data'!E419)</f>
        <v/>
      </c>
      <c r="G419">
        <f>IF('01_Master_Data'!B419="","",IFERROR(VLOOKUP(TRIM('01_Master_Data'!E419&amp;""),'02_Configuration'!$A$40:$B$44,2,FALSE),UPPER(TRIM('01_Master_Data'!E419&amp;""))))</f>
        <v/>
      </c>
      <c r="H419">
        <f>IF('01_Master_Data'!B419="","",IF('01_Master_Data'!U419="","",TRIM('01_Master_Data'!U419&amp;"")))</f>
        <v/>
      </c>
      <c r="I419">
        <f>IF('01_Master_Data'!B419="","",TRIM('01_Master_Data'!F419&amp;""))</f>
        <v/>
      </c>
      <c r="J419">
        <f>IF('01_Master_Data'!B419="","",TRIM('01_Master_Data'!G419&amp;""))</f>
        <v/>
      </c>
      <c r="K419">
        <f>IF('01_Master_Data'!B419="","",'01_Master_Data'!H419)</f>
        <v/>
      </c>
      <c r="L419">
        <f>IF('01_Master_Data'!B419="","",IF(LOWER(TRIM('01_Master_Data'!V419&amp;""))="yes",1,0))</f>
        <v/>
      </c>
      <c r="M419">
        <f>IF('01_Master_Data'!B419="","",IF(LOWER(TRIM('01_Master_Data'!W419&amp;""))="yes",1,0))</f>
        <v/>
      </c>
      <c r="N419">
        <f>IF('01_Master_Data'!B419="","",IF(LOWER(TRIM('01_Master_Data'!X419&amp;""))="yes",1,0))</f>
        <v/>
      </c>
      <c r="O419">
        <f>IF('01_Master_Data'!B419="","",IF(LOWER(TRIM('01_Master_Data'!Y419&amp;""))="yes",1,0))</f>
        <v/>
      </c>
      <c r="P419">
        <f>IF('01_Master_Data'!B419="","",IF(LOWER(TRIM('01_Master_Data'!Z419&amp;""))="yes",1,0))</f>
        <v/>
      </c>
      <c r="Q419">
        <f>IF(A419="","",L419+M419+N419+O419+P419)</f>
        <v/>
      </c>
      <c r="R419">
        <f>IF(A419="","",IF(Q419&gt;1,"Yes","No"))</f>
        <v/>
      </c>
      <c r="S419">
        <f>IF(A419="","",TEXTJOIN(", ",TRUE,IF(L419=1,"ICICI",""),IF(M419=1,"Propelld",""),IF(N419=1,"Study4Buddy",""),IF(O419=1,"Poonawala Fincorp",""),IF(P419=1,"GyanDhan","")))</f>
        <v/>
      </c>
      <c r="T419">
        <f>IF(A419="","",IF(L419=1,"ICICI",IF(M419=1,"Propelld",IF(P419=1,"GyanDhan",IF(N419=1,"Study4Buddy",IF(O419=1,"Poonawala Fincorp",IF(ISNUMBER(SEARCH("GyanDhan",W419&amp;"")),"GyanDhan",IF(ISNUMBER(SEARCH("Icici",W419&amp;"")),"ICICI",IF(ISNUMBER(SEARCH("Propelld",W419&amp;"")),"Propelld",IF(ISNUMBER(SEARCH("vidyalakshmi",LOWER(W419&amp;"")),"PM Vidyalakshmi","—"))))))))))</f>
        <v/>
      </c>
      <c r="U419">
        <f>IF(A419="","",TRIM('01_Master_Data'!AA419&amp;""))</f>
        <v/>
      </c>
      <c r="V419">
        <f>IF(A419="","",TRIM('01_Master_Data'!AG419&amp;""))</f>
        <v/>
      </c>
      <c r="W419">
        <f>IF(A419="","",TRIM('01_Master_Data'!AH419&amp;""))</f>
        <v/>
      </c>
      <c r="X419">
        <f>IF(A419="","",IF(OR(LOWER(H419)="refund",LOWER(U419)="refund case"),"Refund",IF(OR(LOWER(H419)="dnp",LOWER(U419)="dnp"),"DNP",IF(OR(LOWER(V419)="disbursed",ISNUMBER(SEARCH("Disbursed",W419&amp;""))),"Disbursed",IF(OR(LOWER(V419)="loan proccessed/accepted",ISNUMBER(SEARCH("sanctioned",LOWER(W419&amp;"")))),"Sanctioned",IF(OR(LOWER(V419)="rejected",ISNUMBER(SEARCH("Not eligbile",W419&amp;"")),ISNUMBER(SEARCH("Not eligible",W419&amp;""))),"Rejected",IF(ISNUMBER(SEARCH("Docs Pending",W419&amp;"")),"Documents Pending",IF(AND(LOWER(H419)="yes",LOWER(V419)="ongoing"),"Processing",IF(AND(LOWER(H419)="yes",Q419&gt;0,OR(V419="",LOWER(V419)="not even started")),"Vendor Assigned",IF(AND(LOWER(H419)="yes",LOWER(V419)="not even started"),"Need Loan",IF(LOWER(H419)="yes","Loan Started",IF(LOWER(H419)="not sure","Interested",IF(OR(LOWER(H419)="no",LOWER(V419)="not required"),"Not Required","Unclassified")))))))))))))</f>
        <v/>
      </c>
      <c r="Y419">
        <f>IF(A419="","",IF(OR(X419="Sanctioned",X419="Disbursed",X419="Approved"),"Approved",IF(X419="Rejected","Rejected",IF(OR(X419="Processing",X419="Documents Pending",X419="Vendor Assigned"),"In Progress",IF(X419="Need Loan","Pending Start","—"))))</f>
        <v/>
      </c>
      <c r="Z419">
        <f>IF(A419="","",IF(X419="Disbursed","Disbursed",IF(X419="Sanctioned","Sanctioned - Awaiting Disbursement","Not Disbursed")))</f>
        <v/>
      </c>
      <c r="AA419">
        <f>IF(A419="","",IF(LOWER(TRIM('01_Master_Data'!AI419&amp;""))="yes","Need FLDG",IF(LOWER(TRIM('01_Master_Data'!AK419&amp;""))="yes","Need Vidyalakshmi",IF(LOWER(TRIM('01_Master_Data'!AJ419&amp;""))="yes","Need Review",IF(LOWER(J419)="critical","Critical",IF(LOWER(U419)="risk","Risk Case",IF(X419="Refund","Refund","Normal")))))))</f>
        <v/>
      </c>
      <c r="AB419">
        <f>IF(A419="","",IF(OR(LOWER(J419)="critical",LOWER(TRIM('01_Master_Data'!AI419&amp;""))="yes",LOWER(TRIM('01_Master_Data'!AK419&amp;""))="yes",LOWER(U419)="risk"),"Yes","No"))</f>
        <v/>
      </c>
      <c r="AC419">
        <f>IF(A419="","",IF(LOWER(TRIM('01_Master_Data'!AI419&amp;""))="yes","Yes","No"))</f>
        <v/>
      </c>
      <c r="AD419">
        <f>IF(A419="","",IF(LOWER(TRIM('01_Master_Data'!AK419&amp;""))="yes","Yes","No"))</f>
        <v/>
      </c>
      <c r="AE419">
        <f>IF(A419="","",IF(LOWER(TRIM('01_Master_Data'!AJ419&amp;""))="yes","Yes","No"))</f>
        <v/>
      </c>
      <c r="AF419">
        <f>IF(A419="","",TRIM('01_Master_Data'!AL419&amp;""))</f>
        <v/>
      </c>
      <c r="AG419">
        <f>IF(A419="","",IF(AF419="","—",IF(ISNUMBER(SEARCH("DNP",AF419)),"Unreachable / DNP",IF(ISNUMBER(SEARCH("interest",LOWER(AF419))),"High Interest / Terms",IF(OR(ISNUMBER(SEARCH("eligib",LOWER(AF419))),ISNUMBER(SEARCH("income",LOWER(AF419)))),"Eligibility / Income",IF(OR(ISNUMBER(SEARCH("start",LOWER(AF419))),ISNUMBER(SEARCH("Newer",AF419)),ISNUMBER(SEARCH("Will start",AF419))),"Process Yet to Start",IF(ISNUMBER(SEARCH("sure",LOWER(AF419))),"Undecided",IF(OR(ISNUMBER(SEARCH("reject",LOWER(AF419))),ISNUMBER(SEARCH("SBI",AF419))),"Rejected Elsewhere",IF(ISNUMBER(SEARCH("call",LOWER(AF419))),"Bank Communication",IF(OR(ISNUMBER(SEARCH("father",LOWER(AF419))),ISNUMBER(SEARCH("sister",LOWER(AF419)))),"Family / Dependency","Other"))))))))))</f>
        <v/>
      </c>
      <c r="AH419">
        <f>IF(A419="","",'01_Master_Data'!AC419)</f>
        <v/>
      </c>
      <c r="AI419">
        <f>IF(A419="","",IF(OR(AH419="",NOT(ISNUMBER(AH419))),"",MAX(0,'02_Configuration'!$B$82-AH419)))</f>
        <v/>
      </c>
      <c r="AJ419">
        <f>IF(A419="","",IF(AI419="","Unknown",IF(AI419&lt;=3,"0–3 Days",IF(AI419&lt;=7,"4–7 Days",IF(AI419&lt;=15,"8–15 Days",IF(AI419&lt;=30,"16–30 Days","30+ Days"))))))</f>
        <v/>
      </c>
      <c r="AK419">
        <f>IF(A419="","",IF(LOWER(H419)="yes","Yes","No"))</f>
        <v/>
      </c>
      <c r="AL419">
        <f>IF(A419="","",'01_Master_Data'!T419)</f>
        <v/>
      </c>
      <c r="AM419">
        <f>IF(A419="","",'01_Master_Data'!S419)</f>
        <v/>
      </c>
      <c r="AN419">
        <f>IF(A419="","",'01_Master_Data'!I419)</f>
        <v/>
      </c>
      <c r="AO419">
        <f>IF(A419="","",'01_Master_Data'!M419)</f>
        <v/>
      </c>
      <c r="AP419">
        <f>IF(A419="","",IF(ISNUMBER(SEARCH("Icici",W419&amp;"")),1,0))</f>
        <v/>
      </c>
      <c r="AQ419">
        <f>IF(A419="","",IF(ISNUMBER(SEARCH("Propelld",W419&amp;"")),1,0))</f>
        <v/>
      </c>
      <c r="AR419">
        <f>IF(A419="","",IF(ISNUMBER(SEARCH("GyanDhan",W419&amp;"")),1,0))</f>
        <v/>
      </c>
      <c r="AS419">
        <f>IF(A419="","",IF(ISNUMBER(SEARCH("vidyalakshmi",LOWER(W419&amp;""))),1,0))</f>
        <v/>
      </c>
      <c r="AT419">
        <f>IF(A419="","",IF(ISNUMBER(SEARCH("other bank",LOWER(W419&amp;""))),1,0))</f>
        <v/>
      </c>
      <c r="AU419">
        <f>IF(A419="","",IF(ISNUMBER(SEARCH("sanctioned",LOWER(W419&amp;""))),1,0))</f>
        <v/>
      </c>
      <c r="AV419">
        <f>IF(A419="","",IF(ISNUMBER(SEARCH("Docs Pending",W419&amp;"")),1,0))</f>
        <v/>
      </c>
      <c r="AW419">
        <f>IF(A419="","",IF(OR(X419="Rejected",ISNUMBER(SEARCH("Not eligbile",W419&amp;""))),1,0))</f>
        <v/>
      </c>
    </row>
    <row r="420">
      <c r="A420">
        <f>IF('01_Master_Data'!B420="","",419)</f>
        <v/>
      </c>
      <c r="B420">
        <f>IF('01_Master_Data'!B420="","",IF('01_Master_Data'!C420&lt;&gt;"","MOB|"&amp;TEXT('01_Master_Data'!C420,"0"),IF('01_Master_Data'!D420&lt;&gt;"","PID|"&amp;TRIM('01_Master_Data'!D420&amp;""),"")))</f>
        <v/>
      </c>
      <c r="C420">
        <f>IF('01_Master_Data'!B420="","",'01_Master_Data'!B420)</f>
        <v/>
      </c>
      <c r="D420">
        <f>IF('01_Master_Data'!B420="","",'01_Master_Data'!C420)</f>
        <v/>
      </c>
      <c r="E420">
        <f>IF('01_Master_Data'!B420="","",'01_Master_Data'!D420)</f>
        <v/>
      </c>
      <c r="F420">
        <f>IF('01_Master_Data'!B420="","",'01_Master_Data'!E420)</f>
        <v/>
      </c>
      <c r="G420">
        <f>IF('01_Master_Data'!B420="","",IFERROR(VLOOKUP(TRIM('01_Master_Data'!E420&amp;""),'02_Configuration'!$A$40:$B$44,2,FALSE),UPPER(TRIM('01_Master_Data'!E420&amp;""))))</f>
        <v/>
      </c>
      <c r="H420">
        <f>IF('01_Master_Data'!B420="","",IF('01_Master_Data'!U420="","",TRIM('01_Master_Data'!U420&amp;"")))</f>
        <v/>
      </c>
      <c r="I420">
        <f>IF('01_Master_Data'!B420="","",TRIM('01_Master_Data'!F420&amp;""))</f>
        <v/>
      </c>
      <c r="J420">
        <f>IF('01_Master_Data'!B420="","",TRIM('01_Master_Data'!G420&amp;""))</f>
        <v/>
      </c>
      <c r="K420">
        <f>IF('01_Master_Data'!B420="","",'01_Master_Data'!H420)</f>
        <v/>
      </c>
      <c r="L420">
        <f>IF('01_Master_Data'!B420="","",IF(LOWER(TRIM('01_Master_Data'!V420&amp;""))="yes",1,0))</f>
        <v/>
      </c>
      <c r="M420">
        <f>IF('01_Master_Data'!B420="","",IF(LOWER(TRIM('01_Master_Data'!W420&amp;""))="yes",1,0))</f>
        <v/>
      </c>
      <c r="N420">
        <f>IF('01_Master_Data'!B420="","",IF(LOWER(TRIM('01_Master_Data'!X420&amp;""))="yes",1,0))</f>
        <v/>
      </c>
      <c r="O420">
        <f>IF('01_Master_Data'!B420="","",IF(LOWER(TRIM('01_Master_Data'!Y420&amp;""))="yes",1,0))</f>
        <v/>
      </c>
      <c r="P420">
        <f>IF('01_Master_Data'!B420="","",IF(LOWER(TRIM('01_Master_Data'!Z420&amp;""))="yes",1,0))</f>
        <v/>
      </c>
      <c r="Q420">
        <f>IF(A420="","",L420+M420+N420+O420+P420)</f>
        <v/>
      </c>
      <c r="R420">
        <f>IF(A420="","",IF(Q420&gt;1,"Yes","No"))</f>
        <v/>
      </c>
      <c r="S420">
        <f>IF(A420="","",TEXTJOIN(", ",TRUE,IF(L420=1,"ICICI",""),IF(M420=1,"Propelld",""),IF(N420=1,"Study4Buddy",""),IF(O420=1,"Poonawala Fincorp",""),IF(P420=1,"GyanDhan","")))</f>
        <v/>
      </c>
      <c r="T420">
        <f>IF(A420="","",IF(L420=1,"ICICI",IF(M420=1,"Propelld",IF(P420=1,"GyanDhan",IF(N420=1,"Study4Buddy",IF(O420=1,"Poonawala Fincorp",IF(ISNUMBER(SEARCH("GyanDhan",W420&amp;"")),"GyanDhan",IF(ISNUMBER(SEARCH("Icici",W420&amp;"")),"ICICI",IF(ISNUMBER(SEARCH("Propelld",W420&amp;"")),"Propelld",IF(ISNUMBER(SEARCH("vidyalakshmi",LOWER(W420&amp;"")),"PM Vidyalakshmi","—"))))))))))</f>
        <v/>
      </c>
      <c r="U420">
        <f>IF(A420="","",TRIM('01_Master_Data'!AA420&amp;""))</f>
        <v/>
      </c>
      <c r="V420">
        <f>IF(A420="","",TRIM('01_Master_Data'!AG420&amp;""))</f>
        <v/>
      </c>
      <c r="W420">
        <f>IF(A420="","",TRIM('01_Master_Data'!AH420&amp;""))</f>
        <v/>
      </c>
      <c r="X420">
        <f>IF(A420="","",IF(OR(LOWER(H420)="refund",LOWER(U420)="refund case"),"Refund",IF(OR(LOWER(H420)="dnp",LOWER(U420)="dnp"),"DNP",IF(OR(LOWER(V420)="disbursed",ISNUMBER(SEARCH("Disbursed",W420&amp;""))),"Disbursed",IF(OR(LOWER(V420)="loan proccessed/accepted",ISNUMBER(SEARCH("sanctioned",LOWER(W420&amp;"")))),"Sanctioned",IF(OR(LOWER(V420)="rejected",ISNUMBER(SEARCH("Not eligbile",W420&amp;"")),ISNUMBER(SEARCH("Not eligible",W420&amp;""))),"Rejected",IF(ISNUMBER(SEARCH("Docs Pending",W420&amp;"")),"Documents Pending",IF(AND(LOWER(H420)="yes",LOWER(V420)="ongoing"),"Processing",IF(AND(LOWER(H420)="yes",Q420&gt;0,OR(V420="",LOWER(V420)="not even started")),"Vendor Assigned",IF(AND(LOWER(H420)="yes",LOWER(V420)="not even started"),"Need Loan",IF(LOWER(H420)="yes","Loan Started",IF(LOWER(H420)="not sure","Interested",IF(OR(LOWER(H420)="no",LOWER(V420)="not required"),"Not Required","Unclassified")))))))))))))</f>
        <v/>
      </c>
      <c r="Y420">
        <f>IF(A420="","",IF(OR(X420="Sanctioned",X420="Disbursed",X420="Approved"),"Approved",IF(X420="Rejected","Rejected",IF(OR(X420="Processing",X420="Documents Pending",X420="Vendor Assigned"),"In Progress",IF(X420="Need Loan","Pending Start","—"))))</f>
        <v/>
      </c>
      <c r="Z420">
        <f>IF(A420="","",IF(X420="Disbursed","Disbursed",IF(X420="Sanctioned","Sanctioned - Awaiting Disbursement","Not Disbursed")))</f>
        <v/>
      </c>
      <c r="AA420">
        <f>IF(A420="","",IF(LOWER(TRIM('01_Master_Data'!AI420&amp;""))="yes","Need FLDG",IF(LOWER(TRIM('01_Master_Data'!AK420&amp;""))="yes","Need Vidyalakshmi",IF(LOWER(TRIM('01_Master_Data'!AJ420&amp;""))="yes","Need Review",IF(LOWER(J420)="critical","Critical",IF(LOWER(U420)="risk","Risk Case",IF(X420="Refund","Refund","Normal")))))))</f>
        <v/>
      </c>
      <c r="AB420">
        <f>IF(A420="","",IF(OR(LOWER(J420)="critical",LOWER(TRIM('01_Master_Data'!AI420&amp;""))="yes",LOWER(TRIM('01_Master_Data'!AK420&amp;""))="yes",LOWER(U420)="risk"),"Yes","No"))</f>
        <v/>
      </c>
      <c r="AC420">
        <f>IF(A420="","",IF(LOWER(TRIM('01_Master_Data'!AI420&amp;""))="yes","Yes","No"))</f>
        <v/>
      </c>
      <c r="AD420">
        <f>IF(A420="","",IF(LOWER(TRIM('01_Master_Data'!AK420&amp;""))="yes","Yes","No"))</f>
        <v/>
      </c>
      <c r="AE420">
        <f>IF(A420="","",IF(LOWER(TRIM('01_Master_Data'!AJ420&amp;""))="yes","Yes","No"))</f>
        <v/>
      </c>
      <c r="AF420">
        <f>IF(A420="","",TRIM('01_Master_Data'!AL420&amp;""))</f>
        <v/>
      </c>
      <c r="AG420">
        <f>IF(A420="","",IF(AF420="","—",IF(ISNUMBER(SEARCH("DNP",AF420)),"Unreachable / DNP",IF(ISNUMBER(SEARCH("interest",LOWER(AF420))),"High Interest / Terms",IF(OR(ISNUMBER(SEARCH("eligib",LOWER(AF420))),ISNUMBER(SEARCH("income",LOWER(AF420)))),"Eligibility / Income",IF(OR(ISNUMBER(SEARCH("start",LOWER(AF420))),ISNUMBER(SEARCH("Newer",AF420)),ISNUMBER(SEARCH("Will start",AF420))),"Process Yet to Start",IF(ISNUMBER(SEARCH("sure",LOWER(AF420))),"Undecided",IF(OR(ISNUMBER(SEARCH("reject",LOWER(AF420))),ISNUMBER(SEARCH("SBI",AF420))),"Rejected Elsewhere",IF(ISNUMBER(SEARCH("call",LOWER(AF420))),"Bank Communication",IF(OR(ISNUMBER(SEARCH("father",LOWER(AF420))),ISNUMBER(SEARCH("sister",LOWER(AF420)))),"Family / Dependency","Other"))))))))))</f>
        <v/>
      </c>
      <c r="AH420">
        <f>IF(A420="","",'01_Master_Data'!AC420)</f>
        <v/>
      </c>
      <c r="AI420">
        <f>IF(A420="","",IF(OR(AH420="",NOT(ISNUMBER(AH420))),"",MAX(0,'02_Configuration'!$B$82-AH420)))</f>
        <v/>
      </c>
      <c r="AJ420">
        <f>IF(A420="","",IF(AI420="","Unknown",IF(AI420&lt;=3,"0–3 Days",IF(AI420&lt;=7,"4–7 Days",IF(AI420&lt;=15,"8–15 Days",IF(AI420&lt;=30,"16–30 Days","30+ Days"))))))</f>
        <v/>
      </c>
      <c r="AK420">
        <f>IF(A420="","",IF(LOWER(H420)="yes","Yes","No"))</f>
        <v/>
      </c>
      <c r="AL420">
        <f>IF(A420="","",'01_Master_Data'!T420)</f>
        <v/>
      </c>
      <c r="AM420">
        <f>IF(A420="","",'01_Master_Data'!S420)</f>
        <v/>
      </c>
      <c r="AN420">
        <f>IF(A420="","",'01_Master_Data'!I420)</f>
        <v/>
      </c>
      <c r="AO420">
        <f>IF(A420="","",'01_Master_Data'!M420)</f>
        <v/>
      </c>
      <c r="AP420">
        <f>IF(A420="","",IF(ISNUMBER(SEARCH("Icici",W420&amp;"")),1,0))</f>
        <v/>
      </c>
      <c r="AQ420">
        <f>IF(A420="","",IF(ISNUMBER(SEARCH("Propelld",W420&amp;"")),1,0))</f>
        <v/>
      </c>
      <c r="AR420">
        <f>IF(A420="","",IF(ISNUMBER(SEARCH("GyanDhan",W420&amp;"")),1,0))</f>
        <v/>
      </c>
      <c r="AS420">
        <f>IF(A420="","",IF(ISNUMBER(SEARCH("vidyalakshmi",LOWER(W420&amp;""))),1,0))</f>
        <v/>
      </c>
      <c r="AT420">
        <f>IF(A420="","",IF(ISNUMBER(SEARCH("other bank",LOWER(W420&amp;""))),1,0))</f>
        <v/>
      </c>
      <c r="AU420">
        <f>IF(A420="","",IF(ISNUMBER(SEARCH("sanctioned",LOWER(W420&amp;""))),1,0))</f>
        <v/>
      </c>
      <c r="AV420">
        <f>IF(A420="","",IF(ISNUMBER(SEARCH("Docs Pending",W420&amp;"")),1,0))</f>
        <v/>
      </c>
      <c r="AW420">
        <f>IF(A420="","",IF(OR(X420="Rejected",ISNUMBER(SEARCH("Not eligbile",W420&amp;""))),1,0))</f>
        <v/>
      </c>
    </row>
    <row r="421">
      <c r="A421">
        <f>IF('01_Master_Data'!B421="","",420)</f>
        <v/>
      </c>
      <c r="B421">
        <f>IF('01_Master_Data'!B421="","",IF('01_Master_Data'!C421&lt;&gt;"","MOB|"&amp;TEXT('01_Master_Data'!C421,"0"),IF('01_Master_Data'!D421&lt;&gt;"","PID|"&amp;TRIM('01_Master_Data'!D421&amp;""),"")))</f>
        <v/>
      </c>
      <c r="C421">
        <f>IF('01_Master_Data'!B421="","",'01_Master_Data'!B421)</f>
        <v/>
      </c>
      <c r="D421">
        <f>IF('01_Master_Data'!B421="","",'01_Master_Data'!C421)</f>
        <v/>
      </c>
      <c r="E421">
        <f>IF('01_Master_Data'!B421="","",'01_Master_Data'!D421)</f>
        <v/>
      </c>
      <c r="F421">
        <f>IF('01_Master_Data'!B421="","",'01_Master_Data'!E421)</f>
        <v/>
      </c>
      <c r="G421">
        <f>IF('01_Master_Data'!B421="","",IFERROR(VLOOKUP(TRIM('01_Master_Data'!E421&amp;""),'02_Configuration'!$A$40:$B$44,2,FALSE),UPPER(TRIM('01_Master_Data'!E421&amp;""))))</f>
        <v/>
      </c>
      <c r="H421">
        <f>IF('01_Master_Data'!B421="","",IF('01_Master_Data'!U421="","",TRIM('01_Master_Data'!U421&amp;"")))</f>
        <v/>
      </c>
      <c r="I421">
        <f>IF('01_Master_Data'!B421="","",TRIM('01_Master_Data'!F421&amp;""))</f>
        <v/>
      </c>
      <c r="J421">
        <f>IF('01_Master_Data'!B421="","",TRIM('01_Master_Data'!G421&amp;""))</f>
        <v/>
      </c>
      <c r="K421">
        <f>IF('01_Master_Data'!B421="","",'01_Master_Data'!H421)</f>
        <v/>
      </c>
      <c r="L421">
        <f>IF('01_Master_Data'!B421="","",IF(LOWER(TRIM('01_Master_Data'!V421&amp;""))="yes",1,0))</f>
        <v/>
      </c>
      <c r="M421">
        <f>IF('01_Master_Data'!B421="","",IF(LOWER(TRIM('01_Master_Data'!W421&amp;""))="yes",1,0))</f>
        <v/>
      </c>
      <c r="N421">
        <f>IF('01_Master_Data'!B421="","",IF(LOWER(TRIM('01_Master_Data'!X421&amp;""))="yes",1,0))</f>
        <v/>
      </c>
      <c r="O421">
        <f>IF('01_Master_Data'!B421="","",IF(LOWER(TRIM('01_Master_Data'!Y421&amp;""))="yes",1,0))</f>
        <v/>
      </c>
      <c r="P421">
        <f>IF('01_Master_Data'!B421="","",IF(LOWER(TRIM('01_Master_Data'!Z421&amp;""))="yes",1,0))</f>
        <v/>
      </c>
      <c r="Q421">
        <f>IF(A421="","",L421+M421+N421+O421+P421)</f>
        <v/>
      </c>
      <c r="R421">
        <f>IF(A421="","",IF(Q421&gt;1,"Yes","No"))</f>
        <v/>
      </c>
      <c r="S421">
        <f>IF(A421="","",TEXTJOIN(", ",TRUE,IF(L421=1,"ICICI",""),IF(M421=1,"Propelld",""),IF(N421=1,"Study4Buddy",""),IF(O421=1,"Poonawala Fincorp",""),IF(P421=1,"GyanDhan","")))</f>
        <v/>
      </c>
      <c r="T421">
        <f>IF(A421="","",IF(L421=1,"ICICI",IF(M421=1,"Propelld",IF(P421=1,"GyanDhan",IF(N421=1,"Study4Buddy",IF(O421=1,"Poonawala Fincorp",IF(ISNUMBER(SEARCH("GyanDhan",W421&amp;"")),"GyanDhan",IF(ISNUMBER(SEARCH("Icici",W421&amp;"")),"ICICI",IF(ISNUMBER(SEARCH("Propelld",W421&amp;"")),"Propelld",IF(ISNUMBER(SEARCH("vidyalakshmi",LOWER(W421&amp;"")),"PM Vidyalakshmi","—"))))))))))</f>
        <v/>
      </c>
      <c r="U421">
        <f>IF(A421="","",TRIM('01_Master_Data'!AA421&amp;""))</f>
        <v/>
      </c>
      <c r="V421">
        <f>IF(A421="","",TRIM('01_Master_Data'!AG421&amp;""))</f>
        <v/>
      </c>
      <c r="W421">
        <f>IF(A421="","",TRIM('01_Master_Data'!AH421&amp;""))</f>
        <v/>
      </c>
      <c r="X421">
        <f>IF(A421="","",IF(OR(LOWER(H421)="refund",LOWER(U421)="refund case"),"Refund",IF(OR(LOWER(H421)="dnp",LOWER(U421)="dnp"),"DNP",IF(OR(LOWER(V421)="disbursed",ISNUMBER(SEARCH("Disbursed",W421&amp;""))),"Disbursed",IF(OR(LOWER(V421)="loan proccessed/accepted",ISNUMBER(SEARCH("sanctioned",LOWER(W421&amp;"")))),"Sanctioned",IF(OR(LOWER(V421)="rejected",ISNUMBER(SEARCH("Not eligbile",W421&amp;"")),ISNUMBER(SEARCH("Not eligible",W421&amp;""))),"Rejected",IF(ISNUMBER(SEARCH("Docs Pending",W421&amp;"")),"Documents Pending",IF(AND(LOWER(H421)="yes",LOWER(V421)="ongoing"),"Processing",IF(AND(LOWER(H421)="yes",Q421&gt;0,OR(V421="",LOWER(V421)="not even started")),"Vendor Assigned",IF(AND(LOWER(H421)="yes",LOWER(V421)="not even started"),"Need Loan",IF(LOWER(H421)="yes","Loan Started",IF(LOWER(H421)="not sure","Interested",IF(OR(LOWER(H421)="no",LOWER(V421)="not required"),"Not Required","Unclassified")))))))))))))</f>
        <v/>
      </c>
      <c r="Y421">
        <f>IF(A421="","",IF(OR(X421="Sanctioned",X421="Disbursed",X421="Approved"),"Approved",IF(X421="Rejected","Rejected",IF(OR(X421="Processing",X421="Documents Pending",X421="Vendor Assigned"),"In Progress",IF(X421="Need Loan","Pending Start","—"))))</f>
        <v/>
      </c>
      <c r="Z421">
        <f>IF(A421="","",IF(X421="Disbursed","Disbursed",IF(X421="Sanctioned","Sanctioned - Awaiting Disbursement","Not Disbursed")))</f>
        <v/>
      </c>
      <c r="AA421">
        <f>IF(A421="","",IF(LOWER(TRIM('01_Master_Data'!AI421&amp;""))="yes","Need FLDG",IF(LOWER(TRIM('01_Master_Data'!AK421&amp;""))="yes","Need Vidyalakshmi",IF(LOWER(TRIM('01_Master_Data'!AJ421&amp;""))="yes","Need Review",IF(LOWER(J421)="critical","Critical",IF(LOWER(U421)="risk","Risk Case",IF(X421="Refund","Refund","Normal")))))))</f>
        <v/>
      </c>
      <c r="AB421">
        <f>IF(A421="","",IF(OR(LOWER(J421)="critical",LOWER(TRIM('01_Master_Data'!AI421&amp;""))="yes",LOWER(TRIM('01_Master_Data'!AK421&amp;""))="yes",LOWER(U421)="risk"),"Yes","No"))</f>
        <v/>
      </c>
      <c r="AC421">
        <f>IF(A421="","",IF(LOWER(TRIM('01_Master_Data'!AI421&amp;""))="yes","Yes","No"))</f>
        <v/>
      </c>
      <c r="AD421">
        <f>IF(A421="","",IF(LOWER(TRIM('01_Master_Data'!AK421&amp;""))="yes","Yes","No"))</f>
        <v/>
      </c>
      <c r="AE421">
        <f>IF(A421="","",IF(LOWER(TRIM('01_Master_Data'!AJ421&amp;""))="yes","Yes","No"))</f>
        <v/>
      </c>
      <c r="AF421">
        <f>IF(A421="","",TRIM('01_Master_Data'!AL421&amp;""))</f>
        <v/>
      </c>
      <c r="AG421">
        <f>IF(A421="","",IF(AF421="","—",IF(ISNUMBER(SEARCH("DNP",AF421)),"Unreachable / DNP",IF(ISNUMBER(SEARCH("interest",LOWER(AF421))),"High Interest / Terms",IF(OR(ISNUMBER(SEARCH("eligib",LOWER(AF421))),ISNUMBER(SEARCH("income",LOWER(AF421)))),"Eligibility / Income",IF(OR(ISNUMBER(SEARCH("start",LOWER(AF421))),ISNUMBER(SEARCH("Newer",AF421)),ISNUMBER(SEARCH("Will start",AF421))),"Process Yet to Start",IF(ISNUMBER(SEARCH("sure",LOWER(AF421))),"Undecided",IF(OR(ISNUMBER(SEARCH("reject",LOWER(AF421))),ISNUMBER(SEARCH("SBI",AF421))),"Rejected Elsewhere",IF(ISNUMBER(SEARCH("call",LOWER(AF421))),"Bank Communication",IF(OR(ISNUMBER(SEARCH("father",LOWER(AF421))),ISNUMBER(SEARCH("sister",LOWER(AF421)))),"Family / Dependency","Other"))))))))))</f>
        <v/>
      </c>
      <c r="AH421">
        <f>IF(A421="","",'01_Master_Data'!AC421)</f>
        <v/>
      </c>
      <c r="AI421">
        <f>IF(A421="","",IF(OR(AH421="",NOT(ISNUMBER(AH421))),"",MAX(0,'02_Configuration'!$B$82-AH421)))</f>
        <v/>
      </c>
      <c r="AJ421">
        <f>IF(A421="","",IF(AI421="","Unknown",IF(AI421&lt;=3,"0–3 Days",IF(AI421&lt;=7,"4–7 Days",IF(AI421&lt;=15,"8–15 Days",IF(AI421&lt;=30,"16–30 Days","30+ Days"))))))</f>
        <v/>
      </c>
      <c r="AK421">
        <f>IF(A421="","",IF(LOWER(H421)="yes","Yes","No"))</f>
        <v/>
      </c>
      <c r="AL421">
        <f>IF(A421="","",'01_Master_Data'!T421)</f>
        <v/>
      </c>
      <c r="AM421">
        <f>IF(A421="","",'01_Master_Data'!S421)</f>
        <v/>
      </c>
      <c r="AN421">
        <f>IF(A421="","",'01_Master_Data'!I421)</f>
        <v/>
      </c>
      <c r="AO421">
        <f>IF(A421="","",'01_Master_Data'!M421)</f>
        <v/>
      </c>
      <c r="AP421">
        <f>IF(A421="","",IF(ISNUMBER(SEARCH("Icici",W421&amp;"")),1,0))</f>
        <v/>
      </c>
      <c r="AQ421">
        <f>IF(A421="","",IF(ISNUMBER(SEARCH("Propelld",W421&amp;"")),1,0))</f>
        <v/>
      </c>
      <c r="AR421">
        <f>IF(A421="","",IF(ISNUMBER(SEARCH("GyanDhan",W421&amp;"")),1,0))</f>
        <v/>
      </c>
      <c r="AS421">
        <f>IF(A421="","",IF(ISNUMBER(SEARCH("vidyalakshmi",LOWER(W421&amp;""))),1,0))</f>
        <v/>
      </c>
      <c r="AT421">
        <f>IF(A421="","",IF(ISNUMBER(SEARCH("other bank",LOWER(W421&amp;""))),1,0))</f>
        <v/>
      </c>
      <c r="AU421">
        <f>IF(A421="","",IF(ISNUMBER(SEARCH("sanctioned",LOWER(W421&amp;""))),1,0))</f>
        <v/>
      </c>
      <c r="AV421">
        <f>IF(A421="","",IF(ISNUMBER(SEARCH("Docs Pending",W421&amp;"")),1,0))</f>
        <v/>
      </c>
      <c r="AW421">
        <f>IF(A421="","",IF(OR(X421="Rejected",ISNUMBER(SEARCH("Not eligbile",W421&amp;""))),1,0))</f>
        <v/>
      </c>
    </row>
    <row r="422">
      <c r="A422">
        <f>IF('01_Master_Data'!B422="","",421)</f>
        <v/>
      </c>
      <c r="B422">
        <f>IF('01_Master_Data'!B422="","",IF('01_Master_Data'!C422&lt;&gt;"","MOB|"&amp;TEXT('01_Master_Data'!C422,"0"),IF('01_Master_Data'!D422&lt;&gt;"","PID|"&amp;TRIM('01_Master_Data'!D422&amp;""),"")))</f>
        <v/>
      </c>
      <c r="C422">
        <f>IF('01_Master_Data'!B422="","",'01_Master_Data'!B422)</f>
        <v/>
      </c>
      <c r="D422">
        <f>IF('01_Master_Data'!B422="","",'01_Master_Data'!C422)</f>
        <v/>
      </c>
      <c r="E422">
        <f>IF('01_Master_Data'!B422="","",'01_Master_Data'!D422)</f>
        <v/>
      </c>
      <c r="F422">
        <f>IF('01_Master_Data'!B422="","",'01_Master_Data'!E422)</f>
        <v/>
      </c>
      <c r="G422">
        <f>IF('01_Master_Data'!B422="","",IFERROR(VLOOKUP(TRIM('01_Master_Data'!E422&amp;""),'02_Configuration'!$A$40:$B$44,2,FALSE),UPPER(TRIM('01_Master_Data'!E422&amp;""))))</f>
        <v/>
      </c>
      <c r="H422">
        <f>IF('01_Master_Data'!B422="","",IF('01_Master_Data'!U422="","",TRIM('01_Master_Data'!U422&amp;"")))</f>
        <v/>
      </c>
      <c r="I422">
        <f>IF('01_Master_Data'!B422="","",TRIM('01_Master_Data'!F422&amp;""))</f>
        <v/>
      </c>
      <c r="J422">
        <f>IF('01_Master_Data'!B422="","",TRIM('01_Master_Data'!G422&amp;""))</f>
        <v/>
      </c>
      <c r="K422">
        <f>IF('01_Master_Data'!B422="","",'01_Master_Data'!H422)</f>
        <v/>
      </c>
      <c r="L422">
        <f>IF('01_Master_Data'!B422="","",IF(LOWER(TRIM('01_Master_Data'!V422&amp;""))="yes",1,0))</f>
        <v/>
      </c>
      <c r="M422">
        <f>IF('01_Master_Data'!B422="","",IF(LOWER(TRIM('01_Master_Data'!W422&amp;""))="yes",1,0))</f>
        <v/>
      </c>
      <c r="N422">
        <f>IF('01_Master_Data'!B422="","",IF(LOWER(TRIM('01_Master_Data'!X422&amp;""))="yes",1,0))</f>
        <v/>
      </c>
      <c r="O422">
        <f>IF('01_Master_Data'!B422="","",IF(LOWER(TRIM('01_Master_Data'!Y422&amp;""))="yes",1,0))</f>
        <v/>
      </c>
      <c r="P422">
        <f>IF('01_Master_Data'!B422="","",IF(LOWER(TRIM('01_Master_Data'!Z422&amp;""))="yes",1,0))</f>
        <v/>
      </c>
      <c r="Q422">
        <f>IF(A422="","",L422+M422+N422+O422+P422)</f>
        <v/>
      </c>
      <c r="R422">
        <f>IF(A422="","",IF(Q422&gt;1,"Yes","No"))</f>
        <v/>
      </c>
      <c r="S422">
        <f>IF(A422="","",TEXTJOIN(", ",TRUE,IF(L422=1,"ICICI",""),IF(M422=1,"Propelld",""),IF(N422=1,"Study4Buddy",""),IF(O422=1,"Poonawala Fincorp",""),IF(P422=1,"GyanDhan","")))</f>
        <v/>
      </c>
      <c r="T422">
        <f>IF(A422="","",IF(L422=1,"ICICI",IF(M422=1,"Propelld",IF(P422=1,"GyanDhan",IF(N422=1,"Study4Buddy",IF(O422=1,"Poonawala Fincorp",IF(ISNUMBER(SEARCH("GyanDhan",W422&amp;"")),"GyanDhan",IF(ISNUMBER(SEARCH("Icici",W422&amp;"")),"ICICI",IF(ISNUMBER(SEARCH("Propelld",W422&amp;"")),"Propelld",IF(ISNUMBER(SEARCH("vidyalakshmi",LOWER(W422&amp;"")),"PM Vidyalakshmi","—"))))))))))</f>
        <v/>
      </c>
      <c r="U422">
        <f>IF(A422="","",TRIM('01_Master_Data'!AA422&amp;""))</f>
        <v/>
      </c>
      <c r="V422">
        <f>IF(A422="","",TRIM('01_Master_Data'!AG422&amp;""))</f>
        <v/>
      </c>
      <c r="W422">
        <f>IF(A422="","",TRIM('01_Master_Data'!AH422&amp;""))</f>
        <v/>
      </c>
      <c r="X422">
        <f>IF(A422="","",IF(OR(LOWER(H422)="refund",LOWER(U422)="refund case"),"Refund",IF(OR(LOWER(H422)="dnp",LOWER(U422)="dnp"),"DNP",IF(OR(LOWER(V422)="disbursed",ISNUMBER(SEARCH("Disbursed",W422&amp;""))),"Disbursed",IF(OR(LOWER(V422)="loan proccessed/accepted",ISNUMBER(SEARCH("sanctioned",LOWER(W422&amp;"")))),"Sanctioned",IF(OR(LOWER(V422)="rejected",ISNUMBER(SEARCH("Not eligbile",W422&amp;"")),ISNUMBER(SEARCH("Not eligible",W422&amp;""))),"Rejected",IF(ISNUMBER(SEARCH("Docs Pending",W422&amp;"")),"Documents Pending",IF(AND(LOWER(H422)="yes",LOWER(V422)="ongoing"),"Processing",IF(AND(LOWER(H422)="yes",Q422&gt;0,OR(V422="",LOWER(V422)="not even started")),"Vendor Assigned",IF(AND(LOWER(H422)="yes",LOWER(V422)="not even started"),"Need Loan",IF(LOWER(H422)="yes","Loan Started",IF(LOWER(H422)="not sure","Interested",IF(OR(LOWER(H422)="no",LOWER(V422)="not required"),"Not Required","Unclassified")))))))))))))</f>
        <v/>
      </c>
      <c r="Y422">
        <f>IF(A422="","",IF(OR(X422="Sanctioned",X422="Disbursed",X422="Approved"),"Approved",IF(X422="Rejected","Rejected",IF(OR(X422="Processing",X422="Documents Pending",X422="Vendor Assigned"),"In Progress",IF(X422="Need Loan","Pending Start","—"))))</f>
        <v/>
      </c>
      <c r="Z422">
        <f>IF(A422="","",IF(X422="Disbursed","Disbursed",IF(X422="Sanctioned","Sanctioned - Awaiting Disbursement","Not Disbursed")))</f>
        <v/>
      </c>
      <c r="AA422">
        <f>IF(A422="","",IF(LOWER(TRIM('01_Master_Data'!AI422&amp;""))="yes","Need FLDG",IF(LOWER(TRIM('01_Master_Data'!AK422&amp;""))="yes","Need Vidyalakshmi",IF(LOWER(TRIM('01_Master_Data'!AJ422&amp;""))="yes","Need Review",IF(LOWER(J422)="critical","Critical",IF(LOWER(U422)="risk","Risk Case",IF(X422="Refund","Refund","Normal")))))))</f>
        <v/>
      </c>
      <c r="AB422">
        <f>IF(A422="","",IF(OR(LOWER(J422)="critical",LOWER(TRIM('01_Master_Data'!AI422&amp;""))="yes",LOWER(TRIM('01_Master_Data'!AK422&amp;""))="yes",LOWER(U422)="risk"),"Yes","No"))</f>
        <v/>
      </c>
      <c r="AC422">
        <f>IF(A422="","",IF(LOWER(TRIM('01_Master_Data'!AI422&amp;""))="yes","Yes","No"))</f>
        <v/>
      </c>
      <c r="AD422">
        <f>IF(A422="","",IF(LOWER(TRIM('01_Master_Data'!AK422&amp;""))="yes","Yes","No"))</f>
        <v/>
      </c>
      <c r="AE422">
        <f>IF(A422="","",IF(LOWER(TRIM('01_Master_Data'!AJ422&amp;""))="yes","Yes","No"))</f>
        <v/>
      </c>
      <c r="AF422">
        <f>IF(A422="","",TRIM('01_Master_Data'!AL422&amp;""))</f>
        <v/>
      </c>
      <c r="AG422">
        <f>IF(A422="","",IF(AF422="","—",IF(ISNUMBER(SEARCH("DNP",AF422)),"Unreachable / DNP",IF(ISNUMBER(SEARCH("interest",LOWER(AF422))),"High Interest / Terms",IF(OR(ISNUMBER(SEARCH("eligib",LOWER(AF422))),ISNUMBER(SEARCH("income",LOWER(AF422)))),"Eligibility / Income",IF(OR(ISNUMBER(SEARCH("start",LOWER(AF422))),ISNUMBER(SEARCH("Newer",AF422)),ISNUMBER(SEARCH("Will start",AF422))),"Process Yet to Start",IF(ISNUMBER(SEARCH("sure",LOWER(AF422))),"Undecided",IF(OR(ISNUMBER(SEARCH("reject",LOWER(AF422))),ISNUMBER(SEARCH("SBI",AF422))),"Rejected Elsewhere",IF(ISNUMBER(SEARCH("call",LOWER(AF422))),"Bank Communication",IF(OR(ISNUMBER(SEARCH("father",LOWER(AF422))),ISNUMBER(SEARCH("sister",LOWER(AF422)))),"Family / Dependency","Other"))))))))))</f>
        <v/>
      </c>
      <c r="AH422">
        <f>IF(A422="","",'01_Master_Data'!AC422)</f>
        <v/>
      </c>
      <c r="AI422">
        <f>IF(A422="","",IF(OR(AH422="",NOT(ISNUMBER(AH422))),"",MAX(0,'02_Configuration'!$B$82-AH422)))</f>
        <v/>
      </c>
      <c r="AJ422">
        <f>IF(A422="","",IF(AI422="","Unknown",IF(AI422&lt;=3,"0–3 Days",IF(AI422&lt;=7,"4–7 Days",IF(AI422&lt;=15,"8–15 Days",IF(AI422&lt;=30,"16–30 Days","30+ Days"))))))</f>
        <v/>
      </c>
      <c r="AK422">
        <f>IF(A422="","",IF(LOWER(H422)="yes","Yes","No"))</f>
        <v/>
      </c>
      <c r="AL422">
        <f>IF(A422="","",'01_Master_Data'!T422)</f>
        <v/>
      </c>
      <c r="AM422">
        <f>IF(A422="","",'01_Master_Data'!S422)</f>
        <v/>
      </c>
      <c r="AN422">
        <f>IF(A422="","",'01_Master_Data'!I422)</f>
        <v/>
      </c>
      <c r="AO422">
        <f>IF(A422="","",'01_Master_Data'!M422)</f>
        <v/>
      </c>
      <c r="AP422">
        <f>IF(A422="","",IF(ISNUMBER(SEARCH("Icici",W422&amp;"")),1,0))</f>
        <v/>
      </c>
      <c r="AQ422">
        <f>IF(A422="","",IF(ISNUMBER(SEARCH("Propelld",W422&amp;"")),1,0))</f>
        <v/>
      </c>
      <c r="AR422">
        <f>IF(A422="","",IF(ISNUMBER(SEARCH("GyanDhan",W422&amp;"")),1,0))</f>
        <v/>
      </c>
      <c r="AS422">
        <f>IF(A422="","",IF(ISNUMBER(SEARCH("vidyalakshmi",LOWER(W422&amp;""))),1,0))</f>
        <v/>
      </c>
      <c r="AT422">
        <f>IF(A422="","",IF(ISNUMBER(SEARCH("other bank",LOWER(W422&amp;""))),1,0))</f>
        <v/>
      </c>
      <c r="AU422">
        <f>IF(A422="","",IF(ISNUMBER(SEARCH("sanctioned",LOWER(W422&amp;""))),1,0))</f>
        <v/>
      </c>
      <c r="AV422">
        <f>IF(A422="","",IF(ISNUMBER(SEARCH("Docs Pending",W422&amp;"")),1,0))</f>
        <v/>
      </c>
      <c r="AW422">
        <f>IF(A422="","",IF(OR(X422="Rejected",ISNUMBER(SEARCH("Not eligbile",W422&amp;""))),1,0))</f>
        <v/>
      </c>
    </row>
    <row r="423">
      <c r="A423">
        <f>IF('01_Master_Data'!B423="","",422)</f>
        <v/>
      </c>
      <c r="B423">
        <f>IF('01_Master_Data'!B423="","",IF('01_Master_Data'!C423&lt;&gt;"","MOB|"&amp;TEXT('01_Master_Data'!C423,"0"),IF('01_Master_Data'!D423&lt;&gt;"","PID|"&amp;TRIM('01_Master_Data'!D423&amp;""),"")))</f>
        <v/>
      </c>
      <c r="C423">
        <f>IF('01_Master_Data'!B423="","",'01_Master_Data'!B423)</f>
        <v/>
      </c>
      <c r="D423">
        <f>IF('01_Master_Data'!B423="","",'01_Master_Data'!C423)</f>
        <v/>
      </c>
      <c r="E423">
        <f>IF('01_Master_Data'!B423="","",'01_Master_Data'!D423)</f>
        <v/>
      </c>
      <c r="F423">
        <f>IF('01_Master_Data'!B423="","",'01_Master_Data'!E423)</f>
        <v/>
      </c>
      <c r="G423">
        <f>IF('01_Master_Data'!B423="","",IFERROR(VLOOKUP(TRIM('01_Master_Data'!E423&amp;""),'02_Configuration'!$A$40:$B$44,2,FALSE),UPPER(TRIM('01_Master_Data'!E423&amp;""))))</f>
        <v/>
      </c>
      <c r="H423">
        <f>IF('01_Master_Data'!B423="","",IF('01_Master_Data'!U423="","",TRIM('01_Master_Data'!U423&amp;"")))</f>
        <v/>
      </c>
      <c r="I423">
        <f>IF('01_Master_Data'!B423="","",TRIM('01_Master_Data'!F423&amp;""))</f>
        <v/>
      </c>
      <c r="J423">
        <f>IF('01_Master_Data'!B423="","",TRIM('01_Master_Data'!G423&amp;""))</f>
        <v/>
      </c>
      <c r="K423">
        <f>IF('01_Master_Data'!B423="","",'01_Master_Data'!H423)</f>
        <v/>
      </c>
      <c r="L423">
        <f>IF('01_Master_Data'!B423="","",IF(LOWER(TRIM('01_Master_Data'!V423&amp;""))="yes",1,0))</f>
        <v/>
      </c>
      <c r="M423">
        <f>IF('01_Master_Data'!B423="","",IF(LOWER(TRIM('01_Master_Data'!W423&amp;""))="yes",1,0))</f>
        <v/>
      </c>
      <c r="N423">
        <f>IF('01_Master_Data'!B423="","",IF(LOWER(TRIM('01_Master_Data'!X423&amp;""))="yes",1,0))</f>
        <v/>
      </c>
      <c r="O423">
        <f>IF('01_Master_Data'!B423="","",IF(LOWER(TRIM('01_Master_Data'!Y423&amp;""))="yes",1,0))</f>
        <v/>
      </c>
      <c r="P423">
        <f>IF('01_Master_Data'!B423="","",IF(LOWER(TRIM('01_Master_Data'!Z423&amp;""))="yes",1,0))</f>
        <v/>
      </c>
      <c r="Q423">
        <f>IF(A423="","",L423+M423+N423+O423+P423)</f>
        <v/>
      </c>
      <c r="R423">
        <f>IF(A423="","",IF(Q423&gt;1,"Yes","No"))</f>
        <v/>
      </c>
      <c r="S423">
        <f>IF(A423="","",TEXTJOIN(", ",TRUE,IF(L423=1,"ICICI",""),IF(M423=1,"Propelld",""),IF(N423=1,"Study4Buddy",""),IF(O423=1,"Poonawala Fincorp",""),IF(P423=1,"GyanDhan","")))</f>
        <v/>
      </c>
      <c r="T423">
        <f>IF(A423="","",IF(L423=1,"ICICI",IF(M423=1,"Propelld",IF(P423=1,"GyanDhan",IF(N423=1,"Study4Buddy",IF(O423=1,"Poonawala Fincorp",IF(ISNUMBER(SEARCH("GyanDhan",W423&amp;"")),"GyanDhan",IF(ISNUMBER(SEARCH("Icici",W423&amp;"")),"ICICI",IF(ISNUMBER(SEARCH("Propelld",W423&amp;"")),"Propelld",IF(ISNUMBER(SEARCH("vidyalakshmi",LOWER(W423&amp;"")),"PM Vidyalakshmi","—"))))))))))</f>
        <v/>
      </c>
      <c r="U423">
        <f>IF(A423="","",TRIM('01_Master_Data'!AA423&amp;""))</f>
        <v/>
      </c>
      <c r="V423">
        <f>IF(A423="","",TRIM('01_Master_Data'!AG423&amp;""))</f>
        <v/>
      </c>
      <c r="W423">
        <f>IF(A423="","",TRIM('01_Master_Data'!AH423&amp;""))</f>
        <v/>
      </c>
      <c r="X423">
        <f>IF(A423="","",IF(OR(LOWER(H423)="refund",LOWER(U423)="refund case"),"Refund",IF(OR(LOWER(H423)="dnp",LOWER(U423)="dnp"),"DNP",IF(OR(LOWER(V423)="disbursed",ISNUMBER(SEARCH("Disbursed",W423&amp;""))),"Disbursed",IF(OR(LOWER(V423)="loan proccessed/accepted",ISNUMBER(SEARCH("sanctioned",LOWER(W423&amp;"")))),"Sanctioned",IF(OR(LOWER(V423)="rejected",ISNUMBER(SEARCH("Not eligbile",W423&amp;"")),ISNUMBER(SEARCH("Not eligible",W423&amp;""))),"Rejected",IF(ISNUMBER(SEARCH("Docs Pending",W423&amp;"")),"Documents Pending",IF(AND(LOWER(H423)="yes",LOWER(V423)="ongoing"),"Processing",IF(AND(LOWER(H423)="yes",Q423&gt;0,OR(V423="",LOWER(V423)="not even started")),"Vendor Assigned",IF(AND(LOWER(H423)="yes",LOWER(V423)="not even started"),"Need Loan",IF(LOWER(H423)="yes","Loan Started",IF(LOWER(H423)="not sure","Interested",IF(OR(LOWER(H423)="no",LOWER(V423)="not required"),"Not Required","Unclassified")))))))))))))</f>
        <v/>
      </c>
      <c r="Y423">
        <f>IF(A423="","",IF(OR(X423="Sanctioned",X423="Disbursed",X423="Approved"),"Approved",IF(X423="Rejected","Rejected",IF(OR(X423="Processing",X423="Documents Pending",X423="Vendor Assigned"),"In Progress",IF(X423="Need Loan","Pending Start","—"))))</f>
        <v/>
      </c>
      <c r="Z423">
        <f>IF(A423="","",IF(X423="Disbursed","Disbursed",IF(X423="Sanctioned","Sanctioned - Awaiting Disbursement","Not Disbursed")))</f>
        <v/>
      </c>
      <c r="AA423">
        <f>IF(A423="","",IF(LOWER(TRIM('01_Master_Data'!AI423&amp;""))="yes","Need FLDG",IF(LOWER(TRIM('01_Master_Data'!AK423&amp;""))="yes","Need Vidyalakshmi",IF(LOWER(TRIM('01_Master_Data'!AJ423&amp;""))="yes","Need Review",IF(LOWER(J423)="critical","Critical",IF(LOWER(U423)="risk","Risk Case",IF(X423="Refund","Refund","Normal")))))))</f>
        <v/>
      </c>
      <c r="AB423">
        <f>IF(A423="","",IF(OR(LOWER(J423)="critical",LOWER(TRIM('01_Master_Data'!AI423&amp;""))="yes",LOWER(TRIM('01_Master_Data'!AK423&amp;""))="yes",LOWER(U423)="risk"),"Yes","No"))</f>
        <v/>
      </c>
      <c r="AC423">
        <f>IF(A423="","",IF(LOWER(TRIM('01_Master_Data'!AI423&amp;""))="yes","Yes","No"))</f>
        <v/>
      </c>
      <c r="AD423">
        <f>IF(A423="","",IF(LOWER(TRIM('01_Master_Data'!AK423&amp;""))="yes","Yes","No"))</f>
        <v/>
      </c>
      <c r="AE423">
        <f>IF(A423="","",IF(LOWER(TRIM('01_Master_Data'!AJ423&amp;""))="yes","Yes","No"))</f>
        <v/>
      </c>
      <c r="AF423">
        <f>IF(A423="","",TRIM('01_Master_Data'!AL423&amp;""))</f>
        <v/>
      </c>
      <c r="AG423">
        <f>IF(A423="","",IF(AF423="","—",IF(ISNUMBER(SEARCH("DNP",AF423)),"Unreachable / DNP",IF(ISNUMBER(SEARCH("interest",LOWER(AF423))),"High Interest / Terms",IF(OR(ISNUMBER(SEARCH("eligib",LOWER(AF423))),ISNUMBER(SEARCH("income",LOWER(AF423)))),"Eligibility / Income",IF(OR(ISNUMBER(SEARCH("start",LOWER(AF423))),ISNUMBER(SEARCH("Newer",AF423)),ISNUMBER(SEARCH("Will start",AF423))),"Process Yet to Start",IF(ISNUMBER(SEARCH("sure",LOWER(AF423))),"Undecided",IF(OR(ISNUMBER(SEARCH("reject",LOWER(AF423))),ISNUMBER(SEARCH("SBI",AF423))),"Rejected Elsewhere",IF(ISNUMBER(SEARCH("call",LOWER(AF423))),"Bank Communication",IF(OR(ISNUMBER(SEARCH("father",LOWER(AF423))),ISNUMBER(SEARCH("sister",LOWER(AF423)))),"Family / Dependency","Other"))))))))))</f>
        <v/>
      </c>
      <c r="AH423">
        <f>IF(A423="","",'01_Master_Data'!AC423)</f>
        <v/>
      </c>
      <c r="AI423">
        <f>IF(A423="","",IF(OR(AH423="",NOT(ISNUMBER(AH423))),"",MAX(0,'02_Configuration'!$B$82-AH423)))</f>
        <v/>
      </c>
      <c r="AJ423">
        <f>IF(A423="","",IF(AI423="","Unknown",IF(AI423&lt;=3,"0–3 Days",IF(AI423&lt;=7,"4–7 Days",IF(AI423&lt;=15,"8–15 Days",IF(AI423&lt;=30,"16–30 Days","30+ Days"))))))</f>
        <v/>
      </c>
      <c r="AK423">
        <f>IF(A423="","",IF(LOWER(H423)="yes","Yes","No"))</f>
        <v/>
      </c>
      <c r="AL423">
        <f>IF(A423="","",'01_Master_Data'!T423)</f>
        <v/>
      </c>
      <c r="AM423">
        <f>IF(A423="","",'01_Master_Data'!S423)</f>
        <v/>
      </c>
      <c r="AN423">
        <f>IF(A423="","",'01_Master_Data'!I423)</f>
        <v/>
      </c>
      <c r="AO423">
        <f>IF(A423="","",'01_Master_Data'!M423)</f>
        <v/>
      </c>
      <c r="AP423">
        <f>IF(A423="","",IF(ISNUMBER(SEARCH("Icici",W423&amp;"")),1,0))</f>
        <v/>
      </c>
      <c r="AQ423">
        <f>IF(A423="","",IF(ISNUMBER(SEARCH("Propelld",W423&amp;"")),1,0))</f>
        <v/>
      </c>
      <c r="AR423">
        <f>IF(A423="","",IF(ISNUMBER(SEARCH("GyanDhan",W423&amp;"")),1,0))</f>
        <v/>
      </c>
      <c r="AS423">
        <f>IF(A423="","",IF(ISNUMBER(SEARCH("vidyalakshmi",LOWER(W423&amp;""))),1,0))</f>
        <v/>
      </c>
      <c r="AT423">
        <f>IF(A423="","",IF(ISNUMBER(SEARCH("other bank",LOWER(W423&amp;""))),1,0))</f>
        <v/>
      </c>
      <c r="AU423">
        <f>IF(A423="","",IF(ISNUMBER(SEARCH("sanctioned",LOWER(W423&amp;""))),1,0))</f>
        <v/>
      </c>
      <c r="AV423">
        <f>IF(A423="","",IF(ISNUMBER(SEARCH("Docs Pending",W423&amp;"")),1,0))</f>
        <v/>
      </c>
      <c r="AW423">
        <f>IF(A423="","",IF(OR(X423="Rejected",ISNUMBER(SEARCH("Not eligbile",W423&amp;""))),1,0))</f>
        <v/>
      </c>
    </row>
    <row r="424">
      <c r="A424">
        <f>IF('01_Master_Data'!B424="","",423)</f>
        <v/>
      </c>
      <c r="B424">
        <f>IF('01_Master_Data'!B424="","",IF('01_Master_Data'!C424&lt;&gt;"","MOB|"&amp;TEXT('01_Master_Data'!C424,"0"),IF('01_Master_Data'!D424&lt;&gt;"","PID|"&amp;TRIM('01_Master_Data'!D424&amp;""),"")))</f>
        <v/>
      </c>
      <c r="C424">
        <f>IF('01_Master_Data'!B424="","",'01_Master_Data'!B424)</f>
        <v/>
      </c>
      <c r="D424">
        <f>IF('01_Master_Data'!B424="","",'01_Master_Data'!C424)</f>
        <v/>
      </c>
      <c r="E424">
        <f>IF('01_Master_Data'!B424="","",'01_Master_Data'!D424)</f>
        <v/>
      </c>
      <c r="F424">
        <f>IF('01_Master_Data'!B424="","",'01_Master_Data'!E424)</f>
        <v/>
      </c>
      <c r="G424">
        <f>IF('01_Master_Data'!B424="","",IFERROR(VLOOKUP(TRIM('01_Master_Data'!E424&amp;""),'02_Configuration'!$A$40:$B$44,2,FALSE),UPPER(TRIM('01_Master_Data'!E424&amp;""))))</f>
        <v/>
      </c>
      <c r="H424">
        <f>IF('01_Master_Data'!B424="","",IF('01_Master_Data'!U424="","",TRIM('01_Master_Data'!U424&amp;"")))</f>
        <v/>
      </c>
      <c r="I424">
        <f>IF('01_Master_Data'!B424="","",TRIM('01_Master_Data'!F424&amp;""))</f>
        <v/>
      </c>
      <c r="J424">
        <f>IF('01_Master_Data'!B424="","",TRIM('01_Master_Data'!G424&amp;""))</f>
        <v/>
      </c>
      <c r="K424">
        <f>IF('01_Master_Data'!B424="","",'01_Master_Data'!H424)</f>
        <v/>
      </c>
      <c r="L424">
        <f>IF('01_Master_Data'!B424="","",IF(LOWER(TRIM('01_Master_Data'!V424&amp;""))="yes",1,0))</f>
        <v/>
      </c>
      <c r="M424">
        <f>IF('01_Master_Data'!B424="","",IF(LOWER(TRIM('01_Master_Data'!W424&amp;""))="yes",1,0))</f>
        <v/>
      </c>
      <c r="N424">
        <f>IF('01_Master_Data'!B424="","",IF(LOWER(TRIM('01_Master_Data'!X424&amp;""))="yes",1,0))</f>
        <v/>
      </c>
      <c r="O424">
        <f>IF('01_Master_Data'!B424="","",IF(LOWER(TRIM('01_Master_Data'!Y424&amp;""))="yes",1,0))</f>
        <v/>
      </c>
      <c r="P424">
        <f>IF('01_Master_Data'!B424="","",IF(LOWER(TRIM('01_Master_Data'!Z424&amp;""))="yes",1,0))</f>
        <v/>
      </c>
      <c r="Q424">
        <f>IF(A424="","",L424+M424+N424+O424+P424)</f>
        <v/>
      </c>
      <c r="R424">
        <f>IF(A424="","",IF(Q424&gt;1,"Yes","No"))</f>
        <v/>
      </c>
      <c r="S424">
        <f>IF(A424="","",TEXTJOIN(", ",TRUE,IF(L424=1,"ICICI",""),IF(M424=1,"Propelld",""),IF(N424=1,"Study4Buddy",""),IF(O424=1,"Poonawala Fincorp",""),IF(P424=1,"GyanDhan","")))</f>
        <v/>
      </c>
      <c r="T424">
        <f>IF(A424="","",IF(L424=1,"ICICI",IF(M424=1,"Propelld",IF(P424=1,"GyanDhan",IF(N424=1,"Study4Buddy",IF(O424=1,"Poonawala Fincorp",IF(ISNUMBER(SEARCH("GyanDhan",W424&amp;"")),"GyanDhan",IF(ISNUMBER(SEARCH("Icici",W424&amp;"")),"ICICI",IF(ISNUMBER(SEARCH("Propelld",W424&amp;"")),"Propelld",IF(ISNUMBER(SEARCH("vidyalakshmi",LOWER(W424&amp;"")),"PM Vidyalakshmi","—"))))))))))</f>
        <v/>
      </c>
      <c r="U424">
        <f>IF(A424="","",TRIM('01_Master_Data'!AA424&amp;""))</f>
        <v/>
      </c>
      <c r="V424">
        <f>IF(A424="","",TRIM('01_Master_Data'!AG424&amp;""))</f>
        <v/>
      </c>
      <c r="W424">
        <f>IF(A424="","",TRIM('01_Master_Data'!AH424&amp;""))</f>
        <v/>
      </c>
      <c r="X424">
        <f>IF(A424="","",IF(OR(LOWER(H424)="refund",LOWER(U424)="refund case"),"Refund",IF(OR(LOWER(H424)="dnp",LOWER(U424)="dnp"),"DNP",IF(OR(LOWER(V424)="disbursed",ISNUMBER(SEARCH("Disbursed",W424&amp;""))),"Disbursed",IF(OR(LOWER(V424)="loan proccessed/accepted",ISNUMBER(SEARCH("sanctioned",LOWER(W424&amp;"")))),"Sanctioned",IF(OR(LOWER(V424)="rejected",ISNUMBER(SEARCH("Not eligbile",W424&amp;"")),ISNUMBER(SEARCH("Not eligible",W424&amp;""))),"Rejected",IF(ISNUMBER(SEARCH("Docs Pending",W424&amp;"")),"Documents Pending",IF(AND(LOWER(H424)="yes",LOWER(V424)="ongoing"),"Processing",IF(AND(LOWER(H424)="yes",Q424&gt;0,OR(V424="",LOWER(V424)="not even started")),"Vendor Assigned",IF(AND(LOWER(H424)="yes",LOWER(V424)="not even started"),"Need Loan",IF(LOWER(H424)="yes","Loan Started",IF(LOWER(H424)="not sure","Interested",IF(OR(LOWER(H424)="no",LOWER(V424)="not required"),"Not Required","Unclassified")))))))))))))</f>
        <v/>
      </c>
      <c r="Y424">
        <f>IF(A424="","",IF(OR(X424="Sanctioned",X424="Disbursed",X424="Approved"),"Approved",IF(X424="Rejected","Rejected",IF(OR(X424="Processing",X424="Documents Pending",X424="Vendor Assigned"),"In Progress",IF(X424="Need Loan","Pending Start","—"))))</f>
        <v/>
      </c>
      <c r="Z424">
        <f>IF(A424="","",IF(X424="Disbursed","Disbursed",IF(X424="Sanctioned","Sanctioned - Awaiting Disbursement","Not Disbursed")))</f>
        <v/>
      </c>
      <c r="AA424">
        <f>IF(A424="","",IF(LOWER(TRIM('01_Master_Data'!AI424&amp;""))="yes","Need FLDG",IF(LOWER(TRIM('01_Master_Data'!AK424&amp;""))="yes","Need Vidyalakshmi",IF(LOWER(TRIM('01_Master_Data'!AJ424&amp;""))="yes","Need Review",IF(LOWER(J424)="critical","Critical",IF(LOWER(U424)="risk","Risk Case",IF(X424="Refund","Refund","Normal")))))))</f>
        <v/>
      </c>
      <c r="AB424">
        <f>IF(A424="","",IF(OR(LOWER(J424)="critical",LOWER(TRIM('01_Master_Data'!AI424&amp;""))="yes",LOWER(TRIM('01_Master_Data'!AK424&amp;""))="yes",LOWER(U424)="risk"),"Yes","No"))</f>
        <v/>
      </c>
      <c r="AC424">
        <f>IF(A424="","",IF(LOWER(TRIM('01_Master_Data'!AI424&amp;""))="yes","Yes","No"))</f>
        <v/>
      </c>
      <c r="AD424">
        <f>IF(A424="","",IF(LOWER(TRIM('01_Master_Data'!AK424&amp;""))="yes","Yes","No"))</f>
        <v/>
      </c>
      <c r="AE424">
        <f>IF(A424="","",IF(LOWER(TRIM('01_Master_Data'!AJ424&amp;""))="yes","Yes","No"))</f>
        <v/>
      </c>
      <c r="AF424">
        <f>IF(A424="","",TRIM('01_Master_Data'!AL424&amp;""))</f>
        <v/>
      </c>
      <c r="AG424">
        <f>IF(A424="","",IF(AF424="","—",IF(ISNUMBER(SEARCH("DNP",AF424)),"Unreachable / DNP",IF(ISNUMBER(SEARCH("interest",LOWER(AF424))),"High Interest / Terms",IF(OR(ISNUMBER(SEARCH("eligib",LOWER(AF424))),ISNUMBER(SEARCH("income",LOWER(AF424)))),"Eligibility / Income",IF(OR(ISNUMBER(SEARCH("start",LOWER(AF424))),ISNUMBER(SEARCH("Newer",AF424)),ISNUMBER(SEARCH("Will start",AF424))),"Process Yet to Start",IF(ISNUMBER(SEARCH("sure",LOWER(AF424))),"Undecided",IF(OR(ISNUMBER(SEARCH("reject",LOWER(AF424))),ISNUMBER(SEARCH("SBI",AF424))),"Rejected Elsewhere",IF(ISNUMBER(SEARCH("call",LOWER(AF424))),"Bank Communication",IF(OR(ISNUMBER(SEARCH("father",LOWER(AF424))),ISNUMBER(SEARCH("sister",LOWER(AF424)))),"Family / Dependency","Other"))))))))))</f>
        <v/>
      </c>
      <c r="AH424">
        <f>IF(A424="","",'01_Master_Data'!AC424)</f>
        <v/>
      </c>
      <c r="AI424">
        <f>IF(A424="","",IF(OR(AH424="",NOT(ISNUMBER(AH424))),"",MAX(0,'02_Configuration'!$B$82-AH424)))</f>
        <v/>
      </c>
      <c r="AJ424">
        <f>IF(A424="","",IF(AI424="","Unknown",IF(AI424&lt;=3,"0–3 Days",IF(AI424&lt;=7,"4–7 Days",IF(AI424&lt;=15,"8–15 Days",IF(AI424&lt;=30,"16–30 Days","30+ Days"))))))</f>
        <v/>
      </c>
      <c r="AK424">
        <f>IF(A424="","",IF(LOWER(H424)="yes","Yes","No"))</f>
        <v/>
      </c>
      <c r="AL424">
        <f>IF(A424="","",'01_Master_Data'!T424)</f>
        <v/>
      </c>
      <c r="AM424">
        <f>IF(A424="","",'01_Master_Data'!S424)</f>
        <v/>
      </c>
      <c r="AN424">
        <f>IF(A424="","",'01_Master_Data'!I424)</f>
        <v/>
      </c>
      <c r="AO424">
        <f>IF(A424="","",'01_Master_Data'!M424)</f>
        <v/>
      </c>
      <c r="AP424">
        <f>IF(A424="","",IF(ISNUMBER(SEARCH("Icici",W424&amp;"")),1,0))</f>
        <v/>
      </c>
      <c r="AQ424">
        <f>IF(A424="","",IF(ISNUMBER(SEARCH("Propelld",W424&amp;"")),1,0))</f>
        <v/>
      </c>
      <c r="AR424">
        <f>IF(A424="","",IF(ISNUMBER(SEARCH("GyanDhan",W424&amp;"")),1,0))</f>
        <v/>
      </c>
      <c r="AS424">
        <f>IF(A424="","",IF(ISNUMBER(SEARCH("vidyalakshmi",LOWER(W424&amp;""))),1,0))</f>
        <v/>
      </c>
      <c r="AT424">
        <f>IF(A424="","",IF(ISNUMBER(SEARCH("other bank",LOWER(W424&amp;""))),1,0))</f>
        <v/>
      </c>
      <c r="AU424">
        <f>IF(A424="","",IF(ISNUMBER(SEARCH("sanctioned",LOWER(W424&amp;""))),1,0))</f>
        <v/>
      </c>
      <c r="AV424">
        <f>IF(A424="","",IF(ISNUMBER(SEARCH("Docs Pending",W424&amp;"")),1,0))</f>
        <v/>
      </c>
      <c r="AW424">
        <f>IF(A424="","",IF(OR(X424="Rejected",ISNUMBER(SEARCH("Not eligbile",W424&amp;""))),1,0))</f>
        <v/>
      </c>
    </row>
    <row r="425">
      <c r="A425">
        <f>IF('01_Master_Data'!B425="","",424)</f>
        <v/>
      </c>
      <c r="B425">
        <f>IF('01_Master_Data'!B425="","",IF('01_Master_Data'!C425&lt;&gt;"","MOB|"&amp;TEXT('01_Master_Data'!C425,"0"),IF('01_Master_Data'!D425&lt;&gt;"","PID|"&amp;TRIM('01_Master_Data'!D425&amp;""),"")))</f>
        <v/>
      </c>
      <c r="C425">
        <f>IF('01_Master_Data'!B425="","",'01_Master_Data'!B425)</f>
        <v/>
      </c>
      <c r="D425">
        <f>IF('01_Master_Data'!B425="","",'01_Master_Data'!C425)</f>
        <v/>
      </c>
      <c r="E425">
        <f>IF('01_Master_Data'!B425="","",'01_Master_Data'!D425)</f>
        <v/>
      </c>
      <c r="F425">
        <f>IF('01_Master_Data'!B425="","",'01_Master_Data'!E425)</f>
        <v/>
      </c>
      <c r="G425">
        <f>IF('01_Master_Data'!B425="","",IFERROR(VLOOKUP(TRIM('01_Master_Data'!E425&amp;""),'02_Configuration'!$A$40:$B$44,2,FALSE),UPPER(TRIM('01_Master_Data'!E425&amp;""))))</f>
        <v/>
      </c>
      <c r="H425">
        <f>IF('01_Master_Data'!B425="","",IF('01_Master_Data'!U425="","",TRIM('01_Master_Data'!U425&amp;"")))</f>
        <v/>
      </c>
      <c r="I425">
        <f>IF('01_Master_Data'!B425="","",TRIM('01_Master_Data'!F425&amp;""))</f>
        <v/>
      </c>
      <c r="J425">
        <f>IF('01_Master_Data'!B425="","",TRIM('01_Master_Data'!G425&amp;""))</f>
        <v/>
      </c>
      <c r="K425">
        <f>IF('01_Master_Data'!B425="","",'01_Master_Data'!H425)</f>
        <v/>
      </c>
      <c r="L425">
        <f>IF('01_Master_Data'!B425="","",IF(LOWER(TRIM('01_Master_Data'!V425&amp;""))="yes",1,0))</f>
        <v/>
      </c>
      <c r="M425">
        <f>IF('01_Master_Data'!B425="","",IF(LOWER(TRIM('01_Master_Data'!W425&amp;""))="yes",1,0))</f>
        <v/>
      </c>
      <c r="N425">
        <f>IF('01_Master_Data'!B425="","",IF(LOWER(TRIM('01_Master_Data'!X425&amp;""))="yes",1,0))</f>
        <v/>
      </c>
      <c r="O425">
        <f>IF('01_Master_Data'!B425="","",IF(LOWER(TRIM('01_Master_Data'!Y425&amp;""))="yes",1,0))</f>
        <v/>
      </c>
      <c r="P425">
        <f>IF('01_Master_Data'!B425="","",IF(LOWER(TRIM('01_Master_Data'!Z425&amp;""))="yes",1,0))</f>
        <v/>
      </c>
      <c r="Q425">
        <f>IF(A425="","",L425+M425+N425+O425+P425)</f>
        <v/>
      </c>
      <c r="R425">
        <f>IF(A425="","",IF(Q425&gt;1,"Yes","No"))</f>
        <v/>
      </c>
      <c r="S425">
        <f>IF(A425="","",TEXTJOIN(", ",TRUE,IF(L425=1,"ICICI",""),IF(M425=1,"Propelld",""),IF(N425=1,"Study4Buddy",""),IF(O425=1,"Poonawala Fincorp",""),IF(P425=1,"GyanDhan","")))</f>
        <v/>
      </c>
      <c r="T425">
        <f>IF(A425="","",IF(L425=1,"ICICI",IF(M425=1,"Propelld",IF(P425=1,"GyanDhan",IF(N425=1,"Study4Buddy",IF(O425=1,"Poonawala Fincorp",IF(ISNUMBER(SEARCH("GyanDhan",W425&amp;"")),"GyanDhan",IF(ISNUMBER(SEARCH("Icici",W425&amp;"")),"ICICI",IF(ISNUMBER(SEARCH("Propelld",W425&amp;"")),"Propelld",IF(ISNUMBER(SEARCH("vidyalakshmi",LOWER(W425&amp;"")),"PM Vidyalakshmi","—"))))))))))</f>
        <v/>
      </c>
      <c r="U425">
        <f>IF(A425="","",TRIM('01_Master_Data'!AA425&amp;""))</f>
        <v/>
      </c>
      <c r="V425">
        <f>IF(A425="","",TRIM('01_Master_Data'!AG425&amp;""))</f>
        <v/>
      </c>
      <c r="W425">
        <f>IF(A425="","",TRIM('01_Master_Data'!AH425&amp;""))</f>
        <v/>
      </c>
      <c r="X425">
        <f>IF(A425="","",IF(OR(LOWER(H425)="refund",LOWER(U425)="refund case"),"Refund",IF(OR(LOWER(H425)="dnp",LOWER(U425)="dnp"),"DNP",IF(OR(LOWER(V425)="disbursed",ISNUMBER(SEARCH("Disbursed",W425&amp;""))),"Disbursed",IF(OR(LOWER(V425)="loan proccessed/accepted",ISNUMBER(SEARCH("sanctioned",LOWER(W425&amp;"")))),"Sanctioned",IF(OR(LOWER(V425)="rejected",ISNUMBER(SEARCH("Not eligbile",W425&amp;"")),ISNUMBER(SEARCH("Not eligible",W425&amp;""))),"Rejected",IF(ISNUMBER(SEARCH("Docs Pending",W425&amp;"")),"Documents Pending",IF(AND(LOWER(H425)="yes",LOWER(V425)="ongoing"),"Processing",IF(AND(LOWER(H425)="yes",Q425&gt;0,OR(V425="",LOWER(V425)="not even started")),"Vendor Assigned",IF(AND(LOWER(H425)="yes",LOWER(V425)="not even started"),"Need Loan",IF(LOWER(H425)="yes","Loan Started",IF(LOWER(H425)="not sure","Interested",IF(OR(LOWER(H425)="no",LOWER(V425)="not required"),"Not Required","Unclassified")))))))))))))</f>
        <v/>
      </c>
      <c r="Y425">
        <f>IF(A425="","",IF(OR(X425="Sanctioned",X425="Disbursed",X425="Approved"),"Approved",IF(X425="Rejected","Rejected",IF(OR(X425="Processing",X425="Documents Pending",X425="Vendor Assigned"),"In Progress",IF(X425="Need Loan","Pending Start","—"))))</f>
        <v/>
      </c>
      <c r="Z425">
        <f>IF(A425="","",IF(X425="Disbursed","Disbursed",IF(X425="Sanctioned","Sanctioned - Awaiting Disbursement","Not Disbursed")))</f>
        <v/>
      </c>
      <c r="AA425">
        <f>IF(A425="","",IF(LOWER(TRIM('01_Master_Data'!AI425&amp;""))="yes","Need FLDG",IF(LOWER(TRIM('01_Master_Data'!AK425&amp;""))="yes","Need Vidyalakshmi",IF(LOWER(TRIM('01_Master_Data'!AJ425&amp;""))="yes","Need Review",IF(LOWER(J425)="critical","Critical",IF(LOWER(U425)="risk","Risk Case",IF(X425="Refund","Refund","Normal")))))))</f>
        <v/>
      </c>
      <c r="AB425">
        <f>IF(A425="","",IF(OR(LOWER(J425)="critical",LOWER(TRIM('01_Master_Data'!AI425&amp;""))="yes",LOWER(TRIM('01_Master_Data'!AK425&amp;""))="yes",LOWER(U425)="risk"),"Yes","No"))</f>
        <v/>
      </c>
      <c r="AC425">
        <f>IF(A425="","",IF(LOWER(TRIM('01_Master_Data'!AI425&amp;""))="yes","Yes","No"))</f>
        <v/>
      </c>
      <c r="AD425">
        <f>IF(A425="","",IF(LOWER(TRIM('01_Master_Data'!AK425&amp;""))="yes","Yes","No"))</f>
        <v/>
      </c>
      <c r="AE425">
        <f>IF(A425="","",IF(LOWER(TRIM('01_Master_Data'!AJ425&amp;""))="yes","Yes","No"))</f>
        <v/>
      </c>
      <c r="AF425">
        <f>IF(A425="","",TRIM('01_Master_Data'!AL425&amp;""))</f>
        <v/>
      </c>
      <c r="AG425">
        <f>IF(A425="","",IF(AF425="","—",IF(ISNUMBER(SEARCH("DNP",AF425)),"Unreachable / DNP",IF(ISNUMBER(SEARCH("interest",LOWER(AF425))),"High Interest / Terms",IF(OR(ISNUMBER(SEARCH("eligib",LOWER(AF425))),ISNUMBER(SEARCH("income",LOWER(AF425)))),"Eligibility / Income",IF(OR(ISNUMBER(SEARCH("start",LOWER(AF425))),ISNUMBER(SEARCH("Newer",AF425)),ISNUMBER(SEARCH("Will start",AF425))),"Process Yet to Start",IF(ISNUMBER(SEARCH("sure",LOWER(AF425))),"Undecided",IF(OR(ISNUMBER(SEARCH("reject",LOWER(AF425))),ISNUMBER(SEARCH("SBI",AF425))),"Rejected Elsewhere",IF(ISNUMBER(SEARCH("call",LOWER(AF425))),"Bank Communication",IF(OR(ISNUMBER(SEARCH("father",LOWER(AF425))),ISNUMBER(SEARCH("sister",LOWER(AF425)))),"Family / Dependency","Other"))))))))))</f>
        <v/>
      </c>
      <c r="AH425">
        <f>IF(A425="","",'01_Master_Data'!AC425)</f>
        <v/>
      </c>
      <c r="AI425">
        <f>IF(A425="","",IF(OR(AH425="",NOT(ISNUMBER(AH425))),"",MAX(0,'02_Configuration'!$B$82-AH425)))</f>
        <v/>
      </c>
      <c r="AJ425">
        <f>IF(A425="","",IF(AI425="","Unknown",IF(AI425&lt;=3,"0–3 Days",IF(AI425&lt;=7,"4–7 Days",IF(AI425&lt;=15,"8–15 Days",IF(AI425&lt;=30,"16–30 Days","30+ Days"))))))</f>
        <v/>
      </c>
      <c r="AK425">
        <f>IF(A425="","",IF(LOWER(H425)="yes","Yes","No"))</f>
        <v/>
      </c>
      <c r="AL425">
        <f>IF(A425="","",'01_Master_Data'!T425)</f>
        <v/>
      </c>
      <c r="AM425">
        <f>IF(A425="","",'01_Master_Data'!S425)</f>
        <v/>
      </c>
      <c r="AN425">
        <f>IF(A425="","",'01_Master_Data'!I425)</f>
        <v/>
      </c>
      <c r="AO425">
        <f>IF(A425="","",'01_Master_Data'!M425)</f>
        <v/>
      </c>
      <c r="AP425">
        <f>IF(A425="","",IF(ISNUMBER(SEARCH("Icici",W425&amp;"")),1,0))</f>
        <v/>
      </c>
      <c r="AQ425">
        <f>IF(A425="","",IF(ISNUMBER(SEARCH("Propelld",W425&amp;"")),1,0))</f>
        <v/>
      </c>
      <c r="AR425">
        <f>IF(A425="","",IF(ISNUMBER(SEARCH("GyanDhan",W425&amp;"")),1,0))</f>
        <v/>
      </c>
      <c r="AS425">
        <f>IF(A425="","",IF(ISNUMBER(SEARCH("vidyalakshmi",LOWER(W425&amp;""))),1,0))</f>
        <v/>
      </c>
      <c r="AT425">
        <f>IF(A425="","",IF(ISNUMBER(SEARCH("other bank",LOWER(W425&amp;""))),1,0))</f>
        <v/>
      </c>
      <c r="AU425">
        <f>IF(A425="","",IF(ISNUMBER(SEARCH("sanctioned",LOWER(W425&amp;""))),1,0))</f>
        <v/>
      </c>
      <c r="AV425">
        <f>IF(A425="","",IF(ISNUMBER(SEARCH("Docs Pending",W425&amp;"")),1,0))</f>
        <v/>
      </c>
      <c r="AW425">
        <f>IF(A425="","",IF(OR(X425="Rejected",ISNUMBER(SEARCH("Not eligbile",W425&amp;""))),1,0))</f>
        <v/>
      </c>
    </row>
    <row r="426">
      <c r="A426">
        <f>IF('01_Master_Data'!B426="","",425)</f>
        <v/>
      </c>
      <c r="B426">
        <f>IF('01_Master_Data'!B426="","",IF('01_Master_Data'!C426&lt;&gt;"","MOB|"&amp;TEXT('01_Master_Data'!C426,"0"),IF('01_Master_Data'!D426&lt;&gt;"","PID|"&amp;TRIM('01_Master_Data'!D426&amp;""),"")))</f>
        <v/>
      </c>
      <c r="C426">
        <f>IF('01_Master_Data'!B426="","",'01_Master_Data'!B426)</f>
        <v/>
      </c>
      <c r="D426">
        <f>IF('01_Master_Data'!B426="","",'01_Master_Data'!C426)</f>
        <v/>
      </c>
      <c r="E426">
        <f>IF('01_Master_Data'!B426="","",'01_Master_Data'!D426)</f>
        <v/>
      </c>
      <c r="F426">
        <f>IF('01_Master_Data'!B426="","",'01_Master_Data'!E426)</f>
        <v/>
      </c>
      <c r="G426">
        <f>IF('01_Master_Data'!B426="","",IFERROR(VLOOKUP(TRIM('01_Master_Data'!E426&amp;""),'02_Configuration'!$A$40:$B$44,2,FALSE),UPPER(TRIM('01_Master_Data'!E426&amp;""))))</f>
        <v/>
      </c>
      <c r="H426">
        <f>IF('01_Master_Data'!B426="","",IF('01_Master_Data'!U426="","",TRIM('01_Master_Data'!U426&amp;"")))</f>
        <v/>
      </c>
      <c r="I426">
        <f>IF('01_Master_Data'!B426="","",TRIM('01_Master_Data'!F426&amp;""))</f>
        <v/>
      </c>
      <c r="J426">
        <f>IF('01_Master_Data'!B426="","",TRIM('01_Master_Data'!G426&amp;""))</f>
        <v/>
      </c>
      <c r="K426">
        <f>IF('01_Master_Data'!B426="","",'01_Master_Data'!H426)</f>
        <v/>
      </c>
      <c r="L426">
        <f>IF('01_Master_Data'!B426="","",IF(LOWER(TRIM('01_Master_Data'!V426&amp;""))="yes",1,0))</f>
        <v/>
      </c>
      <c r="M426">
        <f>IF('01_Master_Data'!B426="","",IF(LOWER(TRIM('01_Master_Data'!W426&amp;""))="yes",1,0))</f>
        <v/>
      </c>
      <c r="N426">
        <f>IF('01_Master_Data'!B426="","",IF(LOWER(TRIM('01_Master_Data'!X426&amp;""))="yes",1,0))</f>
        <v/>
      </c>
      <c r="O426">
        <f>IF('01_Master_Data'!B426="","",IF(LOWER(TRIM('01_Master_Data'!Y426&amp;""))="yes",1,0))</f>
        <v/>
      </c>
      <c r="P426">
        <f>IF('01_Master_Data'!B426="","",IF(LOWER(TRIM('01_Master_Data'!Z426&amp;""))="yes",1,0))</f>
        <v/>
      </c>
      <c r="Q426">
        <f>IF(A426="","",L426+M426+N426+O426+P426)</f>
        <v/>
      </c>
      <c r="R426">
        <f>IF(A426="","",IF(Q426&gt;1,"Yes","No"))</f>
        <v/>
      </c>
      <c r="S426">
        <f>IF(A426="","",TEXTJOIN(", ",TRUE,IF(L426=1,"ICICI",""),IF(M426=1,"Propelld",""),IF(N426=1,"Study4Buddy",""),IF(O426=1,"Poonawala Fincorp",""),IF(P426=1,"GyanDhan","")))</f>
        <v/>
      </c>
      <c r="T426">
        <f>IF(A426="","",IF(L426=1,"ICICI",IF(M426=1,"Propelld",IF(P426=1,"GyanDhan",IF(N426=1,"Study4Buddy",IF(O426=1,"Poonawala Fincorp",IF(ISNUMBER(SEARCH("GyanDhan",W426&amp;"")),"GyanDhan",IF(ISNUMBER(SEARCH("Icici",W426&amp;"")),"ICICI",IF(ISNUMBER(SEARCH("Propelld",W426&amp;"")),"Propelld",IF(ISNUMBER(SEARCH("vidyalakshmi",LOWER(W426&amp;"")),"PM Vidyalakshmi","—"))))))))))</f>
        <v/>
      </c>
      <c r="U426">
        <f>IF(A426="","",TRIM('01_Master_Data'!AA426&amp;""))</f>
        <v/>
      </c>
      <c r="V426">
        <f>IF(A426="","",TRIM('01_Master_Data'!AG426&amp;""))</f>
        <v/>
      </c>
      <c r="W426">
        <f>IF(A426="","",TRIM('01_Master_Data'!AH426&amp;""))</f>
        <v/>
      </c>
      <c r="X426">
        <f>IF(A426="","",IF(OR(LOWER(H426)="refund",LOWER(U426)="refund case"),"Refund",IF(OR(LOWER(H426)="dnp",LOWER(U426)="dnp"),"DNP",IF(OR(LOWER(V426)="disbursed",ISNUMBER(SEARCH("Disbursed",W426&amp;""))),"Disbursed",IF(OR(LOWER(V426)="loan proccessed/accepted",ISNUMBER(SEARCH("sanctioned",LOWER(W426&amp;"")))),"Sanctioned",IF(OR(LOWER(V426)="rejected",ISNUMBER(SEARCH("Not eligbile",W426&amp;"")),ISNUMBER(SEARCH("Not eligible",W426&amp;""))),"Rejected",IF(ISNUMBER(SEARCH("Docs Pending",W426&amp;"")),"Documents Pending",IF(AND(LOWER(H426)="yes",LOWER(V426)="ongoing"),"Processing",IF(AND(LOWER(H426)="yes",Q426&gt;0,OR(V426="",LOWER(V426)="not even started")),"Vendor Assigned",IF(AND(LOWER(H426)="yes",LOWER(V426)="not even started"),"Need Loan",IF(LOWER(H426)="yes","Loan Started",IF(LOWER(H426)="not sure","Interested",IF(OR(LOWER(H426)="no",LOWER(V426)="not required"),"Not Required","Unclassified")))))))))))))</f>
        <v/>
      </c>
      <c r="Y426">
        <f>IF(A426="","",IF(OR(X426="Sanctioned",X426="Disbursed",X426="Approved"),"Approved",IF(X426="Rejected","Rejected",IF(OR(X426="Processing",X426="Documents Pending",X426="Vendor Assigned"),"In Progress",IF(X426="Need Loan","Pending Start","—"))))</f>
        <v/>
      </c>
      <c r="Z426">
        <f>IF(A426="","",IF(X426="Disbursed","Disbursed",IF(X426="Sanctioned","Sanctioned - Awaiting Disbursement","Not Disbursed")))</f>
        <v/>
      </c>
      <c r="AA426">
        <f>IF(A426="","",IF(LOWER(TRIM('01_Master_Data'!AI426&amp;""))="yes","Need FLDG",IF(LOWER(TRIM('01_Master_Data'!AK426&amp;""))="yes","Need Vidyalakshmi",IF(LOWER(TRIM('01_Master_Data'!AJ426&amp;""))="yes","Need Review",IF(LOWER(J426)="critical","Critical",IF(LOWER(U426)="risk","Risk Case",IF(X426="Refund","Refund","Normal")))))))</f>
        <v/>
      </c>
      <c r="AB426">
        <f>IF(A426="","",IF(OR(LOWER(J426)="critical",LOWER(TRIM('01_Master_Data'!AI426&amp;""))="yes",LOWER(TRIM('01_Master_Data'!AK426&amp;""))="yes",LOWER(U426)="risk"),"Yes","No"))</f>
        <v/>
      </c>
      <c r="AC426">
        <f>IF(A426="","",IF(LOWER(TRIM('01_Master_Data'!AI426&amp;""))="yes","Yes","No"))</f>
        <v/>
      </c>
      <c r="AD426">
        <f>IF(A426="","",IF(LOWER(TRIM('01_Master_Data'!AK426&amp;""))="yes","Yes","No"))</f>
        <v/>
      </c>
      <c r="AE426">
        <f>IF(A426="","",IF(LOWER(TRIM('01_Master_Data'!AJ426&amp;""))="yes","Yes","No"))</f>
        <v/>
      </c>
      <c r="AF426">
        <f>IF(A426="","",TRIM('01_Master_Data'!AL426&amp;""))</f>
        <v/>
      </c>
      <c r="AG426">
        <f>IF(A426="","",IF(AF426="","—",IF(ISNUMBER(SEARCH("DNP",AF426)),"Unreachable / DNP",IF(ISNUMBER(SEARCH("interest",LOWER(AF426))),"High Interest / Terms",IF(OR(ISNUMBER(SEARCH("eligib",LOWER(AF426))),ISNUMBER(SEARCH("income",LOWER(AF426)))),"Eligibility / Income",IF(OR(ISNUMBER(SEARCH("start",LOWER(AF426))),ISNUMBER(SEARCH("Newer",AF426)),ISNUMBER(SEARCH("Will start",AF426))),"Process Yet to Start",IF(ISNUMBER(SEARCH("sure",LOWER(AF426))),"Undecided",IF(OR(ISNUMBER(SEARCH("reject",LOWER(AF426))),ISNUMBER(SEARCH("SBI",AF426))),"Rejected Elsewhere",IF(ISNUMBER(SEARCH("call",LOWER(AF426))),"Bank Communication",IF(OR(ISNUMBER(SEARCH("father",LOWER(AF426))),ISNUMBER(SEARCH("sister",LOWER(AF426)))),"Family / Dependency","Other"))))))))))</f>
        <v/>
      </c>
      <c r="AH426">
        <f>IF(A426="","",'01_Master_Data'!AC426)</f>
        <v/>
      </c>
      <c r="AI426">
        <f>IF(A426="","",IF(OR(AH426="",NOT(ISNUMBER(AH426))),"",MAX(0,'02_Configuration'!$B$82-AH426)))</f>
        <v/>
      </c>
      <c r="AJ426">
        <f>IF(A426="","",IF(AI426="","Unknown",IF(AI426&lt;=3,"0–3 Days",IF(AI426&lt;=7,"4–7 Days",IF(AI426&lt;=15,"8–15 Days",IF(AI426&lt;=30,"16–30 Days","30+ Days"))))))</f>
        <v/>
      </c>
      <c r="AK426">
        <f>IF(A426="","",IF(LOWER(H426)="yes","Yes","No"))</f>
        <v/>
      </c>
      <c r="AL426">
        <f>IF(A426="","",'01_Master_Data'!T426)</f>
        <v/>
      </c>
      <c r="AM426">
        <f>IF(A426="","",'01_Master_Data'!S426)</f>
        <v/>
      </c>
      <c r="AN426">
        <f>IF(A426="","",'01_Master_Data'!I426)</f>
        <v/>
      </c>
      <c r="AO426">
        <f>IF(A426="","",'01_Master_Data'!M426)</f>
        <v/>
      </c>
      <c r="AP426">
        <f>IF(A426="","",IF(ISNUMBER(SEARCH("Icici",W426&amp;"")),1,0))</f>
        <v/>
      </c>
      <c r="AQ426">
        <f>IF(A426="","",IF(ISNUMBER(SEARCH("Propelld",W426&amp;"")),1,0))</f>
        <v/>
      </c>
      <c r="AR426">
        <f>IF(A426="","",IF(ISNUMBER(SEARCH("GyanDhan",W426&amp;"")),1,0))</f>
        <v/>
      </c>
      <c r="AS426">
        <f>IF(A426="","",IF(ISNUMBER(SEARCH("vidyalakshmi",LOWER(W426&amp;""))),1,0))</f>
        <v/>
      </c>
      <c r="AT426">
        <f>IF(A426="","",IF(ISNUMBER(SEARCH("other bank",LOWER(W426&amp;""))),1,0))</f>
        <v/>
      </c>
      <c r="AU426">
        <f>IF(A426="","",IF(ISNUMBER(SEARCH("sanctioned",LOWER(W426&amp;""))),1,0))</f>
        <v/>
      </c>
      <c r="AV426">
        <f>IF(A426="","",IF(ISNUMBER(SEARCH("Docs Pending",W426&amp;"")),1,0))</f>
        <v/>
      </c>
      <c r="AW426">
        <f>IF(A426="","",IF(OR(X426="Rejected",ISNUMBER(SEARCH("Not eligbile",W426&amp;""))),1,0))</f>
        <v/>
      </c>
    </row>
    <row r="427">
      <c r="A427">
        <f>IF('01_Master_Data'!B427="","",426)</f>
        <v/>
      </c>
      <c r="B427">
        <f>IF('01_Master_Data'!B427="","",IF('01_Master_Data'!C427&lt;&gt;"","MOB|"&amp;TEXT('01_Master_Data'!C427,"0"),IF('01_Master_Data'!D427&lt;&gt;"","PID|"&amp;TRIM('01_Master_Data'!D427&amp;""),"")))</f>
        <v/>
      </c>
      <c r="C427">
        <f>IF('01_Master_Data'!B427="","",'01_Master_Data'!B427)</f>
        <v/>
      </c>
      <c r="D427">
        <f>IF('01_Master_Data'!B427="","",'01_Master_Data'!C427)</f>
        <v/>
      </c>
      <c r="E427">
        <f>IF('01_Master_Data'!B427="","",'01_Master_Data'!D427)</f>
        <v/>
      </c>
      <c r="F427">
        <f>IF('01_Master_Data'!B427="","",'01_Master_Data'!E427)</f>
        <v/>
      </c>
      <c r="G427">
        <f>IF('01_Master_Data'!B427="","",IFERROR(VLOOKUP(TRIM('01_Master_Data'!E427&amp;""),'02_Configuration'!$A$40:$B$44,2,FALSE),UPPER(TRIM('01_Master_Data'!E427&amp;""))))</f>
        <v/>
      </c>
      <c r="H427">
        <f>IF('01_Master_Data'!B427="","",IF('01_Master_Data'!U427="","",TRIM('01_Master_Data'!U427&amp;"")))</f>
        <v/>
      </c>
      <c r="I427">
        <f>IF('01_Master_Data'!B427="","",TRIM('01_Master_Data'!F427&amp;""))</f>
        <v/>
      </c>
      <c r="J427">
        <f>IF('01_Master_Data'!B427="","",TRIM('01_Master_Data'!G427&amp;""))</f>
        <v/>
      </c>
      <c r="K427">
        <f>IF('01_Master_Data'!B427="","",'01_Master_Data'!H427)</f>
        <v/>
      </c>
      <c r="L427">
        <f>IF('01_Master_Data'!B427="","",IF(LOWER(TRIM('01_Master_Data'!V427&amp;""))="yes",1,0))</f>
        <v/>
      </c>
      <c r="M427">
        <f>IF('01_Master_Data'!B427="","",IF(LOWER(TRIM('01_Master_Data'!W427&amp;""))="yes",1,0))</f>
        <v/>
      </c>
      <c r="N427">
        <f>IF('01_Master_Data'!B427="","",IF(LOWER(TRIM('01_Master_Data'!X427&amp;""))="yes",1,0))</f>
        <v/>
      </c>
      <c r="O427">
        <f>IF('01_Master_Data'!B427="","",IF(LOWER(TRIM('01_Master_Data'!Y427&amp;""))="yes",1,0))</f>
        <v/>
      </c>
      <c r="P427">
        <f>IF('01_Master_Data'!B427="","",IF(LOWER(TRIM('01_Master_Data'!Z427&amp;""))="yes",1,0))</f>
        <v/>
      </c>
      <c r="Q427">
        <f>IF(A427="","",L427+M427+N427+O427+P427)</f>
        <v/>
      </c>
      <c r="R427">
        <f>IF(A427="","",IF(Q427&gt;1,"Yes","No"))</f>
        <v/>
      </c>
      <c r="S427">
        <f>IF(A427="","",TEXTJOIN(", ",TRUE,IF(L427=1,"ICICI",""),IF(M427=1,"Propelld",""),IF(N427=1,"Study4Buddy",""),IF(O427=1,"Poonawala Fincorp",""),IF(P427=1,"GyanDhan","")))</f>
        <v/>
      </c>
      <c r="T427">
        <f>IF(A427="","",IF(L427=1,"ICICI",IF(M427=1,"Propelld",IF(P427=1,"GyanDhan",IF(N427=1,"Study4Buddy",IF(O427=1,"Poonawala Fincorp",IF(ISNUMBER(SEARCH("GyanDhan",W427&amp;"")),"GyanDhan",IF(ISNUMBER(SEARCH("Icici",W427&amp;"")),"ICICI",IF(ISNUMBER(SEARCH("Propelld",W427&amp;"")),"Propelld",IF(ISNUMBER(SEARCH("vidyalakshmi",LOWER(W427&amp;"")),"PM Vidyalakshmi","—"))))))))))</f>
        <v/>
      </c>
      <c r="U427">
        <f>IF(A427="","",TRIM('01_Master_Data'!AA427&amp;""))</f>
        <v/>
      </c>
      <c r="V427">
        <f>IF(A427="","",TRIM('01_Master_Data'!AG427&amp;""))</f>
        <v/>
      </c>
      <c r="W427">
        <f>IF(A427="","",TRIM('01_Master_Data'!AH427&amp;""))</f>
        <v/>
      </c>
      <c r="X427">
        <f>IF(A427="","",IF(OR(LOWER(H427)="refund",LOWER(U427)="refund case"),"Refund",IF(OR(LOWER(H427)="dnp",LOWER(U427)="dnp"),"DNP",IF(OR(LOWER(V427)="disbursed",ISNUMBER(SEARCH("Disbursed",W427&amp;""))),"Disbursed",IF(OR(LOWER(V427)="loan proccessed/accepted",ISNUMBER(SEARCH("sanctioned",LOWER(W427&amp;"")))),"Sanctioned",IF(OR(LOWER(V427)="rejected",ISNUMBER(SEARCH("Not eligbile",W427&amp;"")),ISNUMBER(SEARCH("Not eligible",W427&amp;""))),"Rejected",IF(ISNUMBER(SEARCH("Docs Pending",W427&amp;"")),"Documents Pending",IF(AND(LOWER(H427)="yes",LOWER(V427)="ongoing"),"Processing",IF(AND(LOWER(H427)="yes",Q427&gt;0,OR(V427="",LOWER(V427)="not even started")),"Vendor Assigned",IF(AND(LOWER(H427)="yes",LOWER(V427)="not even started"),"Need Loan",IF(LOWER(H427)="yes","Loan Started",IF(LOWER(H427)="not sure","Interested",IF(OR(LOWER(H427)="no",LOWER(V427)="not required"),"Not Required","Unclassified")))))))))))))</f>
        <v/>
      </c>
      <c r="Y427">
        <f>IF(A427="","",IF(OR(X427="Sanctioned",X427="Disbursed",X427="Approved"),"Approved",IF(X427="Rejected","Rejected",IF(OR(X427="Processing",X427="Documents Pending",X427="Vendor Assigned"),"In Progress",IF(X427="Need Loan","Pending Start","—"))))</f>
        <v/>
      </c>
      <c r="Z427">
        <f>IF(A427="","",IF(X427="Disbursed","Disbursed",IF(X427="Sanctioned","Sanctioned - Awaiting Disbursement","Not Disbursed")))</f>
        <v/>
      </c>
      <c r="AA427">
        <f>IF(A427="","",IF(LOWER(TRIM('01_Master_Data'!AI427&amp;""))="yes","Need FLDG",IF(LOWER(TRIM('01_Master_Data'!AK427&amp;""))="yes","Need Vidyalakshmi",IF(LOWER(TRIM('01_Master_Data'!AJ427&amp;""))="yes","Need Review",IF(LOWER(J427)="critical","Critical",IF(LOWER(U427)="risk","Risk Case",IF(X427="Refund","Refund","Normal")))))))</f>
        <v/>
      </c>
      <c r="AB427">
        <f>IF(A427="","",IF(OR(LOWER(J427)="critical",LOWER(TRIM('01_Master_Data'!AI427&amp;""))="yes",LOWER(TRIM('01_Master_Data'!AK427&amp;""))="yes",LOWER(U427)="risk"),"Yes","No"))</f>
        <v/>
      </c>
      <c r="AC427">
        <f>IF(A427="","",IF(LOWER(TRIM('01_Master_Data'!AI427&amp;""))="yes","Yes","No"))</f>
        <v/>
      </c>
      <c r="AD427">
        <f>IF(A427="","",IF(LOWER(TRIM('01_Master_Data'!AK427&amp;""))="yes","Yes","No"))</f>
        <v/>
      </c>
      <c r="AE427">
        <f>IF(A427="","",IF(LOWER(TRIM('01_Master_Data'!AJ427&amp;""))="yes","Yes","No"))</f>
        <v/>
      </c>
      <c r="AF427">
        <f>IF(A427="","",TRIM('01_Master_Data'!AL427&amp;""))</f>
        <v/>
      </c>
      <c r="AG427">
        <f>IF(A427="","",IF(AF427="","—",IF(ISNUMBER(SEARCH("DNP",AF427)),"Unreachable / DNP",IF(ISNUMBER(SEARCH("interest",LOWER(AF427))),"High Interest / Terms",IF(OR(ISNUMBER(SEARCH("eligib",LOWER(AF427))),ISNUMBER(SEARCH("income",LOWER(AF427)))),"Eligibility / Income",IF(OR(ISNUMBER(SEARCH("start",LOWER(AF427))),ISNUMBER(SEARCH("Newer",AF427)),ISNUMBER(SEARCH("Will start",AF427))),"Process Yet to Start",IF(ISNUMBER(SEARCH("sure",LOWER(AF427))),"Undecided",IF(OR(ISNUMBER(SEARCH("reject",LOWER(AF427))),ISNUMBER(SEARCH("SBI",AF427))),"Rejected Elsewhere",IF(ISNUMBER(SEARCH("call",LOWER(AF427))),"Bank Communication",IF(OR(ISNUMBER(SEARCH("father",LOWER(AF427))),ISNUMBER(SEARCH("sister",LOWER(AF427)))),"Family / Dependency","Other"))))))))))</f>
        <v/>
      </c>
      <c r="AH427">
        <f>IF(A427="","",'01_Master_Data'!AC427)</f>
        <v/>
      </c>
      <c r="AI427">
        <f>IF(A427="","",IF(OR(AH427="",NOT(ISNUMBER(AH427))),"",MAX(0,'02_Configuration'!$B$82-AH427)))</f>
        <v/>
      </c>
      <c r="AJ427">
        <f>IF(A427="","",IF(AI427="","Unknown",IF(AI427&lt;=3,"0–3 Days",IF(AI427&lt;=7,"4–7 Days",IF(AI427&lt;=15,"8–15 Days",IF(AI427&lt;=30,"16–30 Days","30+ Days"))))))</f>
        <v/>
      </c>
      <c r="AK427">
        <f>IF(A427="","",IF(LOWER(H427)="yes","Yes","No"))</f>
        <v/>
      </c>
      <c r="AL427">
        <f>IF(A427="","",'01_Master_Data'!T427)</f>
        <v/>
      </c>
      <c r="AM427">
        <f>IF(A427="","",'01_Master_Data'!S427)</f>
        <v/>
      </c>
      <c r="AN427">
        <f>IF(A427="","",'01_Master_Data'!I427)</f>
        <v/>
      </c>
      <c r="AO427">
        <f>IF(A427="","",'01_Master_Data'!M427)</f>
        <v/>
      </c>
      <c r="AP427">
        <f>IF(A427="","",IF(ISNUMBER(SEARCH("Icici",W427&amp;"")),1,0))</f>
        <v/>
      </c>
      <c r="AQ427">
        <f>IF(A427="","",IF(ISNUMBER(SEARCH("Propelld",W427&amp;"")),1,0))</f>
        <v/>
      </c>
      <c r="AR427">
        <f>IF(A427="","",IF(ISNUMBER(SEARCH("GyanDhan",W427&amp;"")),1,0))</f>
        <v/>
      </c>
      <c r="AS427">
        <f>IF(A427="","",IF(ISNUMBER(SEARCH("vidyalakshmi",LOWER(W427&amp;""))),1,0))</f>
        <v/>
      </c>
      <c r="AT427">
        <f>IF(A427="","",IF(ISNUMBER(SEARCH("other bank",LOWER(W427&amp;""))),1,0))</f>
        <v/>
      </c>
      <c r="AU427">
        <f>IF(A427="","",IF(ISNUMBER(SEARCH("sanctioned",LOWER(W427&amp;""))),1,0))</f>
        <v/>
      </c>
      <c r="AV427">
        <f>IF(A427="","",IF(ISNUMBER(SEARCH("Docs Pending",W427&amp;"")),1,0))</f>
        <v/>
      </c>
      <c r="AW427">
        <f>IF(A427="","",IF(OR(X427="Rejected",ISNUMBER(SEARCH("Not eligbile",W427&amp;""))),1,0))</f>
        <v/>
      </c>
    </row>
    <row r="428">
      <c r="A428">
        <f>IF('01_Master_Data'!B428="","",427)</f>
        <v/>
      </c>
      <c r="B428">
        <f>IF('01_Master_Data'!B428="","",IF('01_Master_Data'!C428&lt;&gt;"","MOB|"&amp;TEXT('01_Master_Data'!C428,"0"),IF('01_Master_Data'!D428&lt;&gt;"","PID|"&amp;TRIM('01_Master_Data'!D428&amp;""),"")))</f>
        <v/>
      </c>
      <c r="C428">
        <f>IF('01_Master_Data'!B428="","",'01_Master_Data'!B428)</f>
        <v/>
      </c>
      <c r="D428">
        <f>IF('01_Master_Data'!B428="","",'01_Master_Data'!C428)</f>
        <v/>
      </c>
      <c r="E428">
        <f>IF('01_Master_Data'!B428="","",'01_Master_Data'!D428)</f>
        <v/>
      </c>
      <c r="F428">
        <f>IF('01_Master_Data'!B428="","",'01_Master_Data'!E428)</f>
        <v/>
      </c>
      <c r="G428">
        <f>IF('01_Master_Data'!B428="","",IFERROR(VLOOKUP(TRIM('01_Master_Data'!E428&amp;""),'02_Configuration'!$A$40:$B$44,2,FALSE),UPPER(TRIM('01_Master_Data'!E428&amp;""))))</f>
        <v/>
      </c>
      <c r="H428">
        <f>IF('01_Master_Data'!B428="","",IF('01_Master_Data'!U428="","",TRIM('01_Master_Data'!U428&amp;"")))</f>
        <v/>
      </c>
      <c r="I428">
        <f>IF('01_Master_Data'!B428="","",TRIM('01_Master_Data'!F428&amp;""))</f>
        <v/>
      </c>
      <c r="J428">
        <f>IF('01_Master_Data'!B428="","",TRIM('01_Master_Data'!G428&amp;""))</f>
        <v/>
      </c>
      <c r="K428">
        <f>IF('01_Master_Data'!B428="","",'01_Master_Data'!H428)</f>
        <v/>
      </c>
      <c r="L428">
        <f>IF('01_Master_Data'!B428="","",IF(LOWER(TRIM('01_Master_Data'!V428&amp;""))="yes",1,0))</f>
        <v/>
      </c>
      <c r="M428">
        <f>IF('01_Master_Data'!B428="","",IF(LOWER(TRIM('01_Master_Data'!W428&amp;""))="yes",1,0))</f>
        <v/>
      </c>
      <c r="N428">
        <f>IF('01_Master_Data'!B428="","",IF(LOWER(TRIM('01_Master_Data'!X428&amp;""))="yes",1,0))</f>
        <v/>
      </c>
      <c r="O428">
        <f>IF('01_Master_Data'!B428="","",IF(LOWER(TRIM('01_Master_Data'!Y428&amp;""))="yes",1,0))</f>
        <v/>
      </c>
      <c r="P428">
        <f>IF('01_Master_Data'!B428="","",IF(LOWER(TRIM('01_Master_Data'!Z428&amp;""))="yes",1,0))</f>
        <v/>
      </c>
      <c r="Q428">
        <f>IF(A428="","",L428+M428+N428+O428+P428)</f>
        <v/>
      </c>
      <c r="R428">
        <f>IF(A428="","",IF(Q428&gt;1,"Yes","No"))</f>
        <v/>
      </c>
      <c r="S428">
        <f>IF(A428="","",TEXTJOIN(", ",TRUE,IF(L428=1,"ICICI",""),IF(M428=1,"Propelld",""),IF(N428=1,"Study4Buddy",""),IF(O428=1,"Poonawala Fincorp",""),IF(P428=1,"GyanDhan","")))</f>
        <v/>
      </c>
      <c r="T428">
        <f>IF(A428="","",IF(L428=1,"ICICI",IF(M428=1,"Propelld",IF(P428=1,"GyanDhan",IF(N428=1,"Study4Buddy",IF(O428=1,"Poonawala Fincorp",IF(ISNUMBER(SEARCH("GyanDhan",W428&amp;"")),"GyanDhan",IF(ISNUMBER(SEARCH("Icici",W428&amp;"")),"ICICI",IF(ISNUMBER(SEARCH("Propelld",W428&amp;"")),"Propelld",IF(ISNUMBER(SEARCH("vidyalakshmi",LOWER(W428&amp;"")),"PM Vidyalakshmi","—"))))))))))</f>
        <v/>
      </c>
      <c r="U428">
        <f>IF(A428="","",TRIM('01_Master_Data'!AA428&amp;""))</f>
        <v/>
      </c>
      <c r="V428">
        <f>IF(A428="","",TRIM('01_Master_Data'!AG428&amp;""))</f>
        <v/>
      </c>
      <c r="W428">
        <f>IF(A428="","",TRIM('01_Master_Data'!AH428&amp;""))</f>
        <v/>
      </c>
      <c r="X428">
        <f>IF(A428="","",IF(OR(LOWER(H428)="refund",LOWER(U428)="refund case"),"Refund",IF(OR(LOWER(H428)="dnp",LOWER(U428)="dnp"),"DNP",IF(OR(LOWER(V428)="disbursed",ISNUMBER(SEARCH("Disbursed",W428&amp;""))),"Disbursed",IF(OR(LOWER(V428)="loan proccessed/accepted",ISNUMBER(SEARCH("sanctioned",LOWER(W428&amp;"")))),"Sanctioned",IF(OR(LOWER(V428)="rejected",ISNUMBER(SEARCH("Not eligbile",W428&amp;"")),ISNUMBER(SEARCH("Not eligible",W428&amp;""))),"Rejected",IF(ISNUMBER(SEARCH("Docs Pending",W428&amp;"")),"Documents Pending",IF(AND(LOWER(H428)="yes",LOWER(V428)="ongoing"),"Processing",IF(AND(LOWER(H428)="yes",Q428&gt;0,OR(V428="",LOWER(V428)="not even started")),"Vendor Assigned",IF(AND(LOWER(H428)="yes",LOWER(V428)="not even started"),"Need Loan",IF(LOWER(H428)="yes","Loan Started",IF(LOWER(H428)="not sure","Interested",IF(OR(LOWER(H428)="no",LOWER(V428)="not required"),"Not Required","Unclassified")))))))))))))</f>
        <v/>
      </c>
      <c r="Y428">
        <f>IF(A428="","",IF(OR(X428="Sanctioned",X428="Disbursed",X428="Approved"),"Approved",IF(X428="Rejected","Rejected",IF(OR(X428="Processing",X428="Documents Pending",X428="Vendor Assigned"),"In Progress",IF(X428="Need Loan","Pending Start","—"))))</f>
        <v/>
      </c>
      <c r="Z428">
        <f>IF(A428="","",IF(X428="Disbursed","Disbursed",IF(X428="Sanctioned","Sanctioned - Awaiting Disbursement","Not Disbursed")))</f>
        <v/>
      </c>
      <c r="AA428">
        <f>IF(A428="","",IF(LOWER(TRIM('01_Master_Data'!AI428&amp;""))="yes","Need FLDG",IF(LOWER(TRIM('01_Master_Data'!AK428&amp;""))="yes","Need Vidyalakshmi",IF(LOWER(TRIM('01_Master_Data'!AJ428&amp;""))="yes","Need Review",IF(LOWER(J428)="critical","Critical",IF(LOWER(U428)="risk","Risk Case",IF(X428="Refund","Refund","Normal")))))))</f>
        <v/>
      </c>
      <c r="AB428">
        <f>IF(A428="","",IF(OR(LOWER(J428)="critical",LOWER(TRIM('01_Master_Data'!AI428&amp;""))="yes",LOWER(TRIM('01_Master_Data'!AK428&amp;""))="yes",LOWER(U428)="risk"),"Yes","No"))</f>
        <v/>
      </c>
      <c r="AC428">
        <f>IF(A428="","",IF(LOWER(TRIM('01_Master_Data'!AI428&amp;""))="yes","Yes","No"))</f>
        <v/>
      </c>
      <c r="AD428">
        <f>IF(A428="","",IF(LOWER(TRIM('01_Master_Data'!AK428&amp;""))="yes","Yes","No"))</f>
        <v/>
      </c>
      <c r="AE428">
        <f>IF(A428="","",IF(LOWER(TRIM('01_Master_Data'!AJ428&amp;""))="yes","Yes","No"))</f>
        <v/>
      </c>
      <c r="AF428">
        <f>IF(A428="","",TRIM('01_Master_Data'!AL428&amp;""))</f>
        <v/>
      </c>
      <c r="AG428">
        <f>IF(A428="","",IF(AF428="","—",IF(ISNUMBER(SEARCH("DNP",AF428)),"Unreachable / DNP",IF(ISNUMBER(SEARCH("interest",LOWER(AF428))),"High Interest / Terms",IF(OR(ISNUMBER(SEARCH("eligib",LOWER(AF428))),ISNUMBER(SEARCH("income",LOWER(AF428)))),"Eligibility / Income",IF(OR(ISNUMBER(SEARCH("start",LOWER(AF428))),ISNUMBER(SEARCH("Newer",AF428)),ISNUMBER(SEARCH("Will start",AF428))),"Process Yet to Start",IF(ISNUMBER(SEARCH("sure",LOWER(AF428))),"Undecided",IF(OR(ISNUMBER(SEARCH("reject",LOWER(AF428))),ISNUMBER(SEARCH("SBI",AF428))),"Rejected Elsewhere",IF(ISNUMBER(SEARCH("call",LOWER(AF428))),"Bank Communication",IF(OR(ISNUMBER(SEARCH("father",LOWER(AF428))),ISNUMBER(SEARCH("sister",LOWER(AF428)))),"Family / Dependency","Other"))))))))))</f>
        <v/>
      </c>
      <c r="AH428">
        <f>IF(A428="","",'01_Master_Data'!AC428)</f>
        <v/>
      </c>
      <c r="AI428">
        <f>IF(A428="","",IF(OR(AH428="",NOT(ISNUMBER(AH428))),"",MAX(0,'02_Configuration'!$B$82-AH428)))</f>
        <v/>
      </c>
      <c r="AJ428">
        <f>IF(A428="","",IF(AI428="","Unknown",IF(AI428&lt;=3,"0–3 Days",IF(AI428&lt;=7,"4–7 Days",IF(AI428&lt;=15,"8–15 Days",IF(AI428&lt;=30,"16–30 Days","30+ Days"))))))</f>
        <v/>
      </c>
      <c r="AK428">
        <f>IF(A428="","",IF(LOWER(H428)="yes","Yes","No"))</f>
        <v/>
      </c>
      <c r="AL428">
        <f>IF(A428="","",'01_Master_Data'!T428)</f>
        <v/>
      </c>
      <c r="AM428">
        <f>IF(A428="","",'01_Master_Data'!S428)</f>
        <v/>
      </c>
      <c r="AN428">
        <f>IF(A428="","",'01_Master_Data'!I428)</f>
        <v/>
      </c>
      <c r="AO428">
        <f>IF(A428="","",'01_Master_Data'!M428)</f>
        <v/>
      </c>
      <c r="AP428">
        <f>IF(A428="","",IF(ISNUMBER(SEARCH("Icici",W428&amp;"")),1,0))</f>
        <v/>
      </c>
      <c r="AQ428">
        <f>IF(A428="","",IF(ISNUMBER(SEARCH("Propelld",W428&amp;"")),1,0))</f>
        <v/>
      </c>
      <c r="AR428">
        <f>IF(A428="","",IF(ISNUMBER(SEARCH("GyanDhan",W428&amp;"")),1,0))</f>
        <v/>
      </c>
      <c r="AS428">
        <f>IF(A428="","",IF(ISNUMBER(SEARCH("vidyalakshmi",LOWER(W428&amp;""))),1,0))</f>
        <v/>
      </c>
      <c r="AT428">
        <f>IF(A428="","",IF(ISNUMBER(SEARCH("other bank",LOWER(W428&amp;""))),1,0))</f>
        <v/>
      </c>
      <c r="AU428">
        <f>IF(A428="","",IF(ISNUMBER(SEARCH("sanctioned",LOWER(W428&amp;""))),1,0))</f>
        <v/>
      </c>
      <c r="AV428">
        <f>IF(A428="","",IF(ISNUMBER(SEARCH("Docs Pending",W428&amp;"")),1,0))</f>
        <v/>
      </c>
      <c r="AW428">
        <f>IF(A428="","",IF(OR(X428="Rejected",ISNUMBER(SEARCH("Not eligbile",W428&amp;""))),1,0))</f>
        <v/>
      </c>
    </row>
    <row r="429">
      <c r="A429">
        <f>IF('01_Master_Data'!B429="","",428)</f>
        <v/>
      </c>
      <c r="B429">
        <f>IF('01_Master_Data'!B429="","",IF('01_Master_Data'!C429&lt;&gt;"","MOB|"&amp;TEXT('01_Master_Data'!C429,"0"),IF('01_Master_Data'!D429&lt;&gt;"","PID|"&amp;TRIM('01_Master_Data'!D429&amp;""),"")))</f>
        <v/>
      </c>
      <c r="C429">
        <f>IF('01_Master_Data'!B429="","",'01_Master_Data'!B429)</f>
        <v/>
      </c>
      <c r="D429">
        <f>IF('01_Master_Data'!B429="","",'01_Master_Data'!C429)</f>
        <v/>
      </c>
      <c r="E429">
        <f>IF('01_Master_Data'!B429="","",'01_Master_Data'!D429)</f>
        <v/>
      </c>
      <c r="F429">
        <f>IF('01_Master_Data'!B429="","",'01_Master_Data'!E429)</f>
        <v/>
      </c>
      <c r="G429">
        <f>IF('01_Master_Data'!B429="","",IFERROR(VLOOKUP(TRIM('01_Master_Data'!E429&amp;""),'02_Configuration'!$A$40:$B$44,2,FALSE),UPPER(TRIM('01_Master_Data'!E429&amp;""))))</f>
        <v/>
      </c>
      <c r="H429">
        <f>IF('01_Master_Data'!B429="","",IF('01_Master_Data'!U429="","",TRIM('01_Master_Data'!U429&amp;"")))</f>
        <v/>
      </c>
      <c r="I429">
        <f>IF('01_Master_Data'!B429="","",TRIM('01_Master_Data'!F429&amp;""))</f>
        <v/>
      </c>
      <c r="J429">
        <f>IF('01_Master_Data'!B429="","",TRIM('01_Master_Data'!G429&amp;""))</f>
        <v/>
      </c>
      <c r="K429">
        <f>IF('01_Master_Data'!B429="","",'01_Master_Data'!H429)</f>
        <v/>
      </c>
      <c r="L429">
        <f>IF('01_Master_Data'!B429="","",IF(LOWER(TRIM('01_Master_Data'!V429&amp;""))="yes",1,0))</f>
        <v/>
      </c>
      <c r="M429">
        <f>IF('01_Master_Data'!B429="","",IF(LOWER(TRIM('01_Master_Data'!W429&amp;""))="yes",1,0))</f>
        <v/>
      </c>
      <c r="N429">
        <f>IF('01_Master_Data'!B429="","",IF(LOWER(TRIM('01_Master_Data'!X429&amp;""))="yes",1,0))</f>
        <v/>
      </c>
      <c r="O429">
        <f>IF('01_Master_Data'!B429="","",IF(LOWER(TRIM('01_Master_Data'!Y429&amp;""))="yes",1,0))</f>
        <v/>
      </c>
      <c r="P429">
        <f>IF('01_Master_Data'!B429="","",IF(LOWER(TRIM('01_Master_Data'!Z429&amp;""))="yes",1,0))</f>
        <v/>
      </c>
      <c r="Q429">
        <f>IF(A429="","",L429+M429+N429+O429+P429)</f>
        <v/>
      </c>
      <c r="R429">
        <f>IF(A429="","",IF(Q429&gt;1,"Yes","No"))</f>
        <v/>
      </c>
      <c r="S429">
        <f>IF(A429="","",TEXTJOIN(", ",TRUE,IF(L429=1,"ICICI",""),IF(M429=1,"Propelld",""),IF(N429=1,"Study4Buddy",""),IF(O429=1,"Poonawala Fincorp",""),IF(P429=1,"GyanDhan","")))</f>
        <v/>
      </c>
      <c r="T429">
        <f>IF(A429="","",IF(L429=1,"ICICI",IF(M429=1,"Propelld",IF(P429=1,"GyanDhan",IF(N429=1,"Study4Buddy",IF(O429=1,"Poonawala Fincorp",IF(ISNUMBER(SEARCH("GyanDhan",W429&amp;"")),"GyanDhan",IF(ISNUMBER(SEARCH("Icici",W429&amp;"")),"ICICI",IF(ISNUMBER(SEARCH("Propelld",W429&amp;"")),"Propelld",IF(ISNUMBER(SEARCH("vidyalakshmi",LOWER(W429&amp;"")),"PM Vidyalakshmi","—"))))))))))</f>
        <v/>
      </c>
      <c r="U429">
        <f>IF(A429="","",TRIM('01_Master_Data'!AA429&amp;""))</f>
        <v/>
      </c>
      <c r="V429">
        <f>IF(A429="","",TRIM('01_Master_Data'!AG429&amp;""))</f>
        <v/>
      </c>
      <c r="W429">
        <f>IF(A429="","",TRIM('01_Master_Data'!AH429&amp;""))</f>
        <v/>
      </c>
      <c r="X429">
        <f>IF(A429="","",IF(OR(LOWER(H429)="refund",LOWER(U429)="refund case"),"Refund",IF(OR(LOWER(H429)="dnp",LOWER(U429)="dnp"),"DNP",IF(OR(LOWER(V429)="disbursed",ISNUMBER(SEARCH("Disbursed",W429&amp;""))),"Disbursed",IF(OR(LOWER(V429)="loan proccessed/accepted",ISNUMBER(SEARCH("sanctioned",LOWER(W429&amp;"")))),"Sanctioned",IF(OR(LOWER(V429)="rejected",ISNUMBER(SEARCH("Not eligbile",W429&amp;"")),ISNUMBER(SEARCH("Not eligible",W429&amp;""))),"Rejected",IF(ISNUMBER(SEARCH("Docs Pending",W429&amp;"")),"Documents Pending",IF(AND(LOWER(H429)="yes",LOWER(V429)="ongoing"),"Processing",IF(AND(LOWER(H429)="yes",Q429&gt;0,OR(V429="",LOWER(V429)="not even started")),"Vendor Assigned",IF(AND(LOWER(H429)="yes",LOWER(V429)="not even started"),"Need Loan",IF(LOWER(H429)="yes","Loan Started",IF(LOWER(H429)="not sure","Interested",IF(OR(LOWER(H429)="no",LOWER(V429)="not required"),"Not Required","Unclassified")))))))))))))</f>
        <v/>
      </c>
      <c r="Y429">
        <f>IF(A429="","",IF(OR(X429="Sanctioned",X429="Disbursed",X429="Approved"),"Approved",IF(X429="Rejected","Rejected",IF(OR(X429="Processing",X429="Documents Pending",X429="Vendor Assigned"),"In Progress",IF(X429="Need Loan","Pending Start","—"))))</f>
        <v/>
      </c>
      <c r="Z429">
        <f>IF(A429="","",IF(X429="Disbursed","Disbursed",IF(X429="Sanctioned","Sanctioned - Awaiting Disbursement","Not Disbursed")))</f>
        <v/>
      </c>
      <c r="AA429">
        <f>IF(A429="","",IF(LOWER(TRIM('01_Master_Data'!AI429&amp;""))="yes","Need FLDG",IF(LOWER(TRIM('01_Master_Data'!AK429&amp;""))="yes","Need Vidyalakshmi",IF(LOWER(TRIM('01_Master_Data'!AJ429&amp;""))="yes","Need Review",IF(LOWER(J429)="critical","Critical",IF(LOWER(U429)="risk","Risk Case",IF(X429="Refund","Refund","Normal")))))))</f>
        <v/>
      </c>
      <c r="AB429">
        <f>IF(A429="","",IF(OR(LOWER(J429)="critical",LOWER(TRIM('01_Master_Data'!AI429&amp;""))="yes",LOWER(TRIM('01_Master_Data'!AK429&amp;""))="yes",LOWER(U429)="risk"),"Yes","No"))</f>
        <v/>
      </c>
      <c r="AC429">
        <f>IF(A429="","",IF(LOWER(TRIM('01_Master_Data'!AI429&amp;""))="yes","Yes","No"))</f>
        <v/>
      </c>
      <c r="AD429">
        <f>IF(A429="","",IF(LOWER(TRIM('01_Master_Data'!AK429&amp;""))="yes","Yes","No"))</f>
        <v/>
      </c>
      <c r="AE429">
        <f>IF(A429="","",IF(LOWER(TRIM('01_Master_Data'!AJ429&amp;""))="yes","Yes","No"))</f>
        <v/>
      </c>
      <c r="AF429">
        <f>IF(A429="","",TRIM('01_Master_Data'!AL429&amp;""))</f>
        <v/>
      </c>
      <c r="AG429">
        <f>IF(A429="","",IF(AF429="","—",IF(ISNUMBER(SEARCH("DNP",AF429)),"Unreachable / DNP",IF(ISNUMBER(SEARCH("interest",LOWER(AF429))),"High Interest / Terms",IF(OR(ISNUMBER(SEARCH("eligib",LOWER(AF429))),ISNUMBER(SEARCH("income",LOWER(AF429)))),"Eligibility / Income",IF(OR(ISNUMBER(SEARCH("start",LOWER(AF429))),ISNUMBER(SEARCH("Newer",AF429)),ISNUMBER(SEARCH("Will start",AF429))),"Process Yet to Start",IF(ISNUMBER(SEARCH("sure",LOWER(AF429))),"Undecided",IF(OR(ISNUMBER(SEARCH("reject",LOWER(AF429))),ISNUMBER(SEARCH("SBI",AF429))),"Rejected Elsewhere",IF(ISNUMBER(SEARCH("call",LOWER(AF429))),"Bank Communication",IF(OR(ISNUMBER(SEARCH("father",LOWER(AF429))),ISNUMBER(SEARCH("sister",LOWER(AF429)))),"Family / Dependency","Other"))))))))))</f>
        <v/>
      </c>
      <c r="AH429">
        <f>IF(A429="","",'01_Master_Data'!AC429)</f>
        <v/>
      </c>
      <c r="AI429">
        <f>IF(A429="","",IF(OR(AH429="",NOT(ISNUMBER(AH429))),"",MAX(0,'02_Configuration'!$B$82-AH429)))</f>
        <v/>
      </c>
      <c r="AJ429">
        <f>IF(A429="","",IF(AI429="","Unknown",IF(AI429&lt;=3,"0–3 Days",IF(AI429&lt;=7,"4–7 Days",IF(AI429&lt;=15,"8–15 Days",IF(AI429&lt;=30,"16–30 Days","30+ Days"))))))</f>
        <v/>
      </c>
      <c r="AK429">
        <f>IF(A429="","",IF(LOWER(H429)="yes","Yes","No"))</f>
        <v/>
      </c>
      <c r="AL429">
        <f>IF(A429="","",'01_Master_Data'!T429)</f>
        <v/>
      </c>
      <c r="AM429">
        <f>IF(A429="","",'01_Master_Data'!S429)</f>
        <v/>
      </c>
      <c r="AN429">
        <f>IF(A429="","",'01_Master_Data'!I429)</f>
        <v/>
      </c>
      <c r="AO429">
        <f>IF(A429="","",'01_Master_Data'!M429)</f>
        <v/>
      </c>
      <c r="AP429">
        <f>IF(A429="","",IF(ISNUMBER(SEARCH("Icici",W429&amp;"")),1,0))</f>
        <v/>
      </c>
      <c r="AQ429">
        <f>IF(A429="","",IF(ISNUMBER(SEARCH("Propelld",W429&amp;"")),1,0))</f>
        <v/>
      </c>
      <c r="AR429">
        <f>IF(A429="","",IF(ISNUMBER(SEARCH("GyanDhan",W429&amp;"")),1,0))</f>
        <v/>
      </c>
      <c r="AS429">
        <f>IF(A429="","",IF(ISNUMBER(SEARCH("vidyalakshmi",LOWER(W429&amp;""))),1,0))</f>
        <v/>
      </c>
      <c r="AT429">
        <f>IF(A429="","",IF(ISNUMBER(SEARCH("other bank",LOWER(W429&amp;""))),1,0))</f>
        <v/>
      </c>
      <c r="AU429">
        <f>IF(A429="","",IF(ISNUMBER(SEARCH("sanctioned",LOWER(W429&amp;""))),1,0))</f>
        <v/>
      </c>
      <c r="AV429">
        <f>IF(A429="","",IF(ISNUMBER(SEARCH("Docs Pending",W429&amp;"")),1,0))</f>
        <v/>
      </c>
      <c r="AW429">
        <f>IF(A429="","",IF(OR(X429="Rejected",ISNUMBER(SEARCH("Not eligbile",W429&amp;""))),1,0))</f>
        <v/>
      </c>
    </row>
    <row r="430">
      <c r="A430">
        <f>IF('01_Master_Data'!B430="","",429)</f>
        <v/>
      </c>
      <c r="B430">
        <f>IF('01_Master_Data'!B430="","",IF('01_Master_Data'!C430&lt;&gt;"","MOB|"&amp;TEXT('01_Master_Data'!C430,"0"),IF('01_Master_Data'!D430&lt;&gt;"","PID|"&amp;TRIM('01_Master_Data'!D430&amp;""),"")))</f>
        <v/>
      </c>
      <c r="C430">
        <f>IF('01_Master_Data'!B430="","",'01_Master_Data'!B430)</f>
        <v/>
      </c>
      <c r="D430">
        <f>IF('01_Master_Data'!B430="","",'01_Master_Data'!C430)</f>
        <v/>
      </c>
      <c r="E430">
        <f>IF('01_Master_Data'!B430="","",'01_Master_Data'!D430)</f>
        <v/>
      </c>
      <c r="F430">
        <f>IF('01_Master_Data'!B430="","",'01_Master_Data'!E430)</f>
        <v/>
      </c>
      <c r="G430">
        <f>IF('01_Master_Data'!B430="","",IFERROR(VLOOKUP(TRIM('01_Master_Data'!E430&amp;""),'02_Configuration'!$A$40:$B$44,2,FALSE),UPPER(TRIM('01_Master_Data'!E430&amp;""))))</f>
        <v/>
      </c>
      <c r="H430">
        <f>IF('01_Master_Data'!B430="","",IF('01_Master_Data'!U430="","",TRIM('01_Master_Data'!U430&amp;"")))</f>
        <v/>
      </c>
      <c r="I430">
        <f>IF('01_Master_Data'!B430="","",TRIM('01_Master_Data'!F430&amp;""))</f>
        <v/>
      </c>
      <c r="J430">
        <f>IF('01_Master_Data'!B430="","",TRIM('01_Master_Data'!G430&amp;""))</f>
        <v/>
      </c>
      <c r="K430">
        <f>IF('01_Master_Data'!B430="","",'01_Master_Data'!H430)</f>
        <v/>
      </c>
      <c r="L430">
        <f>IF('01_Master_Data'!B430="","",IF(LOWER(TRIM('01_Master_Data'!V430&amp;""))="yes",1,0))</f>
        <v/>
      </c>
      <c r="M430">
        <f>IF('01_Master_Data'!B430="","",IF(LOWER(TRIM('01_Master_Data'!W430&amp;""))="yes",1,0))</f>
        <v/>
      </c>
      <c r="N430">
        <f>IF('01_Master_Data'!B430="","",IF(LOWER(TRIM('01_Master_Data'!X430&amp;""))="yes",1,0))</f>
        <v/>
      </c>
      <c r="O430">
        <f>IF('01_Master_Data'!B430="","",IF(LOWER(TRIM('01_Master_Data'!Y430&amp;""))="yes",1,0))</f>
        <v/>
      </c>
      <c r="P430">
        <f>IF('01_Master_Data'!B430="","",IF(LOWER(TRIM('01_Master_Data'!Z430&amp;""))="yes",1,0))</f>
        <v/>
      </c>
      <c r="Q430">
        <f>IF(A430="","",L430+M430+N430+O430+P430)</f>
        <v/>
      </c>
      <c r="R430">
        <f>IF(A430="","",IF(Q430&gt;1,"Yes","No"))</f>
        <v/>
      </c>
      <c r="S430">
        <f>IF(A430="","",TEXTJOIN(", ",TRUE,IF(L430=1,"ICICI",""),IF(M430=1,"Propelld",""),IF(N430=1,"Study4Buddy",""),IF(O430=1,"Poonawala Fincorp",""),IF(P430=1,"GyanDhan","")))</f>
        <v/>
      </c>
      <c r="T430">
        <f>IF(A430="","",IF(L430=1,"ICICI",IF(M430=1,"Propelld",IF(P430=1,"GyanDhan",IF(N430=1,"Study4Buddy",IF(O430=1,"Poonawala Fincorp",IF(ISNUMBER(SEARCH("GyanDhan",W430&amp;"")),"GyanDhan",IF(ISNUMBER(SEARCH("Icici",W430&amp;"")),"ICICI",IF(ISNUMBER(SEARCH("Propelld",W430&amp;"")),"Propelld",IF(ISNUMBER(SEARCH("vidyalakshmi",LOWER(W430&amp;"")),"PM Vidyalakshmi","—"))))))))))</f>
        <v/>
      </c>
      <c r="U430">
        <f>IF(A430="","",TRIM('01_Master_Data'!AA430&amp;""))</f>
        <v/>
      </c>
      <c r="V430">
        <f>IF(A430="","",TRIM('01_Master_Data'!AG430&amp;""))</f>
        <v/>
      </c>
      <c r="W430">
        <f>IF(A430="","",TRIM('01_Master_Data'!AH430&amp;""))</f>
        <v/>
      </c>
      <c r="X430">
        <f>IF(A430="","",IF(OR(LOWER(H430)="refund",LOWER(U430)="refund case"),"Refund",IF(OR(LOWER(H430)="dnp",LOWER(U430)="dnp"),"DNP",IF(OR(LOWER(V430)="disbursed",ISNUMBER(SEARCH("Disbursed",W430&amp;""))),"Disbursed",IF(OR(LOWER(V430)="loan proccessed/accepted",ISNUMBER(SEARCH("sanctioned",LOWER(W430&amp;"")))),"Sanctioned",IF(OR(LOWER(V430)="rejected",ISNUMBER(SEARCH("Not eligbile",W430&amp;"")),ISNUMBER(SEARCH("Not eligible",W430&amp;""))),"Rejected",IF(ISNUMBER(SEARCH("Docs Pending",W430&amp;"")),"Documents Pending",IF(AND(LOWER(H430)="yes",LOWER(V430)="ongoing"),"Processing",IF(AND(LOWER(H430)="yes",Q430&gt;0,OR(V430="",LOWER(V430)="not even started")),"Vendor Assigned",IF(AND(LOWER(H430)="yes",LOWER(V430)="not even started"),"Need Loan",IF(LOWER(H430)="yes","Loan Started",IF(LOWER(H430)="not sure","Interested",IF(OR(LOWER(H430)="no",LOWER(V430)="not required"),"Not Required","Unclassified")))))))))))))</f>
        <v/>
      </c>
      <c r="Y430">
        <f>IF(A430="","",IF(OR(X430="Sanctioned",X430="Disbursed",X430="Approved"),"Approved",IF(X430="Rejected","Rejected",IF(OR(X430="Processing",X430="Documents Pending",X430="Vendor Assigned"),"In Progress",IF(X430="Need Loan","Pending Start","—"))))</f>
        <v/>
      </c>
      <c r="Z430">
        <f>IF(A430="","",IF(X430="Disbursed","Disbursed",IF(X430="Sanctioned","Sanctioned - Awaiting Disbursement","Not Disbursed")))</f>
        <v/>
      </c>
      <c r="AA430">
        <f>IF(A430="","",IF(LOWER(TRIM('01_Master_Data'!AI430&amp;""))="yes","Need FLDG",IF(LOWER(TRIM('01_Master_Data'!AK430&amp;""))="yes","Need Vidyalakshmi",IF(LOWER(TRIM('01_Master_Data'!AJ430&amp;""))="yes","Need Review",IF(LOWER(J430)="critical","Critical",IF(LOWER(U430)="risk","Risk Case",IF(X430="Refund","Refund","Normal")))))))</f>
        <v/>
      </c>
      <c r="AB430">
        <f>IF(A430="","",IF(OR(LOWER(J430)="critical",LOWER(TRIM('01_Master_Data'!AI430&amp;""))="yes",LOWER(TRIM('01_Master_Data'!AK430&amp;""))="yes",LOWER(U430)="risk"),"Yes","No"))</f>
        <v/>
      </c>
      <c r="AC430">
        <f>IF(A430="","",IF(LOWER(TRIM('01_Master_Data'!AI430&amp;""))="yes","Yes","No"))</f>
        <v/>
      </c>
      <c r="AD430">
        <f>IF(A430="","",IF(LOWER(TRIM('01_Master_Data'!AK430&amp;""))="yes","Yes","No"))</f>
        <v/>
      </c>
      <c r="AE430">
        <f>IF(A430="","",IF(LOWER(TRIM('01_Master_Data'!AJ430&amp;""))="yes","Yes","No"))</f>
        <v/>
      </c>
      <c r="AF430">
        <f>IF(A430="","",TRIM('01_Master_Data'!AL430&amp;""))</f>
        <v/>
      </c>
      <c r="AG430">
        <f>IF(A430="","",IF(AF430="","—",IF(ISNUMBER(SEARCH("DNP",AF430)),"Unreachable / DNP",IF(ISNUMBER(SEARCH("interest",LOWER(AF430))),"High Interest / Terms",IF(OR(ISNUMBER(SEARCH("eligib",LOWER(AF430))),ISNUMBER(SEARCH("income",LOWER(AF430)))),"Eligibility / Income",IF(OR(ISNUMBER(SEARCH("start",LOWER(AF430))),ISNUMBER(SEARCH("Newer",AF430)),ISNUMBER(SEARCH("Will start",AF430))),"Process Yet to Start",IF(ISNUMBER(SEARCH("sure",LOWER(AF430))),"Undecided",IF(OR(ISNUMBER(SEARCH("reject",LOWER(AF430))),ISNUMBER(SEARCH("SBI",AF430))),"Rejected Elsewhere",IF(ISNUMBER(SEARCH("call",LOWER(AF430))),"Bank Communication",IF(OR(ISNUMBER(SEARCH("father",LOWER(AF430))),ISNUMBER(SEARCH("sister",LOWER(AF430)))),"Family / Dependency","Other"))))))))))</f>
        <v/>
      </c>
      <c r="AH430">
        <f>IF(A430="","",'01_Master_Data'!AC430)</f>
        <v/>
      </c>
      <c r="AI430">
        <f>IF(A430="","",IF(OR(AH430="",NOT(ISNUMBER(AH430))),"",MAX(0,'02_Configuration'!$B$82-AH430)))</f>
        <v/>
      </c>
      <c r="AJ430">
        <f>IF(A430="","",IF(AI430="","Unknown",IF(AI430&lt;=3,"0–3 Days",IF(AI430&lt;=7,"4–7 Days",IF(AI430&lt;=15,"8–15 Days",IF(AI430&lt;=30,"16–30 Days","30+ Days"))))))</f>
        <v/>
      </c>
      <c r="AK430">
        <f>IF(A430="","",IF(LOWER(H430)="yes","Yes","No"))</f>
        <v/>
      </c>
      <c r="AL430">
        <f>IF(A430="","",'01_Master_Data'!T430)</f>
        <v/>
      </c>
      <c r="AM430">
        <f>IF(A430="","",'01_Master_Data'!S430)</f>
        <v/>
      </c>
      <c r="AN430">
        <f>IF(A430="","",'01_Master_Data'!I430)</f>
        <v/>
      </c>
      <c r="AO430">
        <f>IF(A430="","",'01_Master_Data'!M430)</f>
        <v/>
      </c>
      <c r="AP430">
        <f>IF(A430="","",IF(ISNUMBER(SEARCH("Icici",W430&amp;"")),1,0))</f>
        <v/>
      </c>
      <c r="AQ430">
        <f>IF(A430="","",IF(ISNUMBER(SEARCH("Propelld",W430&amp;"")),1,0))</f>
        <v/>
      </c>
      <c r="AR430">
        <f>IF(A430="","",IF(ISNUMBER(SEARCH("GyanDhan",W430&amp;"")),1,0))</f>
        <v/>
      </c>
      <c r="AS430">
        <f>IF(A430="","",IF(ISNUMBER(SEARCH("vidyalakshmi",LOWER(W430&amp;""))),1,0))</f>
        <v/>
      </c>
      <c r="AT430">
        <f>IF(A430="","",IF(ISNUMBER(SEARCH("other bank",LOWER(W430&amp;""))),1,0))</f>
        <v/>
      </c>
      <c r="AU430">
        <f>IF(A430="","",IF(ISNUMBER(SEARCH("sanctioned",LOWER(W430&amp;""))),1,0))</f>
        <v/>
      </c>
      <c r="AV430">
        <f>IF(A430="","",IF(ISNUMBER(SEARCH("Docs Pending",W430&amp;"")),1,0))</f>
        <v/>
      </c>
      <c r="AW430">
        <f>IF(A430="","",IF(OR(X430="Rejected",ISNUMBER(SEARCH("Not eligbile",W430&amp;""))),1,0))</f>
        <v/>
      </c>
    </row>
    <row r="431">
      <c r="A431">
        <f>IF('01_Master_Data'!B431="","",430)</f>
        <v/>
      </c>
      <c r="B431">
        <f>IF('01_Master_Data'!B431="","",IF('01_Master_Data'!C431&lt;&gt;"","MOB|"&amp;TEXT('01_Master_Data'!C431,"0"),IF('01_Master_Data'!D431&lt;&gt;"","PID|"&amp;TRIM('01_Master_Data'!D431&amp;""),"")))</f>
        <v/>
      </c>
      <c r="C431">
        <f>IF('01_Master_Data'!B431="","",'01_Master_Data'!B431)</f>
        <v/>
      </c>
      <c r="D431">
        <f>IF('01_Master_Data'!B431="","",'01_Master_Data'!C431)</f>
        <v/>
      </c>
      <c r="E431">
        <f>IF('01_Master_Data'!B431="","",'01_Master_Data'!D431)</f>
        <v/>
      </c>
      <c r="F431">
        <f>IF('01_Master_Data'!B431="","",'01_Master_Data'!E431)</f>
        <v/>
      </c>
      <c r="G431">
        <f>IF('01_Master_Data'!B431="","",IFERROR(VLOOKUP(TRIM('01_Master_Data'!E431&amp;""),'02_Configuration'!$A$40:$B$44,2,FALSE),UPPER(TRIM('01_Master_Data'!E431&amp;""))))</f>
        <v/>
      </c>
      <c r="H431">
        <f>IF('01_Master_Data'!B431="","",IF('01_Master_Data'!U431="","",TRIM('01_Master_Data'!U431&amp;"")))</f>
        <v/>
      </c>
      <c r="I431">
        <f>IF('01_Master_Data'!B431="","",TRIM('01_Master_Data'!F431&amp;""))</f>
        <v/>
      </c>
      <c r="J431">
        <f>IF('01_Master_Data'!B431="","",TRIM('01_Master_Data'!G431&amp;""))</f>
        <v/>
      </c>
      <c r="K431">
        <f>IF('01_Master_Data'!B431="","",'01_Master_Data'!H431)</f>
        <v/>
      </c>
      <c r="L431">
        <f>IF('01_Master_Data'!B431="","",IF(LOWER(TRIM('01_Master_Data'!V431&amp;""))="yes",1,0))</f>
        <v/>
      </c>
      <c r="M431">
        <f>IF('01_Master_Data'!B431="","",IF(LOWER(TRIM('01_Master_Data'!W431&amp;""))="yes",1,0))</f>
        <v/>
      </c>
      <c r="N431">
        <f>IF('01_Master_Data'!B431="","",IF(LOWER(TRIM('01_Master_Data'!X431&amp;""))="yes",1,0))</f>
        <v/>
      </c>
      <c r="O431">
        <f>IF('01_Master_Data'!B431="","",IF(LOWER(TRIM('01_Master_Data'!Y431&amp;""))="yes",1,0))</f>
        <v/>
      </c>
      <c r="P431">
        <f>IF('01_Master_Data'!B431="","",IF(LOWER(TRIM('01_Master_Data'!Z431&amp;""))="yes",1,0))</f>
        <v/>
      </c>
      <c r="Q431">
        <f>IF(A431="","",L431+M431+N431+O431+P431)</f>
        <v/>
      </c>
      <c r="R431">
        <f>IF(A431="","",IF(Q431&gt;1,"Yes","No"))</f>
        <v/>
      </c>
      <c r="S431">
        <f>IF(A431="","",TEXTJOIN(", ",TRUE,IF(L431=1,"ICICI",""),IF(M431=1,"Propelld",""),IF(N431=1,"Study4Buddy",""),IF(O431=1,"Poonawala Fincorp",""),IF(P431=1,"GyanDhan","")))</f>
        <v/>
      </c>
      <c r="T431">
        <f>IF(A431="","",IF(L431=1,"ICICI",IF(M431=1,"Propelld",IF(P431=1,"GyanDhan",IF(N431=1,"Study4Buddy",IF(O431=1,"Poonawala Fincorp",IF(ISNUMBER(SEARCH("GyanDhan",W431&amp;"")),"GyanDhan",IF(ISNUMBER(SEARCH("Icici",W431&amp;"")),"ICICI",IF(ISNUMBER(SEARCH("Propelld",W431&amp;"")),"Propelld",IF(ISNUMBER(SEARCH("vidyalakshmi",LOWER(W431&amp;"")),"PM Vidyalakshmi","—"))))))))))</f>
        <v/>
      </c>
      <c r="U431">
        <f>IF(A431="","",TRIM('01_Master_Data'!AA431&amp;""))</f>
        <v/>
      </c>
      <c r="V431">
        <f>IF(A431="","",TRIM('01_Master_Data'!AG431&amp;""))</f>
        <v/>
      </c>
      <c r="W431">
        <f>IF(A431="","",TRIM('01_Master_Data'!AH431&amp;""))</f>
        <v/>
      </c>
      <c r="X431">
        <f>IF(A431="","",IF(OR(LOWER(H431)="refund",LOWER(U431)="refund case"),"Refund",IF(OR(LOWER(H431)="dnp",LOWER(U431)="dnp"),"DNP",IF(OR(LOWER(V431)="disbursed",ISNUMBER(SEARCH("Disbursed",W431&amp;""))),"Disbursed",IF(OR(LOWER(V431)="loan proccessed/accepted",ISNUMBER(SEARCH("sanctioned",LOWER(W431&amp;"")))),"Sanctioned",IF(OR(LOWER(V431)="rejected",ISNUMBER(SEARCH("Not eligbile",W431&amp;"")),ISNUMBER(SEARCH("Not eligible",W431&amp;""))),"Rejected",IF(ISNUMBER(SEARCH("Docs Pending",W431&amp;"")),"Documents Pending",IF(AND(LOWER(H431)="yes",LOWER(V431)="ongoing"),"Processing",IF(AND(LOWER(H431)="yes",Q431&gt;0,OR(V431="",LOWER(V431)="not even started")),"Vendor Assigned",IF(AND(LOWER(H431)="yes",LOWER(V431)="not even started"),"Need Loan",IF(LOWER(H431)="yes","Loan Started",IF(LOWER(H431)="not sure","Interested",IF(OR(LOWER(H431)="no",LOWER(V431)="not required"),"Not Required","Unclassified")))))))))))))</f>
        <v/>
      </c>
      <c r="Y431">
        <f>IF(A431="","",IF(OR(X431="Sanctioned",X431="Disbursed",X431="Approved"),"Approved",IF(X431="Rejected","Rejected",IF(OR(X431="Processing",X431="Documents Pending",X431="Vendor Assigned"),"In Progress",IF(X431="Need Loan","Pending Start","—"))))</f>
        <v/>
      </c>
      <c r="Z431">
        <f>IF(A431="","",IF(X431="Disbursed","Disbursed",IF(X431="Sanctioned","Sanctioned - Awaiting Disbursement","Not Disbursed")))</f>
        <v/>
      </c>
      <c r="AA431">
        <f>IF(A431="","",IF(LOWER(TRIM('01_Master_Data'!AI431&amp;""))="yes","Need FLDG",IF(LOWER(TRIM('01_Master_Data'!AK431&amp;""))="yes","Need Vidyalakshmi",IF(LOWER(TRIM('01_Master_Data'!AJ431&amp;""))="yes","Need Review",IF(LOWER(J431)="critical","Critical",IF(LOWER(U431)="risk","Risk Case",IF(X431="Refund","Refund","Normal")))))))</f>
        <v/>
      </c>
      <c r="AB431">
        <f>IF(A431="","",IF(OR(LOWER(J431)="critical",LOWER(TRIM('01_Master_Data'!AI431&amp;""))="yes",LOWER(TRIM('01_Master_Data'!AK431&amp;""))="yes",LOWER(U431)="risk"),"Yes","No"))</f>
        <v/>
      </c>
      <c r="AC431">
        <f>IF(A431="","",IF(LOWER(TRIM('01_Master_Data'!AI431&amp;""))="yes","Yes","No"))</f>
        <v/>
      </c>
      <c r="AD431">
        <f>IF(A431="","",IF(LOWER(TRIM('01_Master_Data'!AK431&amp;""))="yes","Yes","No"))</f>
        <v/>
      </c>
      <c r="AE431">
        <f>IF(A431="","",IF(LOWER(TRIM('01_Master_Data'!AJ431&amp;""))="yes","Yes","No"))</f>
        <v/>
      </c>
      <c r="AF431">
        <f>IF(A431="","",TRIM('01_Master_Data'!AL431&amp;""))</f>
        <v/>
      </c>
      <c r="AG431">
        <f>IF(A431="","",IF(AF431="","—",IF(ISNUMBER(SEARCH("DNP",AF431)),"Unreachable / DNP",IF(ISNUMBER(SEARCH("interest",LOWER(AF431))),"High Interest / Terms",IF(OR(ISNUMBER(SEARCH("eligib",LOWER(AF431))),ISNUMBER(SEARCH("income",LOWER(AF431)))),"Eligibility / Income",IF(OR(ISNUMBER(SEARCH("start",LOWER(AF431))),ISNUMBER(SEARCH("Newer",AF431)),ISNUMBER(SEARCH("Will start",AF431))),"Process Yet to Start",IF(ISNUMBER(SEARCH("sure",LOWER(AF431))),"Undecided",IF(OR(ISNUMBER(SEARCH("reject",LOWER(AF431))),ISNUMBER(SEARCH("SBI",AF431))),"Rejected Elsewhere",IF(ISNUMBER(SEARCH("call",LOWER(AF431))),"Bank Communication",IF(OR(ISNUMBER(SEARCH("father",LOWER(AF431))),ISNUMBER(SEARCH("sister",LOWER(AF431)))),"Family / Dependency","Other"))))))))))</f>
        <v/>
      </c>
      <c r="AH431">
        <f>IF(A431="","",'01_Master_Data'!AC431)</f>
        <v/>
      </c>
      <c r="AI431">
        <f>IF(A431="","",IF(OR(AH431="",NOT(ISNUMBER(AH431))),"",MAX(0,'02_Configuration'!$B$82-AH431)))</f>
        <v/>
      </c>
      <c r="AJ431">
        <f>IF(A431="","",IF(AI431="","Unknown",IF(AI431&lt;=3,"0–3 Days",IF(AI431&lt;=7,"4–7 Days",IF(AI431&lt;=15,"8–15 Days",IF(AI431&lt;=30,"16–30 Days","30+ Days"))))))</f>
        <v/>
      </c>
      <c r="AK431">
        <f>IF(A431="","",IF(LOWER(H431)="yes","Yes","No"))</f>
        <v/>
      </c>
      <c r="AL431">
        <f>IF(A431="","",'01_Master_Data'!T431)</f>
        <v/>
      </c>
      <c r="AM431">
        <f>IF(A431="","",'01_Master_Data'!S431)</f>
        <v/>
      </c>
      <c r="AN431">
        <f>IF(A431="","",'01_Master_Data'!I431)</f>
        <v/>
      </c>
      <c r="AO431">
        <f>IF(A431="","",'01_Master_Data'!M431)</f>
        <v/>
      </c>
      <c r="AP431">
        <f>IF(A431="","",IF(ISNUMBER(SEARCH("Icici",W431&amp;"")),1,0))</f>
        <v/>
      </c>
      <c r="AQ431">
        <f>IF(A431="","",IF(ISNUMBER(SEARCH("Propelld",W431&amp;"")),1,0))</f>
        <v/>
      </c>
      <c r="AR431">
        <f>IF(A431="","",IF(ISNUMBER(SEARCH("GyanDhan",W431&amp;"")),1,0))</f>
        <v/>
      </c>
      <c r="AS431">
        <f>IF(A431="","",IF(ISNUMBER(SEARCH("vidyalakshmi",LOWER(W431&amp;""))),1,0))</f>
        <v/>
      </c>
      <c r="AT431">
        <f>IF(A431="","",IF(ISNUMBER(SEARCH("other bank",LOWER(W431&amp;""))),1,0))</f>
        <v/>
      </c>
      <c r="AU431">
        <f>IF(A431="","",IF(ISNUMBER(SEARCH("sanctioned",LOWER(W431&amp;""))),1,0))</f>
        <v/>
      </c>
      <c r="AV431">
        <f>IF(A431="","",IF(ISNUMBER(SEARCH("Docs Pending",W431&amp;"")),1,0))</f>
        <v/>
      </c>
      <c r="AW431">
        <f>IF(A431="","",IF(OR(X431="Rejected",ISNUMBER(SEARCH("Not eligbile",W431&amp;""))),1,0))</f>
        <v/>
      </c>
    </row>
    <row r="432">
      <c r="A432">
        <f>IF('01_Master_Data'!B432="","",431)</f>
        <v/>
      </c>
      <c r="B432">
        <f>IF('01_Master_Data'!B432="","",IF('01_Master_Data'!C432&lt;&gt;"","MOB|"&amp;TEXT('01_Master_Data'!C432,"0"),IF('01_Master_Data'!D432&lt;&gt;"","PID|"&amp;TRIM('01_Master_Data'!D432&amp;""),"")))</f>
        <v/>
      </c>
      <c r="C432">
        <f>IF('01_Master_Data'!B432="","",'01_Master_Data'!B432)</f>
        <v/>
      </c>
      <c r="D432">
        <f>IF('01_Master_Data'!B432="","",'01_Master_Data'!C432)</f>
        <v/>
      </c>
      <c r="E432">
        <f>IF('01_Master_Data'!B432="","",'01_Master_Data'!D432)</f>
        <v/>
      </c>
      <c r="F432">
        <f>IF('01_Master_Data'!B432="","",'01_Master_Data'!E432)</f>
        <v/>
      </c>
      <c r="G432">
        <f>IF('01_Master_Data'!B432="","",IFERROR(VLOOKUP(TRIM('01_Master_Data'!E432&amp;""),'02_Configuration'!$A$40:$B$44,2,FALSE),UPPER(TRIM('01_Master_Data'!E432&amp;""))))</f>
        <v/>
      </c>
      <c r="H432">
        <f>IF('01_Master_Data'!B432="","",IF('01_Master_Data'!U432="","",TRIM('01_Master_Data'!U432&amp;"")))</f>
        <v/>
      </c>
      <c r="I432">
        <f>IF('01_Master_Data'!B432="","",TRIM('01_Master_Data'!F432&amp;""))</f>
        <v/>
      </c>
      <c r="J432">
        <f>IF('01_Master_Data'!B432="","",TRIM('01_Master_Data'!G432&amp;""))</f>
        <v/>
      </c>
      <c r="K432">
        <f>IF('01_Master_Data'!B432="","",'01_Master_Data'!H432)</f>
        <v/>
      </c>
      <c r="L432">
        <f>IF('01_Master_Data'!B432="","",IF(LOWER(TRIM('01_Master_Data'!V432&amp;""))="yes",1,0))</f>
        <v/>
      </c>
      <c r="M432">
        <f>IF('01_Master_Data'!B432="","",IF(LOWER(TRIM('01_Master_Data'!W432&amp;""))="yes",1,0))</f>
        <v/>
      </c>
      <c r="N432">
        <f>IF('01_Master_Data'!B432="","",IF(LOWER(TRIM('01_Master_Data'!X432&amp;""))="yes",1,0))</f>
        <v/>
      </c>
      <c r="O432">
        <f>IF('01_Master_Data'!B432="","",IF(LOWER(TRIM('01_Master_Data'!Y432&amp;""))="yes",1,0))</f>
        <v/>
      </c>
      <c r="P432">
        <f>IF('01_Master_Data'!B432="","",IF(LOWER(TRIM('01_Master_Data'!Z432&amp;""))="yes",1,0))</f>
        <v/>
      </c>
      <c r="Q432">
        <f>IF(A432="","",L432+M432+N432+O432+P432)</f>
        <v/>
      </c>
      <c r="R432">
        <f>IF(A432="","",IF(Q432&gt;1,"Yes","No"))</f>
        <v/>
      </c>
      <c r="S432">
        <f>IF(A432="","",TEXTJOIN(", ",TRUE,IF(L432=1,"ICICI",""),IF(M432=1,"Propelld",""),IF(N432=1,"Study4Buddy",""),IF(O432=1,"Poonawala Fincorp",""),IF(P432=1,"GyanDhan","")))</f>
        <v/>
      </c>
      <c r="T432">
        <f>IF(A432="","",IF(L432=1,"ICICI",IF(M432=1,"Propelld",IF(P432=1,"GyanDhan",IF(N432=1,"Study4Buddy",IF(O432=1,"Poonawala Fincorp",IF(ISNUMBER(SEARCH("GyanDhan",W432&amp;"")),"GyanDhan",IF(ISNUMBER(SEARCH("Icici",W432&amp;"")),"ICICI",IF(ISNUMBER(SEARCH("Propelld",W432&amp;"")),"Propelld",IF(ISNUMBER(SEARCH("vidyalakshmi",LOWER(W432&amp;"")),"PM Vidyalakshmi","—"))))))))))</f>
        <v/>
      </c>
      <c r="U432">
        <f>IF(A432="","",TRIM('01_Master_Data'!AA432&amp;""))</f>
        <v/>
      </c>
      <c r="V432">
        <f>IF(A432="","",TRIM('01_Master_Data'!AG432&amp;""))</f>
        <v/>
      </c>
      <c r="W432">
        <f>IF(A432="","",TRIM('01_Master_Data'!AH432&amp;""))</f>
        <v/>
      </c>
      <c r="X432">
        <f>IF(A432="","",IF(OR(LOWER(H432)="refund",LOWER(U432)="refund case"),"Refund",IF(OR(LOWER(H432)="dnp",LOWER(U432)="dnp"),"DNP",IF(OR(LOWER(V432)="disbursed",ISNUMBER(SEARCH("Disbursed",W432&amp;""))),"Disbursed",IF(OR(LOWER(V432)="loan proccessed/accepted",ISNUMBER(SEARCH("sanctioned",LOWER(W432&amp;"")))),"Sanctioned",IF(OR(LOWER(V432)="rejected",ISNUMBER(SEARCH("Not eligbile",W432&amp;"")),ISNUMBER(SEARCH("Not eligible",W432&amp;""))),"Rejected",IF(ISNUMBER(SEARCH("Docs Pending",W432&amp;"")),"Documents Pending",IF(AND(LOWER(H432)="yes",LOWER(V432)="ongoing"),"Processing",IF(AND(LOWER(H432)="yes",Q432&gt;0,OR(V432="",LOWER(V432)="not even started")),"Vendor Assigned",IF(AND(LOWER(H432)="yes",LOWER(V432)="not even started"),"Need Loan",IF(LOWER(H432)="yes","Loan Started",IF(LOWER(H432)="not sure","Interested",IF(OR(LOWER(H432)="no",LOWER(V432)="not required"),"Not Required","Unclassified")))))))))))))</f>
        <v/>
      </c>
      <c r="Y432">
        <f>IF(A432="","",IF(OR(X432="Sanctioned",X432="Disbursed",X432="Approved"),"Approved",IF(X432="Rejected","Rejected",IF(OR(X432="Processing",X432="Documents Pending",X432="Vendor Assigned"),"In Progress",IF(X432="Need Loan","Pending Start","—"))))</f>
        <v/>
      </c>
      <c r="Z432">
        <f>IF(A432="","",IF(X432="Disbursed","Disbursed",IF(X432="Sanctioned","Sanctioned - Awaiting Disbursement","Not Disbursed")))</f>
        <v/>
      </c>
      <c r="AA432">
        <f>IF(A432="","",IF(LOWER(TRIM('01_Master_Data'!AI432&amp;""))="yes","Need FLDG",IF(LOWER(TRIM('01_Master_Data'!AK432&amp;""))="yes","Need Vidyalakshmi",IF(LOWER(TRIM('01_Master_Data'!AJ432&amp;""))="yes","Need Review",IF(LOWER(J432)="critical","Critical",IF(LOWER(U432)="risk","Risk Case",IF(X432="Refund","Refund","Normal")))))))</f>
        <v/>
      </c>
      <c r="AB432">
        <f>IF(A432="","",IF(OR(LOWER(J432)="critical",LOWER(TRIM('01_Master_Data'!AI432&amp;""))="yes",LOWER(TRIM('01_Master_Data'!AK432&amp;""))="yes",LOWER(U432)="risk"),"Yes","No"))</f>
        <v/>
      </c>
      <c r="AC432">
        <f>IF(A432="","",IF(LOWER(TRIM('01_Master_Data'!AI432&amp;""))="yes","Yes","No"))</f>
        <v/>
      </c>
      <c r="AD432">
        <f>IF(A432="","",IF(LOWER(TRIM('01_Master_Data'!AK432&amp;""))="yes","Yes","No"))</f>
        <v/>
      </c>
      <c r="AE432">
        <f>IF(A432="","",IF(LOWER(TRIM('01_Master_Data'!AJ432&amp;""))="yes","Yes","No"))</f>
        <v/>
      </c>
      <c r="AF432">
        <f>IF(A432="","",TRIM('01_Master_Data'!AL432&amp;""))</f>
        <v/>
      </c>
      <c r="AG432">
        <f>IF(A432="","",IF(AF432="","—",IF(ISNUMBER(SEARCH("DNP",AF432)),"Unreachable / DNP",IF(ISNUMBER(SEARCH("interest",LOWER(AF432))),"High Interest / Terms",IF(OR(ISNUMBER(SEARCH("eligib",LOWER(AF432))),ISNUMBER(SEARCH("income",LOWER(AF432)))),"Eligibility / Income",IF(OR(ISNUMBER(SEARCH("start",LOWER(AF432))),ISNUMBER(SEARCH("Newer",AF432)),ISNUMBER(SEARCH("Will start",AF432))),"Process Yet to Start",IF(ISNUMBER(SEARCH("sure",LOWER(AF432))),"Undecided",IF(OR(ISNUMBER(SEARCH("reject",LOWER(AF432))),ISNUMBER(SEARCH("SBI",AF432))),"Rejected Elsewhere",IF(ISNUMBER(SEARCH("call",LOWER(AF432))),"Bank Communication",IF(OR(ISNUMBER(SEARCH("father",LOWER(AF432))),ISNUMBER(SEARCH("sister",LOWER(AF432)))),"Family / Dependency","Other"))))))))))</f>
        <v/>
      </c>
      <c r="AH432">
        <f>IF(A432="","",'01_Master_Data'!AC432)</f>
        <v/>
      </c>
      <c r="AI432">
        <f>IF(A432="","",IF(OR(AH432="",NOT(ISNUMBER(AH432))),"",MAX(0,'02_Configuration'!$B$82-AH432)))</f>
        <v/>
      </c>
      <c r="AJ432">
        <f>IF(A432="","",IF(AI432="","Unknown",IF(AI432&lt;=3,"0–3 Days",IF(AI432&lt;=7,"4–7 Days",IF(AI432&lt;=15,"8–15 Days",IF(AI432&lt;=30,"16–30 Days","30+ Days"))))))</f>
        <v/>
      </c>
      <c r="AK432">
        <f>IF(A432="","",IF(LOWER(H432)="yes","Yes","No"))</f>
        <v/>
      </c>
      <c r="AL432">
        <f>IF(A432="","",'01_Master_Data'!T432)</f>
        <v/>
      </c>
      <c r="AM432">
        <f>IF(A432="","",'01_Master_Data'!S432)</f>
        <v/>
      </c>
      <c r="AN432">
        <f>IF(A432="","",'01_Master_Data'!I432)</f>
        <v/>
      </c>
      <c r="AO432">
        <f>IF(A432="","",'01_Master_Data'!M432)</f>
        <v/>
      </c>
      <c r="AP432">
        <f>IF(A432="","",IF(ISNUMBER(SEARCH("Icici",W432&amp;"")),1,0))</f>
        <v/>
      </c>
      <c r="AQ432">
        <f>IF(A432="","",IF(ISNUMBER(SEARCH("Propelld",W432&amp;"")),1,0))</f>
        <v/>
      </c>
      <c r="AR432">
        <f>IF(A432="","",IF(ISNUMBER(SEARCH("GyanDhan",W432&amp;"")),1,0))</f>
        <v/>
      </c>
      <c r="AS432">
        <f>IF(A432="","",IF(ISNUMBER(SEARCH("vidyalakshmi",LOWER(W432&amp;""))),1,0))</f>
        <v/>
      </c>
      <c r="AT432">
        <f>IF(A432="","",IF(ISNUMBER(SEARCH("other bank",LOWER(W432&amp;""))),1,0))</f>
        <v/>
      </c>
      <c r="AU432">
        <f>IF(A432="","",IF(ISNUMBER(SEARCH("sanctioned",LOWER(W432&amp;""))),1,0))</f>
        <v/>
      </c>
      <c r="AV432">
        <f>IF(A432="","",IF(ISNUMBER(SEARCH("Docs Pending",W432&amp;"")),1,0))</f>
        <v/>
      </c>
      <c r="AW432">
        <f>IF(A432="","",IF(OR(X432="Rejected",ISNUMBER(SEARCH("Not eligbile",W432&amp;""))),1,0))</f>
        <v/>
      </c>
    </row>
    <row r="433">
      <c r="A433">
        <f>IF('01_Master_Data'!B433="","",432)</f>
        <v/>
      </c>
      <c r="B433">
        <f>IF('01_Master_Data'!B433="","",IF('01_Master_Data'!C433&lt;&gt;"","MOB|"&amp;TEXT('01_Master_Data'!C433,"0"),IF('01_Master_Data'!D433&lt;&gt;"","PID|"&amp;TRIM('01_Master_Data'!D433&amp;""),"")))</f>
        <v/>
      </c>
      <c r="C433">
        <f>IF('01_Master_Data'!B433="","",'01_Master_Data'!B433)</f>
        <v/>
      </c>
      <c r="D433">
        <f>IF('01_Master_Data'!B433="","",'01_Master_Data'!C433)</f>
        <v/>
      </c>
      <c r="E433">
        <f>IF('01_Master_Data'!B433="","",'01_Master_Data'!D433)</f>
        <v/>
      </c>
      <c r="F433">
        <f>IF('01_Master_Data'!B433="","",'01_Master_Data'!E433)</f>
        <v/>
      </c>
      <c r="G433">
        <f>IF('01_Master_Data'!B433="","",IFERROR(VLOOKUP(TRIM('01_Master_Data'!E433&amp;""),'02_Configuration'!$A$40:$B$44,2,FALSE),UPPER(TRIM('01_Master_Data'!E433&amp;""))))</f>
        <v/>
      </c>
      <c r="H433">
        <f>IF('01_Master_Data'!B433="","",IF('01_Master_Data'!U433="","",TRIM('01_Master_Data'!U433&amp;"")))</f>
        <v/>
      </c>
      <c r="I433">
        <f>IF('01_Master_Data'!B433="","",TRIM('01_Master_Data'!F433&amp;""))</f>
        <v/>
      </c>
      <c r="J433">
        <f>IF('01_Master_Data'!B433="","",TRIM('01_Master_Data'!G433&amp;""))</f>
        <v/>
      </c>
      <c r="K433">
        <f>IF('01_Master_Data'!B433="","",'01_Master_Data'!H433)</f>
        <v/>
      </c>
      <c r="L433">
        <f>IF('01_Master_Data'!B433="","",IF(LOWER(TRIM('01_Master_Data'!V433&amp;""))="yes",1,0))</f>
        <v/>
      </c>
      <c r="M433">
        <f>IF('01_Master_Data'!B433="","",IF(LOWER(TRIM('01_Master_Data'!W433&amp;""))="yes",1,0))</f>
        <v/>
      </c>
      <c r="N433">
        <f>IF('01_Master_Data'!B433="","",IF(LOWER(TRIM('01_Master_Data'!X433&amp;""))="yes",1,0))</f>
        <v/>
      </c>
      <c r="O433">
        <f>IF('01_Master_Data'!B433="","",IF(LOWER(TRIM('01_Master_Data'!Y433&amp;""))="yes",1,0))</f>
        <v/>
      </c>
      <c r="P433">
        <f>IF('01_Master_Data'!B433="","",IF(LOWER(TRIM('01_Master_Data'!Z433&amp;""))="yes",1,0))</f>
        <v/>
      </c>
      <c r="Q433">
        <f>IF(A433="","",L433+M433+N433+O433+P433)</f>
        <v/>
      </c>
      <c r="R433">
        <f>IF(A433="","",IF(Q433&gt;1,"Yes","No"))</f>
        <v/>
      </c>
      <c r="S433">
        <f>IF(A433="","",TEXTJOIN(", ",TRUE,IF(L433=1,"ICICI",""),IF(M433=1,"Propelld",""),IF(N433=1,"Study4Buddy",""),IF(O433=1,"Poonawala Fincorp",""),IF(P433=1,"GyanDhan","")))</f>
        <v/>
      </c>
      <c r="T433">
        <f>IF(A433="","",IF(L433=1,"ICICI",IF(M433=1,"Propelld",IF(P433=1,"GyanDhan",IF(N433=1,"Study4Buddy",IF(O433=1,"Poonawala Fincorp",IF(ISNUMBER(SEARCH("GyanDhan",W433&amp;"")),"GyanDhan",IF(ISNUMBER(SEARCH("Icici",W433&amp;"")),"ICICI",IF(ISNUMBER(SEARCH("Propelld",W433&amp;"")),"Propelld",IF(ISNUMBER(SEARCH("vidyalakshmi",LOWER(W433&amp;"")),"PM Vidyalakshmi","—"))))))))))</f>
        <v/>
      </c>
      <c r="U433">
        <f>IF(A433="","",TRIM('01_Master_Data'!AA433&amp;""))</f>
        <v/>
      </c>
      <c r="V433">
        <f>IF(A433="","",TRIM('01_Master_Data'!AG433&amp;""))</f>
        <v/>
      </c>
      <c r="W433">
        <f>IF(A433="","",TRIM('01_Master_Data'!AH433&amp;""))</f>
        <v/>
      </c>
      <c r="X433">
        <f>IF(A433="","",IF(OR(LOWER(H433)="refund",LOWER(U433)="refund case"),"Refund",IF(OR(LOWER(H433)="dnp",LOWER(U433)="dnp"),"DNP",IF(OR(LOWER(V433)="disbursed",ISNUMBER(SEARCH("Disbursed",W433&amp;""))),"Disbursed",IF(OR(LOWER(V433)="loan proccessed/accepted",ISNUMBER(SEARCH("sanctioned",LOWER(W433&amp;"")))),"Sanctioned",IF(OR(LOWER(V433)="rejected",ISNUMBER(SEARCH("Not eligbile",W433&amp;"")),ISNUMBER(SEARCH("Not eligible",W433&amp;""))),"Rejected",IF(ISNUMBER(SEARCH("Docs Pending",W433&amp;"")),"Documents Pending",IF(AND(LOWER(H433)="yes",LOWER(V433)="ongoing"),"Processing",IF(AND(LOWER(H433)="yes",Q433&gt;0,OR(V433="",LOWER(V433)="not even started")),"Vendor Assigned",IF(AND(LOWER(H433)="yes",LOWER(V433)="not even started"),"Need Loan",IF(LOWER(H433)="yes","Loan Started",IF(LOWER(H433)="not sure","Interested",IF(OR(LOWER(H433)="no",LOWER(V433)="not required"),"Not Required","Unclassified")))))))))))))</f>
        <v/>
      </c>
      <c r="Y433">
        <f>IF(A433="","",IF(OR(X433="Sanctioned",X433="Disbursed",X433="Approved"),"Approved",IF(X433="Rejected","Rejected",IF(OR(X433="Processing",X433="Documents Pending",X433="Vendor Assigned"),"In Progress",IF(X433="Need Loan","Pending Start","—"))))</f>
        <v/>
      </c>
      <c r="Z433">
        <f>IF(A433="","",IF(X433="Disbursed","Disbursed",IF(X433="Sanctioned","Sanctioned - Awaiting Disbursement","Not Disbursed")))</f>
        <v/>
      </c>
      <c r="AA433">
        <f>IF(A433="","",IF(LOWER(TRIM('01_Master_Data'!AI433&amp;""))="yes","Need FLDG",IF(LOWER(TRIM('01_Master_Data'!AK433&amp;""))="yes","Need Vidyalakshmi",IF(LOWER(TRIM('01_Master_Data'!AJ433&amp;""))="yes","Need Review",IF(LOWER(J433)="critical","Critical",IF(LOWER(U433)="risk","Risk Case",IF(X433="Refund","Refund","Normal")))))))</f>
        <v/>
      </c>
      <c r="AB433">
        <f>IF(A433="","",IF(OR(LOWER(J433)="critical",LOWER(TRIM('01_Master_Data'!AI433&amp;""))="yes",LOWER(TRIM('01_Master_Data'!AK433&amp;""))="yes",LOWER(U433)="risk"),"Yes","No"))</f>
        <v/>
      </c>
      <c r="AC433">
        <f>IF(A433="","",IF(LOWER(TRIM('01_Master_Data'!AI433&amp;""))="yes","Yes","No"))</f>
        <v/>
      </c>
      <c r="AD433">
        <f>IF(A433="","",IF(LOWER(TRIM('01_Master_Data'!AK433&amp;""))="yes","Yes","No"))</f>
        <v/>
      </c>
      <c r="AE433">
        <f>IF(A433="","",IF(LOWER(TRIM('01_Master_Data'!AJ433&amp;""))="yes","Yes","No"))</f>
        <v/>
      </c>
      <c r="AF433">
        <f>IF(A433="","",TRIM('01_Master_Data'!AL433&amp;""))</f>
        <v/>
      </c>
      <c r="AG433">
        <f>IF(A433="","",IF(AF433="","—",IF(ISNUMBER(SEARCH("DNP",AF433)),"Unreachable / DNP",IF(ISNUMBER(SEARCH("interest",LOWER(AF433))),"High Interest / Terms",IF(OR(ISNUMBER(SEARCH("eligib",LOWER(AF433))),ISNUMBER(SEARCH("income",LOWER(AF433)))),"Eligibility / Income",IF(OR(ISNUMBER(SEARCH("start",LOWER(AF433))),ISNUMBER(SEARCH("Newer",AF433)),ISNUMBER(SEARCH("Will start",AF433))),"Process Yet to Start",IF(ISNUMBER(SEARCH("sure",LOWER(AF433))),"Undecided",IF(OR(ISNUMBER(SEARCH("reject",LOWER(AF433))),ISNUMBER(SEARCH("SBI",AF433))),"Rejected Elsewhere",IF(ISNUMBER(SEARCH("call",LOWER(AF433))),"Bank Communication",IF(OR(ISNUMBER(SEARCH("father",LOWER(AF433))),ISNUMBER(SEARCH("sister",LOWER(AF433)))),"Family / Dependency","Other"))))))))))</f>
        <v/>
      </c>
      <c r="AH433">
        <f>IF(A433="","",'01_Master_Data'!AC433)</f>
        <v/>
      </c>
      <c r="AI433">
        <f>IF(A433="","",IF(OR(AH433="",NOT(ISNUMBER(AH433))),"",MAX(0,'02_Configuration'!$B$82-AH433)))</f>
        <v/>
      </c>
      <c r="AJ433">
        <f>IF(A433="","",IF(AI433="","Unknown",IF(AI433&lt;=3,"0–3 Days",IF(AI433&lt;=7,"4–7 Days",IF(AI433&lt;=15,"8–15 Days",IF(AI433&lt;=30,"16–30 Days","30+ Days"))))))</f>
        <v/>
      </c>
      <c r="AK433">
        <f>IF(A433="","",IF(LOWER(H433)="yes","Yes","No"))</f>
        <v/>
      </c>
      <c r="AL433">
        <f>IF(A433="","",'01_Master_Data'!T433)</f>
        <v/>
      </c>
      <c r="AM433">
        <f>IF(A433="","",'01_Master_Data'!S433)</f>
        <v/>
      </c>
      <c r="AN433">
        <f>IF(A433="","",'01_Master_Data'!I433)</f>
        <v/>
      </c>
      <c r="AO433">
        <f>IF(A433="","",'01_Master_Data'!M433)</f>
        <v/>
      </c>
      <c r="AP433">
        <f>IF(A433="","",IF(ISNUMBER(SEARCH("Icici",W433&amp;"")),1,0))</f>
        <v/>
      </c>
      <c r="AQ433">
        <f>IF(A433="","",IF(ISNUMBER(SEARCH("Propelld",W433&amp;"")),1,0))</f>
        <v/>
      </c>
      <c r="AR433">
        <f>IF(A433="","",IF(ISNUMBER(SEARCH("GyanDhan",W433&amp;"")),1,0))</f>
        <v/>
      </c>
      <c r="AS433">
        <f>IF(A433="","",IF(ISNUMBER(SEARCH("vidyalakshmi",LOWER(W433&amp;""))),1,0))</f>
        <v/>
      </c>
      <c r="AT433">
        <f>IF(A433="","",IF(ISNUMBER(SEARCH("other bank",LOWER(W433&amp;""))),1,0))</f>
        <v/>
      </c>
      <c r="AU433">
        <f>IF(A433="","",IF(ISNUMBER(SEARCH("sanctioned",LOWER(W433&amp;""))),1,0))</f>
        <v/>
      </c>
      <c r="AV433">
        <f>IF(A433="","",IF(ISNUMBER(SEARCH("Docs Pending",W433&amp;"")),1,0))</f>
        <v/>
      </c>
      <c r="AW433">
        <f>IF(A433="","",IF(OR(X433="Rejected",ISNUMBER(SEARCH("Not eligbile",W433&amp;""))),1,0))</f>
        <v/>
      </c>
    </row>
    <row r="434">
      <c r="A434">
        <f>IF('01_Master_Data'!B434="","",433)</f>
        <v/>
      </c>
      <c r="B434">
        <f>IF('01_Master_Data'!B434="","",IF('01_Master_Data'!C434&lt;&gt;"","MOB|"&amp;TEXT('01_Master_Data'!C434,"0"),IF('01_Master_Data'!D434&lt;&gt;"","PID|"&amp;TRIM('01_Master_Data'!D434&amp;""),"")))</f>
        <v/>
      </c>
      <c r="C434">
        <f>IF('01_Master_Data'!B434="","",'01_Master_Data'!B434)</f>
        <v/>
      </c>
      <c r="D434">
        <f>IF('01_Master_Data'!B434="","",'01_Master_Data'!C434)</f>
        <v/>
      </c>
      <c r="E434">
        <f>IF('01_Master_Data'!B434="","",'01_Master_Data'!D434)</f>
        <v/>
      </c>
      <c r="F434">
        <f>IF('01_Master_Data'!B434="","",'01_Master_Data'!E434)</f>
        <v/>
      </c>
      <c r="G434">
        <f>IF('01_Master_Data'!B434="","",IFERROR(VLOOKUP(TRIM('01_Master_Data'!E434&amp;""),'02_Configuration'!$A$40:$B$44,2,FALSE),UPPER(TRIM('01_Master_Data'!E434&amp;""))))</f>
        <v/>
      </c>
      <c r="H434">
        <f>IF('01_Master_Data'!B434="","",IF('01_Master_Data'!U434="","",TRIM('01_Master_Data'!U434&amp;"")))</f>
        <v/>
      </c>
      <c r="I434">
        <f>IF('01_Master_Data'!B434="","",TRIM('01_Master_Data'!F434&amp;""))</f>
        <v/>
      </c>
      <c r="J434">
        <f>IF('01_Master_Data'!B434="","",TRIM('01_Master_Data'!G434&amp;""))</f>
        <v/>
      </c>
      <c r="K434">
        <f>IF('01_Master_Data'!B434="","",'01_Master_Data'!H434)</f>
        <v/>
      </c>
      <c r="L434">
        <f>IF('01_Master_Data'!B434="","",IF(LOWER(TRIM('01_Master_Data'!V434&amp;""))="yes",1,0))</f>
        <v/>
      </c>
      <c r="M434">
        <f>IF('01_Master_Data'!B434="","",IF(LOWER(TRIM('01_Master_Data'!W434&amp;""))="yes",1,0))</f>
        <v/>
      </c>
      <c r="N434">
        <f>IF('01_Master_Data'!B434="","",IF(LOWER(TRIM('01_Master_Data'!X434&amp;""))="yes",1,0))</f>
        <v/>
      </c>
      <c r="O434">
        <f>IF('01_Master_Data'!B434="","",IF(LOWER(TRIM('01_Master_Data'!Y434&amp;""))="yes",1,0))</f>
        <v/>
      </c>
      <c r="P434">
        <f>IF('01_Master_Data'!B434="","",IF(LOWER(TRIM('01_Master_Data'!Z434&amp;""))="yes",1,0))</f>
        <v/>
      </c>
      <c r="Q434">
        <f>IF(A434="","",L434+M434+N434+O434+P434)</f>
        <v/>
      </c>
      <c r="R434">
        <f>IF(A434="","",IF(Q434&gt;1,"Yes","No"))</f>
        <v/>
      </c>
      <c r="S434">
        <f>IF(A434="","",TEXTJOIN(", ",TRUE,IF(L434=1,"ICICI",""),IF(M434=1,"Propelld",""),IF(N434=1,"Study4Buddy",""),IF(O434=1,"Poonawala Fincorp",""),IF(P434=1,"GyanDhan","")))</f>
        <v/>
      </c>
      <c r="T434">
        <f>IF(A434="","",IF(L434=1,"ICICI",IF(M434=1,"Propelld",IF(P434=1,"GyanDhan",IF(N434=1,"Study4Buddy",IF(O434=1,"Poonawala Fincorp",IF(ISNUMBER(SEARCH("GyanDhan",W434&amp;"")),"GyanDhan",IF(ISNUMBER(SEARCH("Icici",W434&amp;"")),"ICICI",IF(ISNUMBER(SEARCH("Propelld",W434&amp;"")),"Propelld",IF(ISNUMBER(SEARCH("vidyalakshmi",LOWER(W434&amp;"")),"PM Vidyalakshmi","—"))))))))))</f>
        <v/>
      </c>
      <c r="U434">
        <f>IF(A434="","",TRIM('01_Master_Data'!AA434&amp;""))</f>
        <v/>
      </c>
      <c r="V434">
        <f>IF(A434="","",TRIM('01_Master_Data'!AG434&amp;""))</f>
        <v/>
      </c>
      <c r="W434">
        <f>IF(A434="","",TRIM('01_Master_Data'!AH434&amp;""))</f>
        <v/>
      </c>
      <c r="X434">
        <f>IF(A434="","",IF(OR(LOWER(H434)="refund",LOWER(U434)="refund case"),"Refund",IF(OR(LOWER(H434)="dnp",LOWER(U434)="dnp"),"DNP",IF(OR(LOWER(V434)="disbursed",ISNUMBER(SEARCH("Disbursed",W434&amp;""))),"Disbursed",IF(OR(LOWER(V434)="loan proccessed/accepted",ISNUMBER(SEARCH("sanctioned",LOWER(W434&amp;"")))),"Sanctioned",IF(OR(LOWER(V434)="rejected",ISNUMBER(SEARCH("Not eligbile",W434&amp;"")),ISNUMBER(SEARCH("Not eligible",W434&amp;""))),"Rejected",IF(ISNUMBER(SEARCH("Docs Pending",W434&amp;"")),"Documents Pending",IF(AND(LOWER(H434)="yes",LOWER(V434)="ongoing"),"Processing",IF(AND(LOWER(H434)="yes",Q434&gt;0,OR(V434="",LOWER(V434)="not even started")),"Vendor Assigned",IF(AND(LOWER(H434)="yes",LOWER(V434)="not even started"),"Need Loan",IF(LOWER(H434)="yes","Loan Started",IF(LOWER(H434)="not sure","Interested",IF(OR(LOWER(H434)="no",LOWER(V434)="not required"),"Not Required","Unclassified")))))))))))))</f>
        <v/>
      </c>
      <c r="Y434">
        <f>IF(A434="","",IF(OR(X434="Sanctioned",X434="Disbursed",X434="Approved"),"Approved",IF(X434="Rejected","Rejected",IF(OR(X434="Processing",X434="Documents Pending",X434="Vendor Assigned"),"In Progress",IF(X434="Need Loan","Pending Start","—"))))</f>
        <v/>
      </c>
      <c r="Z434">
        <f>IF(A434="","",IF(X434="Disbursed","Disbursed",IF(X434="Sanctioned","Sanctioned - Awaiting Disbursement","Not Disbursed")))</f>
        <v/>
      </c>
      <c r="AA434">
        <f>IF(A434="","",IF(LOWER(TRIM('01_Master_Data'!AI434&amp;""))="yes","Need FLDG",IF(LOWER(TRIM('01_Master_Data'!AK434&amp;""))="yes","Need Vidyalakshmi",IF(LOWER(TRIM('01_Master_Data'!AJ434&amp;""))="yes","Need Review",IF(LOWER(J434)="critical","Critical",IF(LOWER(U434)="risk","Risk Case",IF(X434="Refund","Refund","Normal")))))))</f>
        <v/>
      </c>
      <c r="AB434">
        <f>IF(A434="","",IF(OR(LOWER(J434)="critical",LOWER(TRIM('01_Master_Data'!AI434&amp;""))="yes",LOWER(TRIM('01_Master_Data'!AK434&amp;""))="yes",LOWER(U434)="risk"),"Yes","No"))</f>
        <v/>
      </c>
      <c r="AC434">
        <f>IF(A434="","",IF(LOWER(TRIM('01_Master_Data'!AI434&amp;""))="yes","Yes","No"))</f>
        <v/>
      </c>
      <c r="AD434">
        <f>IF(A434="","",IF(LOWER(TRIM('01_Master_Data'!AK434&amp;""))="yes","Yes","No"))</f>
        <v/>
      </c>
      <c r="AE434">
        <f>IF(A434="","",IF(LOWER(TRIM('01_Master_Data'!AJ434&amp;""))="yes","Yes","No"))</f>
        <v/>
      </c>
      <c r="AF434">
        <f>IF(A434="","",TRIM('01_Master_Data'!AL434&amp;""))</f>
        <v/>
      </c>
      <c r="AG434">
        <f>IF(A434="","",IF(AF434="","—",IF(ISNUMBER(SEARCH("DNP",AF434)),"Unreachable / DNP",IF(ISNUMBER(SEARCH("interest",LOWER(AF434))),"High Interest / Terms",IF(OR(ISNUMBER(SEARCH("eligib",LOWER(AF434))),ISNUMBER(SEARCH("income",LOWER(AF434)))),"Eligibility / Income",IF(OR(ISNUMBER(SEARCH("start",LOWER(AF434))),ISNUMBER(SEARCH("Newer",AF434)),ISNUMBER(SEARCH("Will start",AF434))),"Process Yet to Start",IF(ISNUMBER(SEARCH("sure",LOWER(AF434))),"Undecided",IF(OR(ISNUMBER(SEARCH("reject",LOWER(AF434))),ISNUMBER(SEARCH("SBI",AF434))),"Rejected Elsewhere",IF(ISNUMBER(SEARCH("call",LOWER(AF434))),"Bank Communication",IF(OR(ISNUMBER(SEARCH("father",LOWER(AF434))),ISNUMBER(SEARCH("sister",LOWER(AF434)))),"Family / Dependency","Other"))))))))))</f>
        <v/>
      </c>
      <c r="AH434">
        <f>IF(A434="","",'01_Master_Data'!AC434)</f>
        <v/>
      </c>
      <c r="AI434">
        <f>IF(A434="","",IF(OR(AH434="",NOT(ISNUMBER(AH434))),"",MAX(0,'02_Configuration'!$B$82-AH434)))</f>
        <v/>
      </c>
      <c r="AJ434">
        <f>IF(A434="","",IF(AI434="","Unknown",IF(AI434&lt;=3,"0–3 Days",IF(AI434&lt;=7,"4–7 Days",IF(AI434&lt;=15,"8–15 Days",IF(AI434&lt;=30,"16–30 Days","30+ Days"))))))</f>
        <v/>
      </c>
      <c r="AK434">
        <f>IF(A434="","",IF(LOWER(H434)="yes","Yes","No"))</f>
        <v/>
      </c>
      <c r="AL434">
        <f>IF(A434="","",'01_Master_Data'!T434)</f>
        <v/>
      </c>
      <c r="AM434">
        <f>IF(A434="","",'01_Master_Data'!S434)</f>
        <v/>
      </c>
      <c r="AN434">
        <f>IF(A434="","",'01_Master_Data'!I434)</f>
        <v/>
      </c>
      <c r="AO434">
        <f>IF(A434="","",'01_Master_Data'!M434)</f>
        <v/>
      </c>
      <c r="AP434">
        <f>IF(A434="","",IF(ISNUMBER(SEARCH("Icici",W434&amp;"")),1,0))</f>
        <v/>
      </c>
      <c r="AQ434">
        <f>IF(A434="","",IF(ISNUMBER(SEARCH("Propelld",W434&amp;"")),1,0))</f>
        <v/>
      </c>
      <c r="AR434">
        <f>IF(A434="","",IF(ISNUMBER(SEARCH("GyanDhan",W434&amp;"")),1,0))</f>
        <v/>
      </c>
      <c r="AS434">
        <f>IF(A434="","",IF(ISNUMBER(SEARCH("vidyalakshmi",LOWER(W434&amp;""))),1,0))</f>
        <v/>
      </c>
      <c r="AT434">
        <f>IF(A434="","",IF(ISNUMBER(SEARCH("other bank",LOWER(W434&amp;""))),1,0))</f>
        <v/>
      </c>
      <c r="AU434">
        <f>IF(A434="","",IF(ISNUMBER(SEARCH("sanctioned",LOWER(W434&amp;""))),1,0))</f>
        <v/>
      </c>
      <c r="AV434">
        <f>IF(A434="","",IF(ISNUMBER(SEARCH("Docs Pending",W434&amp;"")),1,0))</f>
        <v/>
      </c>
      <c r="AW434">
        <f>IF(A434="","",IF(OR(X434="Rejected",ISNUMBER(SEARCH("Not eligbile",W434&amp;""))),1,0))</f>
        <v/>
      </c>
    </row>
    <row r="435">
      <c r="A435">
        <f>IF('01_Master_Data'!B435="","",434)</f>
        <v/>
      </c>
      <c r="B435">
        <f>IF('01_Master_Data'!B435="","",IF('01_Master_Data'!C435&lt;&gt;"","MOB|"&amp;TEXT('01_Master_Data'!C435,"0"),IF('01_Master_Data'!D435&lt;&gt;"","PID|"&amp;TRIM('01_Master_Data'!D435&amp;""),"")))</f>
        <v/>
      </c>
      <c r="C435">
        <f>IF('01_Master_Data'!B435="","",'01_Master_Data'!B435)</f>
        <v/>
      </c>
      <c r="D435">
        <f>IF('01_Master_Data'!B435="","",'01_Master_Data'!C435)</f>
        <v/>
      </c>
      <c r="E435">
        <f>IF('01_Master_Data'!B435="","",'01_Master_Data'!D435)</f>
        <v/>
      </c>
      <c r="F435">
        <f>IF('01_Master_Data'!B435="","",'01_Master_Data'!E435)</f>
        <v/>
      </c>
      <c r="G435">
        <f>IF('01_Master_Data'!B435="","",IFERROR(VLOOKUP(TRIM('01_Master_Data'!E435&amp;""),'02_Configuration'!$A$40:$B$44,2,FALSE),UPPER(TRIM('01_Master_Data'!E435&amp;""))))</f>
        <v/>
      </c>
      <c r="H435">
        <f>IF('01_Master_Data'!B435="","",IF('01_Master_Data'!U435="","",TRIM('01_Master_Data'!U435&amp;"")))</f>
        <v/>
      </c>
      <c r="I435">
        <f>IF('01_Master_Data'!B435="","",TRIM('01_Master_Data'!F435&amp;""))</f>
        <v/>
      </c>
      <c r="J435">
        <f>IF('01_Master_Data'!B435="","",TRIM('01_Master_Data'!G435&amp;""))</f>
        <v/>
      </c>
      <c r="K435">
        <f>IF('01_Master_Data'!B435="","",'01_Master_Data'!H435)</f>
        <v/>
      </c>
      <c r="L435">
        <f>IF('01_Master_Data'!B435="","",IF(LOWER(TRIM('01_Master_Data'!V435&amp;""))="yes",1,0))</f>
        <v/>
      </c>
      <c r="M435">
        <f>IF('01_Master_Data'!B435="","",IF(LOWER(TRIM('01_Master_Data'!W435&amp;""))="yes",1,0))</f>
        <v/>
      </c>
      <c r="N435">
        <f>IF('01_Master_Data'!B435="","",IF(LOWER(TRIM('01_Master_Data'!X435&amp;""))="yes",1,0))</f>
        <v/>
      </c>
      <c r="O435">
        <f>IF('01_Master_Data'!B435="","",IF(LOWER(TRIM('01_Master_Data'!Y435&amp;""))="yes",1,0))</f>
        <v/>
      </c>
      <c r="P435">
        <f>IF('01_Master_Data'!B435="","",IF(LOWER(TRIM('01_Master_Data'!Z435&amp;""))="yes",1,0))</f>
        <v/>
      </c>
      <c r="Q435">
        <f>IF(A435="","",L435+M435+N435+O435+P435)</f>
        <v/>
      </c>
      <c r="R435">
        <f>IF(A435="","",IF(Q435&gt;1,"Yes","No"))</f>
        <v/>
      </c>
      <c r="S435">
        <f>IF(A435="","",TEXTJOIN(", ",TRUE,IF(L435=1,"ICICI",""),IF(M435=1,"Propelld",""),IF(N435=1,"Study4Buddy",""),IF(O435=1,"Poonawala Fincorp",""),IF(P435=1,"GyanDhan","")))</f>
        <v/>
      </c>
      <c r="T435">
        <f>IF(A435="","",IF(L435=1,"ICICI",IF(M435=1,"Propelld",IF(P435=1,"GyanDhan",IF(N435=1,"Study4Buddy",IF(O435=1,"Poonawala Fincorp",IF(ISNUMBER(SEARCH("GyanDhan",W435&amp;"")),"GyanDhan",IF(ISNUMBER(SEARCH("Icici",W435&amp;"")),"ICICI",IF(ISNUMBER(SEARCH("Propelld",W435&amp;"")),"Propelld",IF(ISNUMBER(SEARCH("vidyalakshmi",LOWER(W435&amp;"")),"PM Vidyalakshmi","—"))))))))))</f>
        <v/>
      </c>
      <c r="U435">
        <f>IF(A435="","",TRIM('01_Master_Data'!AA435&amp;""))</f>
        <v/>
      </c>
      <c r="V435">
        <f>IF(A435="","",TRIM('01_Master_Data'!AG435&amp;""))</f>
        <v/>
      </c>
      <c r="W435">
        <f>IF(A435="","",TRIM('01_Master_Data'!AH435&amp;""))</f>
        <v/>
      </c>
      <c r="X435">
        <f>IF(A435="","",IF(OR(LOWER(H435)="refund",LOWER(U435)="refund case"),"Refund",IF(OR(LOWER(H435)="dnp",LOWER(U435)="dnp"),"DNP",IF(OR(LOWER(V435)="disbursed",ISNUMBER(SEARCH("Disbursed",W435&amp;""))),"Disbursed",IF(OR(LOWER(V435)="loan proccessed/accepted",ISNUMBER(SEARCH("sanctioned",LOWER(W435&amp;"")))),"Sanctioned",IF(OR(LOWER(V435)="rejected",ISNUMBER(SEARCH("Not eligbile",W435&amp;"")),ISNUMBER(SEARCH("Not eligible",W435&amp;""))),"Rejected",IF(ISNUMBER(SEARCH("Docs Pending",W435&amp;"")),"Documents Pending",IF(AND(LOWER(H435)="yes",LOWER(V435)="ongoing"),"Processing",IF(AND(LOWER(H435)="yes",Q435&gt;0,OR(V435="",LOWER(V435)="not even started")),"Vendor Assigned",IF(AND(LOWER(H435)="yes",LOWER(V435)="not even started"),"Need Loan",IF(LOWER(H435)="yes","Loan Started",IF(LOWER(H435)="not sure","Interested",IF(OR(LOWER(H435)="no",LOWER(V435)="not required"),"Not Required","Unclassified")))))))))))))</f>
        <v/>
      </c>
      <c r="Y435">
        <f>IF(A435="","",IF(OR(X435="Sanctioned",X435="Disbursed",X435="Approved"),"Approved",IF(X435="Rejected","Rejected",IF(OR(X435="Processing",X435="Documents Pending",X435="Vendor Assigned"),"In Progress",IF(X435="Need Loan","Pending Start","—"))))</f>
        <v/>
      </c>
      <c r="Z435">
        <f>IF(A435="","",IF(X435="Disbursed","Disbursed",IF(X435="Sanctioned","Sanctioned - Awaiting Disbursement","Not Disbursed")))</f>
        <v/>
      </c>
      <c r="AA435">
        <f>IF(A435="","",IF(LOWER(TRIM('01_Master_Data'!AI435&amp;""))="yes","Need FLDG",IF(LOWER(TRIM('01_Master_Data'!AK435&amp;""))="yes","Need Vidyalakshmi",IF(LOWER(TRIM('01_Master_Data'!AJ435&amp;""))="yes","Need Review",IF(LOWER(J435)="critical","Critical",IF(LOWER(U435)="risk","Risk Case",IF(X435="Refund","Refund","Normal")))))))</f>
        <v/>
      </c>
      <c r="AB435">
        <f>IF(A435="","",IF(OR(LOWER(J435)="critical",LOWER(TRIM('01_Master_Data'!AI435&amp;""))="yes",LOWER(TRIM('01_Master_Data'!AK435&amp;""))="yes",LOWER(U435)="risk"),"Yes","No"))</f>
        <v/>
      </c>
      <c r="AC435">
        <f>IF(A435="","",IF(LOWER(TRIM('01_Master_Data'!AI435&amp;""))="yes","Yes","No"))</f>
        <v/>
      </c>
      <c r="AD435">
        <f>IF(A435="","",IF(LOWER(TRIM('01_Master_Data'!AK435&amp;""))="yes","Yes","No"))</f>
        <v/>
      </c>
      <c r="AE435">
        <f>IF(A435="","",IF(LOWER(TRIM('01_Master_Data'!AJ435&amp;""))="yes","Yes","No"))</f>
        <v/>
      </c>
      <c r="AF435">
        <f>IF(A435="","",TRIM('01_Master_Data'!AL435&amp;""))</f>
        <v/>
      </c>
      <c r="AG435">
        <f>IF(A435="","",IF(AF435="","—",IF(ISNUMBER(SEARCH("DNP",AF435)),"Unreachable / DNP",IF(ISNUMBER(SEARCH("interest",LOWER(AF435))),"High Interest / Terms",IF(OR(ISNUMBER(SEARCH("eligib",LOWER(AF435))),ISNUMBER(SEARCH("income",LOWER(AF435)))),"Eligibility / Income",IF(OR(ISNUMBER(SEARCH("start",LOWER(AF435))),ISNUMBER(SEARCH("Newer",AF435)),ISNUMBER(SEARCH("Will start",AF435))),"Process Yet to Start",IF(ISNUMBER(SEARCH("sure",LOWER(AF435))),"Undecided",IF(OR(ISNUMBER(SEARCH("reject",LOWER(AF435))),ISNUMBER(SEARCH("SBI",AF435))),"Rejected Elsewhere",IF(ISNUMBER(SEARCH("call",LOWER(AF435))),"Bank Communication",IF(OR(ISNUMBER(SEARCH("father",LOWER(AF435))),ISNUMBER(SEARCH("sister",LOWER(AF435)))),"Family / Dependency","Other"))))))))))</f>
        <v/>
      </c>
      <c r="AH435">
        <f>IF(A435="","",'01_Master_Data'!AC435)</f>
        <v/>
      </c>
      <c r="AI435">
        <f>IF(A435="","",IF(OR(AH435="",NOT(ISNUMBER(AH435))),"",MAX(0,'02_Configuration'!$B$82-AH435)))</f>
        <v/>
      </c>
      <c r="AJ435">
        <f>IF(A435="","",IF(AI435="","Unknown",IF(AI435&lt;=3,"0–3 Days",IF(AI435&lt;=7,"4–7 Days",IF(AI435&lt;=15,"8–15 Days",IF(AI435&lt;=30,"16–30 Days","30+ Days"))))))</f>
        <v/>
      </c>
      <c r="AK435">
        <f>IF(A435="","",IF(LOWER(H435)="yes","Yes","No"))</f>
        <v/>
      </c>
      <c r="AL435">
        <f>IF(A435="","",'01_Master_Data'!T435)</f>
        <v/>
      </c>
      <c r="AM435">
        <f>IF(A435="","",'01_Master_Data'!S435)</f>
        <v/>
      </c>
      <c r="AN435">
        <f>IF(A435="","",'01_Master_Data'!I435)</f>
        <v/>
      </c>
      <c r="AO435">
        <f>IF(A435="","",'01_Master_Data'!M435)</f>
        <v/>
      </c>
      <c r="AP435">
        <f>IF(A435="","",IF(ISNUMBER(SEARCH("Icici",W435&amp;"")),1,0))</f>
        <v/>
      </c>
      <c r="AQ435">
        <f>IF(A435="","",IF(ISNUMBER(SEARCH("Propelld",W435&amp;"")),1,0))</f>
        <v/>
      </c>
      <c r="AR435">
        <f>IF(A435="","",IF(ISNUMBER(SEARCH("GyanDhan",W435&amp;"")),1,0))</f>
        <v/>
      </c>
      <c r="AS435">
        <f>IF(A435="","",IF(ISNUMBER(SEARCH("vidyalakshmi",LOWER(W435&amp;""))),1,0))</f>
        <v/>
      </c>
      <c r="AT435">
        <f>IF(A435="","",IF(ISNUMBER(SEARCH("other bank",LOWER(W435&amp;""))),1,0))</f>
        <v/>
      </c>
      <c r="AU435">
        <f>IF(A435="","",IF(ISNUMBER(SEARCH("sanctioned",LOWER(W435&amp;""))),1,0))</f>
        <v/>
      </c>
      <c r="AV435">
        <f>IF(A435="","",IF(ISNUMBER(SEARCH("Docs Pending",W435&amp;"")),1,0))</f>
        <v/>
      </c>
      <c r="AW435">
        <f>IF(A435="","",IF(OR(X435="Rejected",ISNUMBER(SEARCH("Not eligbile",W435&amp;""))),1,0))</f>
        <v/>
      </c>
    </row>
    <row r="436">
      <c r="A436">
        <f>IF('01_Master_Data'!B436="","",435)</f>
        <v/>
      </c>
      <c r="B436">
        <f>IF('01_Master_Data'!B436="","",IF('01_Master_Data'!C436&lt;&gt;"","MOB|"&amp;TEXT('01_Master_Data'!C436,"0"),IF('01_Master_Data'!D436&lt;&gt;"","PID|"&amp;TRIM('01_Master_Data'!D436&amp;""),"")))</f>
        <v/>
      </c>
      <c r="C436">
        <f>IF('01_Master_Data'!B436="","",'01_Master_Data'!B436)</f>
        <v/>
      </c>
      <c r="D436">
        <f>IF('01_Master_Data'!B436="","",'01_Master_Data'!C436)</f>
        <v/>
      </c>
      <c r="E436">
        <f>IF('01_Master_Data'!B436="","",'01_Master_Data'!D436)</f>
        <v/>
      </c>
      <c r="F436">
        <f>IF('01_Master_Data'!B436="","",'01_Master_Data'!E436)</f>
        <v/>
      </c>
      <c r="G436">
        <f>IF('01_Master_Data'!B436="","",IFERROR(VLOOKUP(TRIM('01_Master_Data'!E436&amp;""),'02_Configuration'!$A$40:$B$44,2,FALSE),UPPER(TRIM('01_Master_Data'!E436&amp;""))))</f>
        <v/>
      </c>
      <c r="H436">
        <f>IF('01_Master_Data'!B436="","",IF('01_Master_Data'!U436="","",TRIM('01_Master_Data'!U436&amp;"")))</f>
        <v/>
      </c>
      <c r="I436">
        <f>IF('01_Master_Data'!B436="","",TRIM('01_Master_Data'!F436&amp;""))</f>
        <v/>
      </c>
      <c r="J436">
        <f>IF('01_Master_Data'!B436="","",TRIM('01_Master_Data'!G436&amp;""))</f>
        <v/>
      </c>
      <c r="K436">
        <f>IF('01_Master_Data'!B436="","",'01_Master_Data'!H436)</f>
        <v/>
      </c>
      <c r="L436">
        <f>IF('01_Master_Data'!B436="","",IF(LOWER(TRIM('01_Master_Data'!V436&amp;""))="yes",1,0))</f>
        <v/>
      </c>
      <c r="M436">
        <f>IF('01_Master_Data'!B436="","",IF(LOWER(TRIM('01_Master_Data'!W436&amp;""))="yes",1,0))</f>
        <v/>
      </c>
      <c r="N436">
        <f>IF('01_Master_Data'!B436="","",IF(LOWER(TRIM('01_Master_Data'!X436&amp;""))="yes",1,0))</f>
        <v/>
      </c>
      <c r="O436">
        <f>IF('01_Master_Data'!B436="","",IF(LOWER(TRIM('01_Master_Data'!Y436&amp;""))="yes",1,0))</f>
        <v/>
      </c>
      <c r="P436">
        <f>IF('01_Master_Data'!B436="","",IF(LOWER(TRIM('01_Master_Data'!Z436&amp;""))="yes",1,0))</f>
        <v/>
      </c>
      <c r="Q436">
        <f>IF(A436="","",L436+M436+N436+O436+P436)</f>
        <v/>
      </c>
      <c r="R436">
        <f>IF(A436="","",IF(Q436&gt;1,"Yes","No"))</f>
        <v/>
      </c>
      <c r="S436">
        <f>IF(A436="","",TEXTJOIN(", ",TRUE,IF(L436=1,"ICICI",""),IF(M436=1,"Propelld",""),IF(N436=1,"Study4Buddy",""),IF(O436=1,"Poonawala Fincorp",""),IF(P436=1,"GyanDhan","")))</f>
        <v/>
      </c>
      <c r="T436">
        <f>IF(A436="","",IF(L436=1,"ICICI",IF(M436=1,"Propelld",IF(P436=1,"GyanDhan",IF(N436=1,"Study4Buddy",IF(O436=1,"Poonawala Fincorp",IF(ISNUMBER(SEARCH("GyanDhan",W436&amp;"")),"GyanDhan",IF(ISNUMBER(SEARCH("Icici",W436&amp;"")),"ICICI",IF(ISNUMBER(SEARCH("Propelld",W436&amp;"")),"Propelld",IF(ISNUMBER(SEARCH("vidyalakshmi",LOWER(W436&amp;"")),"PM Vidyalakshmi","—"))))))))))</f>
        <v/>
      </c>
      <c r="U436">
        <f>IF(A436="","",TRIM('01_Master_Data'!AA436&amp;""))</f>
        <v/>
      </c>
      <c r="V436">
        <f>IF(A436="","",TRIM('01_Master_Data'!AG436&amp;""))</f>
        <v/>
      </c>
      <c r="W436">
        <f>IF(A436="","",TRIM('01_Master_Data'!AH436&amp;""))</f>
        <v/>
      </c>
      <c r="X436">
        <f>IF(A436="","",IF(OR(LOWER(H436)="refund",LOWER(U436)="refund case"),"Refund",IF(OR(LOWER(H436)="dnp",LOWER(U436)="dnp"),"DNP",IF(OR(LOWER(V436)="disbursed",ISNUMBER(SEARCH("Disbursed",W436&amp;""))),"Disbursed",IF(OR(LOWER(V436)="loan proccessed/accepted",ISNUMBER(SEARCH("sanctioned",LOWER(W436&amp;"")))),"Sanctioned",IF(OR(LOWER(V436)="rejected",ISNUMBER(SEARCH("Not eligbile",W436&amp;"")),ISNUMBER(SEARCH("Not eligible",W436&amp;""))),"Rejected",IF(ISNUMBER(SEARCH("Docs Pending",W436&amp;"")),"Documents Pending",IF(AND(LOWER(H436)="yes",LOWER(V436)="ongoing"),"Processing",IF(AND(LOWER(H436)="yes",Q436&gt;0,OR(V436="",LOWER(V436)="not even started")),"Vendor Assigned",IF(AND(LOWER(H436)="yes",LOWER(V436)="not even started"),"Need Loan",IF(LOWER(H436)="yes","Loan Started",IF(LOWER(H436)="not sure","Interested",IF(OR(LOWER(H436)="no",LOWER(V436)="not required"),"Not Required","Unclassified")))))))))))))</f>
        <v/>
      </c>
      <c r="Y436">
        <f>IF(A436="","",IF(OR(X436="Sanctioned",X436="Disbursed",X436="Approved"),"Approved",IF(X436="Rejected","Rejected",IF(OR(X436="Processing",X436="Documents Pending",X436="Vendor Assigned"),"In Progress",IF(X436="Need Loan","Pending Start","—"))))</f>
        <v/>
      </c>
      <c r="Z436">
        <f>IF(A436="","",IF(X436="Disbursed","Disbursed",IF(X436="Sanctioned","Sanctioned - Awaiting Disbursement","Not Disbursed")))</f>
        <v/>
      </c>
      <c r="AA436">
        <f>IF(A436="","",IF(LOWER(TRIM('01_Master_Data'!AI436&amp;""))="yes","Need FLDG",IF(LOWER(TRIM('01_Master_Data'!AK436&amp;""))="yes","Need Vidyalakshmi",IF(LOWER(TRIM('01_Master_Data'!AJ436&amp;""))="yes","Need Review",IF(LOWER(J436)="critical","Critical",IF(LOWER(U436)="risk","Risk Case",IF(X436="Refund","Refund","Normal")))))))</f>
        <v/>
      </c>
      <c r="AB436">
        <f>IF(A436="","",IF(OR(LOWER(J436)="critical",LOWER(TRIM('01_Master_Data'!AI436&amp;""))="yes",LOWER(TRIM('01_Master_Data'!AK436&amp;""))="yes",LOWER(U436)="risk"),"Yes","No"))</f>
        <v/>
      </c>
      <c r="AC436">
        <f>IF(A436="","",IF(LOWER(TRIM('01_Master_Data'!AI436&amp;""))="yes","Yes","No"))</f>
        <v/>
      </c>
      <c r="AD436">
        <f>IF(A436="","",IF(LOWER(TRIM('01_Master_Data'!AK436&amp;""))="yes","Yes","No"))</f>
        <v/>
      </c>
      <c r="AE436">
        <f>IF(A436="","",IF(LOWER(TRIM('01_Master_Data'!AJ436&amp;""))="yes","Yes","No"))</f>
        <v/>
      </c>
      <c r="AF436">
        <f>IF(A436="","",TRIM('01_Master_Data'!AL436&amp;""))</f>
        <v/>
      </c>
      <c r="AG436">
        <f>IF(A436="","",IF(AF436="","—",IF(ISNUMBER(SEARCH("DNP",AF436)),"Unreachable / DNP",IF(ISNUMBER(SEARCH("interest",LOWER(AF436))),"High Interest / Terms",IF(OR(ISNUMBER(SEARCH("eligib",LOWER(AF436))),ISNUMBER(SEARCH("income",LOWER(AF436)))),"Eligibility / Income",IF(OR(ISNUMBER(SEARCH("start",LOWER(AF436))),ISNUMBER(SEARCH("Newer",AF436)),ISNUMBER(SEARCH("Will start",AF436))),"Process Yet to Start",IF(ISNUMBER(SEARCH("sure",LOWER(AF436))),"Undecided",IF(OR(ISNUMBER(SEARCH("reject",LOWER(AF436))),ISNUMBER(SEARCH("SBI",AF436))),"Rejected Elsewhere",IF(ISNUMBER(SEARCH("call",LOWER(AF436))),"Bank Communication",IF(OR(ISNUMBER(SEARCH("father",LOWER(AF436))),ISNUMBER(SEARCH("sister",LOWER(AF436)))),"Family / Dependency","Other"))))))))))</f>
        <v/>
      </c>
      <c r="AH436">
        <f>IF(A436="","",'01_Master_Data'!AC436)</f>
        <v/>
      </c>
      <c r="AI436">
        <f>IF(A436="","",IF(OR(AH436="",NOT(ISNUMBER(AH436))),"",MAX(0,'02_Configuration'!$B$82-AH436)))</f>
        <v/>
      </c>
      <c r="AJ436">
        <f>IF(A436="","",IF(AI436="","Unknown",IF(AI436&lt;=3,"0–3 Days",IF(AI436&lt;=7,"4–7 Days",IF(AI436&lt;=15,"8–15 Days",IF(AI436&lt;=30,"16–30 Days","30+ Days"))))))</f>
        <v/>
      </c>
      <c r="AK436">
        <f>IF(A436="","",IF(LOWER(H436)="yes","Yes","No"))</f>
        <v/>
      </c>
      <c r="AL436">
        <f>IF(A436="","",'01_Master_Data'!T436)</f>
        <v/>
      </c>
      <c r="AM436">
        <f>IF(A436="","",'01_Master_Data'!S436)</f>
        <v/>
      </c>
      <c r="AN436">
        <f>IF(A436="","",'01_Master_Data'!I436)</f>
        <v/>
      </c>
      <c r="AO436">
        <f>IF(A436="","",'01_Master_Data'!M436)</f>
        <v/>
      </c>
      <c r="AP436">
        <f>IF(A436="","",IF(ISNUMBER(SEARCH("Icici",W436&amp;"")),1,0))</f>
        <v/>
      </c>
      <c r="AQ436">
        <f>IF(A436="","",IF(ISNUMBER(SEARCH("Propelld",W436&amp;"")),1,0))</f>
        <v/>
      </c>
      <c r="AR436">
        <f>IF(A436="","",IF(ISNUMBER(SEARCH("GyanDhan",W436&amp;"")),1,0))</f>
        <v/>
      </c>
      <c r="AS436">
        <f>IF(A436="","",IF(ISNUMBER(SEARCH("vidyalakshmi",LOWER(W436&amp;""))),1,0))</f>
        <v/>
      </c>
      <c r="AT436">
        <f>IF(A436="","",IF(ISNUMBER(SEARCH("other bank",LOWER(W436&amp;""))),1,0))</f>
        <v/>
      </c>
      <c r="AU436">
        <f>IF(A436="","",IF(ISNUMBER(SEARCH("sanctioned",LOWER(W436&amp;""))),1,0))</f>
        <v/>
      </c>
      <c r="AV436">
        <f>IF(A436="","",IF(ISNUMBER(SEARCH("Docs Pending",W436&amp;"")),1,0))</f>
        <v/>
      </c>
      <c r="AW436">
        <f>IF(A436="","",IF(OR(X436="Rejected",ISNUMBER(SEARCH("Not eligbile",W436&amp;""))),1,0))</f>
        <v/>
      </c>
    </row>
    <row r="437">
      <c r="A437">
        <f>IF('01_Master_Data'!B437="","",436)</f>
        <v/>
      </c>
      <c r="B437">
        <f>IF('01_Master_Data'!B437="","",IF('01_Master_Data'!C437&lt;&gt;"","MOB|"&amp;TEXT('01_Master_Data'!C437,"0"),IF('01_Master_Data'!D437&lt;&gt;"","PID|"&amp;TRIM('01_Master_Data'!D437&amp;""),"")))</f>
        <v/>
      </c>
      <c r="C437">
        <f>IF('01_Master_Data'!B437="","",'01_Master_Data'!B437)</f>
        <v/>
      </c>
      <c r="D437">
        <f>IF('01_Master_Data'!B437="","",'01_Master_Data'!C437)</f>
        <v/>
      </c>
      <c r="E437">
        <f>IF('01_Master_Data'!B437="","",'01_Master_Data'!D437)</f>
        <v/>
      </c>
      <c r="F437">
        <f>IF('01_Master_Data'!B437="","",'01_Master_Data'!E437)</f>
        <v/>
      </c>
      <c r="G437">
        <f>IF('01_Master_Data'!B437="","",IFERROR(VLOOKUP(TRIM('01_Master_Data'!E437&amp;""),'02_Configuration'!$A$40:$B$44,2,FALSE),UPPER(TRIM('01_Master_Data'!E437&amp;""))))</f>
        <v/>
      </c>
      <c r="H437">
        <f>IF('01_Master_Data'!B437="","",IF('01_Master_Data'!U437="","",TRIM('01_Master_Data'!U437&amp;"")))</f>
        <v/>
      </c>
      <c r="I437">
        <f>IF('01_Master_Data'!B437="","",TRIM('01_Master_Data'!F437&amp;""))</f>
        <v/>
      </c>
      <c r="J437">
        <f>IF('01_Master_Data'!B437="","",TRIM('01_Master_Data'!G437&amp;""))</f>
        <v/>
      </c>
      <c r="K437">
        <f>IF('01_Master_Data'!B437="","",'01_Master_Data'!H437)</f>
        <v/>
      </c>
      <c r="L437">
        <f>IF('01_Master_Data'!B437="","",IF(LOWER(TRIM('01_Master_Data'!V437&amp;""))="yes",1,0))</f>
        <v/>
      </c>
      <c r="M437">
        <f>IF('01_Master_Data'!B437="","",IF(LOWER(TRIM('01_Master_Data'!W437&amp;""))="yes",1,0))</f>
        <v/>
      </c>
      <c r="N437">
        <f>IF('01_Master_Data'!B437="","",IF(LOWER(TRIM('01_Master_Data'!X437&amp;""))="yes",1,0))</f>
        <v/>
      </c>
      <c r="O437">
        <f>IF('01_Master_Data'!B437="","",IF(LOWER(TRIM('01_Master_Data'!Y437&amp;""))="yes",1,0))</f>
        <v/>
      </c>
      <c r="P437">
        <f>IF('01_Master_Data'!B437="","",IF(LOWER(TRIM('01_Master_Data'!Z437&amp;""))="yes",1,0))</f>
        <v/>
      </c>
      <c r="Q437">
        <f>IF(A437="","",L437+M437+N437+O437+P437)</f>
        <v/>
      </c>
      <c r="R437">
        <f>IF(A437="","",IF(Q437&gt;1,"Yes","No"))</f>
        <v/>
      </c>
      <c r="S437">
        <f>IF(A437="","",TEXTJOIN(", ",TRUE,IF(L437=1,"ICICI",""),IF(M437=1,"Propelld",""),IF(N437=1,"Study4Buddy",""),IF(O437=1,"Poonawala Fincorp",""),IF(P437=1,"GyanDhan","")))</f>
        <v/>
      </c>
      <c r="T437">
        <f>IF(A437="","",IF(L437=1,"ICICI",IF(M437=1,"Propelld",IF(P437=1,"GyanDhan",IF(N437=1,"Study4Buddy",IF(O437=1,"Poonawala Fincorp",IF(ISNUMBER(SEARCH("GyanDhan",W437&amp;"")),"GyanDhan",IF(ISNUMBER(SEARCH("Icici",W437&amp;"")),"ICICI",IF(ISNUMBER(SEARCH("Propelld",W437&amp;"")),"Propelld",IF(ISNUMBER(SEARCH("vidyalakshmi",LOWER(W437&amp;"")),"PM Vidyalakshmi","—"))))))))))</f>
        <v/>
      </c>
      <c r="U437">
        <f>IF(A437="","",TRIM('01_Master_Data'!AA437&amp;""))</f>
        <v/>
      </c>
      <c r="V437">
        <f>IF(A437="","",TRIM('01_Master_Data'!AG437&amp;""))</f>
        <v/>
      </c>
      <c r="W437">
        <f>IF(A437="","",TRIM('01_Master_Data'!AH437&amp;""))</f>
        <v/>
      </c>
      <c r="X437">
        <f>IF(A437="","",IF(OR(LOWER(H437)="refund",LOWER(U437)="refund case"),"Refund",IF(OR(LOWER(H437)="dnp",LOWER(U437)="dnp"),"DNP",IF(OR(LOWER(V437)="disbursed",ISNUMBER(SEARCH("Disbursed",W437&amp;""))),"Disbursed",IF(OR(LOWER(V437)="loan proccessed/accepted",ISNUMBER(SEARCH("sanctioned",LOWER(W437&amp;"")))),"Sanctioned",IF(OR(LOWER(V437)="rejected",ISNUMBER(SEARCH("Not eligbile",W437&amp;"")),ISNUMBER(SEARCH("Not eligible",W437&amp;""))),"Rejected",IF(ISNUMBER(SEARCH("Docs Pending",W437&amp;"")),"Documents Pending",IF(AND(LOWER(H437)="yes",LOWER(V437)="ongoing"),"Processing",IF(AND(LOWER(H437)="yes",Q437&gt;0,OR(V437="",LOWER(V437)="not even started")),"Vendor Assigned",IF(AND(LOWER(H437)="yes",LOWER(V437)="not even started"),"Need Loan",IF(LOWER(H437)="yes","Loan Started",IF(LOWER(H437)="not sure","Interested",IF(OR(LOWER(H437)="no",LOWER(V437)="not required"),"Not Required","Unclassified")))))))))))))</f>
        <v/>
      </c>
      <c r="Y437">
        <f>IF(A437="","",IF(OR(X437="Sanctioned",X437="Disbursed",X437="Approved"),"Approved",IF(X437="Rejected","Rejected",IF(OR(X437="Processing",X437="Documents Pending",X437="Vendor Assigned"),"In Progress",IF(X437="Need Loan","Pending Start","—"))))</f>
        <v/>
      </c>
      <c r="Z437">
        <f>IF(A437="","",IF(X437="Disbursed","Disbursed",IF(X437="Sanctioned","Sanctioned - Awaiting Disbursement","Not Disbursed")))</f>
        <v/>
      </c>
      <c r="AA437">
        <f>IF(A437="","",IF(LOWER(TRIM('01_Master_Data'!AI437&amp;""))="yes","Need FLDG",IF(LOWER(TRIM('01_Master_Data'!AK437&amp;""))="yes","Need Vidyalakshmi",IF(LOWER(TRIM('01_Master_Data'!AJ437&amp;""))="yes","Need Review",IF(LOWER(J437)="critical","Critical",IF(LOWER(U437)="risk","Risk Case",IF(X437="Refund","Refund","Normal")))))))</f>
        <v/>
      </c>
      <c r="AB437">
        <f>IF(A437="","",IF(OR(LOWER(J437)="critical",LOWER(TRIM('01_Master_Data'!AI437&amp;""))="yes",LOWER(TRIM('01_Master_Data'!AK437&amp;""))="yes",LOWER(U437)="risk"),"Yes","No"))</f>
        <v/>
      </c>
      <c r="AC437">
        <f>IF(A437="","",IF(LOWER(TRIM('01_Master_Data'!AI437&amp;""))="yes","Yes","No"))</f>
        <v/>
      </c>
      <c r="AD437">
        <f>IF(A437="","",IF(LOWER(TRIM('01_Master_Data'!AK437&amp;""))="yes","Yes","No"))</f>
        <v/>
      </c>
      <c r="AE437">
        <f>IF(A437="","",IF(LOWER(TRIM('01_Master_Data'!AJ437&amp;""))="yes","Yes","No"))</f>
        <v/>
      </c>
      <c r="AF437">
        <f>IF(A437="","",TRIM('01_Master_Data'!AL437&amp;""))</f>
        <v/>
      </c>
      <c r="AG437">
        <f>IF(A437="","",IF(AF437="","—",IF(ISNUMBER(SEARCH("DNP",AF437)),"Unreachable / DNP",IF(ISNUMBER(SEARCH("interest",LOWER(AF437))),"High Interest / Terms",IF(OR(ISNUMBER(SEARCH("eligib",LOWER(AF437))),ISNUMBER(SEARCH("income",LOWER(AF437)))),"Eligibility / Income",IF(OR(ISNUMBER(SEARCH("start",LOWER(AF437))),ISNUMBER(SEARCH("Newer",AF437)),ISNUMBER(SEARCH("Will start",AF437))),"Process Yet to Start",IF(ISNUMBER(SEARCH("sure",LOWER(AF437))),"Undecided",IF(OR(ISNUMBER(SEARCH("reject",LOWER(AF437))),ISNUMBER(SEARCH("SBI",AF437))),"Rejected Elsewhere",IF(ISNUMBER(SEARCH("call",LOWER(AF437))),"Bank Communication",IF(OR(ISNUMBER(SEARCH("father",LOWER(AF437))),ISNUMBER(SEARCH("sister",LOWER(AF437)))),"Family / Dependency","Other"))))))))))</f>
        <v/>
      </c>
      <c r="AH437">
        <f>IF(A437="","",'01_Master_Data'!AC437)</f>
        <v/>
      </c>
      <c r="AI437">
        <f>IF(A437="","",IF(OR(AH437="",NOT(ISNUMBER(AH437))),"",MAX(0,'02_Configuration'!$B$82-AH437)))</f>
        <v/>
      </c>
      <c r="AJ437">
        <f>IF(A437="","",IF(AI437="","Unknown",IF(AI437&lt;=3,"0–3 Days",IF(AI437&lt;=7,"4–7 Days",IF(AI437&lt;=15,"8–15 Days",IF(AI437&lt;=30,"16–30 Days","30+ Days"))))))</f>
        <v/>
      </c>
      <c r="AK437">
        <f>IF(A437="","",IF(LOWER(H437)="yes","Yes","No"))</f>
        <v/>
      </c>
      <c r="AL437">
        <f>IF(A437="","",'01_Master_Data'!T437)</f>
        <v/>
      </c>
      <c r="AM437">
        <f>IF(A437="","",'01_Master_Data'!S437)</f>
        <v/>
      </c>
      <c r="AN437">
        <f>IF(A437="","",'01_Master_Data'!I437)</f>
        <v/>
      </c>
      <c r="AO437">
        <f>IF(A437="","",'01_Master_Data'!M437)</f>
        <v/>
      </c>
      <c r="AP437">
        <f>IF(A437="","",IF(ISNUMBER(SEARCH("Icici",W437&amp;"")),1,0))</f>
        <v/>
      </c>
      <c r="AQ437">
        <f>IF(A437="","",IF(ISNUMBER(SEARCH("Propelld",W437&amp;"")),1,0))</f>
        <v/>
      </c>
      <c r="AR437">
        <f>IF(A437="","",IF(ISNUMBER(SEARCH("GyanDhan",W437&amp;"")),1,0))</f>
        <v/>
      </c>
      <c r="AS437">
        <f>IF(A437="","",IF(ISNUMBER(SEARCH("vidyalakshmi",LOWER(W437&amp;""))),1,0))</f>
        <v/>
      </c>
      <c r="AT437">
        <f>IF(A437="","",IF(ISNUMBER(SEARCH("other bank",LOWER(W437&amp;""))),1,0))</f>
        <v/>
      </c>
      <c r="AU437">
        <f>IF(A437="","",IF(ISNUMBER(SEARCH("sanctioned",LOWER(W437&amp;""))),1,0))</f>
        <v/>
      </c>
      <c r="AV437">
        <f>IF(A437="","",IF(ISNUMBER(SEARCH("Docs Pending",W437&amp;"")),1,0))</f>
        <v/>
      </c>
      <c r="AW437">
        <f>IF(A437="","",IF(OR(X437="Rejected",ISNUMBER(SEARCH("Not eligbile",W437&amp;""))),1,0))</f>
        <v/>
      </c>
    </row>
    <row r="438">
      <c r="A438">
        <f>IF('01_Master_Data'!B438="","",437)</f>
        <v/>
      </c>
      <c r="B438">
        <f>IF('01_Master_Data'!B438="","",IF('01_Master_Data'!C438&lt;&gt;"","MOB|"&amp;TEXT('01_Master_Data'!C438,"0"),IF('01_Master_Data'!D438&lt;&gt;"","PID|"&amp;TRIM('01_Master_Data'!D438&amp;""),"")))</f>
        <v/>
      </c>
      <c r="C438">
        <f>IF('01_Master_Data'!B438="","",'01_Master_Data'!B438)</f>
        <v/>
      </c>
      <c r="D438">
        <f>IF('01_Master_Data'!B438="","",'01_Master_Data'!C438)</f>
        <v/>
      </c>
      <c r="E438">
        <f>IF('01_Master_Data'!B438="","",'01_Master_Data'!D438)</f>
        <v/>
      </c>
      <c r="F438">
        <f>IF('01_Master_Data'!B438="","",'01_Master_Data'!E438)</f>
        <v/>
      </c>
      <c r="G438">
        <f>IF('01_Master_Data'!B438="","",IFERROR(VLOOKUP(TRIM('01_Master_Data'!E438&amp;""),'02_Configuration'!$A$40:$B$44,2,FALSE),UPPER(TRIM('01_Master_Data'!E438&amp;""))))</f>
        <v/>
      </c>
      <c r="H438">
        <f>IF('01_Master_Data'!B438="","",IF('01_Master_Data'!U438="","",TRIM('01_Master_Data'!U438&amp;"")))</f>
        <v/>
      </c>
      <c r="I438">
        <f>IF('01_Master_Data'!B438="","",TRIM('01_Master_Data'!F438&amp;""))</f>
        <v/>
      </c>
      <c r="J438">
        <f>IF('01_Master_Data'!B438="","",TRIM('01_Master_Data'!G438&amp;""))</f>
        <v/>
      </c>
      <c r="K438">
        <f>IF('01_Master_Data'!B438="","",'01_Master_Data'!H438)</f>
        <v/>
      </c>
      <c r="L438">
        <f>IF('01_Master_Data'!B438="","",IF(LOWER(TRIM('01_Master_Data'!V438&amp;""))="yes",1,0))</f>
        <v/>
      </c>
      <c r="M438">
        <f>IF('01_Master_Data'!B438="","",IF(LOWER(TRIM('01_Master_Data'!W438&amp;""))="yes",1,0))</f>
        <v/>
      </c>
      <c r="N438">
        <f>IF('01_Master_Data'!B438="","",IF(LOWER(TRIM('01_Master_Data'!X438&amp;""))="yes",1,0))</f>
        <v/>
      </c>
      <c r="O438">
        <f>IF('01_Master_Data'!B438="","",IF(LOWER(TRIM('01_Master_Data'!Y438&amp;""))="yes",1,0))</f>
        <v/>
      </c>
      <c r="P438">
        <f>IF('01_Master_Data'!B438="","",IF(LOWER(TRIM('01_Master_Data'!Z438&amp;""))="yes",1,0))</f>
        <v/>
      </c>
      <c r="Q438">
        <f>IF(A438="","",L438+M438+N438+O438+P438)</f>
        <v/>
      </c>
      <c r="R438">
        <f>IF(A438="","",IF(Q438&gt;1,"Yes","No"))</f>
        <v/>
      </c>
      <c r="S438">
        <f>IF(A438="","",TEXTJOIN(", ",TRUE,IF(L438=1,"ICICI",""),IF(M438=1,"Propelld",""),IF(N438=1,"Study4Buddy",""),IF(O438=1,"Poonawala Fincorp",""),IF(P438=1,"GyanDhan","")))</f>
        <v/>
      </c>
      <c r="T438">
        <f>IF(A438="","",IF(L438=1,"ICICI",IF(M438=1,"Propelld",IF(P438=1,"GyanDhan",IF(N438=1,"Study4Buddy",IF(O438=1,"Poonawala Fincorp",IF(ISNUMBER(SEARCH("GyanDhan",W438&amp;"")),"GyanDhan",IF(ISNUMBER(SEARCH("Icici",W438&amp;"")),"ICICI",IF(ISNUMBER(SEARCH("Propelld",W438&amp;"")),"Propelld",IF(ISNUMBER(SEARCH("vidyalakshmi",LOWER(W438&amp;"")),"PM Vidyalakshmi","—"))))))))))</f>
        <v/>
      </c>
      <c r="U438">
        <f>IF(A438="","",TRIM('01_Master_Data'!AA438&amp;""))</f>
        <v/>
      </c>
      <c r="V438">
        <f>IF(A438="","",TRIM('01_Master_Data'!AG438&amp;""))</f>
        <v/>
      </c>
      <c r="W438">
        <f>IF(A438="","",TRIM('01_Master_Data'!AH438&amp;""))</f>
        <v/>
      </c>
      <c r="X438">
        <f>IF(A438="","",IF(OR(LOWER(H438)="refund",LOWER(U438)="refund case"),"Refund",IF(OR(LOWER(H438)="dnp",LOWER(U438)="dnp"),"DNP",IF(OR(LOWER(V438)="disbursed",ISNUMBER(SEARCH("Disbursed",W438&amp;""))),"Disbursed",IF(OR(LOWER(V438)="loan proccessed/accepted",ISNUMBER(SEARCH("sanctioned",LOWER(W438&amp;"")))),"Sanctioned",IF(OR(LOWER(V438)="rejected",ISNUMBER(SEARCH("Not eligbile",W438&amp;"")),ISNUMBER(SEARCH("Not eligible",W438&amp;""))),"Rejected",IF(ISNUMBER(SEARCH("Docs Pending",W438&amp;"")),"Documents Pending",IF(AND(LOWER(H438)="yes",LOWER(V438)="ongoing"),"Processing",IF(AND(LOWER(H438)="yes",Q438&gt;0,OR(V438="",LOWER(V438)="not even started")),"Vendor Assigned",IF(AND(LOWER(H438)="yes",LOWER(V438)="not even started"),"Need Loan",IF(LOWER(H438)="yes","Loan Started",IF(LOWER(H438)="not sure","Interested",IF(OR(LOWER(H438)="no",LOWER(V438)="not required"),"Not Required","Unclassified")))))))))))))</f>
        <v/>
      </c>
      <c r="Y438">
        <f>IF(A438="","",IF(OR(X438="Sanctioned",X438="Disbursed",X438="Approved"),"Approved",IF(X438="Rejected","Rejected",IF(OR(X438="Processing",X438="Documents Pending",X438="Vendor Assigned"),"In Progress",IF(X438="Need Loan","Pending Start","—"))))</f>
        <v/>
      </c>
      <c r="Z438">
        <f>IF(A438="","",IF(X438="Disbursed","Disbursed",IF(X438="Sanctioned","Sanctioned - Awaiting Disbursement","Not Disbursed")))</f>
        <v/>
      </c>
      <c r="AA438">
        <f>IF(A438="","",IF(LOWER(TRIM('01_Master_Data'!AI438&amp;""))="yes","Need FLDG",IF(LOWER(TRIM('01_Master_Data'!AK438&amp;""))="yes","Need Vidyalakshmi",IF(LOWER(TRIM('01_Master_Data'!AJ438&amp;""))="yes","Need Review",IF(LOWER(J438)="critical","Critical",IF(LOWER(U438)="risk","Risk Case",IF(X438="Refund","Refund","Normal")))))))</f>
        <v/>
      </c>
      <c r="AB438">
        <f>IF(A438="","",IF(OR(LOWER(J438)="critical",LOWER(TRIM('01_Master_Data'!AI438&amp;""))="yes",LOWER(TRIM('01_Master_Data'!AK438&amp;""))="yes",LOWER(U438)="risk"),"Yes","No"))</f>
        <v/>
      </c>
      <c r="AC438">
        <f>IF(A438="","",IF(LOWER(TRIM('01_Master_Data'!AI438&amp;""))="yes","Yes","No"))</f>
        <v/>
      </c>
      <c r="AD438">
        <f>IF(A438="","",IF(LOWER(TRIM('01_Master_Data'!AK438&amp;""))="yes","Yes","No"))</f>
        <v/>
      </c>
      <c r="AE438">
        <f>IF(A438="","",IF(LOWER(TRIM('01_Master_Data'!AJ438&amp;""))="yes","Yes","No"))</f>
        <v/>
      </c>
      <c r="AF438">
        <f>IF(A438="","",TRIM('01_Master_Data'!AL438&amp;""))</f>
        <v/>
      </c>
      <c r="AG438">
        <f>IF(A438="","",IF(AF438="","—",IF(ISNUMBER(SEARCH("DNP",AF438)),"Unreachable / DNP",IF(ISNUMBER(SEARCH("interest",LOWER(AF438))),"High Interest / Terms",IF(OR(ISNUMBER(SEARCH("eligib",LOWER(AF438))),ISNUMBER(SEARCH("income",LOWER(AF438)))),"Eligibility / Income",IF(OR(ISNUMBER(SEARCH("start",LOWER(AF438))),ISNUMBER(SEARCH("Newer",AF438)),ISNUMBER(SEARCH("Will start",AF438))),"Process Yet to Start",IF(ISNUMBER(SEARCH("sure",LOWER(AF438))),"Undecided",IF(OR(ISNUMBER(SEARCH("reject",LOWER(AF438))),ISNUMBER(SEARCH("SBI",AF438))),"Rejected Elsewhere",IF(ISNUMBER(SEARCH("call",LOWER(AF438))),"Bank Communication",IF(OR(ISNUMBER(SEARCH("father",LOWER(AF438))),ISNUMBER(SEARCH("sister",LOWER(AF438)))),"Family / Dependency","Other"))))))))))</f>
        <v/>
      </c>
      <c r="AH438">
        <f>IF(A438="","",'01_Master_Data'!AC438)</f>
        <v/>
      </c>
      <c r="AI438">
        <f>IF(A438="","",IF(OR(AH438="",NOT(ISNUMBER(AH438))),"",MAX(0,'02_Configuration'!$B$82-AH438)))</f>
        <v/>
      </c>
      <c r="AJ438">
        <f>IF(A438="","",IF(AI438="","Unknown",IF(AI438&lt;=3,"0–3 Days",IF(AI438&lt;=7,"4–7 Days",IF(AI438&lt;=15,"8–15 Days",IF(AI438&lt;=30,"16–30 Days","30+ Days"))))))</f>
        <v/>
      </c>
      <c r="AK438">
        <f>IF(A438="","",IF(LOWER(H438)="yes","Yes","No"))</f>
        <v/>
      </c>
      <c r="AL438">
        <f>IF(A438="","",'01_Master_Data'!T438)</f>
        <v/>
      </c>
      <c r="AM438">
        <f>IF(A438="","",'01_Master_Data'!S438)</f>
        <v/>
      </c>
      <c r="AN438">
        <f>IF(A438="","",'01_Master_Data'!I438)</f>
        <v/>
      </c>
      <c r="AO438">
        <f>IF(A438="","",'01_Master_Data'!M438)</f>
        <v/>
      </c>
      <c r="AP438">
        <f>IF(A438="","",IF(ISNUMBER(SEARCH("Icici",W438&amp;"")),1,0))</f>
        <v/>
      </c>
      <c r="AQ438">
        <f>IF(A438="","",IF(ISNUMBER(SEARCH("Propelld",W438&amp;"")),1,0))</f>
        <v/>
      </c>
      <c r="AR438">
        <f>IF(A438="","",IF(ISNUMBER(SEARCH("GyanDhan",W438&amp;"")),1,0))</f>
        <v/>
      </c>
      <c r="AS438">
        <f>IF(A438="","",IF(ISNUMBER(SEARCH("vidyalakshmi",LOWER(W438&amp;""))),1,0))</f>
        <v/>
      </c>
      <c r="AT438">
        <f>IF(A438="","",IF(ISNUMBER(SEARCH("other bank",LOWER(W438&amp;""))),1,0))</f>
        <v/>
      </c>
      <c r="AU438">
        <f>IF(A438="","",IF(ISNUMBER(SEARCH("sanctioned",LOWER(W438&amp;""))),1,0))</f>
        <v/>
      </c>
      <c r="AV438">
        <f>IF(A438="","",IF(ISNUMBER(SEARCH("Docs Pending",W438&amp;"")),1,0))</f>
        <v/>
      </c>
      <c r="AW438">
        <f>IF(A438="","",IF(OR(X438="Rejected",ISNUMBER(SEARCH("Not eligbile",W438&amp;""))),1,0))</f>
        <v/>
      </c>
    </row>
    <row r="439">
      <c r="A439">
        <f>IF('01_Master_Data'!B439="","",438)</f>
        <v/>
      </c>
      <c r="B439">
        <f>IF('01_Master_Data'!B439="","",IF('01_Master_Data'!C439&lt;&gt;"","MOB|"&amp;TEXT('01_Master_Data'!C439,"0"),IF('01_Master_Data'!D439&lt;&gt;"","PID|"&amp;TRIM('01_Master_Data'!D439&amp;""),"")))</f>
        <v/>
      </c>
      <c r="C439">
        <f>IF('01_Master_Data'!B439="","",'01_Master_Data'!B439)</f>
        <v/>
      </c>
      <c r="D439">
        <f>IF('01_Master_Data'!B439="","",'01_Master_Data'!C439)</f>
        <v/>
      </c>
      <c r="E439">
        <f>IF('01_Master_Data'!B439="","",'01_Master_Data'!D439)</f>
        <v/>
      </c>
      <c r="F439">
        <f>IF('01_Master_Data'!B439="","",'01_Master_Data'!E439)</f>
        <v/>
      </c>
      <c r="G439">
        <f>IF('01_Master_Data'!B439="","",IFERROR(VLOOKUP(TRIM('01_Master_Data'!E439&amp;""),'02_Configuration'!$A$40:$B$44,2,FALSE),UPPER(TRIM('01_Master_Data'!E439&amp;""))))</f>
        <v/>
      </c>
      <c r="H439">
        <f>IF('01_Master_Data'!B439="","",IF('01_Master_Data'!U439="","",TRIM('01_Master_Data'!U439&amp;"")))</f>
        <v/>
      </c>
      <c r="I439">
        <f>IF('01_Master_Data'!B439="","",TRIM('01_Master_Data'!F439&amp;""))</f>
        <v/>
      </c>
      <c r="J439">
        <f>IF('01_Master_Data'!B439="","",TRIM('01_Master_Data'!G439&amp;""))</f>
        <v/>
      </c>
      <c r="K439">
        <f>IF('01_Master_Data'!B439="","",'01_Master_Data'!H439)</f>
        <v/>
      </c>
      <c r="L439">
        <f>IF('01_Master_Data'!B439="","",IF(LOWER(TRIM('01_Master_Data'!V439&amp;""))="yes",1,0))</f>
        <v/>
      </c>
      <c r="M439">
        <f>IF('01_Master_Data'!B439="","",IF(LOWER(TRIM('01_Master_Data'!W439&amp;""))="yes",1,0))</f>
        <v/>
      </c>
      <c r="N439">
        <f>IF('01_Master_Data'!B439="","",IF(LOWER(TRIM('01_Master_Data'!X439&amp;""))="yes",1,0))</f>
        <v/>
      </c>
      <c r="O439">
        <f>IF('01_Master_Data'!B439="","",IF(LOWER(TRIM('01_Master_Data'!Y439&amp;""))="yes",1,0))</f>
        <v/>
      </c>
      <c r="P439">
        <f>IF('01_Master_Data'!B439="","",IF(LOWER(TRIM('01_Master_Data'!Z439&amp;""))="yes",1,0))</f>
        <v/>
      </c>
      <c r="Q439">
        <f>IF(A439="","",L439+M439+N439+O439+P439)</f>
        <v/>
      </c>
      <c r="R439">
        <f>IF(A439="","",IF(Q439&gt;1,"Yes","No"))</f>
        <v/>
      </c>
      <c r="S439">
        <f>IF(A439="","",TEXTJOIN(", ",TRUE,IF(L439=1,"ICICI",""),IF(M439=1,"Propelld",""),IF(N439=1,"Study4Buddy",""),IF(O439=1,"Poonawala Fincorp",""),IF(P439=1,"GyanDhan","")))</f>
        <v/>
      </c>
      <c r="T439">
        <f>IF(A439="","",IF(L439=1,"ICICI",IF(M439=1,"Propelld",IF(P439=1,"GyanDhan",IF(N439=1,"Study4Buddy",IF(O439=1,"Poonawala Fincorp",IF(ISNUMBER(SEARCH("GyanDhan",W439&amp;"")),"GyanDhan",IF(ISNUMBER(SEARCH("Icici",W439&amp;"")),"ICICI",IF(ISNUMBER(SEARCH("Propelld",W439&amp;"")),"Propelld",IF(ISNUMBER(SEARCH("vidyalakshmi",LOWER(W439&amp;"")),"PM Vidyalakshmi","—"))))))))))</f>
        <v/>
      </c>
      <c r="U439">
        <f>IF(A439="","",TRIM('01_Master_Data'!AA439&amp;""))</f>
        <v/>
      </c>
      <c r="V439">
        <f>IF(A439="","",TRIM('01_Master_Data'!AG439&amp;""))</f>
        <v/>
      </c>
      <c r="W439">
        <f>IF(A439="","",TRIM('01_Master_Data'!AH439&amp;""))</f>
        <v/>
      </c>
      <c r="X439">
        <f>IF(A439="","",IF(OR(LOWER(H439)="refund",LOWER(U439)="refund case"),"Refund",IF(OR(LOWER(H439)="dnp",LOWER(U439)="dnp"),"DNP",IF(OR(LOWER(V439)="disbursed",ISNUMBER(SEARCH("Disbursed",W439&amp;""))),"Disbursed",IF(OR(LOWER(V439)="loan proccessed/accepted",ISNUMBER(SEARCH("sanctioned",LOWER(W439&amp;"")))),"Sanctioned",IF(OR(LOWER(V439)="rejected",ISNUMBER(SEARCH("Not eligbile",W439&amp;"")),ISNUMBER(SEARCH("Not eligible",W439&amp;""))),"Rejected",IF(ISNUMBER(SEARCH("Docs Pending",W439&amp;"")),"Documents Pending",IF(AND(LOWER(H439)="yes",LOWER(V439)="ongoing"),"Processing",IF(AND(LOWER(H439)="yes",Q439&gt;0,OR(V439="",LOWER(V439)="not even started")),"Vendor Assigned",IF(AND(LOWER(H439)="yes",LOWER(V439)="not even started"),"Need Loan",IF(LOWER(H439)="yes","Loan Started",IF(LOWER(H439)="not sure","Interested",IF(OR(LOWER(H439)="no",LOWER(V439)="not required"),"Not Required","Unclassified")))))))))))))</f>
        <v/>
      </c>
      <c r="Y439">
        <f>IF(A439="","",IF(OR(X439="Sanctioned",X439="Disbursed",X439="Approved"),"Approved",IF(X439="Rejected","Rejected",IF(OR(X439="Processing",X439="Documents Pending",X439="Vendor Assigned"),"In Progress",IF(X439="Need Loan","Pending Start","—"))))</f>
        <v/>
      </c>
      <c r="Z439">
        <f>IF(A439="","",IF(X439="Disbursed","Disbursed",IF(X439="Sanctioned","Sanctioned - Awaiting Disbursement","Not Disbursed")))</f>
        <v/>
      </c>
      <c r="AA439">
        <f>IF(A439="","",IF(LOWER(TRIM('01_Master_Data'!AI439&amp;""))="yes","Need FLDG",IF(LOWER(TRIM('01_Master_Data'!AK439&amp;""))="yes","Need Vidyalakshmi",IF(LOWER(TRIM('01_Master_Data'!AJ439&amp;""))="yes","Need Review",IF(LOWER(J439)="critical","Critical",IF(LOWER(U439)="risk","Risk Case",IF(X439="Refund","Refund","Normal")))))))</f>
        <v/>
      </c>
      <c r="AB439">
        <f>IF(A439="","",IF(OR(LOWER(J439)="critical",LOWER(TRIM('01_Master_Data'!AI439&amp;""))="yes",LOWER(TRIM('01_Master_Data'!AK439&amp;""))="yes",LOWER(U439)="risk"),"Yes","No"))</f>
        <v/>
      </c>
      <c r="AC439">
        <f>IF(A439="","",IF(LOWER(TRIM('01_Master_Data'!AI439&amp;""))="yes","Yes","No"))</f>
        <v/>
      </c>
      <c r="AD439">
        <f>IF(A439="","",IF(LOWER(TRIM('01_Master_Data'!AK439&amp;""))="yes","Yes","No"))</f>
        <v/>
      </c>
      <c r="AE439">
        <f>IF(A439="","",IF(LOWER(TRIM('01_Master_Data'!AJ439&amp;""))="yes","Yes","No"))</f>
        <v/>
      </c>
      <c r="AF439">
        <f>IF(A439="","",TRIM('01_Master_Data'!AL439&amp;""))</f>
        <v/>
      </c>
      <c r="AG439">
        <f>IF(A439="","",IF(AF439="","—",IF(ISNUMBER(SEARCH("DNP",AF439)),"Unreachable / DNP",IF(ISNUMBER(SEARCH("interest",LOWER(AF439))),"High Interest / Terms",IF(OR(ISNUMBER(SEARCH("eligib",LOWER(AF439))),ISNUMBER(SEARCH("income",LOWER(AF439)))),"Eligibility / Income",IF(OR(ISNUMBER(SEARCH("start",LOWER(AF439))),ISNUMBER(SEARCH("Newer",AF439)),ISNUMBER(SEARCH("Will start",AF439))),"Process Yet to Start",IF(ISNUMBER(SEARCH("sure",LOWER(AF439))),"Undecided",IF(OR(ISNUMBER(SEARCH("reject",LOWER(AF439))),ISNUMBER(SEARCH("SBI",AF439))),"Rejected Elsewhere",IF(ISNUMBER(SEARCH("call",LOWER(AF439))),"Bank Communication",IF(OR(ISNUMBER(SEARCH("father",LOWER(AF439))),ISNUMBER(SEARCH("sister",LOWER(AF439)))),"Family / Dependency","Other"))))))))))</f>
        <v/>
      </c>
      <c r="AH439">
        <f>IF(A439="","",'01_Master_Data'!AC439)</f>
        <v/>
      </c>
      <c r="AI439">
        <f>IF(A439="","",IF(OR(AH439="",NOT(ISNUMBER(AH439))),"",MAX(0,'02_Configuration'!$B$82-AH439)))</f>
        <v/>
      </c>
      <c r="AJ439">
        <f>IF(A439="","",IF(AI439="","Unknown",IF(AI439&lt;=3,"0–3 Days",IF(AI439&lt;=7,"4–7 Days",IF(AI439&lt;=15,"8–15 Days",IF(AI439&lt;=30,"16–30 Days","30+ Days"))))))</f>
        <v/>
      </c>
      <c r="AK439">
        <f>IF(A439="","",IF(LOWER(H439)="yes","Yes","No"))</f>
        <v/>
      </c>
      <c r="AL439">
        <f>IF(A439="","",'01_Master_Data'!T439)</f>
        <v/>
      </c>
      <c r="AM439">
        <f>IF(A439="","",'01_Master_Data'!S439)</f>
        <v/>
      </c>
      <c r="AN439">
        <f>IF(A439="","",'01_Master_Data'!I439)</f>
        <v/>
      </c>
      <c r="AO439">
        <f>IF(A439="","",'01_Master_Data'!M439)</f>
        <v/>
      </c>
      <c r="AP439">
        <f>IF(A439="","",IF(ISNUMBER(SEARCH("Icici",W439&amp;"")),1,0))</f>
        <v/>
      </c>
      <c r="AQ439">
        <f>IF(A439="","",IF(ISNUMBER(SEARCH("Propelld",W439&amp;"")),1,0))</f>
        <v/>
      </c>
      <c r="AR439">
        <f>IF(A439="","",IF(ISNUMBER(SEARCH("GyanDhan",W439&amp;"")),1,0))</f>
        <v/>
      </c>
      <c r="AS439">
        <f>IF(A439="","",IF(ISNUMBER(SEARCH("vidyalakshmi",LOWER(W439&amp;""))),1,0))</f>
        <v/>
      </c>
      <c r="AT439">
        <f>IF(A439="","",IF(ISNUMBER(SEARCH("other bank",LOWER(W439&amp;""))),1,0))</f>
        <v/>
      </c>
      <c r="AU439">
        <f>IF(A439="","",IF(ISNUMBER(SEARCH("sanctioned",LOWER(W439&amp;""))),1,0))</f>
        <v/>
      </c>
      <c r="AV439">
        <f>IF(A439="","",IF(ISNUMBER(SEARCH("Docs Pending",W439&amp;"")),1,0))</f>
        <v/>
      </c>
      <c r="AW439">
        <f>IF(A439="","",IF(OR(X439="Rejected",ISNUMBER(SEARCH("Not eligbile",W439&amp;""))),1,0))</f>
        <v/>
      </c>
    </row>
    <row r="440">
      <c r="A440">
        <f>IF('01_Master_Data'!B440="","",439)</f>
        <v/>
      </c>
      <c r="B440">
        <f>IF('01_Master_Data'!B440="","",IF('01_Master_Data'!C440&lt;&gt;"","MOB|"&amp;TEXT('01_Master_Data'!C440,"0"),IF('01_Master_Data'!D440&lt;&gt;"","PID|"&amp;TRIM('01_Master_Data'!D440&amp;""),"")))</f>
        <v/>
      </c>
      <c r="C440">
        <f>IF('01_Master_Data'!B440="","",'01_Master_Data'!B440)</f>
        <v/>
      </c>
      <c r="D440">
        <f>IF('01_Master_Data'!B440="","",'01_Master_Data'!C440)</f>
        <v/>
      </c>
      <c r="E440">
        <f>IF('01_Master_Data'!B440="","",'01_Master_Data'!D440)</f>
        <v/>
      </c>
      <c r="F440">
        <f>IF('01_Master_Data'!B440="","",'01_Master_Data'!E440)</f>
        <v/>
      </c>
      <c r="G440">
        <f>IF('01_Master_Data'!B440="","",IFERROR(VLOOKUP(TRIM('01_Master_Data'!E440&amp;""),'02_Configuration'!$A$40:$B$44,2,FALSE),UPPER(TRIM('01_Master_Data'!E440&amp;""))))</f>
        <v/>
      </c>
      <c r="H440">
        <f>IF('01_Master_Data'!B440="","",IF('01_Master_Data'!U440="","",TRIM('01_Master_Data'!U440&amp;"")))</f>
        <v/>
      </c>
      <c r="I440">
        <f>IF('01_Master_Data'!B440="","",TRIM('01_Master_Data'!F440&amp;""))</f>
        <v/>
      </c>
      <c r="J440">
        <f>IF('01_Master_Data'!B440="","",TRIM('01_Master_Data'!G440&amp;""))</f>
        <v/>
      </c>
      <c r="K440">
        <f>IF('01_Master_Data'!B440="","",'01_Master_Data'!H440)</f>
        <v/>
      </c>
      <c r="L440">
        <f>IF('01_Master_Data'!B440="","",IF(LOWER(TRIM('01_Master_Data'!V440&amp;""))="yes",1,0))</f>
        <v/>
      </c>
      <c r="M440">
        <f>IF('01_Master_Data'!B440="","",IF(LOWER(TRIM('01_Master_Data'!W440&amp;""))="yes",1,0))</f>
        <v/>
      </c>
      <c r="N440">
        <f>IF('01_Master_Data'!B440="","",IF(LOWER(TRIM('01_Master_Data'!X440&amp;""))="yes",1,0))</f>
        <v/>
      </c>
      <c r="O440">
        <f>IF('01_Master_Data'!B440="","",IF(LOWER(TRIM('01_Master_Data'!Y440&amp;""))="yes",1,0))</f>
        <v/>
      </c>
      <c r="P440">
        <f>IF('01_Master_Data'!B440="","",IF(LOWER(TRIM('01_Master_Data'!Z440&amp;""))="yes",1,0))</f>
        <v/>
      </c>
      <c r="Q440">
        <f>IF(A440="","",L440+M440+N440+O440+P440)</f>
        <v/>
      </c>
      <c r="R440">
        <f>IF(A440="","",IF(Q440&gt;1,"Yes","No"))</f>
        <v/>
      </c>
      <c r="S440">
        <f>IF(A440="","",TEXTJOIN(", ",TRUE,IF(L440=1,"ICICI",""),IF(M440=1,"Propelld",""),IF(N440=1,"Study4Buddy",""),IF(O440=1,"Poonawala Fincorp",""),IF(P440=1,"GyanDhan","")))</f>
        <v/>
      </c>
      <c r="T440">
        <f>IF(A440="","",IF(L440=1,"ICICI",IF(M440=1,"Propelld",IF(P440=1,"GyanDhan",IF(N440=1,"Study4Buddy",IF(O440=1,"Poonawala Fincorp",IF(ISNUMBER(SEARCH("GyanDhan",W440&amp;"")),"GyanDhan",IF(ISNUMBER(SEARCH("Icici",W440&amp;"")),"ICICI",IF(ISNUMBER(SEARCH("Propelld",W440&amp;"")),"Propelld",IF(ISNUMBER(SEARCH("vidyalakshmi",LOWER(W440&amp;"")),"PM Vidyalakshmi","—"))))))))))</f>
        <v/>
      </c>
      <c r="U440">
        <f>IF(A440="","",TRIM('01_Master_Data'!AA440&amp;""))</f>
        <v/>
      </c>
      <c r="V440">
        <f>IF(A440="","",TRIM('01_Master_Data'!AG440&amp;""))</f>
        <v/>
      </c>
      <c r="W440">
        <f>IF(A440="","",TRIM('01_Master_Data'!AH440&amp;""))</f>
        <v/>
      </c>
      <c r="X440">
        <f>IF(A440="","",IF(OR(LOWER(H440)="refund",LOWER(U440)="refund case"),"Refund",IF(OR(LOWER(H440)="dnp",LOWER(U440)="dnp"),"DNP",IF(OR(LOWER(V440)="disbursed",ISNUMBER(SEARCH("Disbursed",W440&amp;""))),"Disbursed",IF(OR(LOWER(V440)="loan proccessed/accepted",ISNUMBER(SEARCH("sanctioned",LOWER(W440&amp;"")))),"Sanctioned",IF(OR(LOWER(V440)="rejected",ISNUMBER(SEARCH("Not eligbile",W440&amp;"")),ISNUMBER(SEARCH("Not eligible",W440&amp;""))),"Rejected",IF(ISNUMBER(SEARCH("Docs Pending",W440&amp;"")),"Documents Pending",IF(AND(LOWER(H440)="yes",LOWER(V440)="ongoing"),"Processing",IF(AND(LOWER(H440)="yes",Q440&gt;0,OR(V440="",LOWER(V440)="not even started")),"Vendor Assigned",IF(AND(LOWER(H440)="yes",LOWER(V440)="not even started"),"Need Loan",IF(LOWER(H440)="yes","Loan Started",IF(LOWER(H440)="not sure","Interested",IF(OR(LOWER(H440)="no",LOWER(V440)="not required"),"Not Required","Unclassified")))))))))))))</f>
        <v/>
      </c>
      <c r="Y440">
        <f>IF(A440="","",IF(OR(X440="Sanctioned",X440="Disbursed",X440="Approved"),"Approved",IF(X440="Rejected","Rejected",IF(OR(X440="Processing",X440="Documents Pending",X440="Vendor Assigned"),"In Progress",IF(X440="Need Loan","Pending Start","—"))))</f>
        <v/>
      </c>
      <c r="Z440">
        <f>IF(A440="","",IF(X440="Disbursed","Disbursed",IF(X440="Sanctioned","Sanctioned - Awaiting Disbursement","Not Disbursed")))</f>
        <v/>
      </c>
      <c r="AA440">
        <f>IF(A440="","",IF(LOWER(TRIM('01_Master_Data'!AI440&amp;""))="yes","Need FLDG",IF(LOWER(TRIM('01_Master_Data'!AK440&amp;""))="yes","Need Vidyalakshmi",IF(LOWER(TRIM('01_Master_Data'!AJ440&amp;""))="yes","Need Review",IF(LOWER(J440)="critical","Critical",IF(LOWER(U440)="risk","Risk Case",IF(X440="Refund","Refund","Normal")))))))</f>
        <v/>
      </c>
      <c r="AB440">
        <f>IF(A440="","",IF(OR(LOWER(J440)="critical",LOWER(TRIM('01_Master_Data'!AI440&amp;""))="yes",LOWER(TRIM('01_Master_Data'!AK440&amp;""))="yes",LOWER(U440)="risk"),"Yes","No"))</f>
        <v/>
      </c>
      <c r="AC440">
        <f>IF(A440="","",IF(LOWER(TRIM('01_Master_Data'!AI440&amp;""))="yes","Yes","No"))</f>
        <v/>
      </c>
      <c r="AD440">
        <f>IF(A440="","",IF(LOWER(TRIM('01_Master_Data'!AK440&amp;""))="yes","Yes","No"))</f>
        <v/>
      </c>
      <c r="AE440">
        <f>IF(A440="","",IF(LOWER(TRIM('01_Master_Data'!AJ440&amp;""))="yes","Yes","No"))</f>
        <v/>
      </c>
      <c r="AF440">
        <f>IF(A440="","",TRIM('01_Master_Data'!AL440&amp;""))</f>
        <v/>
      </c>
      <c r="AG440">
        <f>IF(A440="","",IF(AF440="","—",IF(ISNUMBER(SEARCH("DNP",AF440)),"Unreachable / DNP",IF(ISNUMBER(SEARCH("interest",LOWER(AF440))),"High Interest / Terms",IF(OR(ISNUMBER(SEARCH("eligib",LOWER(AF440))),ISNUMBER(SEARCH("income",LOWER(AF440)))),"Eligibility / Income",IF(OR(ISNUMBER(SEARCH("start",LOWER(AF440))),ISNUMBER(SEARCH("Newer",AF440)),ISNUMBER(SEARCH("Will start",AF440))),"Process Yet to Start",IF(ISNUMBER(SEARCH("sure",LOWER(AF440))),"Undecided",IF(OR(ISNUMBER(SEARCH("reject",LOWER(AF440))),ISNUMBER(SEARCH("SBI",AF440))),"Rejected Elsewhere",IF(ISNUMBER(SEARCH("call",LOWER(AF440))),"Bank Communication",IF(OR(ISNUMBER(SEARCH("father",LOWER(AF440))),ISNUMBER(SEARCH("sister",LOWER(AF440)))),"Family / Dependency","Other"))))))))))</f>
        <v/>
      </c>
      <c r="AH440">
        <f>IF(A440="","",'01_Master_Data'!AC440)</f>
        <v/>
      </c>
      <c r="AI440">
        <f>IF(A440="","",IF(OR(AH440="",NOT(ISNUMBER(AH440))),"",MAX(0,'02_Configuration'!$B$82-AH440)))</f>
        <v/>
      </c>
      <c r="AJ440">
        <f>IF(A440="","",IF(AI440="","Unknown",IF(AI440&lt;=3,"0–3 Days",IF(AI440&lt;=7,"4–7 Days",IF(AI440&lt;=15,"8–15 Days",IF(AI440&lt;=30,"16–30 Days","30+ Days"))))))</f>
        <v/>
      </c>
      <c r="AK440">
        <f>IF(A440="","",IF(LOWER(H440)="yes","Yes","No"))</f>
        <v/>
      </c>
      <c r="AL440">
        <f>IF(A440="","",'01_Master_Data'!T440)</f>
        <v/>
      </c>
      <c r="AM440">
        <f>IF(A440="","",'01_Master_Data'!S440)</f>
        <v/>
      </c>
      <c r="AN440">
        <f>IF(A440="","",'01_Master_Data'!I440)</f>
        <v/>
      </c>
      <c r="AO440">
        <f>IF(A440="","",'01_Master_Data'!M440)</f>
        <v/>
      </c>
      <c r="AP440">
        <f>IF(A440="","",IF(ISNUMBER(SEARCH("Icici",W440&amp;"")),1,0))</f>
        <v/>
      </c>
      <c r="AQ440">
        <f>IF(A440="","",IF(ISNUMBER(SEARCH("Propelld",W440&amp;"")),1,0))</f>
        <v/>
      </c>
      <c r="AR440">
        <f>IF(A440="","",IF(ISNUMBER(SEARCH("GyanDhan",W440&amp;"")),1,0))</f>
        <v/>
      </c>
      <c r="AS440">
        <f>IF(A440="","",IF(ISNUMBER(SEARCH("vidyalakshmi",LOWER(W440&amp;""))),1,0))</f>
        <v/>
      </c>
      <c r="AT440">
        <f>IF(A440="","",IF(ISNUMBER(SEARCH("other bank",LOWER(W440&amp;""))),1,0))</f>
        <v/>
      </c>
      <c r="AU440">
        <f>IF(A440="","",IF(ISNUMBER(SEARCH("sanctioned",LOWER(W440&amp;""))),1,0))</f>
        <v/>
      </c>
      <c r="AV440">
        <f>IF(A440="","",IF(ISNUMBER(SEARCH("Docs Pending",W440&amp;"")),1,0))</f>
        <v/>
      </c>
      <c r="AW440">
        <f>IF(A440="","",IF(OR(X440="Rejected",ISNUMBER(SEARCH("Not eligbile",W440&amp;""))),1,0))</f>
        <v/>
      </c>
    </row>
    <row r="441">
      <c r="A441">
        <f>IF('01_Master_Data'!B441="","",440)</f>
        <v/>
      </c>
      <c r="B441">
        <f>IF('01_Master_Data'!B441="","",IF('01_Master_Data'!C441&lt;&gt;"","MOB|"&amp;TEXT('01_Master_Data'!C441,"0"),IF('01_Master_Data'!D441&lt;&gt;"","PID|"&amp;TRIM('01_Master_Data'!D441&amp;""),"")))</f>
        <v/>
      </c>
      <c r="C441">
        <f>IF('01_Master_Data'!B441="","",'01_Master_Data'!B441)</f>
        <v/>
      </c>
      <c r="D441">
        <f>IF('01_Master_Data'!B441="","",'01_Master_Data'!C441)</f>
        <v/>
      </c>
      <c r="E441">
        <f>IF('01_Master_Data'!B441="","",'01_Master_Data'!D441)</f>
        <v/>
      </c>
      <c r="F441">
        <f>IF('01_Master_Data'!B441="","",'01_Master_Data'!E441)</f>
        <v/>
      </c>
      <c r="G441">
        <f>IF('01_Master_Data'!B441="","",IFERROR(VLOOKUP(TRIM('01_Master_Data'!E441&amp;""),'02_Configuration'!$A$40:$B$44,2,FALSE),UPPER(TRIM('01_Master_Data'!E441&amp;""))))</f>
        <v/>
      </c>
      <c r="H441">
        <f>IF('01_Master_Data'!B441="","",IF('01_Master_Data'!U441="","",TRIM('01_Master_Data'!U441&amp;"")))</f>
        <v/>
      </c>
      <c r="I441">
        <f>IF('01_Master_Data'!B441="","",TRIM('01_Master_Data'!F441&amp;""))</f>
        <v/>
      </c>
      <c r="J441">
        <f>IF('01_Master_Data'!B441="","",TRIM('01_Master_Data'!G441&amp;""))</f>
        <v/>
      </c>
      <c r="K441">
        <f>IF('01_Master_Data'!B441="","",'01_Master_Data'!H441)</f>
        <v/>
      </c>
      <c r="L441">
        <f>IF('01_Master_Data'!B441="","",IF(LOWER(TRIM('01_Master_Data'!V441&amp;""))="yes",1,0))</f>
        <v/>
      </c>
      <c r="M441">
        <f>IF('01_Master_Data'!B441="","",IF(LOWER(TRIM('01_Master_Data'!W441&amp;""))="yes",1,0))</f>
        <v/>
      </c>
      <c r="N441">
        <f>IF('01_Master_Data'!B441="","",IF(LOWER(TRIM('01_Master_Data'!X441&amp;""))="yes",1,0))</f>
        <v/>
      </c>
      <c r="O441">
        <f>IF('01_Master_Data'!B441="","",IF(LOWER(TRIM('01_Master_Data'!Y441&amp;""))="yes",1,0))</f>
        <v/>
      </c>
      <c r="P441">
        <f>IF('01_Master_Data'!B441="","",IF(LOWER(TRIM('01_Master_Data'!Z441&amp;""))="yes",1,0))</f>
        <v/>
      </c>
      <c r="Q441">
        <f>IF(A441="","",L441+M441+N441+O441+P441)</f>
        <v/>
      </c>
      <c r="R441">
        <f>IF(A441="","",IF(Q441&gt;1,"Yes","No"))</f>
        <v/>
      </c>
      <c r="S441">
        <f>IF(A441="","",TEXTJOIN(", ",TRUE,IF(L441=1,"ICICI",""),IF(M441=1,"Propelld",""),IF(N441=1,"Study4Buddy",""),IF(O441=1,"Poonawala Fincorp",""),IF(P441=1,"GyanDhan","")))</f>
        <v/>
      </c>
      <c r="T441">
        <f>IF(A441="","",IF(L441=1,"ICICI",IF(M441=1,"Propelld",IF(P441=1,"GyanDhan",IF(N441=1,"Study4Buddy",IF(O441=1,"Poonawala Fincorp",IF(ISNUMBER(SEARCH("GyanDhan",W441&amp;"")),"GyanDhan",IF(ISNUMBER(SEARCH("Icici",W441&amp;"")),"ICICI",IF(ISNUMBER(SEARCH("Propelld",W441&amp;"")),"Propelld",IF(ISNUMBER(SEARCH("vidyalakshmi",LOWER(W441&amp;"")),"PM Vidyalakshmi","—"))))))))))</f>
        <v/>
      </c>
      <c r="U441">
        <f>IF(A441="","",TRIM('01_Master_Data'!AA441&amp;""))</f>
        <v/>
      </c>
      <c r="V441">
        <f>IF(A441="","",TRIM('01_Master_Data'!AG441&amp;""))</f>
        <v/>
      </c>
      <c r="W441">
        <f>IF(A441="","",TRIM('01_Master_Data'!AH441&amp;""))</f>
        <v/>
      </c>
      <c r="X441">
        <f>IF(A441="","",IF(OR(LOWER(H441)="refund",LOWER(U441)="refund case"),"Refund",IF(OR(LOWER(H441)="dnp",LOWER(U441)="dnp"),"DNP",IF(OR(LOWER(V441)="disbursed",ISNUMBER(SEARCH("Disbursed",W441&amp;""))),"Disbursed",IF(OR(LOWER(V441)="loan proccessed/accepted",ISNUMBER(SEARCH("sanctioned",LOWER(W441&amp;"")))),"Sanctioned",IF(OR(LOWER(V441)="rejected",ISNUMBER(SEARCH("Not eligbile",W441&amp;"")),ISNUMBER(SEARCH("Not eligible",W441&amp;""))),"Rejected",IF(ISNUMBER(SEARCH("Docs Pending",W441&amp;"")),"Documents Pending",IF(AND(LOWER(H441)="yes",LOWER(V441)="ongoing"),"Processing",IF(AND(LOWER(H441)="yes",Q441&gt;0,OR(V441="",LOWER(V441)="not even started")),"Vendor Assigned",IF(AND(LOWER(H441)="yes",LOWER(V441)="not even started"),"Need Loan",IF(LOWER(H441)="yes","Loan Started",IF(LOWER(H441)="not sure","Interested",IF(OR(LOWER(H441)="no",LOWER(V441)="not required"),"Not Required","Unclassified")))))))))))))</f>
        <v/>
      </c>
      <c r="Y441">
        <f>IF(A441="","",IF(OR(X441="Sanctioned",X441="Disbursed",X441="Approved"),"Approved",IF(X441="Rejected","Rejected",IF(OR(X441="Processing",X441="Documents Pending",X441="Vendor Assigned"),"In Progress",IF(X441="Need Loan","Pending Start","—"))))</f>
        <v/>
      </c>
      <c r="Z441">
        <f>IF(A441="","",IF(X441="Disbursed","Disbursed",IF(X441="Sanctioned","Sanctioned - Awaiting Disbursement","Not Disbursed")))</f>
        <v/>
      </c>
      <c r="AA441">
        <f>IF(A441="","",IF(LOWER(TRIM('01_Master_Data'!AI441&amp;""))="yes","Need FLDG",IF(LOWER(TRIM('01_Master_Data'!AK441&amp;""))="yes","Need Vidyalakshmi",IF(LOWER(TRIM('01_Master_Data'!AJ441&amp;""))="yes","Need Review",IF(LOWER(J441)="critical","Critical",IF(LOWER(U441)="risk","Risk Case",IF(X441="Refund","Refund","Normal")))))))</f>
        <v/>
      </c>
      <c r="AB441">
        <f>IF(A441="","",IF(OR(LOWER(J441)="critical",LOWER(TRIM('01_Master_Data'!AI441&amp;""))="yes",LOWER(TRIM('01_Master_Data'!AK441&amp;""))="yes",LOWER(U441)="risk"),"Yes","No"))</f>
        <v/>
      </c>
      <c r="AC441">
        <f>IF(A441="","",IF(LOWER(TRIM('01_Master_Data'!AI441&amp;""))="yes","Yes","No"))</f>
        <v/>
      </c>
      <c r="AD441">
        <f>IF(A441="","",IF(LOWER(TRIM('01_Master_Data'!AK441&amp;""))="yes","Yes","No"))</f>
        <v/>
      </c>
      <c r="AE441">
        <f>IF(A441="","",IF(LOWER(TRIM('01_Master_Data'!AJ441&amp;""))="yes","Yes","No"))</f>
        <v/>
      </c>
      <c r="AF441">
        <f>IF(A441="","",TRIM('01_Master_Data'!AL441&amp;""))</f>
        <v/>
      </c>
      <c r="AG441">
        <f>IF(A441="","",IF(AF441="","—",IF(ISNUMBER(SEARCH("DNP",AF441)),"Unreachable / DNP",IF(ISNUMBER(SEARCH("interest",LOWER(AF441))),"High Interest / Terms",IF(OR(ISNUMBER(SEARCH("eligib",LOWER(AF441))),ISNUMBER(SEARCH("income",LOWER(AF441)))),"Eligibility / Income",IF(OR(ISNUMBER(SEARCH("start",LOWER(AF441))),ISNUMBER(SEARCH("Newer",AF441)),ISNUMBER(SEARCH("Will start",AF441))),"Process Yet to Start",IF(ISNUMBER(SEARCH("sure",LOWER(AF441))),"Undecided",IF(OR(ISNUMBER(SEARCH("reject",LOWER(AF441))),ISNUMBER(SEARCH("SBI",AF441))),"Rejected Elsewhere",IF(ISNUMBER(SEARCH("call",LOWER(AF441))),"Bank Communication",IF(OR(ISNUMBER(SEARCH("father",LOWER(AF441))),ISNUMBER(SEARCH("sister",LOWER(AF441)))),"Family / Dependency","Other"))))))))))</f>
        <v/>
      </c>
      <c r="AH441">
        <f>IF(A441="","",'01_Master_Data'!AC441)</f>
        <v/>
      </c>
      <c r="AI441">
        <f>IF(A441="","",IF(OR(AH441="",NOT(ISNUMBER(AH441))),"",MAX(0,'02_Configuration'!$B$82-AH441)))</f>
        <v/>
      </c>
      <c r="AJ441">
        <f>IF(A441="","",IF(AI441="","Unknown",IF(AI441&lt;=3,"0–3 Days",IF(AI441&lt;=7,"4–7 Days",IF(AI441&lt;=15,"8–15 Days",IF(AI441&lt;=30,"16–30 Days","30+ Days"))))))</f>
        <v/>
      </c>
      <c r="AK441">
        <f>IF(A441="","",IF(LOWER(H441)="yes","Yes","No"))</f>
        <v/>
      </c>
      <c r="AL441">
        <f>IF(A441="","",'01_Master_Data'!T441)</f>
        <v/>
      </c>
      <c r="AM441">
        <f>IF(A441="","",'01_Master_Data'!S441)</f>
        <v/>
      </c>
      <c r="AN441">
        <f>IF(A441="","",'01_Master_Data'!I441)</f>
        <v/>
      </c>
      <c r="AO441">
        <f>IF(A441="","",'01_Master_Data'!M441)</f>
        <v/>
      </c>
      <c r="AP441">
        <f>IF(A441="","",IF(ISNUMBER(SEARCH("Icici",W441&amp;"")),1,0))</f>
        <v/>
      </c>
      <c r="AQ441">
        <f>IF(A441="","",IF(ISNUMBER(SEARCH("Propelld",W441&amp;"")),1,0))</f>
        <v/>
      </c>
      <c r="AR441">
        <f>IF(A441="","",IF(ISNUMBER(SEARCH("GyanDhan",W441&amp;"")),1,0))</f>
        <v/>
      </c>
      <c r="AS441">
        <f>IF(A441="","",IF(ISNUMBER(SEARCH("vidyalakshmi",LOWER(W441&amp;""))),1,0))</f>
        <v/>
      </c>
      <c r="AT441">
        <f>IF(A441="","",IF(ISNUMBER(SEARCH("other bank",LOWER(W441&amp;""))),1,0))</f>
        <v/>
      </c>
      <c r="AU441">
        <f>IF(A441="","",IF(ISNUMBER(SEARCH("sanctioned",LOWER(W441&amp;""))),1,0))</f>
        <v/>
      </c>
      <c r="AV441">
        <f>IF(A441="","",IF(ISNUMBER(SEARCH("Docs Pending",W441&amp;"")),1,0))</f>
        <v/>
      </c>
      <c r="AW441">
        <f>IF(A441="","",IF(OR(X441="Rejected",ISNUMBER(SEARCH("Not eligbile",W441&amp;""))),1,0))</f>
        <v/>
      </c>
    </row>
    <row r="442">
      <c r="A442">
        <f>IF('01_Master_Data'!B442="","",441)</f>
        <v/>
      </c>
      <c r="B442">
        <f>IF('01_Master_Data'!B442="","",IF('01_Master_Data'!C442&lt;&gt;"","MOB|"&amp;TEXT('01_Master_Data'!C442,"0"),IF('01_Master_Data'!D442&lt;&gt;"","PID|"&amp;TRIM('01_Master_Data'!D442&amp;""),"")))</f>
        <v/>
      </c>
      <c r="C442">
        <f>IF('01_Master_Data'!B442="","",'01_Master_Data'!B442)</f>
        <v/>
      </c>
      <c r="D442">
        <f>IF('01_Master_Data'!B442="","",'01_Master_Data'!C442)</f>
        <v/>
      </c>
      <c r="E442">
        <f>IF('01_Master_Data'!B442="","",'01_Master_Data'!D442)</f>
        <v/>
      </c>
      <c r="F442">
        <f>IF('01_Master_Data'!B442="","",'01_Master_Data'!E442)</f>
        <v/>
      </c>
      <c r="G442">
        <f>IF('01_Master_Data'!B442="","",IFERROR(VLOOKUP(TRIM('01_Master_Data'!E442&amp;""),'02_Configuration'!$A$40:$B$44,2,FALSE),UPPER(TRIM('01_Master_Data'!E442&amp;""))))</f>
        <v/>
      </c>
      <c r="H442">
        <f>IF('01_Master_Data'!B442="","",IF('01_Master_Data'!U442="","",TRIM('01_Master_Data'!U442&amp;"")))</f>
        <v/>
      </c>
      <c r="I442">
        <f>IF('01_Master_Data'!B442="","",TRIM('01_Master_Data'!F442&amp;""))</f>
        <v/>
      </c>
      <c r="J442">
        <f>IF('01_Master_Data'!B442="","",TRIM('01_Master_Data'!G442&amp;""))</f>
        <v/>
      </c>
      <c r="K442">
        <f>IF('01_Master_Data'!B442="","",'01_Master_Data'!H442)</f>
        <v/>
      </c>
      <c r="L442">
        <f>IF('01_Master_Data'!B442="","",IF(LOWER(TRIM('01_Master_Data'!V442&amp;""))="yes",1,0))</f>
        <v/>
      </c>
      <c r="M442">
        <f>IF('01_Master_Data'!B442="","",IF(LOWER(TRIM('01_Master_Data'!W442&amp;""))="yes",1,0))</f>
        <v/>
      </c>
      <c r="N442">
        <f>IF('01_Master_Data'!B442="","",IF(LOWER(TRIM('01_Master_Data'!X442&amp;""))="yes",1,0))</f>
        <v/>
      </c>
      <c r="O442">
        <f>IF('01_Master_Data'!B442="","",IF(LOWER(TRIM('01_Master_Data'!Y442&amp;""))="yes",1,0))</f>
        <v/>
      </c>
      <c r="P442">
        <f>IF('01_Master_Data'!B442="","",IF(LOWER(TRIM('01_Master_Data'!Z442&amp;""))="yes",1,0))</f>
        <v/>
      </c>
      <c r="Q442">
        <f>IF(A442="","",L442+M442+N442+O442+P442)</f>
        <v/>
      </c>
      <c r="R442">
        <f>IF(A442="","",IF(Q442&gt;1,"Yes","No"))</f>
        <v/>
      </c>
      <c r="S442">
        <f>IF(A442="","",TEXTJOIN(", ",TRUE,IF(L442=1,"ICICI",""),IF(M442=1,"Propelld",""),IF(N442=1,"Study4Buddy",""),IF(O442=1,"Poonawala Fincorp",""),IF(P442=1,"GyanDhan","")))</f>
        <v/>
      </c>
      <c r="T442">
        <f>IF(A442="","",IF(L442=1,"ICICI",IF(M442=1,"Propelld",IF(P442=1,"GyanDhan",IF(N442=1,"Study4Buddy",IF(O442=1,"Poonawala Fincorp",IF(ISNUMBER(SEARCH("GyanDhan",W442&amp;"")),"GyanDhan",IF(ISNUMBER(SEARCH("Icici",W442&amp;"")),"ICICI",IF(ISNUMBER(SEARCH("Propelld",W442&amp;"")),"Propelld",IF(ISNUMBER(SEARCH("vidyalakshmi",LOWER(W442&amp;"")),"PM Vidyalakshmi","—"))))))))))</f>
        <v/>
      </c>
      <c r="U442">
        <f>IF(A442="","",TRIM('01_Master_Data'!AA442&amp;""))</f>
        <v/>
      </c>
      <c r="V442">
        <f>IF(A442="","",TRIM('01_Master_Data'!AG442&amp;""))</f>
        <v/>
      </c>
      <c r="W442">
        <f>IF(A442="","",TRIM('01_Master_Data'!AH442&amp;""))</f>
        <v/>
      </c>
      <c r="X442">
        <f>IF(A442="","",IF(OR(LOWER(H442)="refund",LOWER(U442)="refund case"),"Refund",IF(OR(LOWER(H442)="dnp",LOWER(U442)="dnp"),"DNP",IF(OR(LOWER(V442)="disbursed",ISNUMBER(SEARCH("Disbursed",W442&amp;""))),"Disbursed",IF(OR(LOWER(V442)="loan proccessed/accepted",ISNUMBER(SEARCH("sanctioned",LOWER(W442&amp;"")))),"Sanctioned",IF(OR(LOWER(V442)="rejected",ISNUMBER(SEARCH("Not eligbile",W442&amp;"")),ISNUMBER(SEARCH("Not eligible",W442&amp;""))),"Rejected",IF(ISNUMBER(SEARCH("Docs Pending",W442&amp;"")),"Documents Pending",IF(AND(LOWER(H442)="yes",LOWER(V442)="ongoing"),"Processing",IF(AND(LOWER(H442)="yes",Q442&gt;0,OR(V442="",LOWER(V442)="not even started")),"Vendor Assigned",IF(AND(LOWER(H442)="yes",LOWER(V442)="not even started"),"Need Loan",IF(LOWER(H442)="yes","Loan Started",IF(LOWER(H442)="not sure","Interested",IF(OR(LOWER(H442)="no",LOWER(V442)="not required"),"Not Required","Unclassified")))))))))))))</f>
        <v/>
      </c>
      <c r="Y442">
        <f>IF(A442="","",IF(OR(X442="Sanctioned",X442="Disbursed",X442="Approved"),"Approved",IF(X442="Rejected","Rejected",IF(OR(X442="Processing",X442="Documents Pending",X442="Vendor Assigned"),"In Progress",IF(X442="Need Loan","Pending Start","—"))))</f>
        <v/>
      </c>
      <c r="Z442">
        <f>IF(A442="","",IF(X442="Disbursed","Disbursed",IF(X442="Sanctioned","Sanctioned - Awaiting Disbursement","Not Disbursed")))</f>
        <v/>
      </c>
      <c r="AA442">
        <f>IF(A442="","",IF(LOWER(TRIM('01_Master_Data'!AI442&amp;""))="yes","Need FLDG",IF(LOWER(TRIM('01_Master_Data'!AK442&amp;""))="yes","Need Vidyalakshmi",IF(LOWER(TRIM('01_Master_Data'!AJ442&amp;""))="yes","Need Review",IF(LOWER(J442)="critical","Critical",IF(LOWER(U442)="risk","Risk Case",IF(X442="Refund","Refund","Normal")))))))</f>
        <v/>
      </c>
      <c r="AB442">
        <f>IF(A442="","",IF(OR(LOWER(J442)="critical",LOWER(TRIM('01_Master_Data'!AI442&amp;""))="yes",LOWER(TRIM('01_Master_Data'!AK442&amp;""))="yes",LOWER(U442)="risk"),"Yes","No"))</f>
        <v/>
      </c>
      <c r="AC442">
        <f>IF(A442="","",IF(LOWER(TRIM('01_Master_Data'!AI442&amp;""))="yes","Yes","No"))</f>
        <v/>
      </c>
      <c r="AD442">
        <f>IF(A442="","",IF(LOWER(TRIM('01_Master_Data'!AK442&amp;""))="yes","Yes","No"))</f>
        <v/>
      </c>
      <c r="AE442">
        <f>IF(A442="","",IF(LOWER(TRIM('01_Master_Data'!AJ442&amp;""))="yes","Yes","No"))</f>
        <v/>
      </c>
      <c r="AF442">
        <f>IF(A442="","",TRIM('01_Master_Data'!AL442&amp;""))</f>
        <v/>
      </c>
      <c r="AG442">
        <f>IF(A442="","",IF(AF442="","—",IF(ISNUMBER(SEARCH("DNP",AF442)),"Unreachable / DNP",IF(ISNUMBER(SEARCH("interest",LOWER(AF442))),"High Interest / Terms",IF(OR(ISNUMBER(SEARCH("eligib",LOWER(AF442))),ISNUMBER(SEARCH("income",LOWER(AF442)))),"Eligibility / Income",IF(OR(ISNUMBER(SEARCH("start",LOWER(AF442))),ISNUMBER(SEARCH("Newer",AF442)),ISNUMBER(SEARCH("Will start",AF442))),"Process Yet to Start",IF(ISNUMBER(SEARCH("sure",LOWER(AF442))),"Undecided",IF(OR(ISNUMBER(SEARCH("reject",LOWER(AF442))),ISNUMBER(SEARCH("SBI",AF442))),"Rejected Elsewhere",IF(ISNUMBER(SEARCH("call",LOWER(AF442))),"Bank Communication",IF(OR(ISNUMBER(SEARCH("father",LOWER(AF442))),ISNUMBER(SEARCH("sister",LOWER(AF442)))),"Family / Dependency","Other"))))))))))</f>
        <v/>
      </c>
      <c r="AH442">
        <f>IF(A442="","",'01_Master_Data'!AC442)</f>
        <v/>
      </c>
      <c r="AI442">
        <f>IF(A442="","",IF(OR(AH442="",NOT(ISNUMBER(AH442))),"",MAX(0,'02_Configuration'!$B$82-AH442)))</f>
        <v/>
      </c>
      <c r="AJ442">
        <f>IF(A442="","",IF(AI442="","Unknown",IF(AI442&lt;=3,"0–3 Days",IF(AI442&lt;=7,"4–7 Days",IF(AI442&lt;=15,"8–15 Days",IF(AI442&lt;=30,"16–30 Days","30+ Days"))))))</f>
        <v/>
      </c>
      <c r="AK442">
        <f>IF(A442="","",IF(LOWER(H442)="yes","Yes","No"))</f>
        <v/>
      </c>
      <c r="AL442">
        <f>IF(A442="","",'01_Master_Data'!T442)</f>
        <v/>
      </c>
      <c r="AM442">
        <f>IF(A442="","",'01_Master_Data'!S442)</f>
        <v/>
      </c>
      <c r="AN442">
        <f>IF(A442="","",'01_Master_Data'!I442)</f>
        <v/>
      </c>
      <c r="AO442">
        <f>IF(A442="","",'01_Master_Data'!M442)</f>
        <v/>
      </c>
      <c r="AP442">
        <f>IF(A442="","",IF(ISNUMBER(SEARCH("Icici",W442&amp;"")),1,0))</f>
        <v/>
      </c>
      <c r="AQ442">
        <f>IF(A442="","",IF(ISNUMBER(SEARCH("Propelld",W442&amp;"")),1,0))</f>
        <v/>
      </c>
      <c r="AR442">
        <f>IF(A442="","",IF(ISNUMBER(SEARCH("GyanDhan",W442&amp;"")),1,0))</f>
        <v/>
      </c>
      <c r="AS442">
        <f>IF(A442="","",IF(ISNUMBER(SEARCH("vidyalakshmi",LOWER(W442&amp;""))),1,0))</f>
        <v/>
      </c>
      <c r="AT442">
        <f>IF(A442="","",IF(ISNUMBER(SEARCH("other bank",LOWER(W442&amp;""))),1,0))</f>
        <v/>
      </c>
      <c r="AU442">
        <f>IF(A442="","",IF(ISNUMBER(SEARCH("sanctioned",LOWER(W442&amp;""))),1,0))</f>
        <v/>
      </c>
      <c r="AV442">
        <f>IF(A442="","",IF(ISNUMBER(SEARCH("Docs Pending",W442&amp;"")),1,0))</f>
        <v/>
      </c>
      <c r="AW442">
        <f>IF(A442="","",IF(OR(X442="Rejected",ISNUMBER(SEARCH("Not eligbile",W442&amp;""))),1,0))</f>
        <v/>
      </c>
    </row>
    <row r="443">
      <c r="A443">
        <f>IF('01_Master_Data'!B443="","",442)</f>
        <v/>
      </c>
      <c r="B443">
        <f>IF('01_Master_Data'!B443="","",IF('01_Master_Data'!C443&lt;&gt;"","MOB|"&amp;TEXT('01_Master_Data'!C443,"0"),IF('01_Master_Data'!D443&lt;&gt;"","PID|"&amp;TRIM('01_Master_Data'!D443&amp;""),"")))</f>
        <v/>
      </c>
      <c r="C443">
        <f>IF('01_Master_Data'!B443="","",'01_Master_Data'!B443)</f>
        <v/>
      </c>
      <c r="D443">
        <f>IF('01_Master_Data'!B443="","",'01_Master_Data'!C443)</f>
        <v/>
      </c>
      <c r="E443">
        <f>IF('01_Master_Data'!B443="","",'01_Master_Data'!D443)</f>
        <v/>
      </c>
      <c r="F443">
        <f>IF('01_Master_Data'!B443="","",'01_Master_Data'!E443)</f>
        <v/>
      </c>
      <c r="G443">
        <f>IF('01_Master_Data'!B443="","",IFERROR(VLOOKUP(TRIM('01_Master_Data'!E443&amp;""),'02_Configuration'!$A$40:$B$44,2,FALSE),UPPER(TRIM('01_Master_Data'!E443&amp;""))))</f>
        <v/>
      </c>
      <c r="H443">
        <f>IF('01_Master_Data'!B443="","",IF('01_Master_Data'!U443="","",TRIM('01_Master_Data'!U443&amp;"")))</f>
        <v/>
      </c>
      <c r="I443">
        <f>IF('01_Master_Data'!B443="","",TRIM('01_Master_Data'!F443&amp;""))</f>
        <v/>
      </c>
      <c r="J443">
        <f>IF('01_Master_Data'!B443="","",TRIM('01_Master_Data'!G443&amp;""))</f>
        <v/>
      </c>
      <c r="K443">
        <f>IF('01_Master_Data'!B443="","",'01_Master_Data'!H443)</f>
        <v/>
      </c>
      <c r="L443">
        <f>IF('01_Master_Data'!B443="","",IF(LOWER(TRIM('01_Master_Data'!V443&amp;""))="yes",1,0))</f>
        <v/>
      </c>
      <c r="M443">
        <f>IF('01_Master_Data'!B443="","",IF(LOWER(TRIM('01_Master_Data'!W443&amp;""))="yes",1,0))</f>
        <v/>
      </c>
      <c r="N443">
        <f>IF('01_Master_Data'!B443="","",IF(LOWER(TRIM('01_Master_Data'!X443&amp;""))="yes",1,0))</f>
        <v/>
      </c>
      <c r="O443">
        <f>IF('01_Master_Data'!B443="","",IF(LOWER(TRIM('01_Master_Data'!Y443&amp;""))="yes",1,0))</f>
        <v/>
      </c>
      <c r="P443">
        <f>IF('01_Master_Data'!B443="","",IF(LOWER(TRIM('01_Master_Data'!Z443&amp;""))="yes",1,0))</f>
        <v/>
      </c>
      <c r="Q443">
        <f>IF(A443="","",L443+M443+N443+O443+P443)</f>
        <v/>
      </c>
      <c r="R443">
        <f>IF(A443="","",IF(Q443&gt;1,"Yes","No"))</f>
        <v/>
      </c>
      <c r="S443">
        <f>IF(A443="","",TEXTJOIN(", ",TRUE,IF(L443=1,"ICICI",""),IF(M443=1,"Propelld",""),IF(N443=1,"Study4Buddy",""),IF(O443=1,"Poonawala Fincorp",""),IF(P443=1,"GyanDhan","")))</f>
        <v/>
      </c>
      <c r="T443">
        <f>IF(A443="","",IF(L443=1,"ICICI",IF(M443=1,"Propelld",IF(P443=1,"GyanDhan",IF(N443=1,"Study4Buddy",IF(O443=1,"Poonawala Fincorp",IF(ISNUMBER(SEARCH("GyanDhan",W443&amp;"")),"GyanDhan",IF(ISNUMBER(SEARCH("Icici",W443&amp;"")),"ICICI",IF(ISNUMBER(SEARCH("Propelld",W443&amp;"")),"Propelld",IF(ISNUMBER(SEARCH("vidyalakshmi",LOWER(W443&amp;"")),"PM Vidyalakshmi","—"))))))))))</f>
        <v/>
      </c>
      <c r="U443">
        <f>IF(A443="","",TRIM('01_Master_Data'!AA443&amp;""))</f>
        <v/>
      </c>
      <c r="V443">
        <f>IF(A443="","",TRIM('01_Master_Data'!AG443&amp;""))</f>
        <v/>
      </c>
      <c r="W443">
        <f>IF(A443="","",TRIM('01_Master_Data'!AH443&amp;""))</f>
        <v/>
      </c>
      <c r="X443">
        <f>IF(A443="","",IF(OR(LOWER(H443)="refund",LOWER(U443)="refund case"),"Refund",IF(OR(LOWER(H443)="dnp",LOWER(U443)="dnp"),"DNP",IF(OR(LOWER(V443)="disbursed",ISNUMBER(SEARCH("Disbursed",W443&amp;""))),"Disbursed",IF(OR(LOWER(V443)="loan proccessed/accepted",ISNUMBER(SEARCH("sanctioned",LOWER(W443&amp;"")))),"Sanctioned",IF(OR(LOWER(V443)="rejected",ISNUMBER(SEARCH("Not eligbile",W443&amp;"")),ISNUMBER(SEARCH("Not eligible",W443&amp;""))),"Rejected",IF(ISNUMBER(SEARCH("Docs Pending",W443&amp;"")),"Documents Pending",IF(AND(LOWER(H443)="yes",LOWER(V443)="ongoing"),"Processing",IF(AND(LOWER(H443)="yes",Q443&gt;0,OR(V443="",LOWER(V443)="not even started")),"Vendor Assigned",IF(AND(LOWER(H443)="yes",LOWER(V443)="not even started"),"Need Loan",IF(LOWER(H443)="yes","Loan Started",IF(LOWER(H443)="not sure","Interested",IF(OR(LOWER(H443)="no",LOWER(V443)="not required"),"Not Required","Unclassified")))))))))))))</f>
        <v/>
      </c>
      <c r="Y443">
        <f>IF(A443="","",IF(OR(X443="Sanctioned",X443="Disbursed",X443="Approved"),"Approved",IF(X443="Rejected","Rejected",IF(OR(X443="Processing",X443="Documents Pending",X443="Vendor Assigned"),"In Progress",IF(X443="Need Loan","Pending Start","—"))))</f>
        <v/>
      </c>
      <c r="Z443">
        <f>IF(A443="","",IF(X443="Disbursed","Disbursed",IF(X443="Sanctioned","Sanctioned - Awaiting Disbursement","Not Disbursed")))</f>
        <v/>
      </c>
      <c r="AA443">
        <f>IF(A443="","",IF(LOWER(TRIM('01_Master_Data'!AI443&amp;""))="yes","Need FLDG",IF(LOWER(TRIM('01_Master_Data'!AK443&amp;""))="yes","Need Vidyalakshmi",IF(LOWER(TRIM('01_Master_Data'!AJ443&amp;""))="yes","Need Review",IF(LOWER(J443)="critical","Critical",IF(LOWER(U443)="risk","Risk Case",IF(X443="Refund","Refund","Normal")))))))</f>
        <v/>
      </c>
      <c r="AB443">
        <f>IF(A443="","",IF(OR(LOWER(J443)="critical",LOWER(TRIM('01_Master_Data'!AI443&amp;""))="yes",LOWER(TRIM('01_Master_Data'!AK443&amp;""))="yes",LOWER(U443)="risk"),"Yes","No"))</f>
        <v/>
      </c>
      <c r="AC443">
        <f>IF(A443="","",IF(LOWER(TRIM('01_Master_Data'!AI443&amp;""))="yes","Yes","No"))</f>
        <v/>
      </c>
      <c r="AD443">
        <f>IF(A443="","",IF(LOWER(TRIM('01_Master_Data'!AK443&amp;""))="yes","Yes","No"))</f>
        <v/>
      </c>
      <c r="AE443">
        <f>IF(A443="","",IF(LOWER(TRIM('01_Master_Data'!AJ443&amp;""))="yes","Yes","No"))</f>
        <v/>
      </c>
      <c r="AF443">
        <f>IF(A443="","",TRIM('01_Master_Data'!AL443&amp;""))</f>
        <v/>
      </c>
      <c r="AG443">
        <f>IF(A443="","",IF(AF443="","—",IF(ISNUMBER(SEARCH("DNP",AF443)),"Unreachable / DNP",IF(ISNUMBER(SEARCH("interest",LOWER(AF443))),"High Interest / Terms",IF(OR(ISNUMBER(SEARCH("eligib",LOWER(AF443))),ISNUMBER(SEARCH("income",LOWER(AF443)))),"Eligibility / Income",IF(OR(ISNUMBER(SEARCH("start",LOWER(AF443))),ISNUMBER(SEARCH("Newer",AF443)),ISNUMBER(SEARCH("Will start",AF443))),"Process Yet to Start",IF(ISNUMBER(SEARCH("sure",LOWER(AF443))),"Undecided",IF(OR(ISNUMBER(SEARCH("reject",LOWER(AF443))),ISNUMBER(SEARCH("SBI",AF443))),"Rejected Elsewhere",IF(ISNUMBER(SEARCH("call",LOWER(AF443))),"Bank Communication",IF(OR(ISNUMBER(SEARCH("father",LOWER(AF443))),ISNUMBER(SEARCH("sister",LOWER(AF443)))),"Family / Dependency","Other"))))))))))</f>
        <v/>
      </c>
      <c r="AH443">
        <f>IF(A443="","",'01_Master_Data'!AC443)</f>
        <v/>
      </c>
      <c r="AI443">
        <f>IF(A443="","",IF(OR(AH443="",NOT(ISNUMBER(AH443))),"",MAX(0,'02_Configuration'!$B$82-AH443)))</f>
        <v/>
      </c>
      <c r="AJ443">
        <f>IF(A443="","",IF(AI443="","Unknown",IF(AI443&lt;=3,"0–3 Days",IF(AI443&lt;=7,"4–7 Days",IF(AI443&lt;=15,"8–15 Days",IF(AI443&lt;=30,"16–30 Days","30+ Days"))))))</f>
        <v/>
      </c>
      <c r="AK443">
        <f>IF(A443="","",IF(LOWER(H443)="yes","Yes","No"))</f>
        <v/>
      </c>
      <c r="AL443">
        <f>IF(A443="","",'01_Master_Data'!T443)</f>
        <v/>
      </c>
      <c r="AM443">
        <f>IF(A443="","",'01_Master_Data'!S443)</f>
        <v/>
      </c>
      <c r="AN443">
        <f>IF(A443="","",'01_Master_Data'!I443)</f>
        <v/>
      </c>
      <c r="AO443">
        <f>IF(A443="","",'01_Master_Data'!M443)</f>
        <v/>
      </c>
      <c r="AP443">
        <f>IF(A443="","",IF(ISNUMBER(SEARCH("Icici",W443&amp;"")),1,0))</f>
        <v/>
      </c>
      <c r="AQ443">
        <f>IF(A443="","",IF(ISNUMBER(SEARCH("Propelld",W443&amp;"")),1,0))</f>
        <v/>
      </c>
      <c r="AR443">
        <f>IF(A443="","",IF(ISNUMBER(SEARCH("GyanDhan",W443&amp;"")),1,0))</f>
        <v/>
      </c>
      <c r="AS443">
        <f>IF(A443="","",IF(ISNUMBER(SEARCH("vidyalakshmi",LOWER(W443&amp;""))),1,0))</f>
        <v/>
      </c>
      <c r="AT443">
        <f>IF(A443="","",IF(ISNUMBER(SEARCH("other bank",LOWER(W443&amp;""))),1,0))</f>
        <v/>
      </c>
      <c r="AU443">
        <f>IF(A443="","",IF(ISNUMBER(SEARCH("sanctioned",LOWER(W443&amp;""))),1,0))</f>
        <v/>
      </c>
      <c r="AV443">
        <f>IF(A443="","",IF(ISNUMBER(SEARCH("Docs Pending",W443&amp;"")),1,0))</f>
        <v/>
      </c>
      <c r="AW443">
        <f>IF(A443="","",IF(OR(X443="Rejected",ISNUMBER(SEARCH("Not eligbile",W443&amp;""))),1,0))</f>
        <v/>
      </c>
    </row>
    <row r="444">
      <c r="A444">
        <f>IF('01_Master_Data'!B444="","",443)</f>
        <v/>
      </c>
      <c r="B444">
        <f>IF('01_Master_Data'!B444="","",IF('01_Master_Data'!C444&lt;&gt;"","MOB|"&amp;TEXT('01_Master_Data'!C444,"0"),IF('01_Master_Data'!D444&lt;&gt;"","PID|"&amp;TRIM('01_Master_Data'!D444&amp;""),"")))</f>
        <v/>
      </c>
      <c r="C444">
        <f>IF('01_Master_Data'!B444="","",'01_Master_Data'!B444)</f>
        <v/>
      </c>
      <c r="D444">
        <f>IF('01_Master_Data'!B444="","",'01_Master_Data'!C444)</f>
        <v/>
      </c>
      <c r="E444">
        <f>IF('01_Master_Data'!B444="","",'01_Master_Data'!D444)</f>
        <v/>
      </c>
      <c r="F444">
        <f>IF('01_Master_Data'!B444="","",'01_Master_Data'!E444)</f>
        <v/>
      </c>
      <c r="G444">
        <f>IF('01_Master_Data'!B444="","",IFERROR(VLOOKUP(TRIM('01_Master_Data'!E444&amp;""),'02_Configuration'!$A$40:$B$44,2,FALSE),UPPER(TRIM('01_Master_Data'!E444&amp;""))))</f>
        <v/>
      </c>
      <c r="H444">
        <f>IF('01_Master_Data'!B444="","",IF('01_Master_Data'!U444="","",TRIM('01_Master_Data'!U444&amp;"")))</f>
        <v/>
      </c>
      <c r="I444">
        <f>IF('01_Master_Data'!B444="","",TRIM('01_Master_Data'!F444&amp;""))</f>
        <v/>
      </c>
      <c r="J444">
        <f>IF('01_Master_Data'!B444="","",TRIM('01_Master_Data'!G444&amp;""))</f>
        <v/>
      </c>
      <c r="K444">
        <f>IF('01_Master_Data'!B444="","",'01_Master_Data'!H444)</f>
        <v/>
      </c>
      <c r="L444">
        <f>IF('01_Master_Data'!B444="","",IF(LOWER(TRIM('01_Master_Data'!V444&amp;""))="yes",1,0))</f>
        <v/>
      </c>
      <c r="M444">
        <f>IF('01_Master_Data'!B444="","",IF(LOWER(TRIM('01_Master_Data'!W444&amp;""))="yes",1,0))</f>
        <v/>
      </c>
      <c r="N444">
        <f>IF('01_Master_Data'!B444="","",IF(LOWER(TRIM('01_Master_Data'!X444&amp;""))="yes",1,0))</f>
        <v/>
      </c>
      <c r="O444">
        <f>IF('01_Master_Data'!B444="","",IF(LOWER(TRIM('01_Master_Data'!Y444&amp;""))="yes",1,0))</f>
        <v/>
      </c>
      <c r="P444">
        <f>IF('01_Master_Data'!B444="","",IF(LOWER(TRIM('01_Master_Data'!Z444&amp;""))="yes",1,0))</f>
        <v/>
      </c>
      <c r="Q444">
        <f>IF(A444="","",L444+M444+N444+O444+P444)</f>
        <v/>
      </c>
      <c r="R444">
        <f>IF(A444="","",IF(Q444&gt;1,"Yes","No"))</f>
        <v/>
      </c>
      <c r="S444">
        <f>IF(A444="","",TEXTJOIN(", ",TRUE,IF(L444=1,"ICICI",""),IF(M444=1,"Propelld",""),IF(N444=1,"Study4Buddy",""),IF(O444=1,"Poonawala Fincorp",""),IF(P444=1,"GyanDhan","")))</f>
        <v/>
      </c>
      <c r="T444">
        <f>IF(A444="","",IF(L444=1,"ICICI",IF(M444=1,"Propelld",IF(P444=1,"GyanDhan",IF(N444=1,"Study4Buddy",IF(O444=1,"Poonawala Fincorp",IF(ISNUMBER(SEARCH("GyanDhan",W444&amp;"")),"GyanDhan",IF(ISNUMBER(SEARCH("Icici",W444&amp;"")),"ICICI",IF(ISNUMBER(SEARCH("Propelld",W444&amp;"")),"Propelld",IF(ISNUMBER(SEARCH("vidyalakshmi",LOWER(W444&amp;"")),"PM Vidyalakshmi","—"))))))))))</f>
        <v/>
      </c>
      <c r="U444">
        <f>IF(A444="","",TRIM('01_Master_Data'!AA444&amp;""))</f>
        <v/>
      </c>
      <c r="V444">
        <f>IF(A444="","",TRIM('01_Master_Data'!AG444&amp;""))</f>
        <v/>
      </c>
      <c r="W444">
        <f>IF(A444="","",TRIM('01_Master_Data'!AH444&amp;""))</f>
        <v/>
      </c>
      <c r="X444">
        <f>IF(A444="","",IF(OR(LOWER(H444)="refund",LOWER(U444)="refund case"),"Refund",IF(OR(LOWER(H444)="dnp",LOWER(U444)="dnp"),"DNP",IF(OR(LOWER(V444)="disbursed",ISNUMBER(SEARCH("Disbursed",W444&amp;""))),"Disbursed",IF(OR(LOWER(V444)="loan proccessed/accepted",ISNUMBER(SEARCH("sanctioned",LOWER(W444&amp;"")))),"Sanctioned",IF(OR(LOWER(V444)="rejected",ISNUMBER(SEARCH("Not eligbile",W444&amp;"")),ISNUMBER(SEARCH("Not eligible",W444&amp;""))),"Rejected",IF(ISNUMBER(SEARCH("Docs Pending",W444&amp;"")),"Documents Pending",IF(AND(LOWER(H444)="yes",LOWER(V444)="ongoing"),"Processing",IF(AND(LOWER(H444)="yes",Q444&gt;0,OR(V444="",LOWER(V444)="not even started")),"Vendor Assigned",IF(AND(LOWER(H444)="yes",LOWER(V444)="not even started"),"Need Loan",IF(LOWER(H444)="yes","Loan Started",IF(LOWER(H444)="not sure","Interested",IF(OR(LOWER(H444)="no",LOWER(V444)="not required"),"Not Required","Unclassified")))))))))))))</f>
        <v/>
      </c>
      <c r="Y444">
        <f>IF(A444="","",IF(OR(X444="Sanctioned",X444="Disbursed",X444="Approved"),"Approved",IF(X444="Rejected","Rejected",IF(OR(X444="Processing",X444="Documents Pending",X444="Vendor Assigned"),"In Progress",IF(X444="Need Loan","Pending Start","—"))))</f>
        <v/>
      </c>
      <c r="Z444">
        <f>IF(A444="","",IF(X444="Disbursed","Disbursed",IF(X444="Sanctioned","Sanctioned - Awaiting Disbursement","Not Disbursed")))</f>
        <v/>
      </c>
      <c r="AA444">
        <f>IF(A444="","",IF(LOWER(TRIM('01_Master_Data'!AI444&amp;""))="yes","Need FLDG",IF(LOWER(TRIM('01_Master_Data'!AK444&amp;""))="yes","Need Vidyalakshmi",IF(LOWER(TRIM('01_Master_Data'!AJ444&amp;""))="yes","Need Review",IF(LOWER(J444)="critical","Critical",IF(LOWER(U444)="risk","Risk Case",IF(X444="Refund","Refund","Normal")))))))</f>
        <v/>
      </c>
      <c r="AB444">
        <f>IF(A444="","",IF(OR(LOWER(J444)="critical",LOWER(TRIM('01_Master_Data'!AI444&amp;""))="yes",LOWER(TRIM('01_Master_Data'!AK444&amp;""))="yes",LOWER(U444)="risk"),"Yes","No"))</f>
        <v/>
      </c>
      <c r="AC444">
        <f>IF(A444="","",IF(LOWER(TRIM('01_Master_Data'!AI444&amp;""))="yes","Yes","No"))</f>
        <v/>
      </c>
      <c r="AD444">
        <f>IF(A444="","",IF(LOWER(TRIM('01_Master_Data'!AK444&amp;""))="yes","Yes","No"))</f>
        <v/>
      </c>
      <c r="AE444">
        <f>IF(A444="","",IF(LOWER(TRIM('01_Master_Data'!AJ444&amp;""))="yes","Yes","No"))</f>
        <v/>
      </c>
      <c r="AF444">
        <f>IF(A444="","",TRIM('01_Master_Data'!AL444&amp;""))</f>
        <v/>
      </c>
      <c r="AG444">
        <f>IF(A444="","",IF(AF444="","—",IF(ISNUMBER(SEARCH("DNP",AF444)),"Unreachable / DNP",IF(ISNUMBER(SEARCH("interest",LOWER(AF444))),"High Interest / Terms",IF(OR(ISNUMBER(SEARCH("eligib",LOWER(AF444))),ISNUMBER(SEARCH("income",LOWER(AF444)))),"Eligibility / Income",IF(OR(ISNUMBER(SEARCH("start",LOWER(AF444))),ISNUMBER(SEARCH("Newer",AF444)),ISNUMBER(SEARCH("Will start",AF444))),"Process Yet to Start",IF(ISNUMBER(SEARCH("sure",LOWER(AF444))),"Undecided",IF(OR(ISNUMBER(SEARCH("reject",LOWER(AF444))),ISNUMBER(SEARCH("SBI",AF444))),"Rejected Elsewhere",IF(ISNUMBER(SEARCH("call",LOWER(AF444))),"Bank Communication",IF(OR(ISNUMBER(SEARCH("father",LOWER(AF444))),ISNUMBER(SEARCH("sister",LOWER(AF444)))),"Family / Dependency","Other"))))))))))</f>
        <v/>
      </c>
      <c r="AH444">
        <f>IF(A444="","",'01_Master_Data'!AC444)</f>
        <v/>
      </c>
      <c r="AI444">
        <f>IF(A444="","",IF(OR(AH444="",NOT(ISNUMBER(AH444))),"",MAX(0,'02_Configuration'!$B$82-AH444)))</f>
        <v/>
      </c>
      <c r="AJ444">
        <f>IF(A444="","",IF(AI444="","Unknown",IF(AI444&lt;=3,"0–3 Days",IF(AI444&lt;=7,"4–7 Days",IF(AI444&lt;=15,"8–15 Days",IF(AI444&lt;=30,"16–30 Days","30+ Days"))))))</f>
        <v/>
      </c>
      <c r="AK444">
        <f>IF(A444="","",IF(LOWER(H444)="yes","Yes","No"))</f>
        <v/>
      </c>
      <c r="AL444">
        <f>IF(A444="","",'01_Master_Data'!T444)</f>
        <v/>
      </c>
      <c r="AM444">
        <f>IF(A444="","",'01_Master_Data'!S444)</f>
        <v/>
      </c>
      <c r="AN444">
        <f>IF(A444="","",'01_Master_Data'!I444)</f>
        <v/>
      </c>
      <c r="AO444">
        <f>IF(A444="","",'01_Master_Data'!M444)</f>
        <v/>
      </c>
      <c r="AP444">
        <f>IF(A444="","",IF(ISNUMBER(SEARCH("Icici",W444&amp;"")),1,0))</f>
        <v/>
      </c>
      <c r="AQ444">
        <f>IF(A444="","",IF(ISNUMBER(SEARCH("Propelld",W444&amp;"")),1,0))</f>
        <v/>
      </c>
      <c r="AR444">
        <f>IF(A444="","",IF(ISNUMBER(SEARCH("GyanDhan",W444&amp;"")),1,0))</f>
        <v/>
      </c>
      <c r="AS444">
        <f>IF(A444="","",IF(ISNUMBER(SEARCH("vidyalakshmi",LOWER(W444&amp;""))),1,0))</f>
        <v/>
      </c>
      <c r="AT444">
        <f>IF(A444="","",IF(ISNUMBER(SEARCH("other bank",LOWER(W444&amp;""))),1,0))</f>
        <v/>
      </c>
      <c r="AU444">
        <f>IF(A444="","",IF(ISNUMBER(SEARCH("sanctioned",LOWER(W444&amp;""))),1,0))</f>
        <v/>
      </c>
      <c r="AV444">
        <f>IF(A444="","",IF(ISNUMBER(SEARCH("Docs Pending",W444&amp;"")),1,0))</f>
        <v/>
      </c>
      <c r="AW444">
        <f>IF(A444="","",IF(OR(X444="Rejected",ISNUMBER(SEARCH("Not eligbile",W444&amp;""))),1,0))</f>
        <v/>
      </c>
    </row>
    <row r="445">
      <c r="A445">
        <f>IF('01_Master_Data'!B445="","",444)</f>
        <v/>
      </c>
      <c r="B445">
        <f>IF('01_Master_Data'!B445="","",IF('01_Master_Data'!C445&lt;&gt;"","MOB|"&amp;TEXT('01_Master_Data'!C445,"0"),IF('01_Master_Data'!D445&lt;&gt;"","PID|"&amp;TRIM('01_Master_Data'!D445&amp;""),"")))</f>
        <v/>
      </c>
      <c r="C445">
        <f>IF('01_Master_Data'!B445="","",'01_Master_Data'!B445)</f>
        <v/>
      </c>
      <c r="D445">
        <f>IF('01_Master_Data'!B445="","",'01_Master_Data'!C445)</f>
        <v/>
      </c>
      <c r="E445">
        <f>IF('01_Master_Data'!B445="","",'01_Master_Data'!D445)</f>
        <v/>
      </c>
      <c r="F445">
        <f>IF('01_Master_Data'!B445="","",'01_Master_Data'!E445)</f>
        <v/>
      </c>
      <c r="G445">
        <f>IF('01_Master_Data'!B445="","",IFERROR(VLOOKUP(TRIM('01_Master_Data'!E445&amp;""),'02_Configuration'!$A$40:$B$44,2,FALSE),UPPER(TRIM('01_Master_Data'!E445&amp;""))))</f>
        <v/>
      </c>
      <c r="H445">
        <f>IF('01_Master_Data'!B445="","",IF('01_Master_Data'!U445="","",TRIM('01_Master_Data'!U445&amp;"")))</f>
        <v/>
      </c>
      <c r="I445">
        <f>IF('01_Master_Data'!B445="","",TRIM('01_Master_Data'!F445&amp;""))</f>
        <v/>
      </c>
      <c r="J445">
        <f>IF('01_Master_Data'!B445="","",TRIM('01_Master_Data'!G445&amp;""))</f>
        <v/>
      </c>
      <c r="K445">
        <f>IF('01_Master_Data'!B445="","",'01_Master_Data'!H445)</f>
        <v/>
      </c>
      <c r="L445">
        <f>IF('01_Master_Data'!B445="","",IF(LOWER(TRIM('01_Master_Data'!V445&amp;""))="yes",1,0))</f>
        <v/>
      </c>
      <c r="M445">
        <f>IF('01_Master_Data'!B445="","",IF(LOWER(TRIM('01_Master_Data'!W445&amp;""))="yes",1,0))</f>
        <v/>
      </c>
      <c r="N445">
        <f>IF('01_Master_Data'!B445="","",IF(LOWER(TRIM('01_Master_Data'!X445&amp;""))="yes",1,0))</f>
        <v/>
      </c>
      <c r="O445">
        <f>IF('01_Master_Data'!B445="","",IF(LOWER(TRIM('01_Master_Data'!Y445&amp;""))="yes",1,0))</f>
        <v/>
      </c>
      <c r="P445">
        <f>IF('01_Master_Data'!B445="","",IF(LOWER(TRIM('01_Master_Data'!Z445&amp;""))="yes",1,0))</f>
        <v/>
      </c>
      <c r="Q445">
        <f>IF(A445="","",L445+M445+N445+O445+P445)</f>
        <v/>
      </c>
      <c r="R445">
        <f>IF(A445="","",IF(Q445&gt;1,"Yes","No"))</f>
        <v/>
      </c>
      <c r="S445">
        <f>IF(A445="","",TEXTJOIN(", ",TRUE,IF(L445=1,"ICICI",""),IF(M445=1,"Propelld",""),IF(N445=1,"Study4Buddy",""),IF(O445=1,"Poonawala Fincorp",""),IF(P445=1,"GyanDhan","")))</f>
        <v/>
      </c>
      <c r="T445">
        <f>IF(A445="","",IF(L445=1,"ICICI",IF(M445=1,"Propelld",IF(P445=1,"GyanDhan",IF(N445=1,"Study4Buddy",IF(O445=1,"Poonawala Fincorp",IF(ISNUMBER(SEARCH("GyanDhan",W445&amp;"")),"GyanDhan",IF(ISNUMBER(SEARCH("Icici",W445&amp;"")),"ICICI",IF(ISNUMBER(SEARCH("Propelld",W445&amp;"")),"Propelld",IF(ISNUMBER(SEARCH("vidyalakshmi",LOWER(W445&amp;"")),"PM Vidyalakshmi","—"))))))))))</f>
        <v/>
      </c>
      <c r="U445">
        <f>IF(A445="","",TRIM('01_Master_Data'!AA445&amp;""))</f>
        <v/>
      </c>
      <c r="V445">
        <f>IF(A445="","",TRIM('01_Master_Data'!AG445&amp;""))</f>
        <v/>
      </c>
      <c r="W445">
        <f>IF(A445="","",TRIM('01_Master_Data'!AH445&amp;""))</f>
        <v/>
      </c>
      <c r="X445">
        <f>IF(A445="","",IF(OR(LOWER(H445)="refund",LOWER(U445)="refund case"),"Refund",IF(OR(LOWER(H445)="dnp",LOWER(U445)="dnp"),"DNP",IF(OR(LOWER(V445)="disbursed",ISNUMBER(SEARCH("Disbursed",W445&amp;""))),"Disbursed",IF(OR(LOWER(V445)="loan proccessed/accepted",ISNUMBER(SEARCH("sanctioned",LOWER(W445&amp;"")))),"Sanctioned",IF(OR(LOWER(V445)="rejected",ISNUMBER(SEARCH("Not eligbile",W445&amp;"")),ISNUMBER(SEARCH("Not eligible",W445&amp;""))),"Rejected",IF(ISNUMBER(SEARCH("Docs Pending",W445&amp;"")),"Documents Pending",IF(AND(LOWER(H445)="yes",LOWER(V445)="ongoing"),"Processing",IF(AND(LOWER(H445)="yes",Q445&gt;0,OR(V445="",LOWER(V445)="not even started")),"Vendor Assigned",IF(AND(LOWER(H445)="yes",LOWER(V445)="not even started"),"Need Loan",IF(LOWER(H445)="yes","Loan Started",IF(LOWER(H445)="not sure","Interested",IF(OR(LOWER(H445)="no",LOWER(V445)="not required"),"Not Required","Unclassified")))))))))))))</f>
        <v/>
      </c>
      <c r="Y445">
        <f>IF(A445="","",IF(OR(X445="Sanctioned",X445="Disbursed",X445="Approved"),"Approved",IF(X445="Rejected","Rejected",IF(OR(X445="Processing",X445="Documents Pending",X445="Vendor Assigned"),"In Progress",IF(X445="Need Loan","Pending Start","—"))))</f>
        <v/>
      </c>
      <c r="Z445">
        <f>IF(A445="","",IF(X445="Disbursed","Disbursed",IF(X445="Sanctioned","Sanctioned - Awaiting Disbursement","Not Disbursed")))</f>
        <v/>
      </c>
      <c r="AA445">
        <f>IF(A445="","",IF(LOWER(TRIM('01_Master_Data'!AI445&amp;""))="yes","Need FLDG",IF(LOWER(TRIM('01_Master_Data'!AK445&amp;""))="yes","Need Vidyalakshmi",IF(LOWER(TRIM('01_Master_Data'!AJ445&amp;""))="yes","Need Review",IF(LOWER(J445)="critical","Critical",IF(LOWER(U445)="risk","Risk Case",IF(X445="Refund","Refund","Normal")))))))</f>
        <v/>
      </c>
      <c r="AB445">
        <f>IF(A445="","",IF(OR(LOWER(J445)="critical",LOWER(TRIM('01_Master_Data'!AI445&amp;""))="yes",LOWER(TRIM('01_Master_Data'!AK445&amp;""))="yes",LOWER(U445)="risk"),"Yes","No"))</f>
        <v/>
      </c>
      <c r="AC445">
        <f>IF(A445="","",IF(LOWER(TRIM('01_Master_Data'!AI445&amp;""))="yes","Yes","No"))</f>
        <v/>
      </c>
      <c r="AD445">
        <f>IF(A445="","",IF(LOWER(TRIM('01_Master_Data'!AK445&amp;""))="yes","Yes","No"))</f>
        <v/>
      </c>
      <c r="AE445">
        <f>IF(A445="","",IF(LOWER(TRIM('01_Master_Data'!AJ445&amp;""))="yes","Yes","No"))</f>
        <v/>
      </c>
      <c r="AF445">
        <f>IF(A445="","",TRIM('01_Master_Data'!AL445&amp;""))</f>
        <v/>
      </c>
      <c r="AG445">
        <f>IF(A445="","",IF(AF445="","—",IF(ISNUMBER(SEARCH("DNP",AF445)),"Unreachable / DNP",IF(ISNUMBER(SEARCH("interest",LOWER(AF445))),"High Interest / Terms",IF(OR(ISNUMBER(SEARCH("eligib",LOWER(AF445))),ISNUMBER(SEARCH("income",LOWER(AF445)))),"Eligibility / Income",IF(OR(ISNUMBER(SEARCH("start",LOWER(AF445))),ISNUMBER(SEARCH("Newer",AF445)),ISNUMBER(SEARCH("Will start",AF445))),"Process Yet to Start",IF(ISNUMBER(SEARCH("sure",LOWER(AF445))),"Undecided",IF(OR(ISNUMBER(SEARCH("reject",LOWER(AF445))),ISNUMBER(SEARCH("SBI",AF445))),"Rejected Elsewhere",IF(ISNUMBER(SEARCH("call",LOWER(AF445))),"Bank Communication",IF(OR(ISNUMBER(SEARCH("father",LOWER(AF445))),ISNUMBER(SEARCH("sister",LOWER(AF445)))),"Family / Dependency","Other"))))))))))</f>
        <v/>
      </c>
      <c r="AH445">
        <f>IF(A445="","",'01_Master_Data'!AC445)</f>
        <v/>
      </c>
      <c r="AI445">
        <f>IF(A445="","",IF(OR(AH445="",NOT(ISNUMBER(AH445))),"",MAX(0,'02_Configuration'!$B$82-AH445)))</f>
        <v/>
      </c>
      <c r="AJ445">
        <f>IF(A445="","",IF(AI445="","Unknown",IF(AI445&lt;=3,"0–3 Days",IF(AI445&lt;=7,"4–7 Days",IF(AI445&lt;=15,"8–15 Days",IF(AI445&lt;=30,"16–30 Days","30+ Days"))))))</f>
        <v/>
      </c>
      <c r="AK445">
        <f>IF(A445="","",IF(LOWER(H445)="yes","Yes","No"))</f>
        <v/>
      </c>
      <c r="AL445">
        <f>IF(A445="","",'01_Master_Data'!T445)</f>
        <v/>
      </c>
      <c r="AM445">
        <f>IF(A445="","",'01_Master_Data'!S445)</f>
        <v/>
      </c>
      <c r="AN445">
        <f>IF(A445="","",'01_Master_Data'!I445)</f>
        <v/>
      </c>
      <c r="AO445">
        <f>IF(A445="","",'01_Master_Data'!M445)</f>
        <v/>
      </c>
      <c r="AP445">
        <f>IF(A445="","",IF(ISNUMBER(SEARCH("Icici",W445&amp;"")),1,0))</f>
        <v/>
      </c>
      <c r="AQ445">
        <f>IF(A445="","",IF(ISNUMBER(SEARCH("Propelld",W445&amp;"")),1,0))</f>
        <v/>
      </c>
      <c r="AR445">
        <f>IF(A445="","",IF(ISNUMBER(SEARCH("GyanDhan",W445&amp;"")),1,0))</f>
        <v/>
      </c>
      <c r="AS445">
        <f>IF(A445="","",IF(ISNUMBER(SEARCH("vidyalakshmi",LOWER(W445&amp;""))),1,0))</f>
        <v/>
      </c>
      <c r="AT445">
        <f>IF(A445="","",IF(ISNUMBER(SEARCH("other bank",LOWER(W445&amp;""))),1,0))</f>
        <v/>
      </c>
      <c r="AU445">
        <f>IF(A445="","",IF(ISNUMBER(SEARCH("sanctioned",LOWER(W445&amp;""))),1,0))</f>
        <v/>
      </c>
      <c r="AV445">
        <f>IF(A445="","",IF(ISNUMBER(SEARCH("Docs Pending",W445&amp;"")),1,0))</f>
        <v/>
      </c>
      <c r="AW445">
        <f>IF(A445="","",IF(OR(X445="Rejected",ISNUMBER(SEARCH("Not eligbile",W445&amp;""))),1,0))</f>
        <v/>
      </c>
    </row>
    <row r="446">
      <c r="A446">
        <f>IF('01_Master_Data'!B446="","",445)</f>
        <v/>
      </c>
      <c r="B446">
        <f>IF('01_Master_Data'!B446="","",IF('01_Master_Data'!C446&lt;&gt;"","MOB|"&amp;TEXT('01_Master_Data'!C446,"0"),IF('01_Master_Data'!D446&lt;&gt;"","PID|"&amp;TRIM('01_Master_Data'!D446&amp;""),"")))</f>
        <v/>
      </c>
      <c r="C446">
        <f>IF('01_Master_Data'!B446="","",'01_Master_Data'!B446)</f>
        <v/>
      </c>
      <c r="D446">
        <f>IF('01_Master_Data'!B446="","",'01_Master_Data'!C446)</f>
        <v/>
      </c>
      <c r="E446">
        <f>IF('01_Master_Data'!B446="","",'01_Master_Data'!D446)</f>
        <v/>
      </c>
      <c r="F446">
        <f>IF('01_Master_Data'!B446="","",'01_Master_Data'!E446)</f>
        <v/>
      </c>
      <c r="G446">
        <f>IF('01_Master_Data'!B446="","",IFERROR(VLOOKUP(TRIM('01_Master_Data'!E446&amp;""),'02_Configuration'!$A$40:$B$44,2,FALSE),UPPER(TRIM('01_Master_Data'!E446&amp;""))))</f>
        <v/>
      </c>
      <c r="H446">
        <f>IF('01_Master_Data'!B446="","",IF('01_Master_Data'!U446="","",TRIM('01_Master_Data'!U446&amp;"")))</f>
        <v/>
      </c>
      <c r="I446">
        <f>IF('01_Master_Data'!B446="","",TRIM('01_Master_Data'!F446&amp;""))</f>
        <v/>
      </c>
      <c r="J446">
        <f>IF('01_Master_Data'!B446="","",TRIM('01_Master_Data'!G446&amp;""))</f>
        <v/>
      </c>
      <c r="K446">
        <f>IF('01_Master_Data'!B446="","",'01_Master_Data'!H446)</f>
        <v/>
      </c>
      <c r="L446">
        <f>IF('01_Master_Data'!B446="","",IF(LOWER(TRIM('01_Master_Data'!V446&amp;""))="yes",1,0))</f>
        <v/>
      </c>
      <c r="M446">
        <f>IF('01_Master_Data'!B446="","",IF(LOWER(TRIM('01_Master_Data'!W446&amp;""))="yes",1,0))</f>
        <v/>
      </c>
      <c r="N446">
        <f>IF('01_Master_Data'!B446="","",IF(LOWER(TRIM('01_Master_Data'!X446&amp;""))="yes",1,0))</f>
        <v/>
      </c>
      <c r="O446">
        <f>IF('01_Master_Data'!B446="","",IF(LOWER(TRIM('01_Master_Data'!Y446&amp;""))="yes",1,0))</f>
        <v/>
      </c>
      <c r="P446">
        <f>IF('01_Master_Data'!B446="","",IF(LOWER(TRIM('01_Master_Data'!Z446&amp;""))="yes",1,0))</f>
        <v/>
      </c>
      <c r="Q446">
        <f>IF(A446="","",L446+M446+N446+O446+P446)</f>
        <v/>
      </c>
      <c r="R446">
        <f>IF(A446="","",IF(Q446&gt;1,"Yes","No"))</f>
        <v/>
      </c>
      <c r="S446">
        <f>IF(A446="","",TEXTJOIN(", ",TRUE,IF(L446=1,"ICICI",""),IF(M446=1,"Propelld",""),IF(N446=1,"Study4Buddy",""),IF(O446=1,"Poonawala Fincorp",""),IF(P446=1,"GyanDhan","")))</f>
        <v/>
      </c>
      <c r="T446">
        <f>IF(A446="","",IF(L446=1,"ICICI",IF(M446=1,"Propelld",IF(P446=1,"GyanDhan",IF(N446=1,"Study4Buddy",IF(O446=1,"Poonawala Fincorp",IF(ISNUMBER(SEARCH("GyanDhan",W446&amp;"")),"GyanDhan",IF(ISNUMBER(SEARCH("Icici",W446&amp;"")),"ICICI",IF(ISNUMBER(SEARCH("Propelld",W446&amp;"")),"Propelld",IF(ISNUMBER(SEARCH("vidyalakshmi",LOWER(W446&amp;"")),"PM Vidyalakshmi","—"))))))))))</f>
        <v/>
      </c>
      <c r="U446">
        <f>IF(A446="","",TRIM('01_Master_Data'!AA446&amp;""))</f>
        <v/>
      </c>
      <c r="V446">
        <f>IF(A446="","",TRIM('01_Master_Data'!AG446&amp;""))</f>
        <v/>
      </c>
      <c r="W446">
        <f>IF(A446="","",TRIM('01_Master_Data'!AH446&amp;""))</f>
        <v/>
      </c>
      <c r="X446">
        <f>IF(A446="","",IF(OR(LOWER(H446)="refund",LOWER(U446)="refund case"),"Refund",IF(OR(LOWER(H446)="dnp",LOWER(U446)="dnp"),"DNP",IF(OR(LOWER(V446)="disbursed",ISNUMBER(SEARCH("Disbursed",W446&amp;""))),"Disbursed",IF(OR(LOWER(V446)="loan proccessed/accepted",ISNUMBER(SEARCH("sanctioned",LOWER(W446&amp;"")))),"Sanctioned",IF(OR(LOWER(V446)="rejected",ISNUMBER(SEARCH("Not eligbile",W446&amp;"")),ISNUMBER(SEARCH("Not eligible",W446&amp;""))),"Rejected",IF(ISNUMBER(SEARCH("Docs Pending",W446&amp;"")),"Documents Pending",IF(AND(LOWER(H446)="yes",LOWER(V446)="ongoing"),"Processing",IF(AND(LOWER(H446)="yes",Q446&gt;0,OR(V446="",LOWER(V446)="not even started")),"Vendor Assigned",IF(AND(LOWER(H446)="yes",LOWER(V446)="not even started"),"Need Loan",IF(LOWER(H446)="yes","Loan Started",IF(LOWER(H446)="not sure","Interested",IF(OR(LOWER(H446)="no",LOWER(V446)="not required"),"Not Required","Unclassified")))))))))))))</f>
        <v/>
      </c>
      <c r="Y446">
        <f>IF(A446="","",IF(OR(X446="Sanctioned",X446="Disbursed",X446="Approved"),"Approved",IF(X446="Rejected","Rejected",IF(OR(X446="Processing",X446="Documents Pending",X446="Vendor Assigned"),"In Progress",IF(X446="Need Loan","Pending Start","—"))))</f>
        <v/>
      </c>
      <c r="Z446">
        <f>IF(A446="","",IF(X446="Disbursed","Disbursed",IF(X446="Sanctioned","Sanctioned - Awaiting Disbursement","Not Disbursed")))</f>
        <v/>
      </c>
      <c r="AA446">
        <f>IF(A446="","",IF(LOWER(TRIM('01_Master_Data'!AI446&amp;""))="yes","Need FLDG",IF(LOWER(TRIM('01_Master_Data'!AK446&amp;""))="yes","Need Vidyalakshmi",IF(LOWER(TRIM('01_Master_Data'!AJ446&amp;""))="yes","Need Review",IF(LOWER(J446)="critical","Critical",IF(LOWER(U446)="risk","Risk Case",IF(X446="Refund","Refund","Normal")))))))</f>
        <v/>
      </c>
      <c r="AB446">
        <f>IF(A446="","",IF(OR(LOWER(J446)="critical",LOWER(TRIM('01_Master_Data'!AI446&amp;""))="yes",LOWER(TRIM('01_Master_Data'!AK446&amp;""))="yes",LOWER(U446)="risk"),"Yes","No"))</f>
        <v/>
      </c>
      <c r="AC446">
        <f>IF(A446="","",IF(LOWER(TRIM('01_Master_Data'!AI446&amp;""))="yes","Yes","No"))</f>
        <v/>
      </c>
      <c r="AD446">
        <f>IF(A446="","",IF(LOWER(TRIM('01_Master_Data'!AK446&amp;""))="yes","Yes","No"))</f>
        <v/>
      </c>
      <c r="AE446">
        <f>IF(A446="","",IF(LOWER(TRIM('01_Master_Data'!AJ446&amp;""))="yes","Yes","No"))</f>
        <v/>
      </c>
      <c r="AF446">
        <f>IF(A446="","",TRIM('01_Master_Data'!AL446&amp;""))</f>
        <v/>
      </c>
      <c r="AG446">
        <f>IF(A446="","",IF(AF446="","—",IF(ISNUMBER(SEARCH("DNP",AF446)),"Unreachable / DNP",IF(ISNUMBER(SEARCH("interest",LOWER(AF446))),"High Interest / Terms",IF(OR(ISNUMBER(SEARCH("eligib",LOWER(AF446))),ISNUMBER(SEARCH("income",LOWER(AF446)))),"Eligibility / Income",IF(OR(ISNUMBER(SEARCH("start",LOWER(AF446))),ISNUMBER(SEARCH("Newer",AF446)),ISNUMBER(SEARCH("Will start",AF446))),"Process Yet to Start",IF(ISNUMBER(SEARCH("sure",LOWER(AF446))),"Undecided",IF(OR(ISNUMBER(SEARCH("reject",LOWER(AF446))),ISNUMBER(SEARCH("SBI",AF446))),"Rejected Elsewhere",IF(ISNUMBER(SEARCH("call",LOWER(AF446))),"Bank Communication",IF(OR(ISNUMBER(SEARCH("father",LOWER(AF446))),ISNUMBER(SEARCH("sister",LOWER(AF446)))),"Family / Dependency","Other"))))))))))</f>
        <v/>
      </c>
      <c r="AH446">
        <f>IF(A446="","",'01_Master_Data'!AC446)</f>
        <v/>
      </c>
      <c r="AI446">
        <f>IF(A446="","",IF(OR(AH446="",NOT(ISNUMBER(AH446))),"",MAX(0,'02_Configuration'!$B$82-AH446)))</f>
        <v/>
      </c>
      <c r="AJ446">
        <f>IF(A446="","",IF(AI446="","Unknown",IF(AI446&lt;=3,"0–3 Days",IF(AI446&lt;=7,"4–7 Days",IF(AI446&lt;=15,"8–15 Days",IF(AI446&lt;=30,"16–30 Days","30+ Days"))))))</f>
        <v/>
      </c>
      <c r="AK446">
        <f>IF(A446="","",IF(LOWER(H446)="yes","Yes","No"))</f>
        <v/>
      </c>
      <c r="AL446">
        <f>IF(A446="","",'01_Master_Data'!T446)</f>
        <v/>
      </c>
      <c r="AM446">
        <f>IF(A446="","",'01_Master_Data'!S446)</f>
        <v/>
      </c>
      <c r="AN446">
        <f>IF(A446="","",'01_Master_Data'!I446)</f>
        <v/>
      </c>
      <c r="AO446">
        <f>IF(A446="","",'01_Master_Data'!M446)</f>
        <v/>
      </c>
      <c r="AP446">
        <f>IF(A446="","",IF(ISNUMBER(SEARCH("Icici",W446&amp;"")),1,0))</f>
        <v/>
      </c>
      <c r="AQ446">
        <f>IF(A446="","",IF(ISNUMBER(SEARCH("Propelld",W446&amp;"")),1,0))</f>
        <v/>
      </c>
      <c r="AR446">
        <f>IF(A446="","",IF(ISNUMBER(SEARCH("GyanDhan",W446&amp;"")),1,0))</f>
        <v/>
      </c>
      <c r="AS446">
        <f>IF(A446="","",IF(ISNUMBER(SEARCH("vidyalakshmi",LOWER(W446&amp;""))),1,0))</f>
        <v/>
      </c>
      <c r="AT446">
        <f>IF(A446="","",IF(ISNUMBER(SEARCH("other bank",LOWER(W446&amp;""))),1,0))</f>
        <v/>
      </c>
      <c r="AU446">
        <f>IF(A446="","",IF(ISNUMBER(SEARCH("sanctioned",LOWER(W446&amp;""))),1,0))</f>
        <v/>
      </c>
      <c r="AV446">
        <f>IF(A446="","",IF(ISNUMBER(SEARCH("Docs Pending",W446&amp;"")),1,0))</f>
        <v/>
      </c>
      <c r="AW446">
        <f>IF(A446="","",IF(OR(X446="Rejected",ISNUMBER(SEARCH("Not eligbile",W446&amp;""))),1,0))</f>
        <v/>
      </c>
    </row>
    <row r="447">
      <c r="A447">
        <f>IF('01_Master_Data'!B447="","",446)</f>
        <v/>
      </c>
      <c r="B447">
        <f>IF('01_Master_Data'!B447="","",IF('01_Master_Data'!C447&lt;&gt;"","MOB|"&amp;TEXT('01_Master_Data'!C447,"0"),IF('01_Master_Data'!D447&lt;&gt;"","PID|"&amp;TRIM('01_Master_Data'!D447&amp;""),"")))</f>
        <v/>
      </c>
      <c r="C447">
        <f>IF('01_Master_Data'!B447="","",'01_Master_Data'!B447)</f>
        <v/>
      </c>
      <c r="D447">
        <f>IF('01_Master_Data'!B447="","",'01_Master_Data'!C447)</f>
        <v/>
      </c>
      <c r="E447">
        <f>IF('01_Master_Data'!B447="","",'01_Master_Data'!D447)</f>
        <v/>
      </c>
      <c r="F447">
        <f>IF('01_Master_Data'!B447="","",'01_Master_Data'!E447)</f>
        <v/>
      </c>
      <c r="G447">
        <f>IF('01_Master_Data'!B447="","",IFERROR(VLOOKUP(TRIM('01_Master_Data'!E447&amp;""),'02_Configuration'!$A$40:$B$44,2,FALSE),UPPER(TRIM('01_Master_Data'!E447&amp;""))))</f>
        <v/>
      </c>
      <c r="H447">
        <f>IF('01_Master_Data'!B447="","",IF('01_Master_Data'!U447="","",TRIM('01_Master_Data'!U447&amp;"")))</f>
        <v/>
      </c>
      <c r="I447">
        <f>IF('01_Master_Data'!B447="","",TRIM('01_Master_Data'!F447&amp;""))</f>
        <v/>
      </c>
      <c r="J447">
        <f>IF('01_Master_Data'!B447="","",TRIM('01_Master_Data'!G447&amp;""))</f>
        <v/>
      </c>
      <c r="K447">
        <f>IF('01_Master_Data'!B447="","",'01_Master_Data'!H447)</f>
        <v/>
      </c>
      <c r="L447">
        <f>IF('01_Master_Data'!B447="","",IF(LOWER(TRIM('01_Master_Data'!V447&amp;""))="yes",1,0))</f>
        <v/>
      </c>
      <c r="M447">
        <f>IF('01_Master_Data'!B447="","",IF(LOWER(TRIM('01_Master_Data'!W447&amp;""))="yes",1,0))</f>
        <v/>
      </c>
      <c r="N447">
        <f>IF('01_Master_Data'!B447="","",IF(LOWER(TRIM('01_Master_Data'!X447&amp;""))="yes",1,0))</f>
        <v/>
      </c>
      <c r="O447">
        <f>IF('01_Master_Data'!B447="","",IF(LOWER(TRIM('01_Master_Data'!Y447&amp;""))="yes",1,0))</f>
        <v/>
      </c>
      <c r="P447">
        <f>IF('01_Master_Data'!B447="","",IF(LOWER(TRIM('01_Master_Data'!Z447&amp;""))="yes",1,0))</f>
        <v/>
      </c>
      <c r="Q447">
        <f>IF(A447="","",L447+M447+N447+O447+P447)</f>
        <v/>
      </c>
      <c r="R447">
        <f>IF(A447="","",IF(Q447&gt;1,"Yes","No"))</f>
        <v/>
      </c>
      <c r="S447">
        <f>IF(A447="","",TEXTJOIN(", ",TRUE,IF(L447=1,"ICICI",""),IF(M447=1,"Propelld",""),IF(N447=1,"Study4Buddy",""),IF(O447=1,"Poonawala Fincorp",""),IF(P447=1,"GyanDhan","")))</f>
        <v/>
      </c>
      <c r="T447">
        <f>IF(A447="","",IF(L447=1,"ICICI",IF(M447=1,"Propelld",IF(P447=1,"GyanDhan",IF(N447=1,"Study4Buddy",IF(O447=1,"Poonawala Fincorp",IF(ISNUMBER(SEARCH("GyanDhan",W447&amp;"")),"GyanDhan",IF(ISNUMBER(SEARCH("Icici",W447&amp;"")),"ICICI",IF(ISNUMBER(SEARCH("Propelld",W447&amp;"")),"Propelld",IF(ISNUMBER(SEARCH("vidyalakshmi",LOWER(W447&amp;"")),"PM Vidyalakshmi","—"))))))))))</f>
        <v/>
      </c>
      <c r="U447">
        <f>IF(A447="","",TRIM('01_Master_Data'!AA447&amp;""))</f>
        <v/>
      </c>
      <c r="V447">
        <f>IF(A447="","",TRIM('01_Master_Data'!AG447&amp;""))</f>
        <v/>
      </c>
      <c r="W447">
        <f>IF(A447="","",TRIM('01_Master_Data'!AH447&amp;""))</f>
        <v/>
      </c>
      <c r="X447">
        <f>IF(A447="","",IF(OR(LOWER(H447)="refund",LOWER(U447)="refund case"),"Refund",IF(OR(LOWER(H447)="dnp",LOWER(U447)="dnp"),"DNP",IF(OR(LOWER(V447)="disbursed",ISNUMBER(SEARCH("Disbursed",W447&amp;""))),"Disbursed",IF(OR(LOWER(V447)="loan proccessed/accepted",ISNUMBER(SEARCH("sanctioned",LOWER(W447&amp;"")))),"Sanctioned",IF(OR(LOWER(V447)="rejected",ISNUMBER(SEARCH("Not eligbile",W447&amp;"")),ISNUMBER(SEARCH("Not eligible",W447&amp;""))),"Rejected",IF(ISNUMBER(SEARCH("Docs Pending",W447&amp;"")),"Documents Pending",IF(AND(LOWER(H447)="yes",LOWER(V447)="ongoing"),"Processing",IF(AND(LOWER(H447)="yes",Q447&gt;0,OR(V447="",LOWER(V447)="not even started")),"Vendor Assigned",IF(AND(LOWER(H447)="yes",LOWER(V447)="not even started"),"Need Loan",IF(LOWER(H447)="yes","Loan Started",IF(LOWER(H447)="not sure","Interested",IF(OR(LOWER(H447)="no",LOWER(V447)="not required"),"Not Required","Unclassified")))))))))))))</f>
        <v/>
      </c>
      <c r="Y447">
        <f>IF(A447="","",IF(OR(X447="Sanctioned",X447="Disbursed",X447="Approved"),"Approved",IF(X447="Rejected","Rejected",IF(OR(X447="Processing",X447="Documents Pending",X447="Vendor Assigned"),"In Progress",IF(X447="Need Loan","Pending Start","—"))))</f>
        <v/>
      </c>
      <c r="Z447">
        <f>IF(A447="","",IF(X447="Disbursed","Disbursed",IF(X447="Sanctioned","Sanctioned - Awaiting Disbursement","Not Disbursed")))</f>
        <v/>
      </c>
      <c r="AA447">
        <f>IF(A447="","",IF(LOWER(TRIM('01_Master_Data'!AI447&amp;""))="yes","Need FLDG",IF(LOWER(TRIM('01_Master_Data'!AK447&amp;""))="yes","Need Vidyalakshmi",IF(LOWER(TRIM('01_Master_Data'!AJ447&amp;""))="yes","Need Review",IF(LOWER(J447)="critical","Critical",IF(LOWER(U447)="risk","Risk Case",IF(X447="Refund","Refund","Normal")))))))</f>
        <v/>
      </c>
      <c r="AB447">
        <f>IF(A447="","",IF(OR(LOWER(J447)="critical",LOWER(TRIM('01_Master_Data'!AI447&amp;""))="yes",LOWER(TRIM('01_Master_Data'!AK447&amp;""))="yes",LOWER(U447)="risk"),"Yes","No"))</f>
        <v/>
      </c>
      <c r="AC447">
        <f>IF(A447="","",IF(LOWER(TRIM('01_Master_Data'!AI447&amp;""))="yes","Yes","No"))</f>
        <v/>
      </c>
      <c r="AD447">
        <f>IF(A447="","",IF(LOWER(TRIM('01_Master_Data'!AK447&amp;""))="yes","Yes","No"))</f>
        <v/>
      </c>
      <c r="AE447">
        <f>IF(A447="","",IF(LOWER(TRIM('01_Master_Data'!AJ447&amp;""))="yes","Yes","No"))</f>
        <v/>
      </c>
      <c r="AF447">
        <f>IF(A447="","",TRIM('01_Master_Data'!AL447&amp;""))</f>
        <v/>
      </c>
      <c r="AG447">
        <f>IF(A447="","",IF(AF447="","—",IF(ISNUMBER(SEARCH("DNP",AF447)),"Unreachable / DNP",IF(ISNUMBER(SEARCH("interest",LOWER(AF447))),"High Interest / Terms",IF(OR(ISNUMBER(SEARCH("eligib",LOWER(AF447))),ISNUMBER(SEARCH("income",LOWER(AF447)))),"Eligibility / Income",IF(OR(ISNUMBER(SEARCH("start",LOWER(AF447))),ISNUMBER(SEARCH("Newer",AF447)),ISNUMBER(SEARCH("Will start",AF447))),"Process Yet to Start",IF(ISNUMBER(SEARCH("sure",LOWER(AF447))),"Undecided",IF(OR(ISNUMBER(SEARCH("reject",LOWER(AF447))),ISNUMBER(SEARCH("SBI",AF447))),"Rejected Elsewhere",IF(ISNUMBER(SEARCH("call",LOWER(AF447))),"Bank Communication",IF(OR(ISNUMBER(SEARCH("father",LOWER(AF447))),ISNUMBER(SEARCH("sister",LOWER(AF447)))),"Family / Dependency","Other"))))))))))</f>
        <v/>
      </c>
      <c r="AH447">
        <f>IF(A447="","",'01_Master_Data'!AC447)</f>
        <v/>
      </c>
      <c r="AI447">
        <f>IF(A447="","",IF(OR(AH447="",NOT(ISNUMBER(AH447))),"",MAX(0,'02_Configuration'!$B$82-AH447)))</f>
        <v/>
      </c>
      <c r="AJ447">
        <f>IF(A447="","",IF(AI447="","Unknown",IF(AI447&lt;=3,"0–3 Days",IF(AI447&lt;=7,"4–7 Days",IF(AI447&lt;=15,"8–15 Days",IF(AI447&lt;=30,"16–30 Days","30+ Days"))))))</f>
        <v/>
      </c>
      <c r="AK447">
        <f>IF(A447="","",IF(LOWER(H447)="yes","Yes","No"))</f>
        <v/>
      </c>
      <c r="AL447">
        <f>IF(A447="","",'01_Master_Data'!T447)</f>
        <v/>
      </c>
      <c r="AM447">
        <f>IF(A447="","",'01_Master_Data'!S447)</f>
        <v/>
      </c>
      <c r="AN447">
        <f>IF(A447="","",'01_Master_Data'!I447)</f>
        <v/>
      </c>
      <c r="AO447">
        <f>IF(A447="","",'01_Master_Data'!M447)</f>
        <v/>
      </c>
      <c r="AP447">
        <f>IF(A447="","",IF(ISNUMBER(SEARCH("Icici",W447&amp;"")),1,0))</f>
        <v/>
      </c>
      <c r="AQ447">
        <f>IF(A447="","",IF(ISNUMBER(SEARCH("Propelld",W447&amp;"")),1,0))</f>
        <v/>
      </c>
      <c r="AR447">
        <f>IF(A447="","",IF(ISNUMBER(SEARCH("GyanDhan",W447&amp;"")),1,0))</f>
        <v/>
      </c>
      <c r="AS447">
        <f>IF(A447="","",IF(ISNUMBER(SEARCH("vidyalakshmi",LOWER(W447&amp;""))),1,0))</f>
        <v/>
      </c>
      <c r="AT447">
        <f>IF(A447="","",IF(ISNUMBER(SEARCH("other bank",LOWER(W447&amp;""))),1,0))</f>
        <v/>
      </c>
      <c r="AU447">
        <f>IF(A447="","",IF(ISNUMBER(SEARCH("sanctioned",LOWER(W447&amp;""))),1,0))</f>
        <v/>
      </c>
      <c r="AV447">
        <f>IF(A447="","",IF(ISNUMBER(SEARCH("Docs Pending",W447&amp;"")),1,0))</f>
        <v/>
      </c>
      <c r="AW447">
        <f>IF(A447="","",IF(OR(X447="Rejected",ISNUMBER(SEARCH("Not eligbile",W447&amp;""))),1,0))</f>
        <v/>
      </c>
    </row>
    <row r="448">
      <c r="A448">
        <f>IF('01_Master_Data'!B448="","",447)</f>
        <v/>
      </c>
      <c r="B448">
        <f>IF('01_Master_Data'!B448="","",IF('01_Master_Data'!C448&lt;&gt;"","MOB|"&amp;TEXT('01_Master_Data'!C448,"0"),IF('01_Master_Data'!D448&lt;&gt;"","PID|"&amp;TRIM('01_Master_Data'!D448&amp;""),"")))</f>
        <v/>
      </c>
      <c r="C448">
        <f>IF('01_Master_Data'!B448="","",'01_Master_Data'!B448)</f>
        <v/>
      </c>
      <c r="D448">
        <f>IF('01_Master_Data'!B448="","",'01_Master_Data'!C448)</f>
        <v/>
      </c>
      <c r="E448">
        <f>IF('01_Master_Data'!B448="","",'01_Master_Data'!D448)</f>
        <v/>
      </c>
      <c r="F448">
        <f>IF('01_Master_Data'!B448="","",'01_Master_Data'!E448)</f>
        <v/>
      </c>
      <c r="G448">
        <f>IF('01_Master_Data'!B448="","",IFERROR(VLOOKUP(TRIM('01_Master_Data'!E448&amp;""),'02_Configuration'!$A$40:$B$44,2,FALSE),UPPER(TRIM('01_Master_Data'!E448&amp;""))))</f>
        <v/>
      </c>
      <c r="H448">
        <f>IF('01_Master_Data'!B448="","",IF('01_Master_Data'!U448="","",TRIM('01_Master_Data'!U448&amp;"")))</f>
        <v/>
      </c>
      <c r="I448">
        <f>IF('01_Master_Data'!B448="","",TRIM('01_Master_Data'!F448&amp;""))</f>
        <v/>
      </c>
      <c r="J448">
        <f>IF('01_Master_Data'!B448="","",TRIM('01_Master_Data'!G448&amp;""))</f>
        <v/>
      </c>
      <c r="K448">
        <f>IF('01_Master_Data'!B448="","",'01_Master_Data'!H448)</f>
        <v/>
      </c>
      <c r="L448">
        <f>IF('01_Master_Data'!B448="","",IF(LOWER(TRIM('01_Master_Data'!V448&amp;""))="yes",1,0))</f>
        <v/>
      </c>
      <c r="M448">
        <f>IF('01_Master_Data'!B448="","",IF(LOWER(TRIM('01_Master_Data'!W448&amp;""))="yes",1,0))</f>
        <v/>
      </c>
      <c r="N448">
        <f>IF('01_Master_Data'!B448="","",IF(LOWER(TRIM('01_Master_Data'!X448&amp;""))="yes",1,0))</f>
        <v/>
      </c>
      <c r="O448">
        <f>IF('01_Master_Data'!B448="","",IF(LOWER(TRIM('01_Master_Data'!Y448&amp;""))="yes",1,0))</f>
        <v/>
      </c>
      <c r="P448">
        <f>IF('01_Master_Data'!B448="","",IF(LOWER(TRIM('01_Master_Data'!Z448&amp;""))="yes",1,0))</f>
        <v/>
      </c>
      <c r="Q448">
        <f>IF(A448="","",L448+M448+N448+O448+P448)</f>
        <v/>
      </c>
      <c r="R448">
        <f>IF(A448="","",IF(Q448&gt;1,"Yes","No"))</f>
        <v/>
      </c>
      <c r="S448">
        <f>IF(A448="","",TEXTJOIN(", ",TRUE,IF(L448=1,"ICICI",""),IF(M448=1,"Propelld",""),IF(N448=1,"Study4Buddy",""),IF(O448=1,"Poonawala Fincorp",""),IF(P448=1,"GyanDhan","")))</f>
        <v/>
      </c>
      <c r="T448">
        <f>IF(A448="","",IF(L448=1,"ICICI",IF(M448=1,"Propelld",IF(P448=1,"GyanDhan",IF(N448=1,"Study4Buddy",IF(O448=1,"Poonawala Fincorp",IF(ISNUMBER(SEARCH("GyanDhan",W448&amp;"")),"GyanDhan",IF(ISNUMBER(SEARCH("Icici",W448&amp;"")),"ICICI",IF(ISNUMBER(SEARCH("Propelld",W448&amp;"")),"Propelld",IF(ISNUMBER(SEARCH("vidyalakshmi",LOWER(W448&amp;"")),"PM Vidyalakshmi","—"))))))))))</f>
        <v/>
      </c>
      <c r="U448">
        <f>IF(A448="","",TRIM('01_Master_Data'!AA448&amp;""))</f>
        <v/>
      </c>
      <c r="V448">
        <f>IF(A448="","",TRIM('01_Master_Data'!AG448&amp;""))</f>
        <v/>
      </c>
      <c r="W448">
        <f>IF(A448="","",TRIM('01_Master_Data'!AH448&amp;""))</f>
        <v/>
      </c>
      <c r="X448">
        <f>IF(A448="","",IF(OR(LOWER(H448)="refund",LOWER(U448)="refund case"),"Refund",IF(OR(LOWER(H448)="dnp",LOWER(U448)="dnp"),"DNP",IF(OR(LOWER(V448)="disbursed",ISNUMBER(SEARCH("Disbursed",W448&amp;""))),"Disbursed",IF(OR(LOWER(V448)="loan proccessed/accepted",ISNUMBER(SEARCH("sanctioned",LOWER(W448&amp;"")))),"Sanctioned",IF(OR(LOWER(V448)="rejected",ISNUMBER(SEARCH("Not eligbile",W448&amp;"")),ISNUMBER(SEARCH("Not eligible",W448&amp;""))),"Rejected",IF(ISNUMBER(SEARCH("Docs Pending",W448&amp;"")),"Documents Pending",IF(AND(LOWER(H448)="yes",LOWER(V448)="ongoing"),"Processing",IF(AND(LOWER(H448)="yes",Q448&gt;0,OR(V448="",LOWER(V448)="not even started")),"Vendor Assigned",IF(AND(LOWER(H448)="yes",LOWER(V448)="not even started"),"Need Loan",IF(LOWER(H448)="yes","Loan Started",IF(LOWER(H448)="not sure","Interested",IF(OR(LOWER(H448)="no",LOWER(V448)="not required"),"Not Required","Unclassified")))))))))))))</f>
        <v/>
      </c>
      <c r="Y448">
        <f>IF(A448="","",IF(OR(X448="Sanctioned",X448="Disbursed",X448="Approved"),"Approved",IF(X448="Rejected","Rejected",IF(OR(X448="Processing",X448="Documents Pending",X448="Vendor Assigned"),"In Progress",IF(X448="Need Loan","Pending Start","—"))))</f>
        <v/>
      </c>
      <c r="Z448">
        <f>IF(A448="","",IF(X448="Disbursed","Disbursed",IF(X448="Sanctioned","Sanctioned - Awaiting Disbursement","Not Disbursed")))</f>
        <v/>
      </c>
      <c r="AA448">
        <f>IF(A448="","",IF(LOWER(TRIM('01_Master_Data'!AI448&amp;""))="yes","Need FLDG",IF(LOWER(TRIM('01_Master_Data'!AK448&amp;""))="yes","Need Vidyalakshmi",IF(LOWER(TRIM('01_Master_Data'!AJ448&amp;""))="yes","Need Review",IF(LOWER(J448)="critical","Critical",IF(LOWER(U448)="risk","Risk Case",IF(X448="Refund","Refund","Normal")))))))</f>
        <v/>
      </c>
      <c r="AB448">
        <f>IF(A448="","",IF(OR(LOWER(J448)="critical",LOWER(TRIM('01_Master_Data'!AI448&amp;""))="yes",LOWER(TRIM('01_Master_Data'!AK448&amp;""))="yes",LOWER(U448)="risk"),"Yes","No"))</f>
        <v/>
      </c>
      <c r="AC448">
        <f>IF(A448="","",IF(LOWER(TRIM('01_Master_Data'!AI448&amp;""))="yes","Yes","No"))</f>
        <v/>
      </c>
      <c r="AD448">
        <f>IF(A448="","",IF(LOWER(TRIM('01_Master_Data'!AK448&amp;""))="yes","Yes","No"))</f>
        <v/>
      </c>
      <c r="AE448">
        <f>IF(A448="","",IF(LOWER(TRIM('01_Master_Data'!AJ448&amp;""))="yes","Yes","No"))</f>
        <v/>
      </c>
      <c r="AF448">
        <f>IF(A448="","",TRIM('01_Master_Data'!AL448&amp;""))</f>
        <v/>
      </c>
      <c r="AG448">
        <f>IF(A448="","",IF(AF448="","—",IF(ISNUMBER(SEARCH("DNP",AF448)),"Unreachable / DNP",IF(ISNUMBER(SEARCH("interest",LOWER(AF448))),"High Interest / Terms",IF(OR(ISNUMBER(SEARCH("eligib",LOWER(AF448))),ISNUMBER(SEARCH("income",LOWER(AF448)))),"Eligibility / Income",IF(OR(ISNUMBER(SEARCH("start",LOWER(AF448))),ISNUMBER(SEARCH("Newer",AF448)),ISNUMBER(SEARCH("Will start",AF448))),"Process Yet to Start",IF(ISNUMBER(SEARCH("sure",LOWER(AF448))),"Undecided",IF(OR(ISNUMBER(SEARCH("reject",LOWER(AF448))),ISNUMBER(SEARCH("SBI",AF448))),"Rejected Elsewhere",IF(ISNUMBER(SEARCH("call",LOWER(AF448))),"Bank Communication",IF(OR(ISNUMBER(SEARCH("father",LOWER(AF448))),ISNUMBER(SEARCH("sister",LOWER(AF448)))),"Family / Dependency","Other"))))))))))</f>
        <v/>
      </c>
      <c r="AH448">
        <f>IF(A448="","",'01_Master_Data'!AC448)</f>
        <v/>
      </c>
      <c r="AI448">
        <f>IF(A448="","",IF(OR(AH448="",NOT(ISNUMBER(AH448))),"",MAX(0,'02_Configuration'!$B$82-AH448)))</f>
        <v/>
      </c>
      <c r="AJ448">
        <f>IF(A448="","",IF(AI448="","Unknown",IF(AI448&lt;=3,"0–3 Days",IF(AI448&lt;=7,"4–7 Days",IF(AI448&lt;=15,"8–15 Days",IF(AI448&lt;=30,"16–30 Days","30+ Days"))))))</f>
        <v/>
      </c>
      <c r="AK448">
        <f>IF(A448="","",IF(LOWER(H448)="yes","Yes","No"))</f>
        <v/>
      </c>
      <c r="AL448">
        <f>IF(A448="","",'01_Master_Data'!T448)</f>
        <v/>
      </c>
      <c r="AM448">
        <f>IF(A448="","",'01_Master_Data'!S448)</f>
        <v/>
      </c>
      <c r="AN448">
        <f>IF(A448="","",'01_Master_Data'!I448)</f>
        <v/>
      </c>
      <c r="AO448">
        <f>IF(A448="","",'01_Master_Data'!M448)</f>
        <v/>
      </c>
      <c r="AP448">
        <f>IF(A448="","",IF(ISNUMBER(SEARCH("Icici",W448&amp;"")),1,0))</f>
        <v/>
      </c>
      <c r="AQ448">
        <f>IF(A448="","",IF(ISNUMBER(SEARCH("Propelld",W448&amp;"")),1,0))</f>
        <v/>
      </c>
      <c r="AR448">
        <f>IF(A448="","",IF(ISNUMBER(SEARCH("GyanDhan",W448&amp;"")),1,0))</f>
        <v/>
      </c>
      <c r="AS448">
        <f>IF(A448="","",IF(ISNUMBER(SEARCH("vidyalakshmi",LOWER(W448&amp;""))),1,0))</f>
        <v/>
      </c>
      <c r="AT448">
        <f>IF(A448="","",IF(ISNUMBER(SEARCH("other bank",LOWER(W448&amp;""))),1,0))</f>
        <v/>
      </c>
      <c r="AU448">
        <f>IF(A448="","",IF(ISNUMBER(SEARCH("sanctioned",LOWER(W448&amp;""))),1,0))</f>
        <v/>
      </c>
      <c r="AV448">
        <f>IF(A448="","",IF(ISNUMBER(SEARCH("Docs Pending",W448&amp;"")),1,0))</f>
        <v/>
      </c>
      <c r="AW448">
        <f>IF(A448="","",IF(OR(X448="Rejected",ISNUMBER(SEARCH("Not eligbile",W448&amp;""))),1,0))</f>
        <v/>
      </c>
    </row>
    <row r="449">
      <c r="A449">
        <f>IF('01_Master_Data'!B449="","",448)</f>
        <v/>
      </c>
      <c r="B449">
        <f>IF('01_Master_Data'!B449="","",IF('01_Master_Data'!C449&lt;&gt;"","MOB|"&amp;TEXT('01_Master_Data'!C449,"0"),IF('01_Master_Data'!D449&lt;&gt;"","PID|"&amp;TRIM('01_Master_Data'!D449&amp;""),"")))</f>
        <v/>
      </c>
      <c r="C449">
        <f>IF('01_Master_Data'!B449="","",'01_Master_Data'!B449)</f>
        <v/>
      </c>
      <c r="D449">
        <f>IF('01_Master_Data'!B449="","",'01_Master_Data'!C449)</f>
        <v/>
      </c>
      <c r="E449">
        <f>IF('01_Master_Data'!B449="","",'01_Master_Data'!D449)</f>
        <v/>
      </c>
      <c r="F449">
        <f>IF('01_Master_Data'!B449="","",'01_Master_Data'!E449)</f>
        <v/>
      </c>
      <c r="G449">
        <f>IF('01_Master_Data'!B449="","",IFERROR(VLOOKUP(TRIM('01_Master_Data'!E449&amp;""),'02_Configuration'!$A$40:$B$44,2,FALSE),UPPER(TRIM('01_Master_Data'!E449&amp;""))))</f>
        <v/>
      </c>
      <c r="H449">
        <f>IF('01_Master_Data'!B449="","",IF('01_Master_Data'!U449="","",TRIM('01_Master_Data'!U449&amp;"")))</f>
        <v/>
      </c>
      <c r="I449">
        <f>IF('01_Master_Data'!B449="","",TRIM('01_Master_Data'!F449&amp;""))</f>
        <v/>
      </c>
      <c r="J449">
        <f>IF('01_Master_Data'!B449="","",TRIM('01_Master_Data'!G449&amp;""))</f>
        <v/>
      </c>
      <c r="K449">
        <f>IF('01_Master_Data'!B449="","",'01_Master_Data'!H449)</f>
        <v/>
      </c>
      <c r="L449">
        <f>IF('01_Master_Data'!B449="","",IF(LOWER(TRIM('01_Master_Data'!V449&amp;""))="yes",1,0))</f>
        <v/>
      </c>
      <c r="M449">
        <f>IF('01_Master_Data'!B449="","",IF(LOWER(TRIM('01_Master_Data'!W449&amp;""))="yes",1,0))</f>
        <v/>
      </c>
      <c r="N449">
        <f>IF('01_Master_Data'!B449="","",IF(LOWER(TRIM('01_Master_Data'!X449&amp;""))="yes",1,0))</f>
        <v/>
      </c>
      <c r="O449">
        <f>IF('01_Master_Data'!B449="","",IF(LOWER(TRIM('01_Master_Data'!Y449&amp;""))="yes",1,0))</f>
        <v/>
      </c>
      <c r="P449">
        <f>IF('01_Master_Data'!B449="","",IF(LOWER(TRIM('01_Master_Data'!Z449&amp;""))="yes",1,0))</f>
        <v/>
      </c>
      <c r="Q449">
        <f>IF(A449="","",L449+M449+N449+O449+P449)</f>
        <v/>
      </c>
      <c r="R449">
        <f>IF(A449="","",IF(Q449&gt;1,"Yes","No"))</f>
        <v/>
      </c>
      <c r="S449">
        <f>IF(A449="","",TEXTJOIN(", ",TRUE,IF(L449=1,"ICICI",""),IF(M449=1,"Propelld",""),IF(N449=1,"Study4Buddy",""),IF(O449=1,"Poonawala Fincorp",""),IF(P449=1,"GyanDhan","")))</f>
        <v/>
      </c>
      <c r="T449">
        <f>IF(A449="","",IF(L449=1,"ICICI",IF(M449=1,"Propelld",IF(P449=1,"GyanDhan",IF(N449=1,"Study4Buddy",IF(O449=1,"Poonawala Fincorp",IF(ISNUMBER(SEARCH("GyanDhan",W449&amp;"")),"GyanDhan",IF(ISNUMBER(SEARCH("Icici",W449&amp;"")),"ICICI",IF(ISNUMBER(SEARCH("Propelld",W449&amp;"")),"Propelld",IF(ISNUMBER(SEARCH("vidyalakshmi",LOWER(W449&amp;"")),"PM Vidyalakshmi","—"))))))))))</f>
        <v/>
      </c>
      <c r="U449">
        <f>IF(A449="","",TRIM('01_Master_Data'!AA449&amp;""))</f>
        <v/>
      </c>
      <c r="V449">
        <f>IF(A449="","",TRIM('01_Master_Data'!AG449&amp;""))</f>
        <v/>
      </c>
      <c r="W449">
        <f>IF(A449="","",TRIM('01_Master_Data'!AH449&amp;""))</f>
        <v/>
      </c>
      <c r="X449">
        <f>IF(A449="","",IF(OR(LOWER(H449)="refund",LOWER(U449)="refund case"),"Refund",IF(OR(LOWER(H449)="dnp",LOWER(U449)="dnp"),"DNP",IF(OR(LOWER(V449)="disbursed",ISNUMBER(SEARCH("Disbursed",W449&amp;""))),"Disbursed",IF(OR(LOWER(V449)="loan proccessed/accepted",ISNUMBER(SEARCH("sanctioned",LOWER(W449&amp;"")))),"Sanctioned",IF(OR(LOWER(V449)="rejected",ISNUMBER(SEARCH("Not eligbile",W449&amp;"")),ISNUMBER(SEARCH("Not eligible",W449&amp;""))),"Rejected",IF(ISNUMBER(SEARCH("Docs Pending",W449&amp;"")),"Documents Pending",IF(AND(LOWER(H449)="yes",LOWER(V449)="ongoing"),"Processing",IF(AND(LOWER(H449)="yes",Q449&gt;0,OR(V449="",LOWER(V449)="not even started")),"Vendor Assigned",IF(AND(LOWER(H449)="yes",LOWER(V449)="not even started"),"Need Loan",IF(LOWER(H449)="yes","Loan Started",IF(LOWER(H449)="not sure","Interested",IF(OR(LOWER(H449)="no",LOWER(V449)="not required"),"Not Required","Unclassified")))))))))))))</f>
        <v/>
      </c>
      <c r="Y449">
        <f>IF(A449="","",IF(OR(X449="Sanctioned",X449="Disbursed",X449="Approved"),"Approved",IF(X449="Rejected","Rejected",IF(OR(X449="Processing",X449="Documents Pending",X449="Vendor Assigned"),"In Progress",IF(X449="Need Loan","Pending Start","—"))))</f>
        <v/>
      </c>
      <c r="Z449">
        <f>IF(A449="","",IF(X449="Disbursed","Disbursed",IF(X449="Sanctioned","Sanctioned - Awaiting Disbursement","Not Disbursed")))</f>
        <v/>
      </c>
      <c r="AA449">
        <f>IF(A449="","",IF(LOWER(TRIM('01_Master_Data'!AI449&amp;""))="yes","Need FLDG",IF(LOWER(TRIM('01_Master_Data'!AK449&amp;""))="yes","Need Vidyalakshmi",IF(LOWER(TRIM('01_Master_Data'!AJ449&amp;""))="yes","Need Review",IF(LOWER(J449)="critical","Critical",IF(LOWER(U449)="risk","Risk Case",IF(X449="Refund","Refund","Normal")))))))</f>
        <v/>
      </c>
      <c r="AB449">
        <f>IF(A449="","",IF(OR(LOWER(J449)="critical",LOWER(TRIM('01_Master_Data'!AI449&amp;""))="yes",LOWER(TRIM('01_Master_Data'!AK449&amp;""))="yes",LOWER(U449)="risk"),"Yes","No"))</f>
        <v/>
      </c>
      <c r="AC449">
        <f>IF(A449="","",IF(LOWER(TRIM('01_Master_Data'!AI449&amp;""))="yes","Yes","No"))</f>
        <v/>
      </c>
      <c r="AD449">
        <f>IF(A449="","",IF(LOWER(TRIM('01_Master_Data'!AK449&amp;""))="yes","Yes","No"))</f>
        <v/>
      </c>
      <c r="AE449">
        <f>IF(A449="","",IF(LOWER(TRIM('01_Master_Data'!AJ449&amp;""))="yes","Yes","No"))</f>
        <v/>
      </c>
      <c r="AF449">
        <f>IF(A449="","",TRIM('01_Master_Data'!AL449&amp;""))</f>
        <v/>
      </c>
      <c r="AG449">
        <f>IF(A449="","",IF(AF449="","—",IF(ISNUMBER(SEARCH("DNP",AF449)),"Unreachable / DNP",IF(ISNUMBER(SEARCH("interest",LOWER(AF449))),"High Interest / Terms",IF(OR(ISNUMBER(SEARCH("eligib",LOWER(AF449))),ISNUMBER(SEARCH("income",LOWER(AF449)))),"Eligibility / Income",IF(OR(ISNUMBER(SEARCH("start",LOWER(AF449))),ISNUMBER(SEARCH("Newer",AF449)),ISNUMBER(SEARCH("Will start",AF449))),"Process Yet to Start",IF(ISNUMBER(SEARCH("sure",LOWER(AF449))),"Undecided",IF(OR(ISNUMBER(SEARCH("reject",LOWER(AF449))),ISNUMBER(SEARCH("SBI",AF449))),"Rejected Elsewhere",IF(ISNUMBER(SEARCH("call",LOWER(AF449))),"Bank Communication",IF(OR(ISNUMBER(SEARCH("father",LOWER(AF449))),ISNUMBER(SEARCH("sister",LOWER(AF449)))),"Family / Dependency","Other"))))))))))</f>
        <v/>
      </c>
      <c r="AH449">
        <f>IF(A449="","",'01_Master_Data'!AC449)</f>
        <v/>
      </c>
      <c r="AI449">
        <f>IF(A449="","",IF(OR(AH449="",NOT(ISNUMBER(AH449))),"",MAX(0,'02_Configuration'!$B$82-AH449)))</f>
        <v/>
      </c>
      <c r="AJ449">
        <f>IF(A449="","",IF(AI449="","Unknown",IF(AI449&lt;=3,"0–3 Days",IF(AI449&lt;=7,"4–7 Days",IF(AI449&lt;=15,"8–15 Days",IF(AI449&lt;=30,"16–30 Days","30+ Days"))))))</f>
        <v/>
      </c>
      <c r="AK449">
        <f>IF(A449="","",IF(LOWER(H449)="yes","Yes","No"))</f>
        <v/>
      </c>
      <c r="AL449">
        <f>IF(A449="","",'01_Master_Data'!T449)</f>
        <v/>
      </c>
      <c r="AM449">
        <f>IF(A449="","",'01_Master_Data'!S449)</f>
        <v/>
      </c>
      <c r="AN449">
        <f>IF(A449="","",'01_Master_Data'!I449)</f>
        <v/>
      </c>
      <c r="AO449">
        <f>IF(A449="","",'01_Master_Data'!M449)</f>
        <v/>
      </c>
      <c r="AP449">
        <f>IF(A449="","",IF(ISNUMBER(SEARCH("Icici",W449&amp;"")),1,0))</f>
        <v/>
      </c>
      <c r="AQ449">
        <f>IF(A449="","",IF(ISNUMBER(SEARCH("Propelld",W449&amp;"")),1,0))</f>
        <v/>
      </c>
      <c r="AR449">
        <f>IF(A449="","",IF(ISNUMBER(SEARCH("GyanDhan",W449&amp;"")),1,0))</f>
        <v/>
      </c>
      <c r="AS449">
        <f>IF(A449="","",IF(ISNUMBER(SEARCH("vidyalakshmi",LOWER(W449&amp;""))),1,0))</f>
        <v/>
      </c>
      <c r="AT449">
        <f>IF(A449="","",IF(ISNUMBER(SEARCH("other bank",LOWER(W449&amp;""))),1,0))</f>
        <v/>
      </c>
      <c r="AU449">
        <f>IF(A449="","",IF(ISNUMBER(SEARCH("sanctioned",LOWER(W449&amp;""))),1,0))</f>
        <v/>
      </c>
      <c r="AV449">
        <f>IF(A449="","",IF(ISNUMBER(SEARCH("Docs Pending",W449&amp;"")),1,0))</f>
        <v/>
      </c>
      <c r="AW449">
        <f>IF(A449="","",IF(OR(X449="Rejected",ISNUMBER(SEARCH("Not eligbile",W449&amp;""))),1,0))</f>
        <v/>
      </c>
    </row>
    <row r="450">
      <c r="A450">
        <f>IF('01_Master_Data'!B450="","",449)</f>
        <v/>
      </c>
      <c r="B450">
        <f>IF('01_Master_Data'!B450="","",IF('01_Master_Data'!C450&lt;&gt;"","MOB|"&amp;TEXT('01_Master_Data'!C450,"0"),IF('01_Master_Data'!D450&lt;&gt;"","PID|"&amp;TRIM('01_Master_Data'!D450&amp;""),"")))</f>
        <v/>
      </c>
      <c r="C450">
        <f>IF('01_Master_Data'!B450="","",'01_Master_Data'!B450)</f>
        <v/>
      </c>
      <c r="D450">
        <f>IF('01_Master_Data'!B450="","",'01_Master_Data'!C450)</f>
        <v/>
      </c>
      <c r="E450">
        <f>IF('01_Master_Data'!B450="","",'01_Master_Data'!D450)</f>
        <v/>
      </c>
      <c r="F450">
        <f>IF('01_Master_Data'!B450="","",'01_Master_Data'!E450)</f>
        <v/>
      </c>
      <c r="G450">
        <f>IF('01_Master_Data'!B450="","",IFERROR(VLOOKUP(TRIM('01_Master_Data'!E450&amp;""),'02_Configuration'!$A$40:$B$44,2,FALSE),UPPER(TRIM('01_Master_Data'!E450&amp;""))))</f>
        <v/>
      </c>
      <c r="H450">
        <f>IF('01_Master_Data'!B450="","",IF('01_Master_Data'!U450="","",TRIM('01_Master_Data'!U450&amp;"")))</f>
        <v/>
      </c>
      <c r="I450">
        <f>IF('01_Master_Data'!B450="","",TRIM('01_Master_Data'!F450&amp;""))</f>
        <v/>
      </c>
      <c r="J450">
        <f>IF('01_Master_Data'!B450="","",TRIM('01_Master_Data'!G450&amp;""))</f>
        <v/>
      </c>
      <c r="K450">
        <f>IF('01_Master_Data'!B450="","",'01_Master_Data'!H450)</f>
        <v/>
      </c>
      <c r="L450">
        <f>IF('01_Master_Data'!B450="","",IF(LOWER(TRIM('01_Master_Data'!V450&amp;""))="yes",1,0))</f>
        <v/>
      </c>
      <c r="M450">
        <f>IF('01_Master_Data'!B450="","",IF(LOWER(TRIM('01_Master_Data'!W450&amp;""))="yes",1,0))</f>
        <v/>
      </c>
      <c r="N450">
        <f>IF('01_Master_Data'!B450="","",IF(LOWER(TRIM('01_Master_Data'!X450&amp;""))="yes",1,0))</f>
        <v/>
      </c>
      <c r="O450">
        <f>IF('01_Master_Data'!B450="","",IF(LOWER(TRIM('01_Master_Data'!Y450&amp;""))="yes",1,0))</f>
        <v/>
      </c>
      <c r="P450">
        <f>IF('01_Master_Data'!B450="","",IF(LOWER(TRIM('01_Master_Data'!Z450&amp;""))="yes",1,0))</f>
        <v/>
      </c>
      <c r="Q450">
        <f>IF(A450="","",L450+M450+N450+O450+P450)</f>
        <v/>
      </c>
      <c r="R450">
        <f>IF(A450="","",IF(Q450&gt;1,"Yes","No"))</f>
        <v/>
      </c>
      <c r="S450">
        <f>IF(A450="","",TEXTJOIN(", ",TRUE,IF(L450=1,"ICICI",""),IF(M450=1,"Propelld",""),IF(N450=1,"Study4Buddy",""),IF(O450=1,"Poonawala Fincorp",""),IF(P450=1,"GyanDhan","")))</f>
        <v/>
      </c>
      <c r="T450">
        <f>IF(A450="","",IF(L450=1,"ICICI",IF(M450=1,"Propelld",IF(P450=1,"GyanDhan",IF(N450=1,"Study4Buddy",IF(O450=1,"Poonawala Fincorp",IF(ISNUMBER(SEARCH("GyanDhan",W450&amp;"")),"GyanDhan",IF(ISNUMBER(SEARCH("Icici",W450&amp;"")),"ICICI",IF(ISNUMBER(SEARCH("Propelld",W450&amp;"")),"Propelld",IF(ISNUMBER(SEARCH("vidyalakshmi",LOWER(W450&amp;"")),"PM Vidyalakshmi","—"))))))))))</f>
        <v/>
      </c>
      <c r="U450">
        <f>IF(A450="","",TRIM('01_Master_Data'!AA450&amp;""))</f>
        <v/>
      </c>
      <c r="V450">
        <f>IF(A450="","",TRIM('01_Master_Data'!AG450&amp;""))</f>
        <v/>
      </c>
      <c r="W450">
        <f>IF(A450="","",TRIM('01_Master_Data'!AH450&amp;""))</f>
        <v/>
      </c>
      <c r="X450">
        <f>IF(A450="","",IF(OR(LOWER(H450)="refund",LOWER(U450)="refund case"),"Refund",IF(OR(LOWER(H450)="dnp",LOWER(U450)="dnp"),"DNP",IF(OR(LOWER(V450)="disbursed",ISNUMBER(SEARCH("Disbursed",W450&amp;""))),"Disbursed",IF(OR(LOWER(V450)="loan proccessed/accepted",ISNUMBER(SEARCH("sanctioned",LOWER(W450&amp;"")))),"Sanctioned",IF(OR(LOWER(V450)="rejected",ISNUMBER(SEARCH("Not eligbile",W450&amp;"")),ISNUMBER(SEARCH("Not eligible",W450&amp;""))),"Rejected",IF(ISNUMBER(SEARCH("Docs Pending",W450&amp;"")),"Documents Pending",IF(AND(LOWER(H450)="yes",LOWER(V450)="ongoing"),"Processing",IF(AND(LOWER(H450)="yes",Q450&gt;0,OR(V450="",LOWER(V450)="not even started")),"Vendor Assigned",IF(AND(LOWER(H450)="yes",LOWER(V450)="not even started"),"Need Loan",IF(LOWER(H450)="yes","Loan Started",IF(LOWER(H450)="not sure","Interested",IF(OR(LOWER(H450)="no",LOWER(V450)="not required"),"Not Required","Unclassified")))))))))))))</f>
        <v/>
      </c>
      <c r="Y450">
        <f>IF(A450="","",IF(OR(X450="Sanctioned",X450="Disbursed",X450="Approved"),"Approved",IF(X450="Rejected","Rejected",IF(OR(X450="Processing",X450="Documents Pending",X450="Vendor Assigned"),"In Progress",IF(X450="Need Loan","Pending Start","—"))))</f>
        <v/>
      </c>
      <c r="Z450">
        <f>IF(A450="","",IF(X450="Disbursed","Disbursed",IF(X450="Sanctioned","Sanctioned - Awaiting Disbursement","Not Disbursed")))</f>
        <v/>
      </c>
      <c r="AA450">
        <f>IF(A450="","",IF(LOWER(TRIM('01_Master_Data'!AI450&amp;""))="yes","Need FLDG",IF(LOWER(TRIM('01_Master_Data'!AK450&amp;""))="yes","Need Vidyalakshmi",IF(LOWER(TRIM('01_Master_Data'!AJ450&amp;""))="yes","Need Review",IF(LOWER(J450)="critical","Critical",IF(LOWER(U450)="risk","Risk Case",IF(X450="Refund","Refund","Normal")))))))</f>
        <v/>
      </c>
      <c r="AB450">
        <f>IF(A450="","",IF(OR(LOWER(J450)="critical",LOWER(TRIM('01_Master_Data'!AI450&amp;""))="yes",LOWER(TRIM('01_Master_Data'!AK450&amp;""))="yes",LOWER(U450)="risk"),"Yes","No"))</f>
        <v/>
      </c>
      <c r="AC450">
        <f>IF(A450="","",IF(LOWER(TRIM('01_Master_Data'!AI450&amp;""))="yes","Yes","No"))</f>
        <v/>
      </c>
      <c r="AD450">
        <f>IF(A450="","",IF(LOWER(TRIM('01_Master_Data'!AK450&amp;""))="yes","Yes","No"))</f>
        <v/>
      </c>
      <c r="AE450">
        <f>IF(A450="","",IF(LOWER(TRIM('01_Master_Data'!AJ450&amp;""))="yes","Yes","No"))</f>
        <v/>
      </c>
      <c r="AF450">
        <f>IF(A450="","",TRIM('01_Master_Data'!AL450&amp;""))</f>
        <v/>
      </c>
      <c r="AG450">
        <f>IF(A450="","",IF(AF450="","—",IF(ISNUMBER(SEARCH("DNP",AF450)),"Unreachable / DNP",IF(ISNUMBER(SEARCH("interest",LOWER(AF450))),"High Interest / Terms",IF(OR(ISNUMBER(SEARCH("eligib",LOWER(AF450))),ISNUMBER(SEARCH("income",LOWER(AF450)))),"Eligibility / Income",IF(OR(ISNUMBER(SEARCH("start",LOWER(AF450))),ISNUMBER(SEARCH("Newer",AF450)),ISNUMBER(SEARCH("Will start",AF450))),"Process Yet to Start",IF(ISNUMBER(SEARCH("sure",LOWER(AF450))),"Undecided",IF(OR(ISNUMBER(SEARCH("reject",LOWER(AF450))),ISNUMBER(SEARCH("SBI",AF450))),"Rejected Elsewhere",IF(ISNUMBER(SEARCH("call",LOWER(AF450))),"Bank Communication",IF(OR(ISNUMBER(SEARCH("father",LOWER(AF450))),ISNUMBER(SEARCH("sister",LOWER(AF450)))),"Family / Dependency","Other"))))))))))</f>
        <v/>
      </c>
      <c r="AH450">
        <f>IF(A450="","",'01_Master_Data'!AC450)</f>
        <v/>
      </c>
      <c r="AI450">
        <f>IF(A450="","",IF(OR(AH450="",NOT(ISNUMBER(AH450))),"",MAX(0,'02_Configuration'!$B$82-AH450)))</f>
        <v/>
      </c>
      <c r="AJ450">
        <f>IF(A450="","",IF(AI450="","Unknown",IF(AI450&lt;=3,"0–3 Days",IF(AI450&lt;=7,"4–7 Days",IF(AI450&lt;=15,"8–15 Days",IF(AI450&lt;=30,"16–30 Days","30+ Days"))))))</f>
        <v/>
      </c>
      <c r="AK450">
        <f>IF(A450="","",IF(LOWER(H450)="yes","Yes","No"))</f>
        <v/>
      </c>
      <c r="AL450">
        <f>IF(A450="","",'01_Master_Data'!T450)</f>
        <v/>
      </c>
      <c r="AM450">
        <f>IF(A450="","",'01_Master_Data'!S450)</f>
        <v/>
      </c>
      <c r="AN450">
        <f>IF(A450="","",'01_Master_Data'!I450)</f>
        <v/>
      </c>
      <c r="AO450">
        <f>IF(A450="","",'01_Master_Data'!M450)</f>
        <v/>
      </c>
      <c r="AP450">
        <f>IF(A450="","",IF(ISNUMBER(SEARCH("Icici",W450&amp;"")),1,0))</f>
        <v/>
      </c>
      <c r="AQ450">
        <f>IF(A450="","",IF(ISNUMBER(SEARCH("Propelld",W450&amp;"")),1,0))</f>
        <v/>
      </c>
      <c r="AR450">
        <f>IF(A450="","",IF(ISNUMBER(SEARCH("GyanDhan",W450&amp;"")),1,0))</f>
        <v/>
      </c>
      <c r="AS450">
        <f>IF(A450="","",IF(ISNUMBER(SEARCH("vidyalakshmi",LOWER(W450&amp;""))),1,0))</f>
        <v/>
      </c>
      <c r="AT450">
        <f>IF(A450="","",IF(ISNUMBER(SEARCH("other bank",LOWER(W450&amp;""))),1,0))</f>
        <v/>
      </c>
      <c r="AU450">
        <f>IF(A450="","",IF(ISNUMBER(SEARCH("sanctioned",LOWER(W450&amp;""))),1,0))</f>
        <v/>
      </c>
      <c r="AV450">
        <f>IF(A450="","",IF(ISNUMBER(SEARCH("Docs Pending",W450&amp;"")),1,0))</f>
        <v/>
      </c>
      <c r="AW450">
        <f>IF(A450="","",IF(OR(X450="Rejected",ISNUMBER(SEARCH("Not eligbile",W450&amp;""))),1,0))</f>
        <v/>
      </c>
    </row>
    <row r="451">
      <c r="A451">
        <f>IF('01_Master_Data'!B451="","",450)</f>
        <v/>
      </c>
      <c r="B451">
        <f>IF('01_Master_Data'!B451="","",IF('01_Master_Data'!C451&lt;&gt;"","MOB|"&amp;TEXT('01_Master_Data'!C451,"0"),IF('01_Master_Data'!D451&lt;&gt;"","PID|"&amp;TRIM('01_Master_Data'!D451&amp;""),"")))</f>
        <v/>
      </c>
      <c r="C451">
        <f>IF('01_Master_Data'!B451="","",'01_Master_Data'!B451)</f>
        <v/>
      </c>
      <c r="D451">
        <f>IF('01_Master_Data'!B451="","",'01_Master_Data'!C451)</f>
        <v/>
      </c>
      <c r="E451">
        <f>IF('01_Master_Data'!B451="","",'01_Master_Data'!D451)</f>
        <v/>
      </c>
      <c r="F451">
        <f>IF('01_Master_Data'!B451="","",'01_Master_Data'!E451)</f>
        <v/>
      </c>
      <c r="G451">
        <f>IF('01_Master_Data'!B451="","",IFERROR(VLOOKUP(TRIM('01_Master_Data'!E451&amp;""),'02_Configuration'!$A$40:$B$44,2,FALSE),UPPER(TRIM('01_Master_Data'!E451&amp;""))))</f>
        <v/>
      </c>
      <c r="H451">
        <f>IF('01_Master_Data'!B451="","",IF('01_Master_Data'!U451="","",TRIM('01_Master_Data'!U451&amp;"")))</f>
        <v/>
      </c>
      <c r="I451">
        <f>IF('01_Master_Data'!B451="","",TRIM('01_Master_Data'!F451&amp;""))</f>
        <v/>
      </c>
      <c r="J451">
        <f>IF('01_Master_Data'!B451="","",TRIM('01_Master_Data'!G451&amp;""))</f>
        <v/>
      </c>
      <c r="K451">
        <f>IF('01_Master_Data'!B451="","",'01_Master_Data'!H451)</f>
        <v/>
      </c>
      <c r="L451">
        <f>IF('01_Master_Data'!B451="","",IF(LOWER(TRIM('01_Master_Data'!V451&amp;""))="yes",1,0))</f>
        <v/>
      </c>
      <c r="M451">
        <f>IF('01_Master_Data'!B451="","",IF(LOWER(TRIM('01_Master_Data'!W451&amp;""))="yes",1,0))</f>
        <v/>
      </c>
      <c r="N451">
        <f>IF('01_Master_Data'!B451="","",IF(LOWER(TRIM('01_Master_Data'!X451&amp;""))="yes",1,0))</f>
        <v/>
      </c>
      <c r="O451">
        <f>IF('01_Master_Data'!B451="","",IF(LOWER(TRIM('01_Master_Data'!Y451&amp;""))="yes",1,0))</f>
        <v/>
      </c>
      <c r="P451">
        <f>IF('01_Master_Data'!B451="","",IF(LOWER(TRIM('01_Master_Data'!Z451&amp;""))="yes",1,0))</f>
        <v/>
      </c>
      <c r="Q451">
        <f>IF(A451="","",L451+M451+N451+O451+P451)</f>
        <v/>
      </c>
      <c r="R451">
        <f>IF(A451="","",IF(Q451&gt;1,"Yes","No"))</f>
        <v/>
      </c>
      <c r="S451">
        <f>IF(A451="","",TEXTJOIN(", ",TRUE,IF(L451=1,"ICICI",""),IF(M451=1,"Propelld",""),IF(N451=1,"Study4Buddy",""),IF(O451=1,"Poonawala Fincorp",""),IF(P451=1,"GyanDhan","")))</f>
        <v/>
      </c>
      <c r="T451">
        <f>IF(A451="","",IF(L451=1,"ICICI",IF(M451=1,"Propelld",IF(P451=1,"GyanDhan",IF(N451=1,"Study4Buddy",IF(O451=1,"Poonawala Fincorp",IF(ISNUMBER(SEARCH("GyanDhan",W451&amp;"")),"GyanDhan",IF(ISNUMBER(SEARCH("Icici",W451&amp;"")),"ICICI",IF(ISNUMBER(SEARCH("Propelld",W451&amp;"")),"Propelld",IF(ISNUMBER(SEARCH("vidyalakshmi",LOWER(W451&amp;"")),"PM Vidyalakshmi","—"))))))))))</f>
        <v/>
      </c>
      <c r="U451">
        <f>IF(A451="","",TRIM('01_Master_Data'!AA451&amp;""))</f>
        <v/>
      </c>
      <c r="V451">
        <f>IF(A451="","",TRIM('01_Master_Data'!AG451&amp;""))</f>
        <v/>
      </c>
      <c r="W451">
        <f>IF(A451="","",TRIM('01_Master_Data'!AH451&amp;""))</f>
        <v/>
      </c>
      <c r="X451">
        <f>IF(A451="","",IF(OR(LOWER(H451)="refund",LOWER(U451)="refund case"),"Refund",IF(OR(LOWER(H451)="dnp",LOWER(U451)="dnp"),"DNP",IF(OR(LOWER(V451)="disbursed",ISNUMBER(SEARCH("Disbursed",W451&amp;""))),"Disbursed",IF(OR(LOWER(V451)="loan proccessed/accepted",ISNUMBER(SEARCH("sanctioned",LOWER(W451&amp;"")))),"Sanctioned",IF(OR(LOWER(V451)="rejected",ISNUMBER(SEARCH("Not eligbile",W451&amp;"")),ISNUMBER(SEARCH("Not eligible",W451&amp;""))),"Rejected",IF(ISNUMBER(SEARCH("Docs Pending",W451&amp;"")),"Documents Pending",IF(AND(LOWER(H451)="yes",LOWER(V451)="ongoing"),"Processing",IF(AND(LOWER(H451)="yes",Q451&gt;0,OR(V451="",LOWER(V451)="not even started")),"Vendor Assigned",IF(AND(LOWER(H451)="yes",LOWER(V451)="not even started"),"Need Loan",IF(LOWER(H451)="yes","Loan Started",IF(LOWER(H451)="not sure","Interested",IF(OR(LOWER(H451)="no",LOWER(V451)="not required"),"Not Required","Unclassified")))))))))))))</f>
        <v/>
      </c>
      <c r="Y451">
        <f>IF(A451="","",IF(OR(X451="Sanctioned",X451="Disbursed",X451="Approved"),"Approved",IF(X451="Rejected","Rejected",IF(OR(X451="Processing",X451="Documents Pending",X451="Vendor Assigned"),"In Progress",IF(X451="Need Loan","Pending Start","—"))))</f>
        <v/>
      </c>
      <c r="Z451">
        <f>IF(A451="","",IF(X451="Disbursed","Disbursed",IF(X451="Sanctioned","Sanctioned - Awaiting Disbursement","Not Disbursed")))</f>
        <v/>
      </c>
      <c r="AA451">
        <f>IF(A451="","",IF(LOWER(TRIM('01_Master_Data'!AI451&amp;""))="yes","Need FLDG",IF(LOWER(TRIM('01_Master_Data'!AK451&amp;""))="yes","Need Vidyalakshmi",IF(LOWER(TRIM('01_Master_Data'!AJ451&amp;""))="yes","Need Review",IF(LOWER(J451)="critical","Critical",IF(LOWER(U451)="risk","Risk Case",IF(X451="Refund","Refund","Normal")))))))</f>
        <v/>
      </c>
      <c r="AB451">
        <f>IF(A451="","",IF(OR(LOWER(J451)="critical",LOWER(TRIM('01_Master_Data'!AI451&amp;""))="yes",LOWER(TRIM('01_Master_Data'!AK451&amp;""))="yes",LOWER(U451)="risk"),"Yes","No"))</f>
        <v/>
      </c>
      <c r="AC451">
        <f>IF(A451="","",IF(LOWER(TRIM('01_Master_Data'!AI451&amp;""))="yes","Yes","No"))</f>
        <v/>
      </c>
      <c r="AD451">
        <f>IF(A451="","",IF(LOWER(TRIM('01_Master_Data'!AK451&amp;""))="yes","Yes","No"))</f>
        <v/>
      </c>
      <c r="AE451">
        <f>IF(A451="","",IF(LOWER(TRIM('01_Master_Data'!AJ451&amp;""))="yes","Yes","No"))</f>
        <v/>
      </c>
      <c r="AF451">
        <f>IF(A451="","",TRIM('01_Master_Data'!AL451&amp;""))</f>
        <v/>
      </c>
      <c r="AG451">
        <f>IF(A451="","",IF(AF451="","—",IF(ISNUMBER(SEARCH("DNP",AF451)),"Unreachable / DNP",IF(ISNUMBER(SEARCH("interest",LOWER(AF451))),"High Interest / Terms",IF(OR(ISNUMBER(SEARCH("eligib",LOWER(AF451))),ISNUMBER(SEARCH("income",LOWER(AF451)))),"Eligibility / Income",IF(OR(ISNUMBER(SEARCH("start",LOWER(AF451))),ISNUMBER(SEARCH("Newer",AF451)),ISNUMBER(SEARCH("Will start",AF451))),"Process Yet to Start",IF(ISNUMBER(SEARCH("sure",LOWER(AF451))),"Undecided",IF(OR(ISNUMBER(SEARCH("reject",LOWER(AF451))),ISNUMBER(SEARCH("SBI",AF451))),"Rejected Elsewhere",IF(ISNUMBER(SEARCH("call",LOWER(AF451))),"Bank Communication",IF(OR(ISNUMBER(SEARCH("father",LOWER(AF451))),ISNUMBER(SEARCH("sister",LOWER(AF451)))),"Family / Dependency","Other"))))))))))</f>
        <v/>
      </c>
      <c r="AH451">
        <f>IF(A451="","",'01_Master_Data'!AC451)</f>
        <v/>
      </c>
      <c r="AI451">
        <f>IF(A451="","",IF(OR(AH451="",NOT(ISNUMBER(AH451))),"",MAX(0,'02_Configuration'!$B$82-AH451)))</f>
        <v/>
      </c>
      <c r="AJ451">
        <f>IF(A451="","",IF(AI451="","Unknown",IF(AI451&lt;=3,"0–3 Days",IF(AI451&lt;=7,"4–7 Days",IF(AI451&lt;=15,"8–15 Days",IF(AI451&lt;=30,"16–30 Days","30+ Days"))))))</f>
        <v/>
      </c>
      <c r="AK451">
        <f>IF(A451="","",IF(LOWER(H451)="yes","Yes","No"))</f>
        <v/>
      </c>
      <c r="AL451">
        <f>IF(A451="","",'01_Master_Data'!T451)</f>
        <v/>
      </c>
      <c r="AM451">
        <f>IF(A451="","",'01_Master_Data'!S451)</f>
        <v/>
      </c>
      <c r="AN451">
        <f>IF(A451="","",'01_Master_Data'!I451)</f>
        <v/>
      </c>
      <c r="AO451">
        <f>IF(A451="","",'01_Master_Data'!M451)</f>
        <v/>
      </c>
      <c r="AP451">
        <f>IF(A451="","",IF(ISNUMBER(SEARCH("Icici",W451&amp;"")),1,0))</f>
        <v/>
      </c>
      <c r="AQ451">
        <f>IF(A451="","",IF(ISNUMBER(SEARCH("Propelld",W451&amp;"")),1,0))</f>
        <v/>
      </c>
      <c r="AR451">
        <f>IF(A451="","",IF(ISNUMBER(SEARCH("GyanDhan",W451&amp;"")),1,0))</f>
        <v/>
      </c>
      <c r="AS451">
        <f>IF(A451="","",IF(ISNUMBER(SEARCH("vidyalakshmi",LOWER(W451&amp;""))),1,0))</f>
        <v/>
      </c>
      <c r="AT451">
        <f>IF(A451="","",IF(ISNUMBER(SEARCH("other bank",LOWER(W451&amp;""))),1,0))</f>
        <v/>
      </c>
      <c r="AU451">
        <f>IF(A451="","",IF(ISNUMBER(SEARCH("sanctioned",LOWER(W451&amp;""))),1,0))</f>
        <v/>
      </c>
      <c r="AV451">
        <f>IF(A451="","",IF(ISNUMBER(SEARCH("Docs Pending",W451&amp;"")),1,0))</f>
        <v/>
      </c>
      <c r="AW451">
        <f>IF(A451="","",IF(OR(X451="Rejected",ISNUMBER(SEARCH("Not eligbile",W451&amp;""))),1,0))</f>
        <v/>
      </c>
    </row>
    <row r="452">
      <c r="A452">
        <f>IF('01_Master_Data'!B452="","",451)</f>
        <v/>
      </c>
      <c r="B452">
        <f>IF('01_Master_Data'!B452="","",IF('01_Master_Data'!C452&lt;&gt;"","MOB|"&amp;TEXT('01_Master_Data'!C452,"0"),IF('01_Master_Data'!D452&lt;&gt;"","PID|"&amp;TRIM('01_Master_Data'!D452&amp;""),"")))</f>
        <v/>
      </c>
      <c r="C452">
        <f>IF('01_Master_Data'!B452="","",'01_Master_Data'!B452)</f>
        <v/>
      </c>
      <c r="D452">
        <f>IF('01_Master_Data'!B452="","",'01_Master_Data'!C452)</f>
        <v/>
      </c>
      <c r="E452">
        <f>IF('01_Master_Data'!B452="","",'01_Master_Data'!D452)</f>
        <v/>
      </c>
      <c r="F452">
        <f>IF('01_Master_Data'!B452="","",'01_Master_Data'!E452)</f>
        <v/>
      </c>
      <c r="G452">
        <f>IF('01_Master_Data'!B452="","",IFERROR(VLOOKUP(TRIM('01_Master_Data'!E452&amp;""),'02_Configuration'!$A$40:$B$44,2,FALSE),UPPER(TRIM('01_Master_Data'!E452&amp;""))))</f>
        <v/>
      </c>
      <c r="H452">
        <f>IF('01_Master_Data'!B452="","",IF('01_Master_Data'!U452="","",TRIM('01_Master_Data'!U452&amp;"")))</f>
        <v/>
      </c>
      <c r="I452">
        <f>IF('01_Master_Data'!B452="","",TRIM('01_Master_Data'!F452&amp;""))</f>
        <v/>
      </c>
      <c r="J452">
        <f>IF('01_Master_Data'!B452="","",TRIM('01_Master_Data'!G452&amp;""))</f>
        <v/>
      </c>
      <c r="K452">
        <f>IF('01_Master_Data'!B452="","",'01_Master_Data'!H452)</f>
        <v/>
      </c>
      <c r="L452">
        <f>IF('01_Master_Data'!B452="","",IF(LOWER(TRIM('01_Master_Data'!V452&amp;""))="yes",1,0))</f>
        <v/>
      </c>
      <c r="M452">
        <f>IF('01_Master_Data'!B452="","",IF(LOWER(TRIM('01_Master_Data'!W452&amp;""))="yes",1,0))</f>
        <v/>
      </c>
      <c r="N452">
        <f>IF('01_Master_Data'!B452="","",IF(LOWER(TRIM('01_Master_Data'!X452&amp;""))="yes",1,0))</f>
        <v/>
      </c>
      <c r="O452">
        <f>IF('01_Master_Data'!B452="","",IF(LOWER(TRIM('01_Master_Data'!Y452&amp;""))="yes",1,0))</f>
        <v/>
      </c>
      <c r="P452">
        <f>IF('01_Master_Data'!B452="","",IF(LOWER(TRIM('01_Master_Data'!Z452&amp;""))="yes",1,0))</f>
        <v/>
      </c>
      <c r="Q452">
        <f>IF(A452="","",L452+M452+N452+O452+P452)</f>
        <v/>
      </c>
      <c r="R452">
        <f>IF(A452="","",IF(Q452&gt;1,"Yes","No"))</f>
        <v/>
      </c>
      <c r="S452">
        <f>IF(A452="","",TEXTJOIN(", ",TRUE,IF(L452=1,"ICICI",""),IF(M452=1,"Propelld",""),IF(N452=1,"Study4Buddy",""),IF(O452=1,"Poonawala Fincorp",""),IF(P452=1,"GyanDhan","")))</f>
        <v/>
      </c>
      <c r="T452">
        <f>IF(A452="","",IF(L452=1,"ICICI",IF(M452=1,"Propelld",IF(P452=1,"GyanDhan",IF(N452=1,"Study4Buddy",IF(O452=1,"Poonawala Fincorp",IF(ISNUMBER(SEARCH("GyanDhan",W452&amp;"")),"GyanDhan",IF(ISNUMBER(SEARCH("Icici",W452&amp;"")),"ICICI",IF(ISNUMBER(SEARCH("Propelld",W452&amp;"")),"Propelld",IF(ISNUMBER(SEARCH("vidyalakshmi",LOWER(W452&amp;"")),"PM Vidyalakshmi","—"))))))))))</f>
        <v/>
      </c>
      <c r="U452">
        <f>IF(A452="","",TRIM('01_Master_Data'!AA452&amp;""))</f>
        <v/>
      </c>
      <c r="V452">
        <f>IF(A452="","",TRIM('01_Master_Data'!AG452&amp;""))</f>
        <v/>
      </c>
      <c r="W452">
        <f>IF(A452="","",TRIM('01_Master_Data'!AH452&amp;""))</f>
        <v/>
      </c>
      <c r="X452">
        <f>IF(A452="","",IF(OR(LOWER(H452)="refund",LOWER(U452)="refund case"),"Refund",IF(OR(LOWER(H452)="dnp",LOWER(U452)="dnp"),"DNP",IF(OR(LOWER(V452)="disbursed",ISNUMBER(SEARCH("Disbursed",W452&amp;""))),"Disbursed",IF(OR(LOWER(V452)="loan proccessed/accepted",ISNUMBER(SEARCH("sanctioned",LOWER(W452&amp;"")))),"Sanctioned",IF(OR(LOWER(V452)="rejected",ISNUMBER(SEARCH("Not eligbile",W452&amp;"")),ISNUMBER(SEARCH("Not eligible",W452&amp;""))),"Rejected",IF(ISNUMBER(SEARCH("Docs Pending",W452&amp;"")),"Documents Pending",IF(AND(LOWER(H452)="yes",LOWER(V452)="ongoing"),"Processing",IF(AND(LOWER(H452)="yes",Q452&gt;0,OR(V452="",LOWER(V452)="not even started")),"Vendor Assigned",IF(AND(LOWER(H452)="yes",LOWER(V452)="not even started"),"Need Loan",IF(LOWER(H452)="yes","Loan Started",IF(LOWER(H452)="not sure","Interested",IF(OR(LOWER(H452)="no",LOWER(V452)="not required"),"Not Required","Unclassified")))))))))))))</f>
        <v/>
      </c>
      <c r="Y452">
        <f>IF(A452="","",IF(OR(X452="Sanctioned",X452="Disbursed",X452="Approved"),"Approved",IF(X452="Rejected","Rejected",IF(OR(X452="Processing",X452="Documents Pending",X452="Vendor Assigned"),"In Progress",IF(X452="Need Loan","Pending Start","—"))))</f>
        <v/>
      </c>
      <c r="Z452">
        <f>IF(A452="","",IF(X452="Disbursed","Disbursed",IF(X452="Sanctioned","Sanctioned - Awaiting Disbursement","Not Disbursed")))</f>
        <v/>
      </c>
      <c r="AA452">
        <f>IF(A452="","",IF(LOWER(TRIM('01_Master_Data'!AI452&amp;""))="yes","Need FLDG",IF(LOWER(TRIM('01_Master_Data'!AK452&amp;""))="yes","Need Vidyalakshmi",IF(LOWER(TRIM('01_Master_Data'!AJ452&amp;""))="yes","Need Review",IF(LOWER(J452)="critical","Critical",IF(LOWER(U452)="risk","Risk Case",IF(X452="Refund","Refund","Normal")))))))</f>
        <v/>
      </c>
      <c r="AB452">
        <f>IF(A452="","",IF(OR(LOWER(J452)="critical",LOWER(TRIM('01_Master_Data'!AI452&amp;""))="yes",LOWER(TRIM('01_Master_Data'!AK452&amp;""))="yes",LOWER(U452)="risk"),"Yes","No"))</f>
        <v/>
      </c>
      <c r="AC452">
        <f>IF(A452="","",IF(LOWER(TRIM('01_Master_Data'!AI452&amp;""))="yes","Yes","No"))</f>
        <v/>
      </c>
      <c r="AD452">
        <f>IF(A452="","",IF(LOWER(TRIM('01_Master_Data'!AK452&amp;""))="yes","Yes","No"))</f>
        <v/>
      </c>
      <c r="AE452">
        <f>IF(A452="","",IF(LOWER(TRIM('01_Master_Data'!AJ452&amp;""))="yes","Yes","No"))</f>
        <v/>
      </c>
      <c r="AF452">
        <f>IF(A452="","",TRIM('01_Master_Data'!AL452&amp;""))</f>
        <v/>
      </c>
      <c r="AG452">
        <f>IF(A452="","",IF(AF452="","—",IF(ISNUMBER(SEARCH("DNP",AF452)),"Unreachable / DNP",IF(ISNUMBER(SEARCH("interest",LOWER(AF452))),"High Interest / Terms",IF(OR(ISNUMBER(SEARCH("eligib",LOWER(AF452))),ISNUMBER(SEARCH("income",LOWER(AF452)))),"Eligibility / Income",IF(OR(ISNUMBER(SEARCH("start",LOWER(AF452))),ISNUMBER(SEARCH("Newer",AF452)),ISNUMBER(SEARCH("Will start",AF452))),"Process Yet to Start",IF(ISNUMBER(SEARCH("sure",LOWER(AF452))),"Undecided",IF(OR(ISNUMBER(SEARCH("reject",LOWER(AF452))),ISNUMBER(SEARCH("SBI",AF452))),"Rejected Elsewhere",IF(ISNUMBER(SEARCH("call",LOWER(AF452))),"Bank Communication",IF(OR(ISNUMBER(SEARCH("father",LOWER(AF452))),ISNUMBER(SEARCH("sister",LOWER(AF452)))),"Family / Dependency","Other"))))))))))</f>
        <v/>
      </c>
      <c r="AH452">
        <f>IF(A452="","",'01_Master_Data'!AC452)</f>
        <v/>
      </c>
      <c r="AI452">
        <f>IF(A452="","",IF(OR(AH452="",NOT(ISNUMBER(AH452))),"",MAX(0,'02_Configuration'!$B$82-AH452)))</f>
        <v/>
      </c>
      <c r="AJ452">
        <f>IF(A452="","",IF(AI452="","Unknown",IF(AI452&lt;=3,"0–3 Days",IF(AI452&lt;=7,"4–7 Days",IF(AI452&lt;=15,"8–15 Days",IF(AI452&lt;=30,"16–30 Days","30+ Days"))))))</f>
        <v/>
      </c>
      <c r="AK452">
        <f>IF(A452="","",IF(LOWER(H452)="yes","Yes","No"))</f>
        <v/>
      </c>
      <c r="AL452">
        <f>IF(A452="","",'01_Master_Data'!T452)</f>
        <v/>
      </c>
      <c r="AM452">
        <f>IF(A452="","",'01_Master_Data'!S452)</f>
        <v/>
      </c>
      <c r="AN452">
        <f>IF(A452="","",'01_Master_Data'!I452)</f>
        <v/>
      </c>
      <c r="AO452">
        <f>IF(A452="","",'01_Master_Data'!M452)</f>
        <v/>
      </c>
      <c r="AP452">
        <f>IF(A452="","",IF(ISNUMBER(SEARCH("Icici",W452&amp;"")),1,0))</f>
        <v/>
      </c>
      <c r="AQ452">
        <f>IF(A452="","",IF(ISNUMBER(SEARCH("Propelld",W452&amp;"")),1,0))</f>
        <v/>
      </c>
      <c r="AR452">
        <f>IF(A452="","",IF(ISNUMBER(SEARCH("GyanDhan",W452&amp;"")),1,0))</f>
        <v/>
      </c>
      <c r="AS452">
        <f>IF(A452="","",IF(ISNUMBER(SEARCH("vidyalakshmi",LOWER(W452&amp;""))),1,0))</f>
        <v/>
      </c>
      <c r="AT452">
        <f>IF(A452="","",IF(ISNUMBER(SEARCH("other bank",LOWER(W452&amp;""))),1,0))</f>
        <v/>
      </c>
      <c r="AU452">
        <f>IF(A452="","",IF(ISNUMBER(SEARCH("sanctioned",LOWER(W452&amp;""))),1,0))</f>
        <v/>
      </c>
      <c r="AV452">
        <f>IF(A452="","",IF(ISNUMBER(SEARCH("Docs Pending",W452&amp;"")),1,0))</f>
        <v/>
      </c>
      <c r="AW452">
        <f>IF(A452="","",IF(OR(X452="Rejected",ISNUMBER(SEARCH("Not eligbile",W452&amp;""))),1,0))</f>
        <v/>
      </c>
    </row>
    <row r="453">
      <c r="A453">
        <f>IF('01_Master_Data'!B453="","",452)</f>
        <v/>
      </c>
      <c r="B453">
        <f>IF('01_Master_Data'!B453="","",IF('01_Master_Data'!C453&lt;&gt;"","MOB|"&amp;TEXT('01_Master_Data'!C453,"0"),IF('01_Master_Data'!D453&lt;&gt;"","PID|"&amp;TRIM('01_Master_Data'!D453&amp;""),"")))</f>
        <v/>
      </c>
      <c r="C453">
        <f>IF('01_Master_Data'!B453="","",'01_Master_Data'!B453)</f>
        <v/>
      </c>
      <c r="D453">
        <f>IF('01_Master_Data'!B453="","",'01_Master_Data'!C453)</f>
        <v/>
      </c>
      <c r="E453">
        <f>IF('01_Master_Data'!B453="","",'01_Master_Data'!D453)</f>
        <v/>
      </c>
      <c r="F453">
        <f>IF('01_Master_Data'!B453="","",'01_Master_Data'!E453)</f>
        <v/>
      </c>
      <c r="G453">
        <f>IF('01_Master_Data'!B453="","",IFERROR(VLOOKUP(TRIM('01_Master_Data'!E453&amp;""),'02_Configuration'!$A$40:$B$44,2,FALSE),UPPER(TRIM('01_Master_Data'!E453&amp;""))))</f>
        <v/>
      </c>
      <c r="H453">
        <f>IF('01_Master_Data'!B453="","",IF('01_Master_Data'!U453="","",TRIM('01_Master_Data'!U453&amp;"")))</f>
        <v/>
      </c>
      <c r="I453">
        <f>IF('01_Master_Data'!B453="","",TRIM('01_Master_Data'!F453&amp;""))</f>
        <v/>
      </c>
      <c r="J453">
        <f>IF('01_Master_Data'!B453="","",TRIM('01_Master_Data'!G453&amp;""))</f>
        <v/>
      </c>
      <c r="K453">
        <f>IF('01_Master_Data'!B453="","",'01_Master_Data'!H453)</f>
        <v/>
      </c>
      <c r="L453">
        <f>IF('01_Master_Data'!B453="","",IF(LOWER(TRIM('01_Master_Data'!V453&amp;""))="yes",1,0))</f>
        <v/>
      </c>
      <c r="M453">
        <f>IF('01_Master_Data'!B453="","",IF(LOWER(TRIM('01_Master_Data'!W453&amp;""))="yes",1,0))</f>
        <v/>
      </c>
      <c r="N453">
        <f>IF('01_Master_Data'!B453="","",IF(LOWER(TRIM('01_Master_Data'!X453&amp;""))="yes",1,0))</f>
        <v/>
      </c>
      <c r="O453">
        <f>IF('01_Master_Data'!B453="","",IF(LOWER(TRIM('01_Master_Data'!Y453&amp;""))="yes",1,0))</f>
        <v/>
      </c>
      <c r="P453">
        <f>IF('01_Master_Data'!B453="","",IF(LOWER(TRIM('01_Master_Data'!Z453&amp;""))="yes",1,0))</f>
        <v/>
      </c>
      <c r="Q453">
        <f>IF(A453="","",L453+M453+N453+O453+P453)</f>
        <v/>
      </c>
      <c r="R453">
        <f>IF(A453="","",IF(Q453&gt;1,"Yes","No"))</f>
        <v/>
      </c>
      <c r="S453">
        <f>IF(A453="","",TEXTJOIN(", ",TRUE,IF(L453=1,"ICICI",""),IF(M453=1,"Propelld",""),IF(N453=1,"Study4Buddy",""),IF(O453=1,"Poonawala Fincorp",""),IF(P453=1,"GyanDhan","")))</f>
        <v/>
      </c>
      <c r="T453">
        <f>IF(A453="","",IF(L453=1,"ICICI",IF(M453=1,"Propelld",IF(P453=1,"GyanDhan",IF(N453=1,"Study4Buddy",IF(O453=1,"Poonawala Fincorp",IF(ISNUMBER(SEARCH("GyanDhan",W453&amp;"")),"GyanDhan",IF(ISNUMBER(SEARCH("Icici",W453&amp;"")),"ICICI",IF(ISNUMBER(SEARCH("Propelld",W453&amp;"")),"Propelld",IF(ISNUMBER(SEARCH("vidyalakshmi",LOWER(W453&amp;"")),"PM Vidyalakshmi","—"))))))))))</f>
        <v/>
      </c>
      <c r="U453">
        <f>IF(A453="","",TRIM('01_Master_Data'!AA453&amp;""))</f>
        <v/>
      </c>
      <c r="V453">
        <f>IF(A453="","",TRIM('01_Master_Data'!AG453&amp;""))</f>
        <v/>
      </c>
      <c r="W453">
        <f>IF(A453="","",TRIM('01_Master_Data'!AH453&amp;""))</f>
        <v/>
      </c>
      <c r="X453">
        <f>IF(A453="","",IF(OR(LOWER(H453)="refund",LOWER(U453)="refund case"),"Refund",IF(OR(LOWER(H453)="dnp",LOWER(U453)="dnp"),"DNP",IF(OR(LOWER(V453)="disbursed",ISNUMBER(SEARCH("Disbursed",W453&amp;""))),"Disbursed",IF(OR(LOWER(V453)="loan proccessed/accepted",ISNUMBER(SEARCH("sanctioned",LOWER(W453&amp;"")))),"Sanctioned",IF(OR(LOWER(V453)="rejected",ISNUMBER(SEARCH("Not eligbile",W453&amp;"")),ISNUMBER(SEARCH("Not eligible",W453&amp;""))),"Rejected",IF(ISNUMBER(SEARCH("Docs Pending",W453&amp;"")),"Documents Pending",IF(AND(LOWER(H453)="yes",LOWER(V453)="ongoing"),"Processing",IF(AND(LOWER(H453)="yes",Q453&gt;0,OR(V453="",LOWER(V453)="not even started")),"Vendor Assigned",IF(AND(LOWER(H453)="yes",LOWER(V453)="not even started"),"Need Loan",IF(LOWER(H453)="yes","Loan Started",IF(LOWER(H453)="not sure","Interested",IF(OR(LOWER(H453)="no",LOWER(V453)="not required"),"Not Required","Unclassified")))))))))))))</f>
        <v/>
      </c>
      <c r="Y453">
        <f>IF(A453="","",IF(OR(X453="Sanctioned",X453="Disbursed",X453="Approved"),"Approved",IF(X453="Rejected","Rejected",IF(OR(X453="Processing",X453="Documents Pending",X453="Vendor Assigned"),"In Progress",IF(X453="Need Loan","Pending Start","—"))))</f>
        <v/>
      </c>
      <c r="Z453">
        <f>IF(A453="","",IF(X453="Disbursed","Disbursed",IF(X453="Sanctioned","Sanctioned - Awaiting Disbursement","Not Disbursed")))</f>
        <v/>
      </c>
      <c r="AA453">
        <f>IF(A453="","",IF(LOWER(TRIM('01_Master_Data'!AI453&amp;""))="yes","Need FLDG",IF(LOWER(TRIM('01_Master_Data'!AK453&amp;""))="yes","Need Vidyalakshmi",IF(LOWER(TRIM('01_Master_Data'!AJ453&amp;""))="yes","Need Review",IF(LOWER(J453)="critical","Critical",IF(LOWER(U453)="risk","Risk Case",IF(X453="Refund","Refund","Normal")))))))</f>
        <v/>
      </c>
      <c r="AB453">
        <f>IF(A453="","",IF(OR(LOWER(J453)="critical",LOWER(TRIM('01_Master_Data'!AI453&amp;""))="yes",LOWER(TRIM('01_Master_Data'!AK453&amp;""))="yes",LOWER(U453)="risk"),"Yes","No"))</f>
        <v/>
      </c>
      <c r="AC453">
        <f>IF(A453="","",IF(LOWER(TRIM('01_Master_Data'!AI453&amp;""))="yes","Yes","No"))</f>
        <v/>
      </c>
      <c r="AD453">
        <f>IF(A453="","",IF(LOWER(TRIM('01_Master_Data'!AK453&amp;""))="yes","Yes","No"))</f>
        <v/>
      </c>
      <c r="AE453">
        <f>IF(A453="","",IF(LOWER(TRIM('01_Master_Data'!AJ453&amp;""))="yes","Yes","No"))</f>
        <v/>
      </c>
      <c r="AF453">
        <f>IF(A453="","",TRIM('01_Master_Data'!AL453&amp;""))</f>
        <v/>
      </c>
      <c r="AG453">
        <f>IF(A453="","",IF(AF453="","—",IF(ISNUMBER(SEARCH("DNP",AF453)),"Unreachable / DNP",IF(ISNUMBER(SEARCH("interest",LOWER(AF453))),"High Interest / Terms",IF(OR(ISNUMBER(SEARCH("eligib",LOWER(AF453))),ISNUMBER(SEARCH("income",LOWER(AF453)))),"Eligibility / Income",IF(OR(ISNUMBER(SEARCH("start",LOWER(AF453))),ISNUMBER(SEARCH("Newer",AF453)),ISNUMBER(SEARCH("Will start",AF453))),"Process Yet to Start",IF(ISNUMBER(SEARCH("sure",LOWER(AF453))),"Undecided",IF(OR(ISNUMBER(SEARCH("reject",LOWER(AF453))),ISNUMBER(SEARCH("SBI",AF453))),"Rejected Elsewhere",IF(ISNUMBER(SEARCH("call",LOWER(AF453))),"Bank Communication",IF(OR(ISNUMBER(SEARCH("father",LOWER(AF453))),ISNUMBER(SEARCH("sister",LOWER(AF453)))),"Family / Dependency","Other"))))))))))</f>
        <v/>
      </c>
      <c r="AH453">
        <f>IF(A453="","",'01_Master_Data'!AC453)</f>
        <v/>
      </c>
      <c r="AI453">
        <f>IF(A453="","",IF(OR(AH453="",NOT(ISNUMBER(AH453))),"",MAX(0,'02_Configuration'!$B$82-AH453)))</f>
        <v/>
      </c>
      <c r="AJ453">
        <f>IF(A453="","",IF(AI453="","Unknown",IF(AI453&lt;=3,"0–3 Days",IF(AI453&lt;=7,"4–7 Days",IF(AI453&lt;=15,"8–15 Days",IF(AI453&lt;=30,"16–30 Days","30+ Days"))))))</f>
        <v/>
      </c>
      <c r="AK453">
        <f>IF(A453="","",IF(LOWER(H453)="yes","Yes","No"))</f>
        <v/>
      </c>
      <c r="AL453">
        <f>IF(A453="","",'01_Master_Data'!T453)</f>
        <v/>
      </c>
      <c r="AM453">
        <f>IF(A453="","",'01_Master_Data'!S453)</f>
        <v/>
      </c>
      <c r="AN453">
        <f>IF(A453="","",'01_Master_Data'!I453)</f>
        <v/>
      </c>
      <c r="AO453">
        <f>IF(A453="","",'01_Master_Data'!M453)</f>
        <v/>
      </c>
      <c r="AP453">
        <f>IF(A453="","",IF(ISNUMBER(SEARCH("Icici",W453&amp;"")),1,0))</f>
        <v/>
      </c>
      <c r="AQ453">
        <f>IF(A453="","",IF(ISNUMBER(SEARCH("Propelld",W453&amp;"")),1,0))</f>
        <v/>
      </c>
      <c r="AR453">
        <f>IF(A453="","",IF(ISNUMBER(SEARCH("GyanDhan",W453&amp;"")),1,0))</f>
        <v/>
      </c>
      <c r="AS453">
        <f>IF(A453="","",IF(ISNUMBER(SEARCH("vidyalakshmi",LOWER(W453&amp;""))),1,0))</f>
        <v/>
      </c>
      <c r="AT453">
        <f>IF(A453="","",IF(ISNUMBER(SEARCH("other bank",LOWER(W453&amp;""))),1,0))</f>
        <v/>
      </c>
      <c r="AU453">
        <f>IF(A453="","",IF(ISNUMBER(SEARCH("sanctioned",LOWER(W453&amp;""))),1,0))</f>
        <v/>
      </c>
      <c r="AV453">
        <f>IF(A453="","",IF(ISNUMBER(SEARCH("Docs Pending",W453&amp;"")),1,0))</f>
        <v/>
      </c>
      <c r="AW453">
        <f>IF(A453="","",IF(OR(X453="Rejected",ISNUMBER(SEARCH("Not eligbile",W453&amp;""))),1,0))</f>
        <v/>
      </c>
    </row>
    <row r="454">
      <c r="A454">
        <f>IF('01_Master_Data'!B454="","",453)</f>
        <v/>
      </c>
      <c r="B454">
        <f>IF('01_Master_Data'!B454="","",IF('01_Master_Data'!C454&lt;&gt;"","MOB|"&amp;TEXT('01_Master_Data'!C454,"0"),IF('01_Master_Data'!D454&lt;&gt;"","PID|"&amp;TRIM('01_Master_Data'!D454&amp;""),"")))</f>
        <v/>
      </c>
      <c r="C454">
        <f>IF('01_Master_Data'!B454="","",'01_Master_Data'!B454)</f>
        <v/>
      </c>
      <c r="D454">
        <f>IF('01_Master_Data'!B454="","",'01_Master_Data'!C454)</f>
        <v/>
      </c>
      <c r="E454">
        <f>IF('01_Master_Data'!B454="","",'01_Master_Data'!D454)</f>
        <v/>
      </c>
      <c r="F454">
        <f>IF('01_Master_Data'!B454="","",'01_Master_Data'!E454)</f>
        <v/>
      </c>
      <c r="G454">
        <f>IF('01_Master_Data'!B454="","",IFERROR(VLOOKUP(TRIM('01_Master_Data'!E454&amp;""),'02_Configuration'!$A$40:$B$44,2,FALSE),UPPER(TRIM('01_Master_Data'!E454&amp;""))))</f>
        <v/>
      </c>
      <c r="H454">
        <f>IF('01_Master_Data'!B454="","",IF('01_Master_Data'!U454="","",TRIM('01_Master_Data'!U454&amp;"")))</f>
        <v/>
      </c>
      <c r="I454">
        <f>IF('01_Master_Data'!B454="","",TRIM('01_Master_Data'!F454&amp;""))</f>
        <v/>
      </c>
      <c r="J454">
        <f>IF('01_Master_Data'!B454="","",TRIM('01_Master_Data'!G454&amp;""))</f>
        <v/>
      </c>
      <c r="K454">
        <f>IF('01_Master_Data'!B454="","",'01_Master_Data'!H454)</f>
        <v/>
      </c>
      <c r="L454">
        <f>IF('01_Master_Data'!B454="","",IF(LOWER(TRIM('01_Master_Data'!V454&amp;""))="yes",1,0))</f>
        <v/>
      </c>
      <c r="M454">
        <f>IF('01_Master_Data'!B454="","",IF(LOWER(TRIM('01_Master_Data'!W454&amp;""))="yes",1,0))</f>
        <v/>
      </c>
      <c r="N454">
        <f>IF('01_Master_Data'!B454="","",IF(LOWER(TRIM('01_Master_Data'!X454&amp;""))="yes",1,0))</f>
        <v/>
      </c>
      <c r="O454">
        <f>IF('01_Master_Data'!B454="","",IF(LOWER(TRIM('01_Master_Data'!Y454&amp;""))="yes",1,0))</f>
        <v/>
      </c>
      <c r="P454">
        <f>IF('01_Master_Data'!B454="","",IF(LOWER(TRIM('01_Master_Data'!Z454&amp;""))="yes",1,0))</f>
        <v/>
      </c>
      <c r="Q454">
        <f>IF(A454="","",L454+M454+N454+O454+P454)</f>
        <v/>
      </c>
      <c r="R454">
        <f>IF(A454="","",IF(Q454&gt;1,"Yes","No"))</f>
        <v/>
      </c>
      <c r="S454">
        <f>IF(A454="","",TEXTJOIN(", ",TRUE,IF(L454=1,"ICICI",""),IF(M454=1,"Propelld",""),IF(N454=1,"Study4Buddy",""),IF(O454=1,"Poonawala Fincorp",""),IF(P454=1,"GyanDhan","")))</f>
        <v/>
      </c>
      <c r="T454">
        <f>IF(A454="","",IF(L454=1,"ICICI",IF(M454=1,"Propelld",IF(P454=1,"GyanDhan",IF(N454=1,"Study4Buddy",IF(O454=1,"Poonawala Fincorp",IF(ISNUMBER(SEARCH("GyanDhan",W454&amp;"")),"GyanDhan",IF(ISNUMBER(SEARCH("Icici",W454&amp;"")),"ICICI",IF(ISNUMBER(SEARCH("Propelld",W454&amp;"")),"Propelld",IF(ISNUMBER(SEARCH("vidyalakshmi",LOWER(W454&amp;"")),"PM Vidyalakshmi","—"))))))))))</f>
        <v/>
      </c>
      <c r="U454">
        <f>IF(A454="","",TRIM('01_Master_Data'!AA454&amp;""))</f>
        <v/>
      </c>
      <c r="V454">
        <f>IF(A454="","",TRIM('01_Master_Data'!AG454&amp;""))</f>
        <v/>
      </c>
      <c r="W454">
        <f>IF(A454="","",TRIM('01_Master_Data'!AH454&amp;""))</f>
        <v/>
      </c>
      <c r="X454">
        <f>IF(A454="","",IF(OR(LOWER(H454)="refund",LOWER(U454)="refund case"),"Refund",IF(OR(LOWER(H454)="dnp",LOWER(U454)="dnp"),"DNP",IF(OR(LOWER(V454)="disbursed",ISNUMBER(SEARCH("Disbursed",W454&amp;""))),"Disbursed",IF(OR(LOWER(V454)="loan proccessed/accepted",ISNUMBER(SEARCH("sanctioned",LOWER(W454&amp;"")))),"Sanctioned",IF(OR(LOWER(V454)="rejected",ISNUMBER(SEARCH("Not eligbile",W454&amp;"")),ISNUMBER(SEARCH("Not eligible",W454&amp;""))),"Rejected",IF(ISNUMBER(SEARCH("Docs Pending",W454&amp;"")),"Documents Pending",IF(AND(LOWER(H454)="yes",LOWER(V454)="ongoing"),"Processing",IF(AND(LOWER(H454)="yes",Q454&gt;0,OR(V454="",LOWER(V454)="not even started")),"Vendor Assigned",IF(AND(LOWER(H454)="yes",LOWER(V454)="not even started"),"Need Loan",IF(LOWER(H454)="yes","Loan Started",IF(LOWER(H454)="not sure","Interested",IF(OR(LOWER(H454)="no",LOWER(V454)="not required"),"Not Required","Unclassified")))))))))))))</f>
        <v/>
      </c>
      <c r="Y454">
        <f>IF(A454="","",IF(OR(X454="Sanctioned",X454="Disbursed",X454="Approved"),"Approved",IF(X454="Rejected","Rejected",IF(OR(X454="Processing",X454="Documents Pending",X454="Vendor Assigned"),"In Progress",IF(X454="Need Loan","Pending Start","—"))))</f>
        <v/>
      </c>
      <c r="Z454">
        <f>IF(A454="","",IF(X454="Disbursed","Disbursed",IF(X454="Sanctioned","Sanctioned - Awaiting Disbursement","Not Disbursed")))</f>
        <v/>
      </c>
      <c r="AA454">
        <f>IF(A454="","",IF(LOWER(TRIM('01_Master_Data'!AI454&amp;""))="yes","Need FLDG",IF(LOWER(TRIM('01_Master_Data'!AK454&amp;""))="yes","Need Vidyalakshmi",IF(LOWER(TRIM('01_Master_Data'!AJ454&amp;""))="yes","Need Review",IF(LOWER(J454)="critical","Critical",IF(LOWER(U454)="risk","Risk Case",IF(X454="Refund","Refund","Normal")))))))</f>
        <v/>
      </c>
      <c r="AB454">
        <f>IF(A454="","",IF(OR(LOWER(J454)="critical",LOWER(TRIM('01_Master_Data'!AI454&amp;""))="yes",LOWER(TRIM('01_Master_Data'!AK454&amp;""))="yes",LOWER(U454)="risk"),"Yes","No"))</f>
        <v/>
      </c>
      <c r="AC454">
        <f>IF(A454="","",IF(LOWER(TRIM('01_Master_Data'!AI454&amp;""))="yes","Yes","No"))</f>
        <v/>
      </c>
      <c r="AD454">
        <f>IF(A454="","",IF(LOWER(TRIM('01_Master_Data'!AK454&amp;""))="yes","Yes","No"))</f>
        <v/>
      </c>
      <c r="AE454">
        <f>IF(A454="","",IF(LOWER(TRIM('01_Master_Data'!AJ454&amp;""))="yes","Yes","No"))</f>
        <v/>
      </c>
      <c r="AF454">
        <f>IF(A454="","",TRIM('01_Master_Data'!AL454&amp;""))</f>
        <v/>
      </c>
      <c r="AG454">
        <f>IF(A454="","",IF(AF454="","—",IF(ISNUMBER(SEARCH("DNP",AF454)),"Unreachable / DNP",IF(ISNUMBER(SEARCH("interest",LOWER(AF454))),"High Interest / Terms",IF(OR(ISNUMBER(SEARCH("eligib",LOWER(AF454))),ISNUMBER(SEARCH("income",LOWER(AF454)))),"Eligibility / Income",IF(OR(ISNUMBER(SEARCH("start",LOWER(AF454))),ISNUMBER(SEARCH("Newer",AF454)),ISNUMBER(SEARCH("Will start",AF454))),"Process Yet to Start",IF(ISNUMBER(SEARCH("sure",LOWER(AF454))),"Undecided",IF(OR(ISNUMBER(SEARCH("reject",LOWER(AF454))),ISNUMBER(SEARCH("SBI",AF454))),"Rejected Elsewhere",IF(ISNUMBER(SEARCH("call",LOWER(AF454))),"Bank Communication",IF(OR(ISNUMBER(SEARCH("father",LOWER(AF454))),ISNUMBER(SEARCH("sister",LOWER(AF454)))),"Family / Dependency","Other"))))))))))</f>
        <v/>
      </c>
      <c r="AH454">
        <f>IF(A454="","",'01_Master_Data'!AC454)</f>
        <v/>
      </c>
      <c r="AI454">
        <f>IF(A454="","",IF(OR(AH454="",NOT(ISNUMBER(AH454))),"",MAX(0,'02_Configuration'!$B$82-AH454)))</f>
        <v/>
      </c>
      <c r="AJ454">
        <f>IF(A454="","",IF(AI454="","Unknown",IF(AI454&lt;=3,"0–3 Days",IF(AI454&lt;=7,"4–7 Days",IF(AI454&lt;=15,"8–15 Days",IF(AI454&lt;=30,"16–30 Days","30+ Days"))))))</f>
        <v/>
      </c>
      <c r="AK454">
        <f>IF(A454="","",IF(LOWER(H454)="yes","Yes","No"))</f>
        <v/>
      </c>
      <c r="AL454">
        <f>IF(A454="","",'01_Master_Data'!T454)</f>
        <v/>
      </c>
      <c r="AM454">
        <f>IF(A454="","",'01_Master_Data'!S454)</f>
        <v/>
      </c>
      <c r="AN454">
        <f>IF(A454="","",'01_Master_Data'!I454)</f>
        <v/>
      </c>
      <c r="AO454">
        <f>IF(A454="","",'01_Master_Data'!M454)</f>
        <v/>
      </c>
      <c r="AP454">
        <f>IF(A454="","",IF(ISNUMBER(SEARCH("Icici",W454&amp;"")),1,0))</f>
        <v/>
      </c>
      <c r="AQ454">
        <f>IF(A454="","",IF(ISNUMBER(SEARCH("Propelld",W454&amp;"")),1,0))</f>
        <v/>
      </c>
      <c r="AR454">
        <f>IF(A454="","",IF(ISNUMBER(SEARCH("GyanDhan",W454&amp;"")),1,0))</f>
        <v/>
      </c>
      <c r="AS454">
        <f>IF(A454="","",IF(ISNUMBER(SEARCH("vidyalakshmi",LOWER(W454&amp;""))),1,0))</f>
        <v/>
      </c>
      <c r="AT454">
        <f>IF(A454="","",IF(ISNUMBER(SEARCH("other bank",LOWER(W454&amp;""))),1,0))</f>
        <v/>
      </c>
      <c r="AU454">
        <f>IF(A454="","",IF(ISNUMBER(SEARCH("sanctioned",LOWER(W454&amp;""))),1,0))</f>
        <v/>
      </c>
      <c r="AV454">
        <f>IF(A454="","",IF(ISNUMBER(SEARCH("Docs Pending",W454&amp;"")),1,0))</f>
        <v/>
      </c>
      <c r="AW454">
        <f>IF(A454="","",IF(OR(X454="Rejected",ISNUMBER(SEARCH("Not eligbile",W454&amp;""))),1,0))</f>
        <v/>
      </c>
    </row>
    <row r="455">
      <c r="A455">
        <f>IF('01_Master_Data'!B455="","",454)</f>
        <v/>
      </c>
      <c r="B455">
        <f>IF('01_Master_Data'!B455="","",IF('01_Master_Data'!C455&lt;&gt;"","MOB|"&amp;TEXT('01_Master_Data'!C455,"0"),IF('01_Master_Data'!D455&lt;&gt;"","PID|"&amp;TRIM('01_Master_Data'!D455&amp;""),"")))</f>
        <v/>
      </c>
      <c r="C455">
        <f>IF('01_Master_Data'!B455="","",'01_Master_Data'!B455)</f>
        <v/>
      </c>
      <c r="D455">
        <f>IF('01_Master_Data'!B455="","",'01_Master_Data'!C455)</f>
        <v/>
      </c>
      <c r="E455">
        <f>IF('01_Master_Data'!B455="","",'01_Master_Data'!D455)</f>
        <v/>
      </c>
      <c r="F455">
        <f>IF('01_Master_Data'!B455="","",'01_Master_Data'!E455)</f>
        <v/>
      </c>
      <c r="G455">
        <f>IF('01_Master_Data'!B455="","",IFERROR(VLOOKUP(TRIM('01_Master_Data'!E455&amp;""),'02_Configuration'!$A$40:$B$44,2,FALSE),UPPER(TRIM('01_Master_Data'!E455&amp;""))))</f>
        <v/>
      </c>
      <c r="H455">
        <f>IF('01_Master_Data'!B455="","",IF('01_Master_Data'!U455="","",TRIM('01_Master_Data'!U455&amp;"")))</f>
        <v/>
      </c>
      <c r="I455">
        <f>IF('01_Master_Data'!B455="","",TRIM('01_Master_Data'!F455&amp;""))</f>
        <v/>
      </c>
      <c r="J455">
        <f>IF('01_Master_Data'!B455="","",TRIM('01_Master_Data'!G455&amp;""))</f>
        <v/>
      </c>
      <c r="K455">
        <f>IF('01_Master_Data'!B455="","",'01_Master_Data'!H455)</f>
        <v/>
      </c>
      <c r="L455">
        <f>IF('01_Master_Data'!B455="","",IF(LOWER(TRIM('01_Master_Data'!V455&amp;""))="yes",1,0))</f>
        <v/>
      </c>
      <c r="M455">
        <f>IF('01_Master_Data'!B455="","",IF(LOWER(TRIM('01_Master_Data'!W455&amp;""))="yes",1,0))</f>
        <v/>
      </c>
      <c r="N455">
        <f>IF('01_Master_Data'!B455="","",IF(LOWER(TRIM('01_Master_Data'!X455&amp;""))="yes",1,0))</f>
        <v/>
      </c>
      <c r="O455">
        <f>IF('01_Master_Data'!B455="","",IF(LOWER(TRIM('01_Master_Data'!Y455&amp;""))="yes",1,0))</f>
        <v/>
      </c>
      <c r="P455">
        <f>IF('01_Master_Data'!B455="","",IF(LOWER(TRIM('01_Master_Data'!Z455&amp;""))="yes",1,0))</f>
        <v/>
      </c>
      <c r="Q455">
        <f>IF(A455="","",L455+M455+N455+O455+P455)</f>
        <v/>
      </c>
      <c r="R455">
        <f>IF(A455="","",IF(Q455&gt;1,"Yes","No"))</f>
        <v/>
      </c>
      <c r="S455">
        <f>IF(A455="","",TEXTJOIN(", ",TRUE,IF(L455=1,"ICICI",""),IF(M455=1,"Propelld",""),IF(N455=1,"Study4Buddy",""),IF(O455=1,"Poonawala Fincorp",""),IF(P455=1,"GyanDhan","")))</f>
        <v/>
      </c>
      <c r="T455">
        <f>IF(A455="","",IF(L455=1,"ICICI",IF(M455=1,"Propelld",IF(P455=1,"GyanDhan",IF(N455=1,"Study4Buddy",IF(O455=1,"Poonawala Fincorp",IF(ISNUMBER(SEARCH("GyanDhan",W455&amp;"")),"GyanDhan",IF(ISNUMBER(SEARCH("Icici",W455&amp;"")),"ICICI",IF(ISNUMBER(SEARCH("Propelld",W455&amp;"")),"Propelld",IF(ISNUMBER(SEARCH("vidyalakshmi",LOWER(W455&amp;"")),"PM Vidyalakshmi","—"))))))))))</f>
        <v/>
      </c>
      <c r="U455">
        <f>IF(A455="","",TRIM('01_Master_Data'!AA455&amp;""))</f>
        <v/>
      </c>
      <c r="V455">
        <f>IF(A455="","",TRIM('01_Master_Data'!AG455&amp;""))</f>
        <v/>
      </c>
      <c r="W455">
        <f>IF(A455="","",TRIM('01_Master_Data'!AH455&amp;""))</f>
        <v/>
      </c>
      <c r="X455">
        <f>IF(A455="","",IF(OR(LOWER(H455)="refund",LOWER(U455)="refund case"),"Refund",IF(OR(LOWER(H455)="dnp",LOWER(U455)="dnp"),"DNP",IF(OR(LOWER(V455)="disbursed",ISNUMBER(SEARCH("Disbursed",W455&amp;""))),"Disbursed",IF(OR(LOWER(V455)="loan proccessed/accepted",ISNUMBER(SEARCH("sanctioned",LOWER(W455&amp;"")))),"Sanctioned",IF(OR(LOWER(V455)="rejected",ISNUMBER(SEARCH("Not eligbile",W455&amp;"")),ISNUMBER(SEARCH("Not eligible",W455&amp;""))),"Rejected",IF(ISNUMBER(SEARCH("Docs Pending",W455&amp;"")),"Documents Pending",IF(AND(LOWER(H455)="yes",LOWER(V455)="ongoing"),"Processing",IF(AND(LOWER(H455)="yes",Q455&gt;0,OR(V455="",LOWER(V455)="not even started")),"Vendor Assigned",IF(AND(LOWER(H455)="yes",LOWER(V455)="not even started"),"Need Loan",IF(LOWER(H455)="yes","Loan Started",IF(LOWER(H455)="not sure","Interested",IF(OR(LOWER(H455)="no",LOWER(V455)="not required"),"Not Required","Unclassified")))))))))))))</f>
        <v/>
      </c>
      <c r="Y455">
        <f>IF(A455="","",IF(OR(X455="Sanctioned",X455="Disbursed",X455="Approved"),"Approved",IF(X455="Rejected","Rejected",IF(OR(X455="Processing",X455="Documents Pending",X455="Vendor Assigned"),"In Progress",IF(X455="Need Loan","Pending Start","—"))))</f>
        <v/>
      </c>
      <c r="Z455">
        <f>IF(A455="","",IF(X455="Disbursed","Disbursed",IF(X455="Sanctioned","Sanctioned - Awaiting Disbursement","Not Disbursed")))</f>
        <v/>
      </c>
      <c r="AA455">
        <f>IF(A455="","",IF(LOWER(TRIM('01_Master_Data'!AI455&amp;""))="yes","Need FLDG",IF(LOWER(TRIM('01_Master_Data'!AK455&amp;""))="yes","Need Vidyalakshmi",IF(LOWER(TRIM('01_Master_Data'!AJ455&amp;""))="yes","Need Review",IF(LOWER(J455)="critical","Critical",IF(LOWER(U455)="risk","Risk Case",IF(X455="Refund","Refund","Normal")))))))</f>
        <v/>
      </c>
      <c r="AB455">
        <f>IF(A455="","",IF(OR(LOWER(J455)="critical",LOWER(TRIM('01_Master_Data'!AI455&amp;""))="yes",LOWER(TRIM('01_Master_Data'!AK455&amp;""))="yes",LOWER(U455)="risk"),"Yes","No"))</f>
        <v/>
      </c>
      <c r="AC455">
        <f>IF(A455="","",IF(LOWER(TRIM('01_Master_Data'!AI455&amp;""))="yes","Yes","No"))</f>
        <v/>
      </c>
      <c r="AD455">
        <f>IF(A455="","",IF(LOWER(TRIM('01_Master_Data'!AK455&amp;""))="yes","Yes","No"))</f>
        <v/>
      </c>
      <c r="AE455">
        <f>IF(A455="","",IF(LOWER(TRIM('01_Master_Data'!AJ455&amp;""))="yes","Yes","No"))</f>
        <v/>
      </c>
      <c r="AF455">
        <f>IF(A455="","",TRIM('01_Master_Data'!AL455&amp;""))</f>
        <v/>
      </c>
      <c r="AG455">
        <f>IF(A455="","",IF(AF455="","—",IF(ISNUMBER(SEARCH("DNP",AF455)),"Unreachable / DNP",IF(ISNUMBER(SEARCH("interest",LOWER(AF455))),"High Interest / Terms",IF(OR(ISNUMBER(SEARCH("eligib",LOWER(AF455))),ISNUMBER(SEARCH("income",LOWER(AF455)))),"Eligibility / Income",IF(OR(ISNUMBER(SEARCH("start",LOWER(AF455))),ISNUMBER(SEARCH("Newer",AF455)),ISNUMBER(SEARCH("Will start",AF455))),"Process Yet to Start",IF(ISNUMBER(SEARCH("sure",LOWER(AF455))),"Undecided",IF(OR(ISNUMBER(SEARCH("reject",LOWER(AF455))),ISNUMBER(SEARCH("SBI",AF455))),"Rejected Elsewhere",IF(ISNUMBER(SEARCH("call",LOWER(AF455))),"Bank Communication",IF(OR(ISNUMBER(SEARCH("father",LOWER(AF455))),ISNUMBER(SEARCH("sister",LOWER(AF455)))),"Family / Dependency","Other"))))))))))</f>
        <v/>
      </c>
      <c r="AH455">
        <f>IF(A455="","",'01_Master_Data'!AC455)</f>
        <v/>
      </c>
      <c r="AI455">
        <f>IF(A455="","",IF(OR(AH455="",NOT(ISNUMBER(AH455))),"",MAX(0,'02_Configuration'!$B$82-AH455)))</f>
        <v/>
      </c>
      <c r="AJ455">
        <f>IF(A455="","",IF(AI455="","Unknown",IF(AI455&lt;=3,"0–3 Days",IF(AI455&lt;=7,"4–7 Days",IF(AI455&lt;=15,"8–15 Days",IF(AI455&lt;=30,"16–30 Days","30+ Days"))))))</f>
        <v/>
      </c>
      <c r="AK455">
        <f>IF(A455="","",IF(LOWER(H455)="yes","Yes","No"))</f>
        <v/>
      </c>
      <c r="AL455">
        <f>IF(A455="","",'01_Master_Data'!T455)</f>
        <v/>
      </c>
      <c r="AM455">
        <f>IF(A455="","",'01_Master_Data'!S455)</f>
        <v/>
      </c>
      <c r="AN455">
        <f>IF(A455="","",'01_Master_Data'!I455)</f>
        <v/>
      </c>
      <c r="AO455">
        <f>IF(A455="","",'01_Master_Data'!M455)</f>
        <v/>
      </c>
      <c r="AP455">
        <f>IF(A455="","",IF(ISNUMBER(SEARCH("Icici",W455&amp;"")),1,0))</f>
        <v/>
      </c>
      <c r="AQ455">
        <f>IF(A455="","",IF(ISNUMBER(SEARCH("Propelld",W455&amp;"")),1,0))</f>
        <v/>
      </c>
      <c r="AR455">
        <f>IF(A455="","",IF(ISNUMBER(SEARCH("GyanDhan",W455&amp;"")),1,0))</f>
        <v/>
      </c>
      <c r="AS455">
        <f>IF(A455="","",IF(ISNUMBER(SEARCH("vidyalakshmi",LOWER(W455&amp;""))),1,0))</f>
        <v/>
      </c>
      <c r="AT455">
        <f>IF(A455="","",IF(ISNUMBER(SEARCH("other bank",LOWER(W455&amp;""))),1,0))</f>
        <v/>
      </c>
      <c r="AU455">
        <f>IF(A455="","",IF(ISNUMBER(SEARCH("sanctioned",LOWER(W455&amp;""))),1,0))</f>
        <v/>
      </c>
      <c r="AV455">
        <f>IF(A455="","",IF(ISNUMBER(SEARCH("Docs Pending",W455&amp;"")),1,0))</f>
        <v/>
      </c>
      <c r="AW455">
        <f>IF(A455="","",IF(OR(X455="Rejected",ISNUMBER(SEARCH("Not eligbile",W455&amp;""))),1,0))</f>
        <v/>
      </c>
    </row>
    <row r="456">
      <c r="A456">
        <f>IF('01_Master_Data'!B456="","",455)</f>
        <v/>
      </c>
      <c r="B456">
        <f>IF('01_Master_Data'!B456="","",IF('01_Master_Data'!C456&lt;&gt;"","MOB|"&amp;TEXT('01_Master_Data'!C456,"0"),IF('01_Master_Data'!D456&lt;&gt;"","PID|"&amp;TRIM('01_Master_Data'!D456&amp;""),"")))</f>
        <v/>
      </c>
      <c r="C456">
        <f>IF('01_Master_Data'!B456="","",'01_Master_Data'!B456)</f>
        <v/>
      </c>
      <c r="D456">
        <f>IF('01_Master_Data'!B456="","",'01_Master_Data'!C456)</f>
        <v/>
      </c>
      <c r="E456">
        <f>IF('01_Master_Data'!B456="","",'01_Master_Data'!D456)</f>
        <v/>
      </c>
      <c r="F456">
        <f>IF('01_Master_Data'!B456="","",'01_Master_Data'!E456)</f>
        <v/>
      </c>
      <c r="G456">
        <f>IF('01_Master_Data'!B456="","",IFERROR(VLOOKUP(TRIM('01_Master_Data'!E456&amp;""),'02_Configuration'!$A$40:$B$44,2,FALSE),UPPER(TRIM('01_Master_Data'!E456&amp;""))))</f>
        <v/>
      </c>
      <c r="H456">
        <f>IF('01_Master_Data'!B456="","",IF('01_Master_Data'!U456="","",TRIM('01_Master_Data'!U456&amp;"")))</f>
        <v/>
      </c>
      <c r="I456">
        <f>IF('01_Master_Data'!B456="","",TRIM('01_Master_Data'!F456&amp;""))</f>
        <v/>
      </c>
      <c r="J456">
        <f>IF('01_Master_Data'!B456="","",TRIM('01_Master_Data'!G456&amp;""))</f>
        <v/>
      </c>
      <c r="K456">
        <f>IF('01_Master_Data'!B456="","",'01_Master_Data'!H456)</f>
        <v/>
      </c>
      <c r="L456">
        <f>IF('01_Master_Data'!B456="","",IF(LOWER(TRIM('01_Master_Data'!V456&amp;""))="yes",1,0))</f>
        <v/>
      </c>
      <c r="M456">
        <f>IF('01_Master_Data'!B456="","",IF(LOWER(TRIM('01_Master_Data'!W456&amp;""))="yes",1,0))</f>
        <v/>
      </c>
      <c r="N456">
        <f>IF('01_Master_Data'!B456="","",IF(LOWER(TRIM('01_Master_Data'!X456&amp;""))="yes",1,0))</f>
        <v/>
      </c>
      <c r="O456">
        <f>IF('01_Master_Data'!B456="","",IF(LOWER(TRIM('01_Master_Data'!Y456&amp;""))="yes",1,0))</f>
        <v/>
      </c>
      <c r="P456">
        <f>IF('01_Master_Data'!B456="","",IF(LOWER(TRIM('01_Master_Data'!Z456&amp;""))="yes",1,0))</f>
        <v/>
      </c>
      <c r="Q456">
        <f>IF(A456="","",L456+M456+N456+O456+P456)</f>
        <v/>
      </c>
      <c r="R456">
        <f>IF(A456="","",IF(Q456&gt;1,"Yes","No"))</f>
        <v/>
      </c>
      <c r="S456">
        <f>IF(A456="","",TEXTJOIN(", ",TRUE,IF(L456=1,"ICICI",""),IF(M456=1,"Propelld",""),IF(N456=1,"Study4Buddy",""),IF(O456=1,"Poonawala Fincorp",""),IF(P456=1,"GyanDhan","")))</f>
        <v/>
      </c>
      <c r="T456">
        <f>IF(A456="","",IF(L456=1,"ICICI",IF(M456=1,"Propelld",IF(P456=1,"GyanDhan",IF(N456=1,"Study4Buddy",IF(O456=1,"Poonawala Fincorp",IF(ISNUMBER(SEARCH("GyanDhan",W456&amp;"")),"GyanDhan",IF(ISNUMBER(SEARCH("Icici",W456&amp;"")),"ICICI",IF(ISNUMBER(SEARCH("Propelld",W456&amp;"")),"Propelld",IF(ISNUMBER(SEARCH("vidyalakshmi",LOWER(W456&amp;"")),"PM Vidyalakshmi","—"))))))))))</f>
        <v/>
      </c>
      <c r="U456">
        <f>IF(A456="","",TRIM('01_Master_Data'!AA456&amp;""))</f>
        <v/>
      </c>
      <c r="V456">
        <f>IF(A456="","",TRIM('01_Master_Data'!AG456&amp;""))</f>
        <v/>
      </c>
      <c r="W456">
        <f>IF(A456="","",TRIM('01_Master_Data'!AH456&amp;""))</f>
        <v/>
      </c>
      <c r="X456">
        <f>IF(A456="","",IF(OR(LOWER(H456)="refund",LOWER(U456)="refund case"),"Refund",IF(OR(LOWER(H456)="dnp",LOWER(U456)="dnp"),"DNP",IF(OR(LOWER(V456)="disbursed",ISNUMBER(SEARCH("Disbursed",W456&amp;""))),"Disbursed",IF(OR(LOWER(V456)="loan proccessed/accepted",ISNUMBER(SEARCH("sanctioned",LOWER(W456&amp;"")))),"Sanctioned",IF(OR(LOWER(V456)="rejected",ISNUMBER(SEARCH("Not eligbile",W456&amp;"")),ISNUMBER(SEARCH("Not eligible",W456&amp;""))),"Rejected",IF(ISNUMBER(SEARCH("Docs Pending",W456&amp;"")),"Documents Pending",IF(AND(LOWER(H456)="yes",LOWER(V456)="ongoing"),"Processing",IF(AND(LOWER(H456)="yes",Q456&gt;0,OR(V456="",LOWER(V456)="not even started")),"Vendor Assigned",IF(AND(LOWER(H456)="yes",LOWER(V456)="not even started"),"Need Loan",IF(LOWER(H456)="yes","Loan Started",IF(LOWER(H456)="not sure","Interested",IF(OR(LOWER(H456)="no",LOWER(V456)="not required"),"Not Required","Unclassified")))))))))))))</f>
        <v/>
      </c>
      <c r="Y456">
        <f>IF(A456="","",IF(OR(X456="Sanctioned",X456="Disbursed",X456="Approved"),"Approved",IF(X456="Rejected","Rejected",IF(OR(X456="Processing",X456="Documents Pending",X456="Vendor Assigned"),"In Progress",IF(X456="Need Loan","Pending Start","—"))))</f>
        <v/>
      </c>
      <c r="Z456">
        <f>IF(A456="","",IF(X456="Disbursed","Disbursed",IF(X456="Sanctioned","Sanctioned - Awaiting Disbursement","Not Disbursed")))</f>
        <v/>
      </c>
      <c r="AA456">
        <f>IF(A456="","",IF(LOWER(TRIM('01_Master_Data'!AI456&amp;""))="yes","Need FLDG",IF(LOWER(TRIM('01_Master_Data'!AK456&amp;""))="yes","Need Vidyalakshmi",IF(LOWER(TRIM('01_Master_Data'!AJ456&amp;""))="yes","Need Review",IF(LOWER(J456)="critical","Critical",IF(LOWER(U456)="risk","Risk Case",IF(X456="Refund","Refund","Normal")))))))</f>
        <v/>
      </c>
      <c r="AB456">
        <f>IF(A456="","",IF(OR(LOWER(J456)="critical",LOWER(TRIM('01_Master_Data'!AI456&amp;""))="yes",LOWER(TRIM('01_Master_Data'!AK456&amp;""))="yes",LOWER(U456)="risk"),"Yes","No"))</f>
        <v/>
      </c>
      <c r="AC456">
        <f>IF(A456="","",IF(LOWER(TRIM('01_Master_Data'!AI456&amp;""))="yes","Yes","No"))</f>
        <v/>
      </c>
      <c r="AD456">
        <f>IF(A456="","",IF(LOWER(TRIM('01_Master_Data'!AK456&amp;""))="yes","Yes","No"))</f>
        <v/>
      </c>
      <c r="AE456">
        <f>IF(A456="","",IF(LOWER(TRIM('01_Master_Data'!AJ456&amp;""))="yes","Yes","No"))</f>
        <v/>
      </c>
      <c r="AF456">
        <f>IF(A456="","",TRIM('01_Master_Data'!AL456&amp;""))</f>
        <v/>
      </c>
      <c r="AG456">
        <f>IF(A456="","",IF(AF456="","—",IF(ISNUMBER(SEARCH("DNP",AF456)),"Unreachable / DNP",IF(ISNUMBER(SEARCH("interest",LOWER(AF456))),"High Interest / Terms",IF(OR(ISNUMBER(SEARCH("eligib",LOWER(AF456))),ISNUMBER(SEARCH("income",LOWER(AF456)))),"Eligibility / Income",IF(OR(ISNUMBER(SEARCH("start",LOWER(AF456))),ISNUMBER(SEARCH("Newer",AF456)),ISNUMBER(SEARCH("Will start",AF456))),"Process Yet to Start",IF(ISNUMBER(SEARCH("sure",LOWER(AF456))),"Undecided",IF(OR(ISNUMBER(SEARCH("reject",LOWER(AF456))),ISNUMBER(SEARCH("SBI",AF456))),"Rejected Elsewhere",IF(ISNUMBER(SEARCH("call",LOWER(AF456))),"Bank Communication",IF(OR(ISNUMBER(SEARCH("father",LOWER(AF456))),ISNUMBER(SEARCH("sister",LOWER(AF456)))),"Family / Dependency","Other"))))))))))</f>
        <v/>
      </c>
      <c r="AH456">
        <f>IF(A456="","",'01_Master_Data'!AC456)</f>
        <v/>
      </c>
      <c r="AI456">
        <f>IF(A456="","",IF(OR(AH456="",NOT(ISNUMBER(AH456))),"",MAX(0,'02_Configuration'!$B$82-AH456)))</f>
        <v/>
      </c>
      <c r="AJ456">
        <f>IF(A456="","",IF(AI456="","Unknown",IF(AI456&lt;=3,"0–3 Days",IF(AI456&lt;=7,"4–7 Days",IF(AI456&lt;=15,"8–15 Days",IF(AI456&lt;=30,"16–30 Days","30+ Days"))))))</f>
        <v/>
      </c>
      <c r="AK456">
        <f>IF(A456="","",IF(LOWER(H456)="yes","Yes","No"))</f>
        <v/>
      </c>
      <c r="AL456">
        <f>IF(A456="","",'01_Master_Data'!T456)</f>
        <v/>
      </c>
      <c r="AM456">
        <f>IF(A456="","",'01_Master_Data'!S456)</f>
        <v/>
      </c>
      <c r="AN456">
        <f>IF(A456="","",'01_Master_Data'!I456)</f>
        <v/>
      </c>
      <c r="AO456">
        <f>IF(A456="","",'01_Master_Data'!M456)</f>
        <v/>
      </c>
      <c r="AP456">
        <f>IF(A456="","",IF(ISNUMBER(SEARCH("Icici",W456&amp;"")),1,0))</f>
        <v/>
      </c>
      <c r="AQ456">
        <f>IF(A456="","",IF(ISNUMBER(SEARCH("Propelld",W456&amp;"")),1,0))</f>
        <v/>
      </c>
      <c r="AR456">
        <f>IF(A456="","",IF(ISNUMBER(SEARCH("GyanDhan",W456&amp;"")),1,0))</f>
        <v/>
      </c>
      <c r="AS456">
        <f>IF(A456="","",IF(ISNUMBER(SEARCH("vidyalakshmi",LOWER(W456&amp;""))),1,0))</f>
        <v/>
      </c>
      <c r="AT456">
        <f>IF(A456="","",IF(ISNUMBER(SEARCH("other bank",LOWER(W456&amp;""))),1,0))</f>
        <v/>
      </c>
      <c r="AU456">
        <f>IF(A456="","",IF(ISNUMBER(SEARCH("sanctioned",LOWER(W456&amp;""))),1,0))</f>
        <v/>
      </c>
      <c r="AV456">
        <f>IF(A456="","",IF(ISNUMBER(SEARCH("Docs Pending",W456&amp;"")),1,0))</f>
        <v/>
      </c>
      <c r="AW456">
        <f>IF(A456="","",IF(OR(X456="Rejected",ISNUMBER(SEARCH("Not eligbile",W456&amp;""))),1,0))</f>
        <v/>
      </c>
    </row>
    <row r="457">
      <c r="A457">
        <f>IF('01_Master_Data'!B457="","",456)</f>
        <v/>
      </c>
      <c r="B457">
        <f>IF('01_Master_Data'!B457="","",IF('01_Master_Data'!C457&lt;&gt;"","MOB|"&amp;TEXT('01_Master_Data'!C457,"0"),IF('01_Master_Data'!D457&lt;&gt;"","PID|"&amp;TRIM('01_Master_Data'!D457&amp;""),"")))</f>
        <v/>
      </c>
      <c r="C457">
        <f>IF('01_Master_Data'!B457="","",'01_Master_Data'!B457)</f>
        <v/>
      </c>
      <c r="D457">
        <f>IF('01_Master_Data'!B457="","",'01_Master_Data'!C457)</f>
        <v/>
      </c>
      <c r="E457">
        <f>IF('01_Master_Data'!B457="","",'01_Master_Data'!D457)</f>
        <v/>
      </c>
      <c r="F457">
        <f>IF('01_Master_Data'!B457="","",'01_Master_Data'!E457)</f>
        <v/>
      </c>
      <c r="G457">
        <f>IF('01_Master_Data'!B457="","",IFERROR(VLOOKUP(TRIM('01_Master_Data'!E457&amp;""),'02_Configuration'!$A$40:$B$44,2,FALSE),UPPER(TRIM('01_Master_Data'!E457&amp;""))))</f>
        <v/>
      </c>
      <c r="H457">
        <f>IF('01_Master_Data'!B457="","",IF('01_Master_Data'!U457="","",TRIM('01_Master_Data'!U457&amp;"")))</f>
        <v/>
      </c>
      <c r="I457">
        <f>IF('01_Master_Data'!B457="","",TRIM('01_Master_Data'!F457&amp;""))</f>
        <v/>
      </c>
      <c r="J457">
        <f>IF('01_Master_Data'!B457="","",TRIM('01_Master_Data'!G457&amp;""))</f>
        <v/>
      </c>
      <c r="K457">
        <f>IF('01_Master_Data'!B457="","",'01_Master_Data'!H457)</f>
        <v/>
      </c>
      <c r="L457">
        <f>IF('01_Master_Data'!B457="","",IF(LOWER(TRIM('01_Master_Data'!V457&amp;""))="yes",1,0))</f>
        <v/>
      </c>
      <c r="M457">
        <f>IF('01_Master_Data'!B457="","",IF(LOWER(TRIM('01_Master_Data'!W457&amp;""))="yes",1,0))</f>
        <v/>
      </c>
      <c r="N457">
        <f>IF('01_Master_Data'!B457="","",IF(LOWER(TRIM('01_Master_Data'!X457&amp;""))="yes",1,0))</f>
        <v/>
      </c>
      <c r="O457">
        <f>IF('01_Master_Data'!B457="","",IF(LOWER(TRIM('01_Master_Data'!Y457&amp;""))="yes",1,0))</f>
        <v/>
      </c>
      <c r="P457">
        <f>IF('01_Master_Data'!B457="","",IF(LOWER(TRIM('01_Master_Data'!Z457&amp;""))="yes",1,0))</f>
        <v/>
      </c>
      <c r="Q457">
        <f>IF(A457="","",L457+M457+N457+O457+P457)</f>
        <v/>
      </c>
      <c r="R457">
        <f>IF(A457="","",IF(Q457&gt;1,"Yes","No"))</f>
        <v/>
      </c>
      <c r="S457">
        <f>IF(A457="","",TEXTJOIN(", ",TRUE,IF(L457=1,"ICICI",""),IF(M457=1,"Propelld",""),IF(N457=1,"Study4Buddy",""),IF(O457=1,"Poonawala Fincorp",""),IF(P457=1,"GyanDhan","")))</f>
        <v/>
      </c>
      <c r="T457">
        <f>IF(A457="","",IF(L457=1,"ICICI",IF(M457=1,"Propelld",IF(P457=1,"GyanDhan",IF(N457=1,"Study4Buddy",IF(O457=1,"Poonawala Fincorp",IF(ISNUMBER(SEARCH("GyanDhan",W457&amp;"")),"GyanDhan",IF(ISNUMBER(SEARCH("Icici",W457&amp;"")),"ICICI",IF(ISNUMBER(SEARCH("Propelld",W457&amp;"")),"Propelld",IF(ISNUMBER(SEARCH("vidyalakshmi",LOWER(W457&amp;"")),"PM Vidyalakshmi","—"))))))))))</f>
        <v/>
      </c>
      <c r="U457">
        <f>IF(A457="","",TRIM('01_Master_Data'!AA457&amp;""))</f>
        <v/>
      </c>
      <c r="V457">
        <f>IF(A457="","",TRIM('01_Master_Data'!AG457&amp;""))</f>
        <v/>
      </c>
      <c r="W457">
        <f>IF(A457="","",TRIM('01_Master_Data'!AH457&amp;""))</f>
        <v/>
      </c>
      <c r="X457">
        <f>IF(A457="","",IF(OR(LOWER(H457)="refund",LOWER(U457)="refund case"),"Refund",IF(OR(LOWER(H457)="dnp",LOWER(U457)="dnp"),"DNP",IF(OR(LOWER(V457)="disbursed",ISNUMBER(SEARCH("Disbursed",W457&amp;""))),"Disbursed",IF(OR(LOWER(V457)="loan proccessed/accepted",ISNUMBER(SEARCH("sanctioned",LOWER(W457&amp;"")))),"Sanctioned",IF(OR(LOWER(V457)="rejected",ISNUMBER(SEARCH("Not eligbile",W457&amp;"")),ISNUMBER(SEARCH("Not eligible",W457&amp;""))),"Rejected",IF(ISNUMBER(SEARCH("Docs Pending",W457&amp;"")),"Documents Pending",IF(AND(LOWER(H457)="yes",LOWER(V457)="ongoing"),"Processing",IF(AND(LOWER(H457)="yes",Q457&gt;0,OR(V457="",LOWER(V457)="not even started")),"Vendor Assigned",IF(AND(LOWER(H457)="yes",LOWER(V457)="not even started"),"Need Loan",IF(LOWER(H457)="yes","Loan Started",IF(LOWER(H457)="not sure","Interested",IF(OR(LOWER(H457)="no",LOWER(V457)="not required"),"Not Required","Unclassified")))))))))))))</f>
        <v/>
      </c>
      <c r="Y457">
        <f>IF(A457="","",IF(OR(X457="Sanctioned",X457="Disbursed",X457="Approved"),"Approved",IF(X457="Rejected","Rejected",IF(OR(X457="Processing",X457="Documents Pending",X457="Vendor Assigned"),"In Progress",IF(X457="Need Loan","Pending Start","—"))))</f>
        <v/>
      </c>
      <c r="Z457">
        <f>IF(A457="","",IF(X457="Disbursed","Disbursed",IF(X457="Sanctioned","Sanctioned - Awaiting Disbursement","Not Disbursed")))</f>
        <v/>
      </c>
      <c r="AA457">
        <f>IF(A457="","",IF(LOWER(TRIM('01_Master_Data'!AI457&amp;""))="yes","Need FLDG",IF(LOWER(TRIM('01_Master_Data'!AK457&amp;""))="yes","Need Vidyalakshmi",IF(LOWER(TRIM('01_Master_Data'!AJ457&amp;""))="yes","Need Review",IF(LOWER(J457)="critical","Critical",IF(LOWER(U457)="risk","Risk Case",IF(X457="Refund","Refund","Normal")))))))</f>
        <v/>
      </c>
      <c r="AB457">
        <f>IF(A457="","",IF(OR(LOWER(J457)="critical",LOWER(TRIM('01_Master_Data'!AI457&amp;""))="yes",LOWER(TRIM('01_Master_Data'!AK457&amp;""))="yes",LOWER(U457)="risk"),"Yes","No"))</f>
        <v/>
      </c>
      <c r="AC457">
        <f>IF(A457="","",IF(LOWER(TRIM('01_Master_Data'!AI457&amp;""))="yes","Yes","No"))</f>
        <v/>
      </c>
      <c r="AD457">
        <f>IF(A457="","",IF(LOWER(TRIM('01_Master_Data'!AK457&amp;""))="yes","Yes","No"))</f>
        <v/>
      </c>
      <c r="AE457">
        <f>IF(A457="","",IF(LOWER(TRIM('01_Master_Data'!AJ457&amp;""))="yes","Yes","No"))</f>
        <v/>
      </c>
      <c r="AF457">
        <f>IF(A457="","",TRIM('01_Master_Data'!AL457&amp;""))</f>
        <v/>
      </c>
      <c r="AG457">
        <f>IF(A457="","",IF(AF457="","—",IF(ISNUMBER(SEARCH("DNP",AF457)),"Unreachable / DNP",IF(ISNUMBER(SEARCH("interest",LOWER(AF457))),"High Interest / Terms",IF(OR(ISNUMBER(SEARCH("eligib",LOWER(AF457))),ISNUMBER(SEARCH("income",LOWER(AF457)))),"Eligibility / Income",IF(OR(ISNUMBER(SEARCH("start",LOWER(AF457))),ISNUMBER(SEARCH("Newer",AF457)),ISNUMBER(SEARCH("Will start",AF457))),"Process Yet to Start",IF(ISNUMBER(SEARCH("sure",LOWER(AF457))),"Undecided",IF(OR(ISNUMBER(SEARCH("reject",LOWER(AF457))),ISNUMBER(SEARCH("SBI",AF457))),"Rejected Elsewhere",IF(ISNUMBER(SEARCH("call",LOWER(AF457))),"Bank Communication",IF(OR(ISNUMBER(SEARCH("father",LOWER(AF457))),ISNUMBER(SEARCH("sister",LOWER(AF457)))),"Family / Dependency","Other"))))))))))</f>
        <v/>
      </c>
      <c r="AH457">
        <f>IF(A457="","",'01_Master_Data'!AC457)</f>
        <v/>
      </c>
      <c r="AI457">
        <f>IF(A457="","",IF(OR(AH457="",NOT(ISNUMBER(AH457))),"",MAX(0,'02_Configuration'!$B$82-AH457)))</f>
        <v/>
      </c>
      <c r="AJ457">
        <f>IF(A457="","",IF(AI457="","Unknown",IF(AI457&lt;=3,"0–3 Days",IF(AI457&lt;=7,"4–7 Days",IF(AI457&lt;=15,"8–15 Days",IF(AI457&lt;=30,"16–30 Days","30+ Days"))))))</f>
        <v/>
      </c>
      <c r="AK457">
        <f>IF(A457="","",IF(LOWER(H457)="yes","Yes","No"))</f>
        <v/>
      </c>
      <c r="AL457">
        <f>IF(A457="","",'01_Master_Data'!T457)</f>
        <v/>
      </c>
      <c r="AM457">
        <f>IF(A457="","",'01_Master_Data'!S457)</f>
        <v/>
      </c>
      <c r="AN457">
        <f>IF(A457="","",'01_Master_Data'!I457)</f>
        <v/>
      </c>
      <c r="AO457">
        <f>IF(A457="","",'01_Master_Data'!M457)</f>
        <v/>
      </c>
      <c r="AP457">
        <f>IF(A457="","",IF(ISNUMBER(SEARCH("Icici",W457&amp;"")),1,0))</f>
        <v/>
      </c>
      <c r="AQ457">
        <f>IF(A457="","",IF(ISNUMBER(SEARCH("Propelld",W457&amp;"")),1,0))</f>
        <v/>
      </c>
      <c r="AR457">
        <f>IF(A457="","",IF(ISNUMBER(SEARCH("GyanDhan",W457&amp;"")),1,0))</f>
        <v/>
      </c>
      <c r="AS457">
        <f>IF(A457="","",IF(ISNUMBER(SEARCH("vidyalakshmi",LOWER(W457&amp;""))),1,0))</f>
        <v/>
      </c>
      <c r="AT457">
        <f>IF(A457="","",IF(ISNUMBER(SEARCH("other bank",LOWER(W457&amp;""))),1,0))</f>
        <v/>
      </c>
      <c r="AU457">
        <f>IF(A457="","",IF(ISNUMBER(SEARCH("sanctioned",LOWER(W457&amp;""))),1,0))</f>
        <v/>
      </c>
      <c r="AV457">
        <f>IF(A457="","",IF(ISNUMBER(SEARCH("Docs Pending",W457&amp;"")),1,0))</f>
        <v/>
      </c>
      <c r="AW457">
        <f>IF(A457="","",IF(OR(X457="Rejected",ISNUMBER(SEARCH("Not eligbile",W457&amp;""))),1,0))</f>
        <v/>
      </c>
    </row>
    <row r="458">
      <c r="A458">
        <f>IF('01_Master_Data'!B458="","",457)</f>
        <v/>
      </c>
      <c r="B458">
        <f>IF('01_Master_Data'!B458="","",IF('01_Master_Data'!C458&lt;&gt;"","MOB|"&amp;TEXT('01_Master_Data'!C458,"0"),IF('01_Master_Data'!D458&lt;&gt;"","PID|"&amp;TRIM('01_Master_Data'!D458&amp;""),"")))</f>
        <v/>
      </c>
      <c r="C458">
        <f>IF('01_Master_Data'!B458="","",'01_Master_Data'!B458)</f>
        <v/>
      </c>
      <c r="D458">
        <f>IF('01_Master_Data'!B458="","",'01_Master_Data'!C458)</f>
        <v/>
      </c>
      <c r="E458">
        <f>IF('01_Master_Data'!B458="","",'01_Master_Data'!D458)</f>
        <v/>
      </c>
      <c r="F458">
        <f>IF('01_Master_Data'!B458="","",'01_Master_Data'!E458)</f>
        <v/>
      </c>
      <c r="G458">
        <f>IF('01_Master_Data'!B458="","",IFERROR(VLOOKUP(TRIM('01_Master_Data'!E458&amp;""),'02_Configuration'!$A$40:$B$44,2,FALSE),UPPER(TRIM('01_Master_Data'!E458&amp;""))))</f>
        <v/>
      </c>
      <c r="H458">
        <f>IF('01_Master_Data'!B458="","",IF('01_Master_Data'!U458="","",TRIM('01_Master_Data'!U458&amp;"")))</f>
        <v/>
      </c>
      <c r="I458">
        <f>IF('01_Master_Data'!B458="","",TRIM('01_Master_Data'!F458&amp;""))</f>
        <v/>
      </c>
      <c r="J458">
        <f>IF('01_Master_Data'!B458="","",TRIM('01_Master_Data'!G458&amp;""))</f>
        <v/>
      </c>
      <c r="K458">
        <f>IF('01_Master_Data'!B458="","",'01_Master_Data'!H458)</f>
        <v/>
      </c>
      <c r="L458">
        <f>IF('01_Master_Data'!B458="","",IF(LOWER(TRIM('01_Master_Data'!V458&amp;""))="yes",1,0))</f>
        <v/>
      </c>
      <c r="M458">
        <f>IF('01_Master_Data'!B458="","",IF(LOWER(TRIM('01_Master_Data'!W458&amp;""))="yes",1,0))</f>
        <v/>
      </c>
      <c r="N458">
        <f>IF('01_Master_Data'!B458="","",IF(LOWER(TRIM('01_Master_Data'!X458&amp;""))="yes",1,0))</f>
        <v/>
      </c>
      <c r="O458">
        <f>IF('01_Master_Data'!B458="","",IF(LOWER(TRIM('01_Master_Data'!Y458&amp;""))="yes",1,0))</f>
        <v/>
      </c>
      <c r="P458">
        <f>IF('01_Master_Data'!B458="","",IF(LOWER(TRIM('01_Master_Data'!Z458&amp;""))="yes",1,0))</f>
        <v/>
      </c>
      <c r="Q458">
        <f>IF(A458="","",L458+M458+N458+O458+P458)</f>
        <v/>
      </c>
      <c r="R458">
        <f>IF(A458="","",IF(Q458&gt;1,"Yes","No"))</f>
        <v/>
      </c>
      <c r="S458">
        <f>IF(A458="","",TEXTJOIN(", ",TRUE,IF(L458=1,"ICICI",""),IF(M458=1,"Propelld",""),IF(N458=1,"Study4Buddy",""),IF(O458=1,"Poonawala Fincorp",""),IF(P458=1,"GyanDhan","")))</f>
        <v/>
      </c>
      <c r="T458">
        <f>IF(A458="","",IF(L458=1,"ICICI",IF(M458=1,"Propelld",IF(P458=1,"GyanDhan",IF(N458=1,"Study4Buddy",IF(O458=1,"Poonawala Fincorp",IF(ISNUMBER(SEARCH("GyanDhan",W458&amp;"")),"GyanDhan",IF(ISNUMBER(SEARCH("Icici",W458&amp;"")),"ICICI",IF(ISNUMBER(SEARCH("Propelld",W458&amp;"")),"Propelld",IF(ISNUMBER(SEARCH("vidyalakshmi",LOWER(W458&amp;"")),"PM Vidyalakshmi","—"))))))))))</f>
        <v/>
      </c>
      <c r="U458">
        <f>IF(A458="","",TRIM('01_Master_Data'!AA458&amp;""))</f>
        <v/>
      </c>
      <c r="V458">
        <f>IF(A458="","",TRIM('01_Master_Data'!AG458&amp;""))</f>
        <v/>
      </c>
      <c r="W458">
        <f>IF(A458="","",TRIM('01_Master_Data'!AH458&amp;""))</f>
        <v/>
      </c>
      <c r="X458">
        <f>IF(A458="","",IF(OR(LOWER(H458)="refund",LOWER(U458)="refund case"),"Refund",IF(OR(LOWER(H458)="dnp",LOWER(U458)="dnp"),"DNP",IF(OR(LOWER(V458)="disbursed",ISNUMBER(SEARCH("Disbursed",W458&amp;""))),"Disbursed",IF(OR(LOWER(V458)="loan proccessed/accepted",ISNUMBER(SEARCH("sanctioned",LOWER(W458&amp;"")))),"Sanctioned",IF(OR(LOWER(V458)="rejected",ISNUMBER(SEARCH("Not eligbile",W458&amp;"")),ISNUMBER(SEARCH("Not eligible",W458&amp;""))),"Rejected",IF(ISNUMBER(SEARCH("Docs Pending",W458&amp;"")),"Documents Pending",IF(AND(LOWER(H458)="yes",LOWER(V458)="ongoing"),"Processing",IF(AND(LOWER(H458)="yes",Q458&gt;0,OR(V458="",LOWER(V458)="not even started")),"Vendor Assigned",IF(AND(LOWER(H458)="yes",LOWER(V458)="not even started"),"Need Loan",IF(LOWER(H458)="yes","Loan Started",IF(LOWER(H458)="not sure","Interested",IF(OR(LOWER(H458)="no",LOWER(V458)="not required"),"Not Required","Unclassified")))))))))))))</f>
        <v/>
      </c>
      <c r="Y458">
        <f>IF(A458="","",IF(OR(X458="Sanctioned",X458="Disbursed",X458="Approved"),"Approved",IF(X458="Rejected","Rejected",IF(OR(X458="Processing",X458="Documents Pending",X458="Vendor Assigned"),"In Progress",IF(X458="Need Loan","Pending Start","—"))))</f>
        <v/>
      </c>
      <c r="Z458">
        <f>IF(A458="","",IF(X458="Disbursed","Disbursed",IF(X458="Sanctioned","Sanctioned - Awaiting Disbursement","Not Disbursed")))</f>
        <v/>
      </c>
      <c r="AA458">
        <f>IF(A458="","",IF(LOWER(TRIM('01_Master_Data'!AI458&amp;""))="yes","Need FLDG",IF(LOWER(TRIM('01_Master_Data'!AK458&amp;""))="yes","Need Vidyalakshmi",IF(LOWER(TRIM('01_Master_Data'!AJ458&amp;""))="yes","Need Review",IF(LOWER(J458)="critical","Critical",IF(LOWER(U458)="risk","Risk Case",IF(X458="Refund","Refund","Normal")))))))</f>
        <v/>
      </c>
      <c r="AB458">
        <f>IF(A458="","",IF(OR(LOWER(J458)="critical",LOWER(TRIM('01_Master_Data'!AI458&amp;""))="yes",LOWER(TRIM('01_Master_Data'!AK458&amp;""))="yes",LOWER(U458)="risk"),"Yes","No"))</f>
        <v/>
      </c>
      <c r="AC458">
        <f>IF(A458="","",IF(LOWER(TRIM('01_Master_Data'!AI458&amp;""))="yes","Yes","No"))</f>
        <v/>
      </c>
      <c r="AD458">
        <f>IF(A458="","",IF(LOWER(TRIM('01_Master_Data'!AK458&amp;""))="yes","Yes","No"))</f>
        <v/>
      </c>
      <c r="AE458">
        <f>IF(A458="","",IF(LOWER(TRIM('01_Master_Data'!AJ458&amp;""))="yes","Yes","No"))</f>
        <v/>
      </c>
      <c r="AF458">
        <f>IF(A458="","",TRIM('01_Master_Data'!AL458&amp;""))</f>
        <v/>
      </c>
      <c r="AG458">
        <f>IF(A458="","",IF(AF458="","—",IF(ISNUMBER(SEARCH("DNP",AF458)),"Unreachable / DNP",IF(ISNUMBER(SEARCH("interest",LOWER(AF458))),"High Interest / Terms",IF(OR(ISNUMBER(SEARCH("eligib",LOWER(AF458))),ISNUMBER(SEARCH("income",LOWER(AF458)))),"Eligibility / Income",IF(OR(ISNUMBER(SEARCH("start",LOWER(AF458))),ISNUMBER(SEARCH("Newer",AF458)),ISNUMBER(SEARCH("Will start",AF458))),"Process Yet to Start",IF(ISNUMBER(SEARCH("sure",LOWER(AF458))),"Undecided",IF(OR(ISNUMBER(SEARCH("reject",LOWER(AF458))),ISNUMBER(SEARCH("SBI",AF458))),"Rejected Elsewhere",IF(ISNUMBER(SEARCH("call",LOWER(AF458))),"Bank Communication",IF(OR(ISNUMBER(SEARCH("father",LOWER(AF458))),ISNUMBER(SEARCH("sister",LOWER(AF458)))),"Family / Dependency","Other"))))))))))</f>
        <v/>
      </c>
      <c r="AH458">
        <f>IF(A458="","",'01_Master_Data'!AC458)</f>
        <v/>
      </c>
      <c r="AI458">
        <f>IF(A458="","",IF(OR(AH458="",NOT(ISNUMBER(AH458))),"",MAX(0,'02_Configuration'!$B$82-AH458)))</f>
        <v/>
      </c>
      <c r="AJ458">
        <f>IF(A458="","",IF(AI458="","Unknown",IF(AI458&lt;=3,"0–3 Days",IF(AI458&lt;=7,"4–7 Days",IF(AI458&lt;=15,"8–15 Days",IF(AI458&lt;=30,"16–30 Days","30+ Days"))))))</f>
        <v/>
      </c>
      <c r="AK458">
        <f>IF(A458="","",IF(LOWER(H458)="yes","Yes","No"))</f>
        <v/>
      </c>
      <c r="AL458">
        <f>IF(A458="","",'01_Master_Data'!T458)</f>
        <v/>
      </c>
      <c r="AM458">
        <f>IF(A458="","",'01_Master_Data'!S458)</f>
        <v/>
      </c>
      <c r="AN458">
        <f>IF(A458="","",'01_Master_Data'!I458)</f>
        <v/>
      </c>
      <c r="AO458">
        <f>IF(A458="","",'01_Master_Data'!M458)</f>
        <v/>
      </c>
      <c r="AP458">
        <f>IF(A458="","",IF(ISNUMBER(SEARCH("Icici",W458&amp;"")),1,0))</f>
        <v/>
      </c>
      <c r="AQ458">
        <f>IF(A458="","",IF(ISNUMBER(SEARCH("Propelld",W458&amp;"")),1,0))</f>
        <v/>
      </c>
      <c r="AR458">
        <f>IF(A458="","",IF(ISNUMBER(SEARCH("GyanDhan",W458&amp;"")),1,0))</f>
        <v/>
      </c>
      <c r="AS458">
        <f>IF(A458="","",IF(ISNUMBER(SEARCH("vidyalakshmi",LOWER(W458&amp;""))),1,0))</f>
        <v/>
      </c>
      <c r="AT458">
        <f>IF(A458="","",IF(ISNUMBER(SEARCH("other bank",LOWER(W458&amp;""))),1,0))</f>
        <v/>
      </c>
      <c r="AU458">
        <f>IF(A458="","",IF(ISNUMBER(SEARCH("sanctioned",LOWER(W458&amp;""))),1,0))</f>
        <v/>
      </c>
      <c r="AV458">
        <f>IF(A458="","",IF(ISNUMBER(SEARCH("Docs Pending",W458&amp;"")),1,0))</f>
        <v/>
      </c>
      <c r="AW458">
        <f>IF(A458="","",IF(OR(X458="Rejected",ISNUMBER(SEARCH("Not eligbile",W458&amp;""))),1,0))</f>
        <v/>
      </c>
    </row>
    <row r="459">
      <c r="A459">
        <f>IF('01_Master_Data'!B459="","",458)</f>
        <v/>
      </c>
      <c r="B459">
        <f>IF('01_Master_Data'!B459="","",IF('01_Master_Data'!C459&lt;&gt;"","MOB|"&amp;TEXT('01_Master_Data'!C459,"0"),IF('01_Master_Data'!D459&lt;&gt;"","PID|"&amp;TRIM('01_Master_Data'!D459&amp;""),"")))</f>
        <v/>
      </c>
      <c r="C459">
        <f>IF('01_Master_Data'!B459="","",'01_Master_Data'!B459)</f>
        <v/>
      </c>
      <c r="D459">
        <f>IF('01_Master_Data'!B459="","",'01_Master_Data'!C459)</f>
        <v/>
      </c>
      <c r="E459">
        <f>IF('01_Master_Data'!B459="","",'01_Master_Data'!D459)</f>
        <v/>
      </c>
      <c r="F459">
        <f>IF('01_Master_Data'!B459="","",'01_Master_Data'!E459)</f>
        <v/>
      </c>
      <c r="G459">
        <f>IF('01_Master_Data'!B459="","",IFERROR(VLOOKUP(TRIM('01_Master_Data'!E459&amp;""),'02_Configuration'!$A$40:$B$44,2,FALSE),UPPER(TRIM('01_Master_Data'!E459&amp;""))))</f>
        <v/>
      </c>
      <c r="H459">
        <f>IF('01_Master_Data'!B459="","",IF('01_Master_Data'!U459="","",TRIM('01_Master_Data'!U459&amp;"")))</f>
        <v/>
      </c>
      <c r="I459">
        <f>IF('01_Master_Data'!B459="","",TRIM('01_Master_Data'!F459&amp;""))</f>
        <v/>
      </c>
      <c r="J459">
        <f>IF('01_Master_Data'!B459="","",TRIM('01_Master_Data'!G459&amp;""))</f>
        <v/>
      </c>
      <c r="K459">
        <f>IF('01_Master_Data'!B459="","",'01_Master_Data'!H459)</f>
        <v/>
      </c>
      <c r="L459">
        <f>IF('01_Master_Data'!B459="","",IF(LOWER(TRIM('01_Master_Data'!V459&amp;""))="yes",1,0))</f>
        <v/>
      </c>
      <c r="M459">
        <f>IF('01_Master_Data'!B459="","",IF(LOWER(TRIM('01_Master_Data'!W459&amp;""))="yes",1,0))</f>
        <v/>
      </c>
      <c r="N459">
        <f>IF('01_Master_Data'!B459="","",IF(LOWER(TRIM('01_Master_Data'!X459&amp;""))="yes",1,0))</f>
        <v/>
      </c>
      <c r="O459">
        <f>IF('01_Master_Data'!B459="","",IF(LOWER(TRIM('01_Master_Data'!Y459&amp;""))="yes",1,0))</f>
        <v/>
      </c>
      <c r="P459">
        <f>IF('01_Master_Data'!B459="","",IF(LOWER(TRIM('01_Master_Data'!Z459&amp;""))="yes",1,0))</f>
        <v/>
      </c>
      <c r="Q459">
        <f>IF(A459="","",L459+M459+N459+O459+P459)</f>
        <v/>
      </c>
      <c r="R459">
        <f>IF(A459="","",IF(Q459&gt;1,"Yes","No"))</f>
        <v/>
      </c>
      <c r="S459">
        <f>IF(A459="","",TEXTJOIN(", ",TRUE,IF(L459=1,"ICICI",""),IF(M459=1,"Propelld",""),IF(N459=1,"Study4Buddy",""),IF(O459=1,"Poonawala Fincorp",""),IF(P459=1,"GyanDhan","")))</f>
        <v/>
      </c>
      <c r="T459">
        <f>IF(A459="","",IF(L459=1,"ICICI",IF(M459=1,"Propelld",IF(P459=1,"GyanDhan",IF(N459=1,"Study4Buddy",IF(O459=1,"Poonawala Fincorp",IF(ISNUMBER(SEARCH("GyanDhan",W459&amp;"")),"GyanDhan",IF(ISNUMBER(SEARCH("Icici",W459&amp;"")),"ICICI",IF(ISNUMBER(SEARCH("Propelld",W459&amp;"")),"Propelld",IF(ISNUMBER(SEARCH("vidyalakshmi",LOWER(W459&amp;"")),"PM Vidyalakshmi","—"))))))))))</f>
        <v/>
      </c>
      <c r="U459">
        <f>IF(A459="","",TRIM('01_Master_Data'!AA459&amp;""))</f>
        <v/>
      </c>
      <c r="V459">
        <f>IF(A459="","",TRIM('01_Master_Data'!AG459&amp;""))</f>
        <v/>
      </c>
      <c r="W459">
        <f>IF(A459="","",TRIM('01_Master_Data'!AH459&amp;""))</f>
        <v/>
      </c>
      <c r="X459">
        <f>IF(A459="","",IF(OR(LOWER(H459)="refund",LOWER(U459)="refund case"),"Refund",IF(OR(LOWER(H459)="dnp",LOWER(U459)="dnp"),"DNP",IF(OR(LOWER(V459)="disbursed",ISNUMBER(SEARCH("Disbursed",W459&amp;""))),"Disbursed",IF(OR(LOWER(V459)="loan proccessed/accepted",ISNUMBER(SEARCH("sanctioned",LOWER(W459&amp;"")))),"Sanctioned",IF(OR(LOWER(V459)="rejected",ISNUMBER(SEARCH("Not eligbile",W459&amp;"")),ISNUMBER(SEARCH("Not eligible",W459&amp;""))),"Rejected",IF(ISNUMBER(SEARCH("Docs Pending",W459&amp;"")),"Documents Pending",IF(AND(LOWER(H459)="yes",LOWER(V459)="ongoing"),"Processing",IF(AND(LOWER(H459)="yes",Q459&gt;0,OR(V459="",LOWER(V459)="not even started")),"Vendor Assigned",IF(AND(LOWER(H459)="yes",LOWER(V459)="not even started"),"Need Loan",IF(LOWER(H459)="yes","Loan Started",IF(LOWER(H459)="not sure","Interested",IF(OR(LOWER(H459)="no",LOWER(V459)="not required"),"Not Required","Unclassified")))))))))))))</f>
        <v/>
      </c>
      <c r="Y459">
        <f>IF(A459="","",IF(OR(X459="Sanctioned",X459="Disbursed",X459="Approved"),"Approved",IF(X459="Rejected","Rejected",IF(OR(X459="Processing",X459="Documents Pending",X459="Vendor Assigned"),"In Progress",IF(X459="Need Loan","Pending Start","—"))))</f>
        <v/>
      </c>
      <c r="Z459">
        <f>IF(A459="","",IF(X459="Disbursed","Disbursed",IF(X459="Sanctioned","Sanctioned - Awaiting Disbursement","Not Disbursed")))</f>
        <v/>
      </c>
      <c r="AA459">
        <f>IF(A459="","",IF(LOWER(TRIM('01_Master_Data'!AI459&amp;""))="yes","Need FLDG",IF(LOWER(TRIM('01_Master_Data'!AK459&amp;""))="yes","Need Vidyalakshmi",IF(LOWER(TRIM('01_Master_Data'!AJ459&amp;""))="yes","Need Review",IF(LOWER(J459)="critical","Critical",IF(LOWER(U459)="risk","Risk Case",IF(X459="Refund","Refund","Normal")))))))</f>
        <v/>
      </c>
      <c r="AB459">
        <f>IF(A459="","",IF(OR(LOWER(J459)="critical",LOWER(TRIM('01_Master_Data'!AI459&amp;""))="yes",LOWER(TRIM('01_Master_Data'!AK459&amp;""))="yes",LOWER(U459)="risk"),"Yes","No"))</f>
        <v/>
      </c>
      <c r="AC459">
        <f>IF(A459="","",IF(LOWER(TRIM('01_Master_Data'!AI459&amp;""))="yes","Yes","No"))</f>
        <v/>
      </c>
      <c r="AD459">
        <f>IF(A459="","",IF(LOWER(TRIM('01_Master_Data'!AK459&amp;""))="yes","Yes","No"))</f>
        <v/>
      </c>
      <c r="AE459">
        <f>IF(A459="","",IF(LOWER(TRIM('01_Master_Data'!AJ459&amp;""))="yes","Yes","No"))</f>
        <v/>
      </c>
      <c r="AF459">
        <f>IF(A459="","",TRIM('01_Master_Data'!AL459&amp;""))</f>
        <v/>
      </c>
      <c r="AG459">
        <f>IF(A459="","",IF(AF459="","—",IF(ISNUMBER(SEARCH("DNP",AF459)),"Unreachable / DNP",IF(ISNUMBER(SEARCH("interest",LOWER(AF459))),"High Interest / Terms",IF(OR(ISNUMBER(SEARCH("eligib",LOWER(AF459))),ISNUMBER(SEARCH("income",LOWER(AF459)))),"Eligibility / Income",IF(OR(ISNUMBER(SEARCH("start",LOWER(AF459))),ISNUMBER(SEARCH("Newer",AF459)),ISNUMBER(SEARCH("Will start",AF459))),"Process Yet to Start",IF(ISNUMBER(SEARCH("sure",LOWER(AF459))),"Undecided",IF(OR(ISNUMBER(SEARCH("reject",LOWER(AF459))),ISNUMBER(SEARCH("SBI",AF459))),"Rejected Elsewhere",IF(ISNUMBER(SEARCH("call",LOWER(AF459))),"Bank Communication",IF(OR(ISNUMBER(SEARCH("father",LOWER(AF459))),ISNUMBER(SEARCH("sister",LOWER(AF459)))),"Family / Dependency","Other"))))))))))</f>
        <v/>
      </c>
      <c r="AH459">
        <f>IF(A459="","",'01_Master_Data'!AC459)</f>
        <v/>
      </c>
      <c r="AI459">
        <f>IF(A459="","",IF(OR(AH459="",NOT(ISNUMBER(AH459))),"",MAX(0,'02_Configuration'!$B$82-AH459)))</f>
        <v/>
      </c>
      <c r="AJ459">
        <f>IF(A459="","",IF(AI459="","Unknown",IF(AI459&lt;=3,"0–3 Days",IF(AI459&lt;=7,"4–7 Days",IF(AI459&lt;=15,"8–15 Days",IF(AI459&lt;=30,"16–30 Days","30+ Days"))))))</f>
        <v/>
      </c>
      <c r="AK459">
        <f>IF(A459="","",IF(LOWER(H459)="yes","Yes","No"))</f>
        <v/>
      </c>
      <c r="AL459">
        <f>IF(A459="","",'01_Master_Data'!T459)</f>
        <v/>
      </c>
      <c r="AM459">
        <f>IF(A459="","",'01_Master_Data'!S459)</f>
        <v/>
      </c>
      <c r="AN459">
        <f>IF(A459="","",'01_Master_Data'!I459)</f>
        <v/>
      </c>
      <c r="AO459">
        <f>IF(A459="","",'01_Master_Data'!M459)</f>
        <v/>
      </c>
      <c r="AP459">
        <f>IF(A459="","",IF(ISNUMBER(SEARCH("Icici",W459&amp;"")),1,0))</f>
        <v/>
      </c>
      <c r="AQ459">
        <f>IF(A459="","",IF(ISNUMBER(SEARCH("Propelld",W459&amp;"")),1,0))</f>
        <v/>
      </c>
      <c r="AR459">
        <f>IF(A459="","",IF(ISNUMBER(SEARCH("GyanDhan",W459&amp;"")),1,0))</f>
        <v/>
      </c>
      <c r="AS459">
        <f>IF(A459="","",IF(ISNUMBER(SEARCH("vidyalakshmi",LOWER(W459&amp;""))),1,0))</f>
        <v/>
      </c>
      <c r="AT459">
        <f>IF(A459="","",IF(ISNUMBER(SEARCH("other bank",LOWER(W459&amp;""))),1,0))</f>
        <v/>
      </c>
      <c r="AU459">
        <f>IF(A459="","",IF(ISNUMBER(SEARCH("sanctioned",LOWER(W459&amp;""))),1,0))</f>
        <v/>
      </c>
      <c r="AV459">
        <f>IF(A459="","",IF(ISNUMBER(SEARCH("Docs Pending",W459&amp;"")),1,0))</f>
        <v/>
      </c>
      <c r="AW459">
        <f>IF(A459="","",IF(OR(X459="Rejected",ISNUMBER(SEARCH("Not eligbile",W459&amp;""))),1,0))</f>
        <v/>
      </c>
    </row>
    <row r="460">
      <c r="A460">
        <f>IF('01_Master_Data'!B460="","",459)</f>
        <v/>
      </c>
      <c r="B460">
        <f>IF('01_Master_Data'!B460="","",IF('01_Master_Data'!C460&lt;&gt;"","MOB|"&amp;TEXT('01_Master_Data'!C460,"0"),IF('01_Master_Data'!D460&lt;&gt;"","PID|"&amp;TRIM('01_Master_Data'!D460&amp;""),"")))</f>
        <v/>
      </c>
      <c r="C460">
        <f>IF('01_Master_Data'!B460="","",'01_Master_Data'!B460)</f>
        <v/>
      </c>
      <c r="D460">
        <f>IF('01_Master_Data'!B460="","",'01_Master_Data'!C460)</f>
        <v/>
      </c>
      <c r="E460">
        <f>IF('01_Master_Data'!B460="","",'01_Master_Data'!D460)</f>
        <v/>
      </c>
      <c r="F460">
        <f>IF('01_Master_Data'!B460="","",'01_Master_Data'!E460)</f>
        <v/>
      </c>
      <c r="G460">
        <f>IF('01_Master_Data'!B460="","",IFERROR(VLOOKUP(TRIM('01_Master_Data'!E460&amp;""),'02_Configuration'!$A$40:$B$44,2,FALSE),UPPER(TRIM('01_Master_Data'!E460&amp;""))))</f>
        <v/>
      </c>
      <c r="H460">
        <f>IF('01_Master_Data'!B460="","",IF('01_Master_Data'!U460="","",TRIM('01_Master_Data'!U460&amp;"")))</f>
        <v/>
      </c>
      <c r="I460">
        <f>IF('01_Master_Data'!B460="","",TRIM('01_Master_Data'!F460&amp;""))</f>
        <v/>
      </c>
      <c r="J460">
        <f>IF('01_Master_Data'!B460="","",TRIM('01_Master_Data'!G460&amp;""))</f>
        <v/>
      </c>
      <c r="K460">
        <f>IF('01_Master_Data'!B460="","",'01_Master_Data'!H460)</f>
        <v/>
      </c>
      <c r="L460">
        <f>IF('01_Master_Data'!B460="","",IF(LOWER(TRIM('01_Master_Data'!V460&amp;""))="yes",1,0))</f>
        <v/>
      </c>
      <c r="M460">
        <f>IF('01_Master_Data'!B460="","",IF(LOWER(TRIM('01_Master_Data'!W460&amp;""))="yes",1,0))</f>
        <v/>
      </c>
      <c r="N460">
        <f>IF('01_Master_Data'!B460="","",IF(LOWER(TRIM('01_Master_Data'!X460&amp;""))="yes",1,0))</f>
        <v/>
      </c>
      <c r="O460">
        <f>IF('01_Master_Data'!B460="","",IF(LOWER(TRIM('01_Master_Data'!Y460&amp;""))="yes",1,0))</f>
        <v/>
      </c>
      <c r="P460">
        <f>IF('01_Master_Data'!B460="","",IF(LOWER(TRIM('01_Master_Data'!Z460&amp;""))="yes",1,0))</f>
        <v/>
      </c>
      <c r="Q460">
        <f>IF(A460="","",L460+M460+N460+O460+P460)</f>
        <v/>
      </c>
      <c r="R460">
        <f>IF(A460="","",IF(Q460&gt;1,"Yes","No"))</f>
        <v/>
      </c>
      <c r="S460">
        <f>IF(A460="","",TEXTJOIN(", ",TRUE,IF(L460=1,"ICICI",""),IF(M460=1,"Propelld",""),IF(N460=1,"Study4Buddy",""),IF(O460=1,"Poonawala Fincorp",""),IF(P460=1,"GyanDhan","")))</f>
        <v/>
      </c>
      <c r="T460">
        <f>IF(A460="","",IF(L460=1,"ICICI",IF(M460=1,"Propelld",IF(P460=1,"GyanDhan",IF(N460=1,"Study4Buddy",IF(O460=1,"Poonawala Fincorp",IF(ISNUMBER(SEARCH("GyanDhan",W460&amp;"")),"GyanDhan",IF(ISNUMBER(SEARCH("Icici",W460&amp;"")),"ICICI",IF(ISNUMBER(SEARCH("Propelld",W460&amp;"")),"Propelld",IF(ISNUMBER(SEARCH("vidyalakshmi",LOWER(W460&amp;"")),"PM Vidyalakshmi","—"))))))))))</f>
        <v/>
      </c>
      <c r="U460">
        <f>IF(A460="","",TRIM('01_Master_Data'!AA460&amp;""))</f>
        <v/>
      </c>
      <c r="V460">
        <f>IF(A460="","",TRIM('01_Master_Data'!AG460&amp;""))</f>
        <v/>
      </c>
      <c r="W460">
        <f>IF(A460="","",TRIM('01_Master_Data'!AH460&amp;""))</f>
        <v/>
      </c>
      <c r="X460">
        <f>IF(A460="","",IF(OR(LOWER(H460)="refund",LOWER(U460)="refund case"),"Refund",IF(OR(LOWER(H460)="dnp",LOWER(U460)="dnp"),"DNP",IF(OR(LOWER(V460)="disbursed",ISNUMBER(SEARCH("Disbursed",W460&amp;""))),"Disbursed",IF(OR(LOWER(V460)="loan proccessed/accepted",ISNUMBER(SEARCH("sanctioned",LOWER(W460&amp;"")))),"Sanctioned",IF(OR(LOWER(V460)="rejected",ISNUMBER(SEARCH("Not eligbile",W460&amp;"")),ISNUMBER(SEARCH("Not eligible",W460&amp;""))),"Rejected",IF(ISNUMBER(SEARCH("Docs Pending",W460&amp;"")),"Documents Pending",IF(AND(LOWER(H460)="yes",LOWER(V460)="ongoing"),"Processing",IF(AND(LOWER(H460)="yes",Q460&gt;0,OR(V460="",LOWER(V460)="not even started")),"Vendor Assigned",IF(AND(LOWER(H460)="yes",LOWER(V460)="not even started"),"Need Loan",IF(LOWER(H460)="yes","Loan Started",IF(LOWER(H460)="not sure","Interested",IF(OR(LOWER(H460)="no",LOWER(V460)="not required"),"Not Required","Unclassified")))))))))))))</f>
        <v/>
      </c>
      <c r="Y460">
        <f>IF(A460="","",IF(OR(X460="Sanctioned",X460="Disbursed",X460="Approved"),"Approved",IF(X460="Rejected","Rejected",IF(OR(X460="Processing",X460="Documents Pending",X460="Vendor Assigned"),"In Progress",IF(X460="Need Loan","Pending Start","—"))))</f>
        <v/>
      </c>
      <c r="Z460">
        <f>IF(A460="","",IF(X460="Disbursed","Disbursed",IF(X460="Sanctioned","Sanctioned - Awaiting Disbursement","Not Disbursed")))</f>
        <v/>
      </c>
      <c r="AA460">
        <f>IF(A460="","",IF(LOWER(TRIM('01_Master_Data'!AI460&amp;""))="yes","Need FLDG",IF(LOWER(TRIM('01_Master_Data'!AK460&amp;""))="yes","Need Vidyalakshmi",IF(LOWER(TRIM('01_Master_Data'!AJ460&amp;""))="yes","Need Review",IF(LOWER(J460)="critical","Critical",IF(LOWER(U460)="risk","Risk Case",IF(X460="Refund","Refund","Normal")))))))</f>
        <v/>
      </c>
      <c r="AB460">
        <f>IF(A460="","",IF(OR(LOWER(J460)="critical",LOWER(TRIM('01_Master_Data'!AI460&amp;""))="yes",LOWER(TRIM('01_Master_Data'!AK460&amp;""))="yes",LOWER(U460)="risk"),"Yes","No"))</f>
        <v/>
      </c>
      <c r="AC460">
        <f>IF(A460="","",IF(LOWER(TRIM('01_Master_Data'!AI460&amp;""))="yes","Yes","No"))</f>
        <v/>
      </c>
      <c r="AD460">
        <f>IF(A460="","",IF(LOWER(TRIM('01_Master_Data'!AK460&amp;""))="yes","Yes","No"))</f>
        <v/>
      </c>
      <c r="AE460">
        <f>IF(A460="","",IF(LOWER(TRIM('01_Master_Data'!AJ460&amp;""))="yes","Yes","No"))</f>
        <v/>
      </c>
      <c r="AF460">
        <f>IF(A460="","",TRIM('01_Master_Data'!AL460&amp;""))</f>
        <v/>
      </c>
      <c r="AG460">
        <f>IF(A460="","",IF(AF460="","—",IF(ISNUMBER(SEARCH("DNP",AF460)),"Unreachable / DNP",IF(ISNUMBER(SEARCH("interest",LOWER(AF460))),"High Interest / Terms",IF(OR(ISNUMBER(SEARCH("eligib",LOWER(AF460))),ISNUMBER(SEARCH("income",LOWER(AF460)))),"Eligibility / Income",IF(OR(ISNUMBER(SEARCH("start",LOWER(AF460))),ISNUMBER(SEARCH("Newer",AF460)),ISNUMBER(SEARCH("Will start",AF460))),"Process Yet to Start",IF(ISNUMBER(SEARCH("sure",LOWER(AF460))),"Undecided",IF(OR(ISNUMBER(SEARCH("reject",LOWER(AF460))),ISNUMBER(SEARCH("SBI",AF460))),"Rejected Elsewhere",IF(ISNUMBER(SEARCH("call",LOWER(AF460))),"Bank Communication",IF(OR(ISNUMBER(SEARCH("father",LOWER(AF460))),ISNUMBER(SEARCH("sister",LOWER(AF460)))),"Family / Dependency","Other"))))))))))</f>
        <v/>
      </c>
      <c r="AH460">
        <f>IF(A460="","",'01_Master_Data'!AC460)</f>
        <v/>
      </c>
      <c r="AI460">
        <f>IF(A460="","",IF(OR(AH460="",NOT(ISNUMBER(AH460))),"",MAX(0,'02_Configuration'!$B$82-AH460)))</f>
        <v/>
      </c>
      <c r="AJ460">
        <f>IF(A460="","",IF(AI460="","Unknown",IF(AI460&lt;=3,"0–3 Days",IF(AI460&lt;=7,"4–7 Days",IF(AI460&lt;=15,"8–15 Days",IF(AI460&lt;=30,"16–30 Days","30+ Days"))))))</f>
        <v/>
      </c>
      <c r="AK460">
        <f>IF(A460="","",IF(LOWER(H460)="yes","Yes","No"))</f>
        <v/>
      </c>
      <c r="AL460">
        <f>IF(A460="","",'01_Master_Data'!T460)</f>
        <v/>
      </c>
      <c r="AM460">
        <f>IF(A460="","",'01_Master_Data'!S460)</f>
        <v/>
      </c>
      <c r="AN460">
        <f>IF(A460="","",'01_Master_Data'!I460)</f>
        <v/>
      </c>
      <c r="AO460">
        <f>IF(A460="","",'01_Master_Data'!M460)</f>
        <v/>
      </c>
      <c r="AP460">
        <f>IF(A460="","",IF(ISNUMBER(SEARCH("Icici",W460&amp;"")),1,0))</f>
        <v/>
      </c>
      <c r="AQ460">
        <f>IF(A460="","",IF(ISNUMBER(SEARCH("Propelld",W460&amp;"")),1,0))</f>
        <v/>
      </c>
      <c r="AR460">
        <f>IF(A460="","",IF(ISNUMBER(SEARCH("GyanDhan",W460&amp;"")),1,0))</f>
        <v/>
      </c>
      <c r="AS460">
        <f>IF(A460="","",IF(ISNUMBER(SEARCH("vidyalakshmi",LOWER(W460&amp;""))),1,0))</f>
        <v/>
      </c>
      <c r="AT460">
        <f>IF(A460="","",IF(ISNUMBER(SEARCH("other bank",LOWER(W460&amp;""))),1,0))</f>
        <v/>
      </c>
      <c r="AU460">
        <f>IF(A460="","",IF(ISNUMBER(SEARCH("sanctioned",LOWER(W460&amp;""))),1,0))</f>
        <v/>
      </c>
      <c r="AV460">
        <f>IF(A460="","",IF(ISNUMBER(SEARCH("Docs Pending",W460&amp;"")),1,0))</f>
        <v/>
      </c>
      <c r="AW460">
        <f>IF(A460="","",IF(OR(X460="Rejected",ISNUMBER(SEARCH("Not eligbile",W460&amp;""))),1,0))</f>
        <v/>
      </c>
    </row>
    <row r="461">
      <c r="A461">
        <f>IF('01_Master_Data'!B461="","",460)</f>
        <v/>
      </c>
      <c r="B461">
        <f>IF('01_Master_Data'!B461="","",IF('01_Master_Data'!C461&lt;&gt;"","MOB|"&amp;TEXT('01_Master_Data'!C461,"0"),IF('01_Master_Data'!D461&lt;&gt;"","PID|"&amp;TRIM('01_Master_Data'!D461&amp;""),"")))</f>
        <v/>
      </c>
      <c r="C461">
        <f>IF('01_Master_Data'!B461="","",'01_Master_Data'!B461)</f>
        <v/>
      </c>
      <c r="D461">
        <f>IF('01_Master_Data'!B461="","",'01_Master_Data'!C461)</f>
        <v/>
      </c>
      <c r="E461">
        <f>IF('01_Master_Data'!B461="","",'01_Master_Data'!D461)</f>
        <v/>
      </c>
      <c r="F461">
        <f>IF('01_Master_Data'!B461="","",'01_Master_Data'!E461)</f>
        <v/>
      </c>
      <c r="G461">
        <f>IF('01_Master_Data'!B461="","",IFERROR(VLOOKUP(TRIM('01_Master_Data'!E461&amp;""),'02_Configuration'!$A$40:$B$44,2,FALSE),UPPER(TRIM('01_Master_Data'!E461&amp;""))))</f>
        <v/>
      </c>
      <c r="H461">
        <f>IF('01_Master_Data'!B461="","",IF('01_Master_Data'!U461="","",TRIM('01_Master_Data'!U461&amp;"")))</f>
        <v/>
      </c>
      <c r="I461">
        <f>IF('01_Master_Data'!B461="","",TRIM('01_Master_Data'!F461&amp;""))</f>
        <v/>
      </c>
      <c r="J461">
        <f>IF('01_Master_Data'!B461="","",TRIM('01_Master_Data'!G461&amp;""))</f>
        <v/>
      </c>
      <c r="K461">
        <f>IF('01_Master_Data'!B461="","",'01_Master_Data'!H461)</f>
        <v/>
      </c>
      <c r="L461">
        <f>IF('01_Master_Data'!B461="","",IF(LOWER(TRIM('01_Master_Data'!V461&amp;""))="yes",1,0))</f>
        <v/>
      </c>
      <c r="M461">
        <f>IF('01_Master_Data'!B461="","",IF(LOWER(TRIM('01_Master_Data'!W461&amp;""))="yes",1,0))</f>
        <v/>
      </c>
      <c r="N461">
        <f>IF('01_Master_Data'!B461="","",IF(LOWER(TRIM('01_Master_Data'!X461&amp;""))="yes",1,0))</f>
        <v/>
      </c>
      <c r="O461">
        <f>IF('01_Master_Data'!B461="","",IF(LOWER(TRIM('01_Master_Data'!Y461&amp;""))="yes",1,0))</f>
        <v/>
      </c>
      <c r="P461">
        <f>IF('01_Master_Data'!B461="","",IF(LOWER(TRIM('01_Master_Data'!Z461&amp;""))="yes",1,0))</f>
        <v/>
      </c>
      <c r="Q461">
        <f>IF(A461="","",L461+M461+N461+O461+P461)</f>
        <v/>
      </c>
      <c r="R461">
        <f>IF(A461="","",IF(Q461&gt;1,"Yes","No"))</f>
        <v/>
      </c>
      <c r="S461">
        <f>IF(A461="","",TEXTJOIN(", ",TRUE,IF(L461=1,"ICICI",""),IF(M461=1,"Propelld",""),IF(N461=1,"Study4Buddy",""),IF(O461=1,"Poonawala Fincorp",""),IF(P461=1,"GyanDhan","")))</f>
        <v/>
      </c>
      <c r="T461">
        <f>IF(A461="","",IF(L461=1,"ICICI",IF(M461=1,"Propelld",IF(P461=1,"GyanDhan",IF(N461=1,"Study4Buddy",IF(O461=1,"Poonawala Fincorp",IF(ISNUMBER(SEARCH("GyanDhan",W461&amp;"")),"GyanDhan",IF(ISNUMBER(SEARCH("Icici",W461&amp;"")),"ICICI",IF(ISNUMBER(SEARCH("Propelld",W461&amp;"")),"Propelld",IF(ISNUMBER(SEARCH("vidyalakshmi",LOWER(W461&amp;"")),"PM Vidyalakshmi","—"))))))))))</f>
        <v/>
      </c>
      <c r="U461">
        <f>IF(A461="","",TRIM('01_Master_Data'!AA461&amp;""))</f>
        <v/>
      </c>
      <c r="V461">
        <f>IF(A461="","",TRIM('01_Master_Data'!AG461&amp;""))</f>
        <v/>
      </c>
      <c r="W461">
        <f>IF(A461="","",TRIM('01_Master_Data'!AH461&amp;""))</f>
        <v/>
      </c>
      <c r="X461">
        <f>IF(A461="","",IF(OR(LOWER(H461)="refund",LOWER(U461)="refund case"),"Refund",IF(OR(LOWER(H461)="dnp",LOWER(U461)="dnp"),"DNP",IF(OR(LOWER(V461)="disbursed",ISNUMBER(SEARCH("Disbursed",W461&amp;""))),"Disbursed",IF(OR(LOWER(V461)="loan proccessed/accepted",ISNUMBER(SEARCH("sanctioned",LOWER(W461&amp;"")))),"Sanctioned",IF(OR(LOWER(V461)="rejected",ISNUMBER(SEARCH("Not eligbile",W461&amp;"")),ISNUMBER(SEARCH("Not eligible",W461&amp;""))),"Rejected",IF(ISNUMBER(SEARCH("Docs Pending",W461&amp;"")),"Documents Pending",IF(AND(LOWER(H461)="yes",LOWER(V461)="ongoing"),"Processing",IF(AND(LOWER(H461)="yes",Q461&gt;0,OR(V461="",LOWER(V461)="not even started")),"Vendor Assigned",IF(AND(LOWER(H461)="yes",LOWER(V461)="not even started"),"Need Loan",IF(LOWER(H461)="yes","Loan Started",IF(LOWER(H461)="not sure","Interested",IF(OR(LOWER(H461)="no",LOWER(V461)="not required"),"Not Required","Unclassified")))))))))))))</f>
        <v/>
      </c>
      <c r="Y461">
        <f>IF(A461="","",IF(OR(X461="Sanctioned",X461="Disbursed",X461="Approved"),"Approved",IF(X461="Rejected","Rejected",IF(OR(X461="Processing",X461="Documents Pending",X461="Vendor Assigned"),"In Progress",IF(X461="Need Loan","Pending Start","—"))))</f>
        <v/>
      </c>
      <c r="Z461">
        <f>IF(A461="","",IF(X461="Disbursed","Disbursed",IF(X461="Sanctioned","Sanctioned - Awaiting Disbursement","Not Disbursed")))</f>
        <v/>
      </c>
      <c r="AA461">
        <f>IF(A461="","",IF(LOWER(TRIM('01_Master_Data'!AI461&amp;""))="yes","Need FLDG",IF(LOWER(TRIM('01_Master_Data'!AK461&amp;""))="yes","Need Vidyalakshmi",IF(LOWER(TRIM('01_Master_Data'!AJ461&amp;""))="yes","Need Review",IF(LOWER(J461)="critical","Critical",IF(LOWER(U461)="risk","Risk Case",IF(X461="Refund","Refund","Normal")))))))</f>
        <v/>
      </c>
      <c r="AB461">
        <f>IF(A461="","",IF(OR(LOWER(J461)="critical",LOWER(TRIM('01_Master_Data'!AI461&amp;""))="yes",LOWER(TRIM('01_Master_Data'!AK461&amp;""))="yes",LOWER(U461)="risk"),"Yes","No"))</f>
        <v/>
      </c>
      <c r="AC461">
        <f>IF(A461="","",IF(LOWER(TRIM('01_Master_Data'!AI461&amp;""))="yes","Yes","No"))</f>
        <v/>
      </c>
      <c r="AD461">
        <f>IF(A461="","",IF(LOWER(TRIM('01_Master_Data'!AK461&amp;""))="yes","Yes","No"))</f>
        <v/>
      </c>
      <c r="AE461">
        <f>IF(A461="","",IF(LOWER(TRIM('01_Master_Data'!AJ461&amp;""))="yes","Yes","No"))</f>
        <v/>
      </c>
      <c r="AF461">
        <f>IF(A461="","",TRIM('01_Master_Data'!AL461&amp;""))</f>
        <v/>
      </c>
      <c r="AG461">
        <f>IF(A461="","",IF(AF461="","—",IF(ISNUMBER(SEARCH("DNP",AF461)),"Unreachable / DNP",IF(ISNUMBER(SEARCH("interest",LOWER(AF461))),"High Interest / Terms",IF(OR(ISNUMBER(SEARCH("eligib",LOWER(AF461))),ISNUMBER(SEARCH("income",LOWER(AF461)))),"Eligibility / Income",IF(OR(ISNUMBER(SEARCH("start",LOWER(AF461))),ISNUMBER(SEARCH("Newer",AF461)),ISNUMBER(SEARCH("Will start",AF461))),"Process Yet to Start",IF(ISNUMBER(SEARCH("sure",LOWER(AF461))),"Undecided",IF(OR(ISNUMBER(SEARCH("reject",LOWER(AF461))),ISNUMBER(SEARCH("SBI",AF461))),"Rejected Elsewhere",IF(ISNUMBER(SEARCH("call",LOWER(AF461))),"Bank Communication",IF(OR(ISNUMBER(SEARCH("father",LOWER(AF461))),ISNUMBER(SEARCH("sister",LOWER(AF461)))),"Family / Dependency","Other"))))))))))</f>
        <v/>
      </c>
      <c r="AH461">
        <f>IF(A461="","",'01_Master_Data'!AC461)</f>
        <v/>
      </c>
      <c r="AI461">
        <f>IF(A461="","",IF(OR(AH461="",NOT(ISNUMBER(AH461))),"",MAX(0,'02_Configuration'!$B$82-AH461)))</f>
        <v/>
      </c>
      <c r="AJ461">
        <f>IF(A461="","",IF(AI461="","Unknown",IF(AI461&lt;=3,"0–3 Days",IF(AI461&lt;=7,"4–7 Days",IF(AI461&lt;=15,"8–15 Days",IF(AI461&lt;=30,"16–30 Days","30+ Days"))))))</f>
        <v/>
      </c>
      <c r="AK461">
        <f>IF(A461="","",IF(LOWER(H461)="yes","Yes","No"))</f>
        <v/>
      </c>
      <c r="AL461">
        <f>IF(A461="","",'01_Master_Data'!T461)</f>
        <v/>
      </c>
      <c r="AM461">
        <f>IF(A461="","",'01_Master_Data'!S461)</f>
        <v/>
      </c>
      <c r="AN461">
        <f>IF(A461="","",'01_Master_Data'!I461)</f>
        <v/>
      </c>
      <c r="AO461">
        <f>IF(A461="","",'01_Master_Data'!M461)</f>
        <v/>
      </c>
      <c r="AP461">
        <f>IF(A461="","",IF(ISNUMBER(SEARCH("Icici",W461&amp;"")),1,0))</f>
        <v/>
      </c>
      <c r="AQ461">
        <f>IF(A461="","",IF(ISNUMBER(SEARCH("Propelld",W461&amp;"")),1,0))</f>
        <v/>
      </c>
      <c r="AR461">
        <f>IF(A461="","",IF(ISNUMBER(SEARCH("GyanDhan",W461&amp;"")),1,0))</f>
        <v/>
      </c>
      <c r="AS461">
        <f>IF(A461="","",IF(ISNUMBER(SEARCH("vidyalakshmi",LOWER(W461&amp;""))),1,0))</f>
        <v/>
      </c>
      <c r="AT461">
        <f>IF(A461="","",IF(ISNUMBER(SEARCH("other bank",LOWER(W461&amp;""))),1,0))</f>
        <v/>
      </c>
      <c r="AU461">
        <f>IF(A461="","",IF(ISNUMBER(SEARCH("sanctioned",LOWER(W461&amp;""))),1,0))</f>
        <v/>
      </c>
      <c r="AV461">
        <f>IF(A461="","",IF(ISNUMBER(SEARCH("Docs Pending",W461&amp;"")),1,0))</f>
        <v/>
      </c>
      <c r="AW461">
        <f>IF(A461="","",IF(OR(X461="Rejected",ISNUMBER(SEARCH("Not eligbile",W461&amp;""))),1,0))</f>
        <v/>
      </c>
    </row>
    <row r="462">
      <c r="A462">
        <f>IF('01_Master_Data'!B462="","",461)</f>
        <v/>
      </c>
      <c r="B462">
        <f>IF('01_Master_Data'!B462="","",IF('01_Master_Data'!C462&lt;&gt;"","MOB|"&amp;TEXT('01_Master_Data'!C462,"0"),IF('01_Master_Data'!D462&lt;&gt;"","PID|"&amp;TRIM('01_Master_Data'!D462&amp;""),"")))</f>
        <v/>
      </c>
      <c r="C462">
        <f>IF('01_Master_Data'!B462="","",'01_Master_Data'!B462)</f>
        <v/>
      </c>
      <c r="D462">
        <f>IF('01_Master_Data'!B462="","",'01_Master_Data'!C462)</f>
        <v/>
      </c>
      <c r="E462">
        <f>IF('01_Master_Data'!B462="","",'01_Master_Data'!D462)</f>
        <v/>
      </c>
      <c r="F462">
        <f>IF('01_Master_Data'!B462="","",'01_Master_Data'!E462)</f>
        <v/>
      </c>
      <c r="G462">
        <f>IF('01_Master_Data'!B462="","",IFERROR(VLOOKUP(TRIM('01_Master_Data'!E462&amp;""),'02_Configuration'!$A$40:$B$44,2,FALSE),UPPER(TRIM('01_Master_Data'!E462&amp;""))))</f>
        <v/>
      </c>
      <c r="H462">
        <f>IF('01_Master_Data'!B462="","",IF('01_Master_Data'!U462="","",TRIM('01_Master_Data'!U462&amp;"")))</f>
        <v/>
      </c>
      <c r="I462">
        <f>IF('01_Master_Data'!B462="","",TRIM('01_Master_Data'!F462&amp;""))</f>
        <v/>
      </c>
      <c r="J462">
        <f>IF('01_Master_Data'!B462="","",TRIM('01_Master_Data'!G462&amp;""))</f>
        <v/>
      </c>
      <c r="K462">
        <f>IF('01_Master_Data'!B462="","",'01_Master_Data'!H462)</f>
        <v/>
      </c>
      <c r="L462">
        <f>IF('01_Master_Data'!B462="","",IF(LOWER(TRIM('01_Master_Data'!V462&amp;""))="yes",1,0))</f>
        <v/>
      </c>
      <c r="M462">
        <f>IF('01_Master_Data'!B462="","",IF(LOWER(TRIM('01_Master_Data'!W462&amp;""))="yes",1,0))</f>
        <v/>
      </c>
      <c r="N462">
        <f>IF('01_Master_Data'!B462="","",IF(LOWER(TRIM('01_Master_Data'!X462&amp;""))="yes",1,0))</f>
        <v/>
      </c>
      <c r="O462">
        <f>IF('01_Master_Data'!B462="","",IF(LOWER(TRIM('01_Master_Data'!Y462&amp;""))="yes",1,0))</f>
        <v/>
      </c>
      <c r="P462">
        <f>IF('01_Master_Data'!B462="","",IF(LOWER(TRIM('01_Master_Data'!Z462&amp;""))="yes",1,0))</f>
        <v/>
      </c>
      <c r="Q462">
        <f>IF(A462="","",L462+M462+N462+O462+P462)</f>
        <v/>
      </c>
      <c r="R462">
        <f>IF(A462="","",IF(Q462&gt;1,"Yes","No"))</f>
        <v/>
      </c>
      <c r="S462">
        <f>IF(A462="","",TEXTJOIN(", ",TRUE,IF(L462=1,"ICICI",""),IF(M462=1,"Propelld",""),IF(N462=1,"Study4Buddy",""),IF(O462=1,"Poonawala Fincorp",""),IF(P462=1,"GyanDhan","")))</f>
        <v/>
      </c>
      <c r="T462">
        <f>IF(A462="","",IF(L462=1,"ICICI",IF(M462=1,"Propelld",IF(P462=1,"GyanDhan",IF(N462=1,"Study4Buddy",IF(O462=1,"Poonawala Fincorp",IF(ISNUMBER(SEARCH("GyanDhan",W462&amp;"")),"GyanDhan",IF(ISNUMBER(SEARCH("Icici",W462&amp;"")),"ICICI",IF(ISNUMBER(SEARCH("Propelld",W462&amp;"")),"Propelld",IF(ISNUMBER(SEARCH("vidyalakshmi",LOWER(W462&amp;"")),"PM Vidyalakshmi","—"))))))))))</f>
        <v/>
      </c>
      <c r="U462">
        <f>IF(A462="","",TRIM('01_Master_Data'!AA462&amp;""))</f>
        <v/>
      </c>
      <c r="V462">
        <f>IF(A462="","",TRIM('01_Master_Data'!AG462&amp;""))</f>
        <v/>
      </c>
      <c r="W462">
        <f>IF(A462="","",TRIM('01_Master_Data'!AH462&amp;""))</f>
        <v/>
      </c>
      <c r="X462">
        <f>IF(A462="","",IF(OR(LOWER(H462)="refund",LOWER(U462)="refund case"),"Refund",IF(OR(LOWER(H462)="dnp",LOWER(U462)="dnp"),"DNP",IF(OR(LOWER(V462)="disbursed",ISNUMBER(SEARCH("Disbursed",W462&amp;""))),"Disbursed",IF(OR(LOWER(V462)="loan proccessed/accepted",ISNUMBER(SEARCH("sanctioned",LOWER(W462&amp;"")))),"Sanctioned",IF(OR(LOWER(V462)="rejected",ISNUMBER(SEARCH("Not eligbile",W462&amp;"")),ISNUMBER(SEARCH("Not eligible",W462&amp;""))),"Rejected",IF(ISNUMBER(SEARCH("Docs Pending",W462&amp;"")),"Documents Pending",IF(AND(LOWER(H462)="yes",LOWER(V462)="ongoing"),"Processing",IF(AND(LOWER(H462)="yes",Q462&gt;0,OR(V462="",LOWER(V462)="not even started")),"Vendor Assigned",IF(AND(LOWER(H462)="yes",LOWER(V462)="not even started"),"Need Loan",IF(LOWER(H462)="yes","Loan Started",IF(LOWER(H462)="not sure","Interested",IF(OR(LOWER(H462)="no",LOWER(V462)="not required"),"Not Required","Unclassified")))))))))))))</f>
        <v/>
      </c>
      <c r="Y462">
        <f>IF(A462="","",IF(OR(X462="Sanctioned",X462="Disbursed",X462="Approved"),"Approved",IF(X462="Rejected","Rejected",IF(OR(X462="Processing",X462="Documents Pending",X462="Vendor Assigned"),"In Progress",IF(X462="Need Loan","Pending Start","—"))))</f>
        <v/>
      </c>
      <c r="Z462">
        <f>IF(A462="","",IF(X462="Disbursed","Disbursed",IF(X462="Sanctioned","Sanctioned - Awaiting Disbursement","Not Disbursed")))</f>
        <v/>
      </c>
      <c r="AA462">
        <f>IF(A462="","",IF(LOWER(TRIM('01_Master_Data'!AI462&amp;""))="yes","Need FLDG",IF(LOWER(TRIM('01_Master_Data'!AK462&amp;""))="yes","Need Vidyalakshmi",IF(LOWER(TRIM('01_Master_Data'!AJ462&amp;""))="yes","Need Review",IF(LOWER(J462)="critical","Critical",IF(LOWER(U462)="risk","Risk Case",IF(X462="Refund","Refund","Normal")))))))</f>
        <v/>
      </c>
      <c r="AB462">
        <f>IF(A462="","",IF(OR(LOWER(J462)="critical",LOWER(TRIM('01_Master_Data'!AI462&amp;""))="yes",LOWER(TRIM('01_Master_Data'!AK462&amp;""))="yes",LOWER(U462)="risk"),"Yes","No"))</f>
        <v/>
      </c>
      <c r="AC462">
        <f>IF(A462="","",IF(LOWER(TRIM('01_Master_Data'!AI462&amp;""))="yes","Yes","No"))</f>
        <v/>
      </c>
      <c r="AD462">
        <f>IF(A462="","",IF(LOWER(TRIM('01_Master_Data'!AK462&amp;""))="yes","Yes","No"))</f>
        <v/>
      </c>
      <c r="AE462">
        <f>IF(A462="","",IF(LOWER(TRIM('01_Master_Data'!AJ462&amp;""))="yes","Yes","No"))</f>
        <v/>
      </c>
      <c r="AF462">
        <f>IF(A462="","",TRIM('01_Master_Data'!AL462&amp;""))</f>
        <v/>
      </c>
      <c r="AG462">
        <f>IF(A462="","",IF(AF462="","—",IF(ISNUMBER(SEARCH("DNP",AF462)),"Unreachable / DNP",IF(ISNUMBER(SEARCH("interest",LOWER(AF462))),"High Interest / Terms",IF(OR(ISNUMBER(SEARCH("eligib",LOWER(AF462))),ISNUMBER(SEARCH("income",LOWER(AF462)))),"Eligibility / Income",IF(OR(ISNUMBER(SEARCH("start",LOWER(AF462))),ISNUMBER(SEARCH("Newer",AF462)),ISNUMBER(SEARCH("Will start",AF462))),"Process Yet to Start",IF(ISNUMBER(SEARCH("sure",LOWER(AF462))),"Undecided",IF(OR(ISNUMBER(SEARCH("reject",LOWER(AF462))),ISNUMBER(SEARCH("SBI",AF462))),"Rejected Elsewhere",IF(ISNUMBER(SEARCH("call",LOWER(AF462))),"Bank Communication",IF(OR(ISNUMBER(SEARCH("father",LOWER(AF462))),ISNUMBER(SEARCH("sister",LOWER(AF462)))),"Family / Dependency","Other"))))))))))</f>
        <v/>
      </c>
      <c r="AH462">
        <f>IF(A462="","",'01_Master_Data'!AC462)</f>
        <v/>
      </c>
      <c r="AI462">
        <f>IF(A462="","",IF(OR(AH462="",NOT(ISNUMBER(AH462))),"",MAX(0,'02_Configuration'!$B$82-AH462)))</f>
        <v/>
      </c>
      <c r="AJ462">
        <f>IF(A462="","",IF(AI462="","Unknown",IF(AI462&lt;=3,"0–3 Days",IF(AI462&lt;=7,"4–7 Days",IF(AI462&lt;=15,"8–15 Days",IF(AI462&lt;=30,"16–30 Days","30+ Days"))))))</f>
        <v/>
      </c>
      <c r="AK462">
        <f>IF(A462="","",IF(LOWER(H462)="yes","Yes","No"))</f>
        <v/>
      </c>
      <c r="AL462">
        <f>IF(A462="","",'01_Master_Data'!T462)</f>
        <v/>
      </c>
      <c r="AM462">
        <f>IF(A462="","",'01_Master_Data'!S462)</f>
        <v/>
      </c>
      <c r="AN462">
        <f>IF(A462="","",'01_Master_Data'!I462)</f>
        <v/>
      </c>
      <c r="AO462">
        <f>IF(A462="","",'01_Master_Data'!M462)</f>
        <v/>
      </c>
      <c r="AP462">
        <f>IF(A462="","",IF(ISNUMBER(SEARCH("Icici",W462&amp;"")),1,0))</f>
        <v/>
      </c>
      <c r="AQ462">
        <f>IF(A462="","",IF(ISNUMBER(SEARCH("Propelld",W462&amp;"")),1,0))</f>
        <v/>
      </c>
      <c r="AR462">
        <f>IF(A462="","",IF(ISNUMBER(SEARCH("GyanDhan",W462&amp;"")),1,0))</f>
        <v/>
      </c>
      <c r="AS462">
        <f>IF(A462="","",IF(ISNUMBER(SEARCH("vidyalakshmi",LOWER(W462&amp;""))),1,0))</f>
        <v/>
      </c>
      <c r="AT462">
        <f>IF(A462="","",IF(ISNUMBER(SEARCH("other bank",LOWER(W462&amp;""))),1,0))</f>
        <v/>
      </c>
      <c r="AU462">
        <f>IF(A462="","",IF(ISNUMBER(SEARCH("sanctioned",LOWER(W462&amp;""))),1,0))</f>
        <v/>
      </c>
      <c r="AV462">
        <f>IF(A462="","",IF(ISNUMBER(SEARCH("Docs Pending",W462&amp;"")),1,0))</f>
        <v/>
      </c>
      <c r="AW462">
        <f>IF(A462="","",IF(OR(X462="Rejected",ISNUMBER(SEARCH("Not eligbile",W462&amp;""))),1,0))</f>
        <v/>
      </c>
    </row>
    <row r="463">
      <c r="A463">
        <f>IF('01_Master_Data'!B463="","",462)</f>
        <v/>
      </c>
      <c r="B463">
        <f>IF('01_Master_Data'!B463="","",IF('01_Master_Data'!C463&lt;&gt;"","MOB|"&amp;TEXT('01_Master_Data'!C463,"0"),IF('01_Master_Data'!D463&lt;&gt;"","PID|"&amp;TRIM('01_Master_Data'!D463&amp;""),"")))</f>
        <v/>
      </c>
      <c r="C463">
        <f>IF('01_Master_Data'!B463="","",'01_Master_Data'!B463)</f>
        <v/>
      </c>
      <c r="D463">
        <f>IF('01_Master_Data'!B463="","",'01_Master_Data'!C463)</f>
        <v/>
      </c>
      <c r="E463">
        <f>IF('01_Master_Data'!B463="","",'01_Master_Data'!D463)</f>
        <v/>
      </c>
      <c r="F463">
        <f>IF('01_Master_Data'!B463="","",'01_Master_Data'!E463)</f>
        <v/>
      </c>
      <c r="G463">
        <f>IF('01_Master_Data'!B463="","",IFERROR(VLOOKUP(TRIM('01_Master_Data'!E463&amp;""),'02_Configuration'!$A$40:$B$44,2,FALSE),UPPER(TRIM('01_Master_Data'!E463&amp;""))))</f>
        <v/>
      </c>
      <c r="H463">
        <f>IF('01_Master_Data'!B463="","",IF('01_Master_Data'!U463="","",TRIM('01_Master_Data'!U463&amp;"")))</f>
        <v/>
      </c>
      <c r="I463">
        <f>IF('01_Master_Data'!B463="","",TRIM('01_Master_Data'!F463&amp;""))</f>
        <v/>
      </c>
      <c r="J463">
        <f>IF('01_Master_Data'!B463="","",TRIM('01_Master_Data'!G463&amp;""))</f>
        <v/>
      </c>
      <c r="K463">
        <f>IF('01_Master_Data'!B463="","",'01_Master_Data'!H463)</f>
        <v/>
      </c>
      <c r="L463">
        <f>IF('01_Master_Data'!B463="","",IF(LOWER(TRIM('01_Master_Data'!V463&amp;""))="yes",1,0))</f>
        <v/>
      </c>
      <c r="M463">
        <f>IF('01_Master_Data'!B463="","",IF(LOWER(TRIM('01_Master_Data'!W463&amp;""))="yes",1,0))</f>
        <v/>
      </c>
      <c r="N463">
        <f>IF('01_Master_Data'!B463="","",IF(LOWER(TRIM('01_Master_Data'!X463&amp;""))="yes",1,0))</f>
        <v/>
      </c>
      <c r="O463">
        <f>IF('01_Master_Data'!B463="","",IF(LOWER(TRIM('01_Master_Data'!Y463&amp;""))="yes",1,0))</f>
        <v/>
      </c>
      <c r="P463">
        <f>IF('01_Master_Data'!B463="","",IF(LOWER(TRIM('01_Master_Data'!Z463&amp;""))="yes",1,0))</f>
        <v/>
      </c>
      <c r="Q463">
        <f>IF(A463="","",L463+M463+N463+O463+P463)</f>
        <v/>
      </c>
      <c r="R463">
        <f>IF(A463="","",IF(Q463&gt;1,"Yes","No"))</f>
        <v/>
      </c>
      <c r="S463">
        <f>IF(A463="","",TEXTJOIN(", ",TRUE,IF(L463=1,"ICICI",""),IF(M463=1,"Propelld",""),IF(N463=1,"Study4Buddy",""),IF(O463=1,"Poonawala Fincorp",""),IF(P463=1,"GyanDhan","")))</f>
        <v/>
      </c>
      <c r="T463">
        <f>IF(A463="","",IF(L463=1,"ICICI",IF(M463=1,"Propelld",IF(P463=1,"GyanDhan",IF(N463=1,"Study4Buddy",IF(O463=1,"Poonawala Fincorp",IF(ISNUMBER(SEARCH("GyanDhan",W463&amp;"")),"GyanDhan",IF(ISNUMBER(SEARCH("Icici",W463&amp;"")),"ICICI",IF(ISNUMBER(SEARCH("Propelld",W463&amp;"")),"Propelld",IF(ISNUMBER(SEARCH("vidyalakshmi",LOWER(W463&amp;"")),"PM Vidyalakshmi","—"))))))))))</f>
        <v/>
      </c>
      <c r="U463">
        <f>IF(A463="","",TRIM('01_Master_Data'!AA463&amp;""))</f>
        <v/>
      </c>
      <c r="V463">
        <f>IF(A463="","",TRIM('01_Master_Data'!AG463&amp;""))</f>
        <v/>
      </c>
      <c r="W463">
        <f>IF(A463="","",TRIM('01_Master_Data'!AH463&amp;""))</f>
        <v/>
      </c>
      <c r="X463">
        <f>IF(A463="","",IF(OR(LOWER(H463)="refund",LOWER(U463)="refund case"),"Refund",IF(OR(LOWER(H463)="dnp",LOWER(U463)="dnp"),"DNP",IF(OR(LOWER(V463)="disbursed",ISNUMBER(SEARCH("Disbursed",W463&amp;""))),"Disbursed",IF(OR(LOWER(V463)="loan proccessed/accepted",ISNUMBER(SEARCH("sanctioned",LOWER(W463&amp;"")))),"Sanctioned",IF(OR(LOWER(V463)="rejected",ISNUMBER(SEARCH("Not eligbile",W463&amp;"")),ISNUMBER(SEARCH("Not eligible",W463&amp;""))),"Rejected",IF(ISNUMBER(SEARCH("Docs Pending",W463&amp;"")),"Documents Pending",IF(AND(LOWER(H463)="yes",LOWER(V463)="ongoing"),"Processing",IF(AND(LOWER(H463)="yes",Q463&gt;0,OR(V463="",LOWER(V463)="not even started")),"Vendor Assigned",IF(AND(LOWER(H463)="yes",LOWER(V463)="not even started"),"Need Loan",IF(LOWER(H463)="yes","Loan Started",IF(LOWER(H463)="not sure","Interested",IF(OR(LOWER(H463)="no",LOWER(V463)="not required"),"Not Required","Unclassified")))))))))))))</f>
        <v/>
      </c>
      <c r="Y463">
        <f>IF(A463="","",IF(OR(X463="Sanctioned",X463="Disbursed",X463="Approved"),"Approved",IF(X463="Rejected","Rejected",IF(OR(X463="Processing",X463="Documents Pending",X463="Vendor Assigned"),"In Progress",IF(X463="Need Loan","Pending Start","—"))))</f>
        <v/>
      </c>
      <c r="Z463">
        <f>IF(A463="","",IF(X463="Disbursed","Disbursed",IF(X463="Sanctioned","Sanctioned - Awaiting Disbursement","Not Disbursed")))</f>
        <v/>
      </c>
      <c r="AA463">
        <f>IF(A463="","",IF(LOWER(TRIM('01_Master_Data'!AI463&amp;""))="yes","Need FLDG",IF(LOWER(TRIM('01_Master_Data'!AK463&amp;""))="yes","Need Vidyalakshmi",IF(LOWER(TRIM('01_Master_Data'!AJ463&amp;""))="yes","Need Review",IF(LOWER(J463)="critical","Critical",IF(LOWER(U463)="risk","Risk Case",IF(X463="Refund","Refund","Normal")))))))</f>
        <v/>
      </c>
      <c r="AB463">
        <f>IF(A463="","",IF(OR(LOWER(J463)="critical",LOWER(TRIM('01_Master_Data'!AI463&amp;""))="yes",LOWER(TRIM('01_Master_Data'!AK463&amp;""))="yes",LOWER(U463)="risk"),"Yes","No"))</f>
        <v/>
      </c>
      <c r="AC463">
        <f>IF(A463="","",IF(LOWER(TRIM('01_Master_Data'!AI463&amp;""))="yes","Yes","No"))</f>
        <v/>
      </c>
      <c r="AD463">
        <f>IF(A463="","",IF(LOWER(TRIM('01_Master_Data'!AK463&amp;""))="yes","Yes","No"))</f>
        <v/>
      </c>
      <c r="AE463">
        <f>IF(A463="","",IF(LOWER(TRIM('01_Master_Data'!AJ463&amp;""))="yes","Yes","No"))</f>
        <v/>
      </c>
      <c r="AF463">
        <f>IF(A463="","",TRIM('01_Master_Data'!AL463&amp;""))</f>
        <v/>
      </c>
      <c r="AG463">
        <f>IF(A463="","",IF(AF463="","—",IF(ISNUMBER(SEARCH("DNP",AF463)),"Unreachable / DNP",IF(ISNUMBER(SEARCH("interest",LOWER(AF463))),"High Interest / Terms",IF(OR(ISNUMBER(SEARCH("eligib",LOWER(AF463))),ISNUMBER(SEARCH("income",LOWER(AF463)))),"Eligibility / Income",IF(OR(ISNUMBER(SEARCH("start",LOWER(AF463))),ISNUMBER(SEARCH("Newer",AF463)),ISNUMBER(SEARCH("Will start",AF463))),"Process Yet to Start",IF(ISNUMBER(SEARCH("sure",LOWER(AF463))),"Undecided",IF(OR(ISNUMBER(SEARCH("reject",LOWER(AF463))),ISNUMBER(SEARCH("SBI",AF463))),"Rejected Elsewhere",IF(ISNUMBER(SEARCH("call",LOWER(AF463))),"Bank Communication",IF(OR(ISNUMBER(SEARCH("father",LOWER(AF463))),ISNUMBER(SEARCH("sister",LOWER(AF463)))),"Family / Dependency","Other"))))))))))</f>
        <v/>
      </c>
      <c r="AH463">
        <f>IF(A463="","",'01_Master_Data'!AC463)</f>
        <v/>
      </c>
      <c r="AI463">
        <f>IF(A463="","",IF(OR(AH463="",NOT(ISNUMBER(AH463))),"",MAX(0,'02_Configuration'!$B$82-AH463)))</f>
        <v/>
      </c>
      <c r="AJ463">
        <f>IF(A463="","",IF(AI463="","Unknown",IF(AI463&lt;=3,"0–3 Days",IF(AI463&lt;=7,"4–7 Days",IF(AI463&lt;=15,"8–15 Days",IF(AI463&lt;=30,"16–30 Days","30+ Days"))))))</f>
        <v/>
      </c>
      <c r="AK463">
        <f>IF(A463="","",IF(LOWER(H463)="yes","Yes","No"))</f>
        <v/>
      </c>
      <c r="AL463">
        <f>IF(A463="","",'01_Master_Data'!T463)</f>
        <v/>
      </c>
      <c r="AM463">
        <f>IF(A463="","",'01_Master_Data'!S463)</f>
        <v/>
      </c>
      <c r="AN463">
        <f>IF(A463="","",'01_Master_Data'!I463)</f>
        <v/>
      </c>
      <c r="AO463">
        <f>IF(A463="","",'01_Master_Data'!M463)</f>
        <v/>
      </c>
      <c r="AP463">
        <f>IF(A463="","",IF(ISNUMBER(SEARCH("Icici",W463&amp;"")),1,0))</f>
        <v/>
      </c>
      <c r="AQ463">
        <f>IF(A463="","",IF(ISNUMBER(SEARCH("Propelld",W463&amp;"")),1,0))</f>
        <v/>
      </c>
      <c r="AR463">
        <f>IF(A463="","",IF(ISNUMBER(SEARCH("GyanDhan",W463&amp;"")),1,0))</f>
        <v/>
      </c>
      <c r="AS463">
        <f>IF(A463="","",IF(ISNUMBER(SEARCH("vidyalakshmi",LOWER(W463&amp;""))),1,0))</f>
        <v/>
      </c>
      <c r="AT463">
        <f>IF(A463="","",IF(ISNUMBER(SEARCH("other bank",LOWER(W463&amp;""))),1,0))</f>
        <v/>
      </c>
      <c r="AU463">
        <f>IF(A463="","",IF(ISNUMBER(SEARCH("sanctioned",LOWER(W463&amp;""))),1,0))</f>
        <v/>
      </c>
      <c r="AV463">
        <f>IF(A463="","",IF(ISNUMBER(SEARCH("Docs Pending",W463&amp;"")),1,0))</f>
        <v/>
      </c>
      <c r="AW463">
        <f>IF(A463="","",IF(OR(X463="Rejected",ISNUMBER(SEARCH("Not eligbile",W463&amp;""))),1,0))</f>
        <v/>
      </c>
    </row>
    <row r="464">
      <c r="A464">
        <f>IF('01_Master_Data'!B464="","",463)</f>
        <v/>
      </c>
      <c r="B464">
        <f>IF('01_Master_Data'!B464="","",IF('01_Master_Data'!C464&lt;&gt;"","MOB|"&amp;TEXT('01_Master_Data'!C464,"0"),IF('01_Master_Data'!D464&lt;&gt;"","PID|"&amp;TRIM('01_Master_Data'!D464&amp;""),"")))</f>
        <v/>
      </c>
      <c r="C464">
        <f>IF('01_Master_Data'!B464="","",'01_Master_Data'!B464)</f>
        <v/>
      </c>
      <c r="D464">
        <f>IF('01_Master_Data'!B464="","",'01_Master_Data'!C464)</f>
        <v/>
      </c>
      <c r="E464">
        <f>IF('01_Master_Data'!B464="","",'01_Master_Data'!D464)</f>
        <v/>
      </c>
      <c r="F464">
        <f>IF('01_Master_Data'!B464="","",'01_Master_Data'!E464)</f>
        <v/>
      </c>
      <c r="G464">
        <f>IF('01_Master_Data'!B464="","",IFERROR(VLOOKUP(TRIM('01_Master_Data'!E464&amp;""),'02_Configuration'!$A$40:$B$44,2,FALSE),UPPER(TRIM('01_Master_Data'!E464&amp;""))))</f>
        <v/>
      </c>
      <c r="H464">
        <f>IF('01_Master_Data'!B464="","",IF('01_Master_Data'!U464="","",TRIM('01_Master_Data'!U464&amp;"")))</f>
        <v/>
      </c>
      <c r="I464">
        <f>IF('01_Master_Data'!B464="","",TRIM('01_Master_Data'!F464&amp;""))</f>
        <v/>
      </c>
      <c r="J464">
        <f>IF('01_Master_Data'!B464="","",TRIM('01_Master_Data'!G464&amp;""))</f>
        <v/>
      </c>
      <c r="K464">
        <f>IF('01_Master_Data'!B464="","",'01_Master_Data'!H464)</f>
        <v/>
      </c>
      <c r="L464">
        <f>IF('01_Master_Data'!B464="","",IF(LOWER(TRIM('01_Master_Data'!V464&amp;""))="yes",1,0))</f>
        <v/>
      </c>
      <c r="M464">
        <f>IF('01_Master_Data'!B464="","",IF(LOWER(TRIM('01_Master_Data'!W464&amp;""))="yes",1,0))</f>
        <v/>
      </c>
      <c r="N464">
        <f>IF('01_Master_Data'!B464="","",IF(LOWER(TRIM('01_Master_Data'!X464&amp;""))="yes",1,0))</f>
        <v/>
      </c>
      <c r="O464">
        <f>IF('01_Master_Data'!B464="","",IF(LOWER(TRIM('01_Master_Data'!Y464&amp;""))="yes",1,0))</f>
        <v/>
      </c>
      <c r="P464">
        <f>IF('01_Master_Data'!B464="","",IF(LOWER(TRIM('01_Master_Data'!Z464&amp;""))="yes",1,0))</f>
        <v/>
      </c>
      <c r="Q464">
        <f>IF(A464="","",L464+M464+N464+O464+P464)</f>
        <v/>
      </c>
      <c r="R464">
        <f>IF(A464="","",IF(Q464&gt;1,"Yes","No"))</f>
        <v/>
      </c>
      <c r="S464">
        <f>IF(A464="","",TEXTJOIN(", ",TRUE,IF(L464=1,"ICICI",""),IF(M464=1,"Propelld",""),IF(N464=1,"Study4Buddy",""),IF(O464=1,"Poonawala Fincorp",""),IF(P464=1,"GyanDhan","")))</f>
        <v/>
      </c>
      <c r="T464">
        <f>IF(A464="","",IF(L464=1,"ICICI",IF(M464=1,"Propelld",IF(P464=1,"GyanDhan",IF(N464=1,"Study4Buddy",IF(O464=1,"Poonawala Fincorp",IF(ISNUMBER(SEARCH("GyanDhan",W464&amp;"")),"GyanDhan",IF(ISNUMBER(SEARCH("Icici",W464&amp;"")),"ICICI",IF(ISNUMBER(SEARCH("Propelld",W464&amp;"")),"Propelld",IF(ISNUMBER(SEARCH("vidyalakshmi",LOWER(W464&amp;"")),"PM Vidyalakshmi","—"))))))))))</f>
        <v/>
      </c>
      <c r="U464">
        <f>IF(A464="","",TRIM('01_Master_Data'!AA464&amp;""))</f>
        <v/>
      </c>
      <c r="V464">
        <f>IF(A464="","",TRIM('01_Master_Data'!AG464&amp;""))</f>
        <v/>
      </c>
      <c r="W464">
        <f>IF(A464="","",TRIM('01_Master_Data'!AH464&amp;""))</f>
        <v/>
      </c>
      <c r="X464">
        <f>IF(A464="","",IF(OR(LOWER(H464)="refund",LOWER(U464)="refund case"),"Refund",IF(OR(LOWER(H464)="dnp",LOWER(U464)="dnp"),"DNP",IF(OR(LOWER(V464)="disbursed",ISNUMBER(SEARCH("Disbursed",W464&amp;""))),"Disbursed",IF(OR(LOWER(V464)="loan proccessed/accepted",ISNUMBER(SEARCH("sanctioned",LOWER(W464&amp;"")))),"Sanctioned",IF(OR(LOWER(V464)="rejected",ISNUMBER(SEARCH("Not eligbile",W464&amp;"")),ISNUMBER(SEARCH("Not eligible",W464&amp;""))),"Rejected",IF(ISNUMBER(SEARCH("Docs Pending",W464&amp;"")),"Documents Pending",IF(AND(LOWER(H464)="yes",LOWER(V464)="ongoing"),"Processing",IF(AND(LOWER(H464)="yes",Q464&gt;0,OR(V464="",LOWER(V464)="not even started")),"Vendor Assigned",IF(AND(LOWER(H464)="yes",LOWER(V464)="not even started"),"Need Loan",IF(LOWER(H464)="yes","Loan Started",IF(LOWER(H464)="not sure","Interested",IF(OR(LOWER(H464)="no",LOWER(V464)="not required"),"Not Required","Unclassified")))))))))))))</f>
        <v/>
      </c>
      <c r="Y464">
        <f>IF(A464="","",IF(OR(X464="Sanctioned",X464="Disbursed",X464="Approved"),"Approved",IF(X464="Rejected","Rejected",IF(OR(X464="Processing",X464="Documents Pending",X464="Vendor Assigned"),"In Progress",IF(X464="Need Loan","Pending Start","—"))))</f>
        <v/>
      </c>
      <c r="Z464">
        <f>IF(A464="","",IF(X464="Disbursed","Disbursed",IF(X464="Sanctioned","Sanctioned - Awaiting Disbursement","Not Disbursed")))</f>
        <v/>
      </c>
      <c r="AA464">
        <f>IF(A464="","",IF(LOWER(TRIM('01_Master_Data'!AI464&amp;""))="yes","Need FLDG",IF(LOWER(TRIM('01_Master_Data'!AK464&amp;""))="yes","Need Vidyalakshmi",IF(LOWER(TRIM('01_Master_Data'!AJ464&amp;""))="yes","Need Review",IF(LOWER(J464)="critical","Critical",IF(LOWER(U464)="risk","Risk Case",IF(X464="Refund","Refund","Normal")))))))</f>
        <v/>
      </c>
      <c r="AB464">
        <f>IF(A464="","",IF(OR(LOWER(J464)="critical",LOWER(TRIM('01_Master_Data'!AI464&amp;""))="yes",LOWER(TRIM('01_Master_Data'!AK464&amp;""))="yes",LOWER(U464)="risk"),"Yes","No"))</f>
        <v/>
      </c>
      <c r="AC464">
        <f>IF(A464="","",IF(LOWER(TRIM('01_Master_Data'!AI464&amp;""))="yes","Yes","No"))</f>
        <v/>
      </c>
      <c r="AD464">
        <f>IF(A464="","",IF(LOWER(TRIM('01_Master_Data'!AK464&amp;""))="yes","Yes","No"))</f>
        <v/>
      </c>
      <c r="AE464">
        <f>IF(A464="","",IF(LOWER(TRIM('01_Master_Data'!AJ464&amp;""))="yes","Yes","No"))</f>
        <v/>
      </c>
      <c r="AF464">
        <f>IF(A464="","",TRIM('01_Master_Data'!AL464&amp;""))</f>
        <v/>
      </c>
      <c r="AG464">
        <f>IF(A464="","",IF(AF464="","—",IF(ISNUMBER(SEARCH("DNP",AF464)),"Unreachable / DNP",IF(ISNUMBER(SEARCH("interest",LOWER(AF464))),"High Interest / Terms",IF(OR(ISNUMBER(SEARCH("eligib",LOWER(AF464))),ISNUMBER(SEARCH("income",LOWER(AF464)))),"Eligibility / Income",IF(OR(ISNUMBER(SEARCH("start",LOWER(AF464))),ISNUMBER(SEARCH("Newer",AF464)),ISNUMBER(SEARCH("Will start",AF464))),"Process Yet to Start",IF(ISNUMBER(SEARCH("sure",LOWER(AF464))),"Undecided",IF(OR(ISNUMBER(SEARCH("reject",LOWER(AF464))),ISNUMBER(SEARCH("SBI",AF464))),"Rejected Elsewhere",IF(ISNUMBER(SEARCH("call",LOWER(AF464))),"Bank Communication",IF(OR(ISNUMBER(SEARCH("father",LOWER(AF464))),ISNUMBER(SEARCH("sister",LOWER(AF464)))),"Family / Dependency","Other"))))))))))</f>
        <v/>
      </c>
      <c r="AH464">
        <f>IF(A464="","",'01_Master_Data'!AC464)</f>
        <v/>
      </c>
      <c r="AI464">
        <f>IF(A464="","",IF(OR(AH464="",NOT(ISNUMBER(AH464))),"",MAX(0,'02_Configuration'!$B$82-AH464)))</f>
        <v/>
      </c>
      <c r="AJ464">
        <f>IF(A464="","",IF(AI464="","Unknown",IF(AI464&lt;=3,"0–3 Days",IF(AI464&lt;=7,"4–7 Days",IF(AI464&lt;=15,"8–15 Days",IF(AI464&lt;=30,"16–30 Days","30+ Days"))))))</f>
        <v/>
      </c>
      <c r="AK464">
        <f>IF(A464="","",IF(LOWER(H464)="yes","Yes","No"))</f>
        <v/>
      </c>
      <c r="AL464">
        <f>IF(A464="","",'01_Master_Data'!T464)</f>
        <v/>
      </c>
      <c r="AM464">
        <f>IF(A464="","",'01_Master_Data'!S464)</f>
        <v/>
      </c>
      <c r="AN464">
        <f>IF(A464="","",'01_Master_Data'!I464)</f>
        <v/>
      </c>
      <c r="AO464">
        <f>IF(A464="","",'01_Master_Data'!M464)</f>
        <v/>
      </c>
      <c r="AP464">
        <f>IF(A464="","",IF(ISNUMBER(SEARCH("Icici",W464&amp;"")),1,0))</f>
        <v/>
      </c>
      <c r="AQ464">
        <f>IF(A464="","",IF(ISNUMBER(SEARCH("Propelld",W464&amp;"")),1,0))</f>
        <v/>
      </c>
      <c r="AR464">
        <f>IF(A464="","",IF(ISNUMBER(SEARCH("GyanDhan",W464&amp;"")),1,0))</f>
        <v/>
      </c>
      <c r="AS464">
        <f>IF(A464="","",IF(ISNUMBER(SEARCH("vidyalakshmi",LOWER(W464&amp;""))),1,0))</f>
        <v/>
      </c>
      <c r="AT464">
        <f>IF(A464="","",IF(ISNUMBER(SEARCH("other bank",LOWER(W464&amp;""))),1,0))</f>
        <v/>
      </c>
      <c r="AU464">
        <f>IF(A464="","",IF(ISNUMBER(SEARCH("sanctioned",LOWER(W464&amp;""))),1,0))</f>
        <v/>
      </c>
      <c r="AV464">
        <f>IF(A464="","",IF(ISNUMBER(SEARCH("Docs Pending",W464&amp;"")),1,0))</f>
        <v/>
      </c>
      <c r="AW464">
        <f>IF(A464="","",IF(OR(X464="Rejected",ISNUMBER(SEARCH("Not eligbile",W464&amp;""))),1,0))</f>
        <v/>
      </c>
    </row>
    <row r="465">
      <c r="A465">
        <f>IF('01_Master_Data'!B465="","",464)</f>
        <v/>
      </c>
      <c r="B465">
        <f>IF('01_Master_Data'!B465="","",IF('01_Master_Data'!C465&lt;&gt;"","MOB|"&amp;TEXT('01_Master_Data'!C465,"0"),IF('01_Master_Data'!D465&lt;&gt;"","PID|"&amp;TRIM('01_Master_Data'!D465&amp;""),"")))</f>
        <v/>
      </c>
      <c r="C465">
        <f>IF('01_Master_Data'!B465="","",'01_Master_Data'!B465)</f>
        <v/>
      </c>
      <c r="D465">
        <f>IF('01_Master_Data'!B465="","",'01_Master_Data'!C465)</f>
        <v/>
      </c>
      <c r="E465">
        <f>IF('01_Master_Data'!B465="","",'01_Master_Data'!D465)</f>
        <v/>
      </c>
      <c r="F465">
        <f>IF('01_Master_Data'!B465="","",'01_Master_Data'!E465)</f>
        <v/>
      </c>
      <c r="G465">
        <f>IF('01_Master_Data'!B465="","",IFERROR(VLOOKUP(TRIM('01_Master_Data'!E465&amp;""),'02_Configuration'!$A$40:$B$44,2,FALSE),UPPER(TRIM('01_Master_Data'!E465&amp;""))))</f>
        <v/>
      </c>
      <c r="H465">
        <f>IF('01_Master_Data'!B465="","",IF('01_Master_Data'!U465="","",TRIM('01_Master_Data'!U465&amp;"")))</f>
        <v/>
      </c>
      <c r="I465">
        <f>IF('01_Master_Data'!B465="","",TRIM('01_Master_Data'!F465&amp;""))</f>
        <v/>
      </c>
      <c r="J465">
        <f>IF('01_Master_Data'!B465="","",TRIM('01_Master_Data'!G465&amp;""))</f>
        <v/>
      </c>
      <c r="K465">
        <f>IF('01_Master_Data'!B465="","",'01_Master_Data'!H465)</f>
        <v/>
      </c>
      <c r="L465">
        <f>IF('01_Master_Data'!B465="","",IF(LOWER(TRIM('01_Master_Data'!V465&amp;""))="yes",1,0))</f>
        <v/>
      </c>
      <c r="M465">
        <f>IF('01_Master_Data'!B465="","",IF(LOWER(TRIM('01_Master_Data'!W465&amp;""))="yes",1,0))</f>
        <v/>
      </c>
      <c r="N465">
        <f>IF('01_Master_Data'!B465="","",IF(LOWER(TRIM('01_Master_Data'!X465&amp;""))="yes",1,0))</f>
        <v/>
      </c>
      <c r="O465">
        <f>IF('01_Master_Data'!B465="","",IF(LOWER(TRIM('01_Master_Data'!Y465&amp;""))="yes",1,0))</f>
        <v/>
      </c>
      <c r="P465">
        <f>IF('01_Master_Data'!B465="","",IF(LOWER(TRIM('01_Master_Data'!Z465&amp;""))="yes",1,0))</f>
        <v/>
      </c>
      <c r="Q465">
        <f>IF(A465="","",L465+M465+N465+O465+P465)</f>
        <v/>
      </c>
      <c r="R465">
        <f>IF(A465="","",IF(Q465&gt;1,"Yes","No"))</f>
        <v/>
      </c>
      <c r="S465">
        <f>IF(A465="","",TEXTJOIN(", ",TRUE,IF(L465=1,"ICICI",""),IF(M465=1,"Propelld",""),IF(N465=1,"Study4Buddy",""),IF(O465=1,"Poonawala Fincorp",""),IF(P465=1,"GyanDhan","")))</f>
        <v/>
      </c>
      <c r="T465">
        <f>IF(A465="","",IF(L465=1,"ICICI",IF(M465=1,"Propelld",IF(P465=1,"GyanDhan",IF(N465=1,"Study4Buddy",IF(O465=1,"Poonawala Fincorp",IF(ISNUMBER(SEARCH("GyanDhan",W465&amp;"")),"GyanDhan",IF(ISNUMBER(SEARCH("Icici",W465&amp;"")),"ICICI",IF(ISNUMBER(SEARCH("Propelld",W465&amp;"")),"Propelld",IF(ISNUMBER(SEARCH("vidyalakshmi",LOWER(W465&amp;"")),"PM Vidyalakshmi","—"))))))))))</f>
        <v/>
      </c>
      <c r="U465">
        <f>IF(A465="","",TRIM('01_Master_Data'!AA465&amp;""))</f>
        <v/>
      </c>
      <c r="V465">
        <f>IF(A465="","",TRIM('01_Master_Data'!AG465&amp;""))</f>
        <v/>
      </c>
      <c r="W465">
        <f>IF(A465="","",TRIM('01_Master_Data'!AH465&amp;""))</f>
        <v/>
      </c>
      <c r="X465">
        <f>IF(A465="","",IF(OR(LOWER(H465)="refund",LOWER(U465)="refund case"),"Refund",IF(OR(LOWER(H465)="dnp",LOWER(U465)="dnp"),"DNP",IF(OR(LOWER(V465)="disbursed",ISNUMBER(SEARCH("Disbursed",W465&amp;""))),"Disbursed",IF(OR(LOWER(V465)="loan proccessed/accepted",ISNUMBER(SEARCH("sanctioned",LOWER(W465&amp;"")))),"Sanctioned",IF(OR(LOWER(V465)="rejected",ISNUMBER(SEARCH("Not eligbile",W465&amp;"")),ISNUMBER(SEARCH("Not eligible",W465&amp;""))),"Rejected",IF(ISNUMBER(SEARCH("Docs Pending",W465&amp;"")),"Documents Pending",IF(AND(LOWER(H465)="yes",LOWER(V465)="ongoing"),"Processing",IF(AND(LOWER(H465)="yes",Q465&gt;0,OR(V465="",LOWER(V465)="not even started")),"Vendor Assigned",IF(AND(LOWER(H465)="yes",LOWER(V465)="not even started"),"Need Loan",IF(LOWER(H465)="yes","Loan Started",IF(LOWER(H465)="not sure","Interested",IF(OR(LOWER(H465)="no",LOWER(V465)="not required"),"Not Required","Unclassified")))))))))))))</f>
        <v/>
      </c>
      <c r="Y465">
        <f>IF(A465="","",IF(OR(X465="Sanctioned",X465="Disbursed",X465="Approved"),"Approved",IF(X465="Rejected","Rejected",IF(OR(X465="Processing",X465="Documents Pending",X465="Vendor Assigned"),"In Progress",IF(X465="Need Loan","Pending Start","—"))))</f>
        <v/>
      </c>
      <c r="Z465">
        <f>IF(A465="","",IF(X465="Disbursed","Disbursed",IF(X465="Sanctioned","Sanctioned - Awaiting Disbursement","Not Disbursed")))</f>
        <v/>
      </c>
      <c r="AA465">
        <f>IF(A465="","",IF(LOWER(TRIM('01_Master_Data'!AI465&amp;""))="yes","Need FLDG",IF(LOWER(TRIM('01_Master_Data'!AK465&amp;""))="yes","Need Vidyalakshmi",IF(LOWER(TRIM('01_Master_Data'!AJ465&amp;""))="yes","Need Review",IF(LOWER(J465)="critical","Critical",IF(LOWER(U465)="risk","Risk Case",IF(X465="Refund","Refund","Normal")))))))</f>
        <v/>
      </c>
      <c r="AB465">
        <f>IF(A465="","",IF(OR(LOWER(J465)="critical",LOWER(TRIM('01_Master_Data'!AI465&amp;""))="yes",LOWER(TRIM('01_Master_Data'!AK465&amp;""))="yes",LOWER(U465)="risk"),"Yes","No"))</f>
        <v/>
      </c>
      <c r="AC465">
        <f>IF(A465="","",IF(LOWER(TRIM('01_Master_Data'!AI465&amp;""))="yes","Yes","No"))</f>
        <v/>
      </c>
      <c r="AD465">
        <f>IF(A465="","",IF(LOWER(TRIM('01_Master_Data'!AK465&amp;""))="yes","Yes","No"))</f>
        <v/>
      </c>
      <c r="AE465">
        <f>IF(A465="","",IF(LOWER(TRIM('01_Master_Data'!AJ465&amp;""))="yes","Yes","No"))</f>
        <v/>
      </c>
      <c r="AF465">
        <f>IF(A465="","",TRIM('01_Master_Data'!AL465&amp;""))</f>
        <v/>
      </c>
      <c r="AG465">
        <f>IF(A465="","",IF(AF465="","—",IF(ISNUMBER(SEARCH("DNP",AF465)),"Unreachable / DNP",IF(ISNUMBER(SEARCH("interest",LOWER(AF465))),"High Interest / Terms",IF(OR(ISNUMBER(SEARCH("eligib",LOWER(AF465))),ISNUMBER(SEARCH("income",LOWER(AF465)))),"Eligibility / Income",IF(OR(ISNUMBER(SEARCH("start",LOWER(AF465))),ISNUMBER(SEARCH("Newer",AF465)),ISNUMBER(SEARCH("Will start",AF465))),"Process Yet to Start",IF(ISNUMBER(SEARCH("sure",LOWER(AF465))),"Undecided",IF(OR(ISNUMBER(SEARCH("reject",LOWER(AF465))),ISNUMBER(SEARCH("SBI",AF465))),"Rejected Elsewhere",IF(ISNUMBER(SEARCH("call",LOWER(AF465))),"Bank Communication",IF(OR(ISNUMBER(SEARCH("father",LOWER(AF465))),ISNUMBER(SEARCH("sister",LOWER(AF465)))),"Family / Dependency","Other"))))))))))</f>
        <v/>
      </c>
      <c r="AH465">
        <f>IF(A465="","",'01_Master_Data'!AC465)</f>
        <v/>
      </c>
      <c r="AI465">
        <f>IF(A465="","",IF(OR(AH465="",NOT(ISNUMBER(AH465))),"",MAX(0,'02_Configuration'!$B$82-AH465)))</f>
        <v/>
      </c>
      <c r="AJ465">
        <f>IF(A465="","",IF(AI465="","Unknown",IF(AI465&lt;=3,"0–3 Days",IF(AI465&lt;=7,"4–7 Days",IF(AI465&lt;=15,"8–15 Days",IF(AI465&lt;=30,"16–30 Days","30+ Days"))))))</f>
        <v/>
      </c>
      <c r="AK465">
        <f>IF(A465="","",IF(LOWER(H465)="yes","Yes","No"))</f>
        <v/>
      </c>
      <c r="AL465">
        <f>IF(A465="","",'01_Master_Data'!T465)</f>
        <v/>
      </c>
      <c r="AM465">
        <f>IF(A465="","",'01_Master_Data'!S465)</f>
        <v/>
      </c>
      <c r="AN465">
        <f>IF(A465="","",'01_Master_Data'!I465)</f>
        <v/>
      </c>
      <c r="AO465">
        <f>IF(A465="","",'01_Master_Data'!M465)</f>
        <v/>
      </c>
      <c r="AP465">
        <f>IF(A465="","",IF(ISNUMBER(SEARCH("Icici",W465&amp;"")),1,0))</f>
        <v/>
      </c>
      <c r="AQ465">
        <f>IF(A465="","",IF(ISNUMBER(SEARCH("Propelld",W465&amp;"")),1,0))</f>
        <v/>
      </c>
      <c r="AR465">
        <f>IF(A465="","",IF(ISNUMBER(SEARCH("GyanDhan",W465&amp;"")),1,0))</f>
        <v/>
      </c>
      <c r="AS465">
        <f>IF(A465="","",IF(ISNUMBER(SEARCH("vidyalakshmi",LOWER(W465&amp;""))),1,0))</f>
        <v/>
      </c>
      <c r="AT465">
        <f>IF(A465="","",IF(ISNUMBER(SEARCH("other bank",LOWER(W465&amp;""))),1,0))</f>
        <v/>
      </c>
      <c r="AU465">
        <f>IF(A465="","",IF(ISNUMBER(SEARCH("sanctioned",LOWER(W465&amp;""))),1,0))</f>
        <v/>
      </c>
      <c r="AV465">
        <f>IF(A465="","",IF(ISNUMBER(SEARCH("Docs Pending",W465&amp;"")),1,0))</f>
        <v/>
      </c>
      <c r="AW465">
        <f>IF(A465="","",IF(OR(X465="Rejected",ISNUMBER(SEARCH("Not eligbile",W465&amp;""))),1,0))</f>
        <v/>
      </c>
    </row>
    <row r="466">
      <c r="A466">
        <f>IF('01_Master_Data'!B466="","",465)</f>
        <v/>
      </c>
      <c r="B466">
        <f>IF('01_Master_Data'!B466="","",IF('01_Master_Data'!C466&lt;&gt;"","MOB|"&amp;TEXT('01_Master_Data'!C466,"0"),IF('01_Master_Data'!D466&lt;&gt;"","PID|"&amp;TRIM('01_Master_Data'!D466&amp;""),"")))</f>
        <v/>
      </c>
      <c r="C466">
        <f>IF('01_Master_Data'!B466="","",'01_Master_Data'!B466)</f>
        <v/>
      </c>
      <c r="D466">
        <f>IF('01_Master_Data'!B466="","",'01_Master_Data'!C466)</f>
        <v/>
      </c>
      <c r="E466">
        <f>IF('01_Master_Data'!B466="","",'01_Master_Data'!D466)</f>
        <v/>
      </c>
      <c r="F466">
        <f>IF('01_Master_Data'!B466="","",'01_Master_Data'!E466)</f>
        <v/>
      </c>
      <c r="G466">
        <f>IF('01_Master_Data'!B466="","",IFERROR(VLOOKUP(TRIM('01_Master_Data'!E466&amp;""),'02_Configuration'!$A$40:$B$44,2,FALSE),UPPER(TRIM('01_Master_Data'!E466&amp;""))))</f>
        <v/>
      </c>
      <c r="H466">
        <f>IF('01_Master_Data'!B466="","",IF('01_Master_Data'!U466="","",TRIM('01_Master_Data'!U466&amp;"")))</f>
        <v/>
      </c>
      <c r="I466">
        <f>IF('01_Master_Data'!B466="","",TRIM('01_Master_Data'!F466&amp;""))</f>
        <v/>
      </c>
      <c r="J466">
        <f>IF('01_Master_Data'!B466="","",TRIM('01_Master_Data'!G466&amp;""))</f>
        <v/>
      </c>
      <c r="K466">
        <f>IF('01_Master_Data'!B466="","",'01_Master_Data'!H466)</f>
        <v/>
      </c>
      <c r="L466">
        <f>IF('01_Master_Data'!B466="","",IF(LOWER(TRIM('01_Master_Data'!V466&amp;""))="yes",1,0))</f>
        <v/>
      </c>
      <c r="M466">
        <f>IF('01_Master_Data'!B466="","",IF(LOWER(TRIM('01_Master_Data'!W466&amp;""))="yes",1,0))</f>
        <v/>
      </c>
      <c r="N466">
        <f>IF('01_Master_Data'!B466="","",IF(LOWER(TRIM('01_Master_Data'!X466&amp;""))="yes",1,0))</f>
        <v/>
      </c>
      <c r="O466">
        <f>IF('01_Master_Data'!B466="","",IF(LOWER(TRIM('01_Master_Data'!Y466&amp;""))="yes",1,0))</f>
        <v/>
      </c>
      <c r="P466">
        <f>IF('01_Master_Data'!B466="","",IF(LOWER(TRIM('01_Master_Data'!Z466&amp;""))="yes",1,0))</f>
        <v/>
      </c>
      <c r="Q466">
        <f>IF(A466="","",L466+M466+N466+O466+P466)</f>
        <v/>
      </c>
      <c r="R466">
        <f>IF(A466="","",IF(Q466&gt;1,"Yes","No"))</f>
        <v/>
      </c>
      <c r="S466">
        <f>IF(A466="","",TEXTJOIN(", ",TRUE,IF(L466=1,"ICICI",""),IF(M466=1,"Propelld",""),IF(N466=1,"Study4Buddy",""),IF(O466=1,"Poonawala Fincorp",""),IF(P466=1,"GyanDhan","")))</f>
        <v/>
      </c>
      <c r="T466">
        <f>IF(A466="","",IF(L466=1,"ICICI",IF(M466=1,"Propelld",IF(P466=1,"GyanDhan",IF(N466=1,"Study4Buddy",IF(O466=1,"Poonawala Fincorp",IF(ISNUMBER(SEARCH("GyanDhan",W466&amp;"")),"GyanDhan",IF(ISNUMBER(SEARCH("Icici",W466&amp;"")),"ICICI",IF(ISNUMBER(SEARCH("Propelld",W466&amp;"")),"Propelld",IF(ISNUMBER(SEARCH("vidyalakshmi",LOWER(W466&amp;"")),"PM Vidyalakshmi","—"))))))))))</f>
        <v/>
      </c>
      <c r="U466">
        <f>IF(A466="","",TRIM('01_Master_Data'!AA466&amp;""))</f>
        <v/>
      </c>
      <c r="V466">
        <f>IF(A466="","",TRIM('01_Master_Data'!AG466&amp;""))</f>
        <v/>
      </c>
      <c r="W466">
        <f>IF(A466="","",TRIM('01_Master_Data'!AH466&amp;""))</f>
        <v/>
      </c>
      <c r="X466">
        <f>IF(A466="","",IF(OR(LOWER(H466)="refund",LOWER(U466)="refund case"),"Refund",IF(OR(LOWER(H466)="dnp",LOWER(U466)="dnp"),"DNP",IF(OR(LOWER(V466)="disbursed",ISNUMBER(SEARCH("Disbursed",W466&amp;""))),"Disbursed",IF(OR(LOWER(V466)="loan proccessed/accepted",ISNUMBER(SEARCH("sanctioned",LOWER(W466&amp;"")))),"Sanctioned",IF(OR(LOWER(V466)="rejected",ISNUMBER(SEARCH("Not eligbile",W466&amp;"")),ISNUMBER(SEARCH("Not eligible",W466&amp;""))),"Rejected",IF(ISNUMBER(SEARCH("Docs Pending",W466&amp;"")),"Documents Pending",IF(AND(LOWER(H466)="yes",LOWER(V466)="ongoing"),"Processing",IF(AND(LOWER(H466)="yes",Q466&gt;0,OR(V466="",LOWER(V466)="not even started")),"Vendor Assigned",IF(AND(LOWER(H466)="yes",LOWER(V466)="not even started"),"Need Loan",IF(LOWER(H466)="yes","Loan Started",IF(LOWER(H466)="not sure","Interested",IF(OR(LOWER(H466)="no",LOWER(V466)="not required"),"Not Required","Unclassified")))))))))))))</f>
        <v/>
      </c>
      <c r="Y466">
        <f>IF(A466="","",IF(OR(X466="Sanctioned",X466="Disbursed",X466="Approved"),"Approved",IF(X466="Rejected","Rejected",IF(OR(X466="Processing",X466="Documents Pending",X466="Vendor Assigned"),"In Progress",IF(X466="Need Loan","Pending Start","—"))))</f>
        <v/>
      </c>
      <c r="Z466">
        <f>IF(A466="","",IF(X466="Disbursed","Disbursed",IF(X466="Sanctioned","Sanctioned - Awaiting Disbursement","Not Disbursed")))</f>
        <v/>
      </c>
      <c r="AA466">
        <f>IF(A466="","",IF(LOWER(TRIM('01_Master_Data'!AI466&amp;""))="yes","Need FLDG",IF(LOWER(TRIM('01_Master_Data'!AK466&amp;""))="yes","Need Vidyalakshmi",IF(LOWER(TRIM('01_Master_Data'!AJ466&amp;""))="yes","Need Review",IF(LOWER(J466)="critical","Critical",IF(LOWER(U466)="risk","Risk Case",IF(X466="Refund","Refund","Normal")))))))</f>
        <v/>
      </c>
      <c r="AB466">
        <f>IF(A466="","",IF(OR(LOWER(J466)="critical",LOWER(TRIM('01_Master_Data'!AI466&amp;""))="yes",LOWER(TRIM('01_Master_Data'!AK466&amp;""))="yes",LOWER(U466)="risk"),"Yes","No"))</f>
        <v/>
      </c>
      <c r="AC466">
        <f>IF(A466="","",IF(LOWER(TRIM('01_Master_Data'!AI466&amp;""))="yes","Yes","No"))</f>
        <v/>
      </c>
      <c r="AD466">
        <f>IF(A466="","",IF(LOWER(TRIM('01_Master_Data'!AK466&amp;""))="yes","Yes","No"))</f>
        <v/>
      </c>
      <c r="AE466">
        <f>IF(A466="","",IF(LOWER(TRIM('01_Master_Data'!AJ466&amp;""))="yes","Yes","No"))</f>
        <v/>
      </c>
      <c r="AF466">
        <f>IF(A466="","",TRIM('01_Master_Data'!AL466&amp;""))</f>
        <v/>
      </c>
      <c r="AG466">
        <f>IF(A466="","",IF(AF466="","—",IF(ISNUMBER(SEARCH("DNP",AF466)),"Unreachable / DNP",IF(ISNUMBER(SEARCH("interest",LOWER(AF466))),"High Interest / Terms",IF(OR(ISNUMBER(SEARCH("eligib",LOWER(AF466))),ISNUMBER(SEARCH("income",LOWER(AF466)))),"Eligibility / Income",IF(OR(ISNUMBER(SEARCH("start",LOWER(AF466))),ISNUMBER(SEARCH("Newer",AF466)),ISNUMBER(SEARCH("Will start",AF466))),"Process Yet to Start",IF(ISNUMBER(SEARCH("sure",LOWER(AF466))),"Undecided",IF(OR(ISNUMBER(SEARCH("reject",LOWER(AF466))),ISNUMBER(SEARCH("SBI",AF466))),"Rejected Elsewhere",IF(ISNUMBER(SEARCH("call",LOWER(AF466))),"Bank Communication",IF(OR(ISNUMBER(SEARCH("father",LOWER(AF466))),ISNUMBER(SEARCH("sister",LOWER(AF466)))),"Family / Dependency","Other"))))))))))</f>
        <v/>
      </c>
      <c r="AH466">
        <f>IF(A466="","",'01_Master_Data'!AC466)</f>
        <v/>
      </c>
      <c r="AI466">
        <f>IF(A466="","",IF(OR(AH466="",NOT(ISNUMBER(AH466))),"",MAX(0,'02_Configuration'!$B$82-AH466)))</f>
        <v/>
      </c>
      <c r="AJ466">
        <f>IF(A466="","",IF(AI466="","Unknown",IF(AI466&lt;=3,"0–3 Days",IF(AI466&lt;=7,"4–7 Days",IF(AI466&lt;=15,"8–15 Days",IF(AI466&lt;=30,"16–30 Days","30+ Days"))))))</f>
        <v/>
      </c>
      <c r="AK466">
        <f>IF(A466="","",IF(LOWER(H466)="yes","Yes","No"))</f>
        <v/>
      </c>
      <c r="AL466">
        <f>IF(A466="","",'01_Master_Data'!T466)</f>
        <v/>
      </c>
      <c r="AM466">
        <f>IF(A466="","",'01_Master_Data'!S466)</f>
        <v/>
      </c>
      <c r="AN466">
        <f>IF(A466="","",'01_Master_Data'!I466)</f>
        <v/>
      </c>
      <c r="AO466">
        <f>IF(A466="","",'01_Master_Data'!M466)</f>
        <v/>
      </c>
      <c r="AP466">
        <f>IF(A466="","",IF(ISNUMBER(SEARCH("Icici",W466&amp;"")),1,0))</f>
        <v/>
      </c>
      <c r="AQ466">
        <f>IF(A466="","",IF(ISNUMBER(SEARCH("Propelld",W466&amp;"")),1,0))</f>
        <v/>
      </c>
      <c r="AR466">
        <f>IF(A466="","",IF(ISNUMBER(SEARCH("GyanDhan",W466&amp;"")),1,0))</f>
        <v/>
      </c>
      <c r="AS466">
        <f>IF(A466="","",IF(ISNUMBER(SEARCH("vidyalakshmi",LOWER(W466&amp;""))),1,0))</f>
        <v/>
      </c>
      <c r="AT466">
        <f>IF(A466="","",IF(ISNUMBER(SEARCH("other bank",LOWER(W466&amp;""))),1,0))</f>
        <v/>
      </c>
      <c r="AU466">
        <f>IF(A466="","",IF(ISNUMBER(SEARCH("sanctioned",LOWER(W466&amp;""))),1,0))</f>
        <v/>
      </c>
      <c r="AV466">
        <f>IF(A466="","",IF(ISNUMBER(SEARCH("Docs Pending",W466&amp;"")),1,0))</f>
        <v/>
      </c>
      <c r="AW466">
        <f>IF(A466="","",IF(OR(X466="Rejected",ISNUMBER(SEARCH("Not eligbile",W466&amp;""))),1,0))</f>
        <v/>
      </c>
    </row>
    <row r="467">
      <c r="A467">
        <f>IF('01_Master_Data'!B467="","",466)</f>
        <v/>
      </c>
      <c r="B467">
        <f>IF('01_Master_Data'!B467="","",IF('01_Master_Data'!C467&lt;&gt;"","MOB|"&amp;TEXT('01_Master_Data'!C467,"0"),IF('01_Master_Data'!D467&lt;&gt;"","PID|"&amp;TRIM('01_Master_Data'!D467&amp;""),"")))</f>
        <v/>
      </c>
      <c r="C467">
        <f>IF('01_Master_Data'!B467="","",'01_Master_Data'!B467)</f>
        <v/>
      </c>
      <c r="D467">
        <f>IF('01_Master_Data'!B467="","",'01_Master_Data'!C467)</f>
        <v/>
      </c>
      <c r="E467">
        <f>IF('01_Master_Data'!B467="","",'01_Master_Data'!D467)</f>
        <v/>
      </c>
      <c r="F467">
        <f>IF('01_Master_Data'!B467="","",'01_Master_Data'!E467)</f>
        <v/>
      </c>
      <c r="G467">
        <f>IF('01_Master_Data'!B467="","",IFERROR(VLOOKUP(TRIM('01_Master_Data'!E467&amp;""),'02_Configuration'!$A$40:$B$44,2,FALSE),UPPER(TRIM('01_Master_Data'!E467&amp;""))))</f>
        <v/>
      </c>
      <c r="H467">
        <f>IF('01_Master_Data'!B467="","",IF('01_Master_Data'!U467="","",TRIM('01_Master_Data'!U467&amp;"")))</f>
        <v/>
      </c>
      <c r="I467">
        <f>IF('01_Master_Data'!B467="","",TRIM('01_Master_Data'!F467&amp;""))</f>
        <v/>
      </c>
      <c r="J467">
        <f>IF('01_Master_Data'!B467="","",TRIM('01_Master_Data'!G467&amp;""))</f>
        <v/>
      </c>
      <c r="K467">
        <f>IF('01_Master_Data'!B467="","",'01_Master_Data'!H467)</f>
        <v/>
      </c>
      <c r="L467">
        <f>IF('01_Master_Data'!B467="","",IF(LOWER(TRIM('01_Master_Data'!V467&amp;""))="yes",1,0))</f>
        <v/>
      </c>
      <c r="M467">
        <f>IF('01_Master_Data'!B467="","",IF(LOWER(TRIM('01_Master_Data'!W467&amp;""))="yes",1,0))</f>
        <v/>
      </c>
      <c r="N467">
        <f>IF('01_Master_Data'!B467="","",IF(LOWER(TRIM('01_Master_Data'!X467&amp;""))="yes",1,0))</f>
        <v/>
      </c>
      <c r="O467">
        <f>IF('01_Master_Data'!B467="","",IF(LOWER(TRIM('01_Master_Data'!Y467&amp;""))="yes",1,0))</f>
        <v/>
      </c>
      <c r="P467">
        <f>IF('01_Master_Data'!B467="","",IF(LOWER(TRIM('01_Master_Data'!Z467&amp;""))="yes",1,0))</f>
        <v/>
      </c>
      <c r="Q467">
        <f>IF(A467="","",L467+M467+N467+O467+P467)</f>
        <v/>
      </c>
      <c r="R467">
        <f>IF(A467="","",IF(Q467&gt;1,"Yes","No"))</f>
        <v/>
      </c>
      <c r="S467">
        <f>IF(A467="","",TEXTJOIN(", ",TRUE,IF(L467=1,"ICICI",""),IF(M467=1,"Propelld",""),IF(N467=1,"Study4Buddy",""),IF(O467=1,"Poonawala Fincorp",""),IF(P467=1,"GyanDhan","")))</f>
        <v/>
      </c>
      <c r="T467">
        <f>IF(A467="","",IF(L467=1,"ICICI",IF(M467=1,"Propelld",IF(P467=1,"GyanDhan",IF(N467=1,"Study4Buddy",IF(O467=1,"Poonawala Fincorp",IF(ISNUMBER(SEARCH("GyanDhan",W467&amp;"")),"GyanDhan",IF(ISNUMBER(SEARCH("Icici",W467&amp;"")),"ICICI",IF(ISNUMBER(SEARCH("Propelld",W467&amp;"")),"Propelld",IF(ISNUMBER(SEARCH("vidyalakshmi",LOWER(W467&amp;"")),"PM Vidyalakshmi","—"))))))))))</f>
        <v/>
      </c>
      <c r="U467">
        <f>IF(A467="","",TRIM('01_Master_Data'!AA467&amp;""))</f>
        <v/>
      </c>
      <c r="V467">
        <f>IF(A467="","",TRIM('01_Master_Data'!AG467&amp;""))</f>
        <v/>
      </c>
      <c r="W467">
        <f>IF(A467="","",TRIM('01_Master_Data'!AH467&amp;""))</f>
        <v/>
      </c>
      <c r="X467">
        <f>IF(A467="","",IF(OR(LOWER(H467)="refund",LOWER(U467)="refund case"),"Refund",IF(OR(LOWER(H467)="dnp",LOWER(U467)="dnp"),"DNP",IF(OR(LOWER(V467)="disbursed",ISNUMBER(SEARCH("Disbursed",W467&amp;""))),"Disbursed",IF(OR(LOWER(V467)="loan proccessed/accepted",ISNUMBER(SEARCH("sanctioned",LOWER(W467&amp;"")))),"Sanctioned",IF(OR(LOWER(V467)="rejected",ISNUMBER(SEARCH("Not eligbile",W467&amp;"")),ISNUMBER(SEARCH("Not eligible",W467&amp;""))),"Rejected",IF(ISNUMBER(SEARCH("Docs Pending",W467&amp;"")),"Documents Pending",IF(AND(LOWER(H467)="yes",LOWER(V467)="ongoing"),"Processing",IF(AND(LOWER(H467)="yes",Q467&gt;0,OR(V467="",LOWER(V467)="not even started")),"Vendor Assigned",IF(AND(LOWER(H467)="yes",LOWER(V467)="not even started"),"Need Loan",IF(LOWER(H467)="yes","Loan Started",IF(LOWER(H467)="not sure","Interested",IF(OR(LOWER(H467)="no",LOWER(V467)="not required"),"Not Required","Unclassified")))))))))))))</f>
        <v/>
      </c>
      <c r="Y467">
        <f>IF(A467="","",IF(OR(X467="Sanctioned",X467="Disbursed",X467="Approved"),"Approved",IF(X467="Rejected","Rejected",IF(OR(X467="Processing",X467="Documents Pending",X467="Vendor Assigned"),"In Progress",IF(X467="Need Loan","Pending Start","—"))))</f>
        <v/>
      </c>
      <c r="Z467">
        <f>IF(A467="","",IF(X467="Disbursed","Disbursed",IF(X467="Sanctioned","Sanctioned - Awaiting Disbursement","Not Disbursed")))</f>
        <v/>
      </c>
      <c r="AA467">
        <f>IF(A467="","",IF(LOWER(TRIM('01_Master_Data'!AI467&amp;""))="yes","Need FLDG",IF(LOWER(TRIM('01_Master_Data'!AK467&amp;""))="yes","Need Vidyalakshmi",IF(LOWER(TRIM('01_Master_Data'!AJ467&amp;""))="yes","Need Review",IF(LOWER(J467)="critical","Critical",IF(LOWER(U467)="risk","Risk Case",IF(X467="Refund","Refund","Normal")))))))</f>
        <v/>
      </c>
      <c r="AB467">
        <f>IF(A467="","",IF(OR(LOWER(J467)="critical",LOWER(TRIM('01_Master_Data'!AI467&amp;""))="yes",LOWER(TRIM('01_Master_Data'!AK467&amp;""))="yes",LOWER(U467)="risk"),"Yes","No"))</f>
        <v/>
      </c>
      <c r="AC467">
        <f>IF(A467="","",IF(LOWER(TRIM('01_Master_Data'!AI467&amp;""))="yes","Yes","No"))</f>
        <v/>
      </c>
      <c r="AD467">
        <f>IF(A467="","",IF(LOWER(TRIM('01_Master_Data'!AK467&amp;""))="yes","Yes","No"))</f>
        <v/>
      </c>
      <c r="AE467">
        <f>IF(A467="","",IF(LOWER(TRIM('01_Master_Data'!AJ467&amp;""))="yes","Yes","No"))</f>
        <v/>
      </c>
      <c r="AF467">
        <f>IF(A467="","",TRIM('01_Master_Data'!AL467&amp;""))</f>
        <v/>
      </c>
      <c r="AG467">
        <f>IF(A467="","",IF(AF467="","—",IF(ISNUMBER(SEARCH("DNP",AF467)),"Unreachable / DNP",IF(ISNUMBER(SEARCH("interest",LOWER(AF467))),"High Interest / Terms",IF(OR(ISNUMBER(SEARCH("eligib",LOWER(AF467))),ISNUMBER(SEARCH("income",LOWER(AF467)))),"Eligibility / Income",IF(OR(ISNUMBER(SEARCH("start",LOWER(AF467))),ISNUMBER(SEARCH("Newer",AF467)),ISNUMBER(SEARCH("Will start",AF467))),"Process Yet to Start",IF(ISNUMBER(SEARCH("sure",LOWER(AF467))),"Undecided",IF(OR(ISNUMBER(SEARCH("reject",LOWER(AF467))),ISNUMBER(SEARCH("SBI",AF467))),"Rejected Elsewhere",IF(ISNUMBER(SEARCH("call",LOWER(AF467))),"Bank Communication",IF(OR(ISNUMBER(SEARCH("father",LOWER(AF467))),ISNUMBER(SEARCH("sister",LOWER(AF467)))),"Family / Dependency","Other"))))))))))</f>
        <v/>
      </c>
      <c r="AH467">
        <f>IF(A467="","",'01_Master_Data'!AC467)</f>
        <v/>
      </c>
      <c r="AI467">
        <f>IF(A467="","",IF(OR(AH467="",NOT(ISNUMBER(AH467))),"",MAX(0,'02_Configuration'!$B$82-AH467)))</f>
        <v/>
      </c>
      <c r="AJ467">
        <f>IF(A467="","",IF(AI467="","Unknown",IF(AI467&lt;=3,"0–3 Days",IF(AI467&lt;=7,"4–7 Days",IF(AI467&lt;=15,"8–15 Days",IF(AI467&lt;=30,"16–30 Days","30+ Days"))))))</f>
        <v/>
      </c>
      <c r="AK467">
        <f>IF(A467="","",IF(LOWER(H467)="yes","Yes","No"))</f>
        <v/>
      </c>
      <c r="AL467">
        <f>IF(A467="","",'01_Master_Data'!T467)</f>
        <v/>
      </c>
      <c r="AM467">
        <f>IF(A467="","",'01_Master_Data'!S467)</f>
        <v/>
      </c>
      <c r="AN467">
        <f>IF(A467="","",'01_Master_Data'!I467)</f>
        <v/>
      </c>
      <c r="AO467">
        <f>IF(A467="","",'01_Master_Data'!M467)</f>
        <v/>
      </c>
      <c r="AP467">
        <f>IF(A467="","",IF(ISNUMBER(SEARCH("Icici",W467&amp;"")),1,0))</f>
        <v/>
      </c>
      <c r="AQ467">
        <f>IF(A467="","",IF(ISNUMBER(SEARCH("Propelld",W467&amp;"")),1,0))</f>
        <v/>
      </c>
      <c r="AR467">
        <f>IF(A467="","",IF(ISNUMBER(SEARCH("GyanDhan",W467&amp;"")),1,0))</f>
        <v/>
      </c>
      <c r="AS467">
        <f>IF(A467="","",IF(ISNUMBER(SEARCH("vidyalakshmi",LOWER(W467&amp;""))),1,0))</f>
        <v/>
      </c>
      <c r="AT467">
        <f>IF(A467="","",IF(ISNUMBER(SEARCH("other bank",LOWER(W467&amp;""))),1,0))</f>
        <v/>
      </c>
      <c r="AU467">
        <f>IF(A467="","",IF(ISNUMBER(SEARCH("sanctioned",LOWER(W467&amp;""))),1,0))</f>
        <v/>
      </c>
      <c r="AV467">
        <f>IF(A467="","",IF(ISNUMBER(SEARCH("Docs Pending",W467&amp;"")),1,0))</f>
        <v/>
      </c>
      <c r="AW467">
        <f>IF(A467="","",IF(OR(X467="Rejected",ISNUMBER(SEARCH("Not eligbile",W467&amp;""))),1,0))</f>
        <v/>
      </c>
    </row>
    <row r="468">
      <c r="A468">
        <f>IF('01_Master_Data'!B468="","",467)</f>
        <v/>
      </c>
      <c r="B468">
        <f>IF('01_Master_Data'!B468="","",IF('01_Master_Data'!C468&lt;&gt;"","MOB|"&amp;TEXT('01_Master_Data'!C468,"0"),IF('01_Master_Data'!D468&lt;&gt;"","PID|"&amp;TRIM('01_Master_Data'!D468&amp;""),"")))</f>
        <v/>
      </c>
      <c r="C468">
        <f>IF('01_Master_Data'!B468="","",'01_Master_Data'!B468)</f>
        <v/>
      </c>
      <c r="D468">
        <f>IF('01_Master_Data'!B468="","",'01_Master_Data'!C468)</f>
        <v/>
      </c>
      <c r="E468">
        <f>IF('01_Master_Data'!B468="","",'01_Master_Data'!D468)</f>
        <v/>
      </c>
      <c r="F468">
        <f>IF('01_Master_Data'!B468="","",'01_Master_Data'!E468)</f>
        <v/>
      </c>
      <c r="G468">
        <f>IF('01_Master_Data'!B468="","",IFERROR(VLOOKUP(TRIM('01_Master_Data'!E468&amp;""),'02_Configuration'!$A$40:$B$44,2,FALSE),UPPER(TRIM('01_Master_Data'!E468&amp;""))))</f>
        <v/>
      </c>
      <c r="H468">
        <f>IF('01_Master_Data'!B468="","",IF('01_Master_Data'!U468="","",TRIM('01_Master_Data'!U468&amp;"")))</f>
        <v/>
      </c>
      <c r="I468">
        <f>IF('01_Master_Data'!B468="","",TRIM('01_Master_Data'!F468&amp;""))</f>
        <v/>
      </c>
      <c r="J468">
        <f>IF('01_Master_Data'!B468="","",TRIM('01_Master_Data'!G468&amp;""))</f>
        <v/>
      </c>
      <c r="K468">
        <f>IF('01_Master_Data'!B468="","",'01_Master_Data'!H468)</f>
        <v/>
      </c>
      <c r="L468">
        <f>IF('01_Master_Data'!B468="","",IF(LOWER(TRIM('01_Master_Data'!V468&amp;""))="yes",1,0))</f>
        <v/>
      </c>
      <c r="M468">
        <f>IF('01_Master_Data'!B468="","",IF(LOWER(TRIM('01_Master_Data'!W468&amp;""))="yes",1,0))</f>
        <v/>
      </c>
      <c r="N468">
        <f>IF('01_Master_Data'!B468="","",IF(LOWER(TRIM('01_Master_Data'!X468&amp;""))="yes",1,0))</f>
        <v/>
      </c>
      <c r="O468">
        <f>IF('01_Master_Data'!B468="","",IF(LOWER(TRIM('01_Master_Data'!Y468&amp;""))="yes",1,0))</f>
        <v/>
      </c>
      <c r="P468">
        <f>IF('01_Master_Data'!B468="","",IF(LOWER(TRIM('01_Master_Data'!Z468&amp;""))="yes",1,0))</f>
        <v/>
      </c>
      <c r="Q468">
        <f>IF(A468="","",L468+M468+N468+O468+P468)</f>
        <v/>
      </c>
      <c r="R468">
        <f>IF(A468="","",IF(Q468&gt;1,"Yes","No"))</f>
        <v/>
      </c>
      <c r="S468">
        <f>IF(A468="","",TEXTJOIN(", ",TRUE,IF(L468=1,"ICICI",""),IF(M468=1,"Propelld",""),IF(N468=1,"Study4Buddy",""),IF(O468=1,"Poonawala Fincorp",""),IF(P468=1,"GyanDhan","")))</f>
        <v/>
      </c>
      <c r="T468">
        <f>IF(A468="","",IF(L468=1,"ICICI",IF(M468=1,"Propelld",IF(P468=1,"GyanDhan",IF(N468=1,"Study4Buddy",IF(O468=1,"Poonawala Fincorp",IF(ISNUMBER(SEARCH("GyanDhan",W468&amp;"")),"GyanDhan",IF(ISNUMBER(SEARCH("Icici",W468&amp;"")),"ICICI",IF(ISNUMBER(SEARCH("Propelld",W468&amp;"")),"Propelld",IF(ISNUMBER(SEARCH("vidyalakshmi",LOWER(W468&amp;"")),"PM Vidyalakshmi","—"))))))))))</f>
        <v/>
      </c>
      <c r="U468">
        <f>IF(A468="","",TRIM('01_Master_Data'!AA468&amp;""))</f>
        <v/>
      </c>
      <c r="V468">
        <f>IF(A468="","",TRIM('01_Master_Data'!AG468&amp;""))</f>
        <v/>
      </c>
      <c r="W468">
        <f>IF(A468="","",TRIM('01_Master_Data'!AH468&amp;""))</f>
        <v/>
      </c>
      <c r="X468">
        <f>IF(A468="","",IF(OR(LOWER(H468)="refund",LOWER(U468)="refund case"),"Refund",IF(OR(LOWER(H468)="dnp",LOWER(U468)="dnp"),"DNP",IF(OR(LOWER(V468)="disbursed",ISNUMBER(SEARCH("Disbursed",W468&amp;""))),"Disbursed",IF(OR(LOWER(V468)="loan proccessed/accepted",ISNUMBER(SEARCH("sanctioned",LOWER(W468&amp;"")))),"Sanctioned",IF(OR(LOWER(V468)="rejected",ISNUMBER(SEARCH("Not eligbile",W468&amp;"")),ISNUMBER(SEARCH("Not eligible",W468&amp;""))),"Rejected",IF(ISNUMBER(SEARCH("Docs Pending",W468&amp;"")),"Documents Pending",IF(AND(LOWER(H468)="yes",LOWER(V468)="ongoing"),"Processing",IF(AND(LOWER(H468)="yes",Q468&gt;0,OR(V468="",LOWER(V468)="not even started")),"Vendor Assigned",IF(AND(LOWER(H468)="yes",LOWER(V468)="not even started"),"Need Loan",IF(LOWER(H468)="yes","Loan Started",IF(LOWER(H468)="not sure","Interested",IF(OR(LOWER(H468)="no",LOWER(V468)="not required"),"Not Required","Unclassified")))))))))))))</f>
        <v/>
      </c>
      <c r="Y468">
        <f>IF(A468="","",IF(OR(X468="Sanctioned",X468="Disbursed",X468="Approved"),"Approved",IF(X468="Rejected","Rejected",IF(OR(X468="Processing",X468="Documents Pending",X468="Vendor Assigned"),"In Progress",IF(X468="Need Loan","Pending Start","—"))))</f>
        <v/>
      </c>
      <c r="Z468">
        <f>IF(A468="","",IF(X468="Disbursed","Disbursed",IF(X468="Sanctioned","Sanctioned - Awaiting Disbursement","Not Disbursed")))</f>
        <v/>
      </c>
      <c r="AA468">
        <f>IF(A468="","",IF(LOWER(TRIM('01_Master_Data'!AI468&amp;""))="yes","Need FLDG",IF(LOWER(TRIM('01_Master_Data'!AK468&amp;""))="yes","Need Vidyalakshmi",IF(LOWER(TRIM('01_Master_Data'!AJ468&amp;""))="yes","Need Review",IF(LOWER(J468)="critical","Critical",IF(LOWER(U468)="risk","Risk Case",IF(X468="Refund","Refund","Normal")))))))</f>
        <v/>
      </c>
      <c r="AB468">
        <f>IF(A468="","",IF(OR(LOWER(J468)="critical",LOWER(TRIM('01_Master_Data'!AI468&amp;""))="yes",LOWER(TRIM('01_Master_Data'!AK468&amp;""))="yes",LOWER(U468)="risk"),"Yes","No"))</f>
        <v/>
      </c>
      <c r="AC468">
        <f>IF(A468="","",IF(LOWER(TRIM('01_Master_Data'!AI468&amp;""))="yes","Yes","No"))</f>
        <v/>
      </c>
      <c r="AD468">
        <f>IF(A468="","",IF(LOWER(TRIM('01_Master_Data'!AK468&amp;""))="yes","Yes","No"))</f>
        <v/>
      </c>
      <c r="AE468">
        <f>IF(A468="","",IF(LOWER(TRIM('01_Master_Data'!AJ468&amp;""))="yes","Yes","No"))</f>
        <v/>
      </c>
      <c r="AF468">
        <f>IF(A468="","",TRIM('01_Master_Data'!AL468&amp;""))</f>
        <v/>
      </c>
      <c r="AG468">
        <f>IF(A468="","",IF(AF468="","—",IF(ISNUMBER(SEARCH("DNP",AF468)),"Unreachable / DNP",IF(ISNUMBER(SEARCH("interest",LOWER(AF468))),"High Interest / Terms",IF(OR(ISNUMBER(SEARCH("eligib",LOWER(AF468))),ISNUMBER(SEARCH("income",LOWER(AF468)))),"Eligibility / Income",IF(OR(ISNUMBER(SEARCH("start",LOWER(AF468))),ISNUMBER(SEARCH("Newer",AF468)),ISNUMBER(SEARCH("Will start",AF468))),"Process Yet to Start",IF(ISNUMBER(SEARCH("sure",LOWER(AF468))),"Undecided",IF(OR(ISNUMBER(SEARCH("reject",LOWER(AF468))),ISNUMBER(SEARCH("SBI",AF468))),"Rejected Elsewhere",IF(ISNUMBER(SEARCH("call",LOWER(AF468))),"Bank Communication",IF(OR(ISNUMBER(SEARCH("father",LOWER(AF468))),ISNUMBER(SEARCH("sister",LOWER(AF468)))),"Family / Dependency","Other"))))))))))</f>
        <v/>
      </c>
      <c r="AH468">
        <f>IF(A468="","",'01_Master_Data'!AC468)</f>
        <v/>
      </c>
      <c r="AI468">
        <f>IF(A468="","",IF(OR(AH468="",NOT(ISNUMBER(AH468))),"",MAX(0,'02_Configuration'!$B$82-AH468)))</f>
        <v/>
      </c>
      <c r="AJ468">
        <f>IF(A468="","",IF(AI468="","Unknown",IF(AI468&lt;=3,"0–3 Days",IF(AI468&lt;=7,"4–7 Days",IF(AI468&lt;=15,"8–15 Days",IF(AI468&lt;=30,"16–30 Days","30+ Days"))))))</f>
        <v/>
      </c>
      <c r="AK468">
        <f>IF(A468="","",IF(LOWER(H468)="yes","Yes","No"))</f>
        <v/>
      </c>
      <c r="AL468">
        <f>IF(A468="","",'01_Master_Data'!T468)</f>
        <v/>
      </c>
      <c r="AM468">
        <f>IF(A468="","",'01_Master_Data'!S468)</f>
        <v/>
      </c>
      <c r="AN468">
        <f>IF(A468="","",'01_Master_Data'!I468)</f>
        <v/>
      </c>
      <c r="AO468">
        <f>IF(A468="","",'01_Master_Data'!M468)</f>
        <v/>
      </c>
      <c r="AP468">
        <f>IF(A468="","",IF(ISNUMBER(SEARCH("Icici",W468&amp;"")),1,0))</f>
        <v/>
      </c>
      <c r="AQ468">
        <f>IF(A468="","",IF(ISNUMBER(SEARCH("Propelld",W468&amp;"")),1,0))</f>
        <v/>
      </c>
      <c r="AR468">
        <f>IF(A468="","",IF(ISNUMBER(SEARCH("GyanDhan",W468&amp;"")),1,0))</f>
        <v/>
      </c>
      <c r="AS468">
        <f>IF(A468="","",IF(ISNUMBER(SEARCH("vidyalakshmi",LOWER(W468&amp;""))),1,0))</f>
        <v/>
      </c>
      <c r="AT468">
        <f>IF(A468="","",IF(ISNUMBER(SEARCH("other bank",LOWER(W468&amp;""))),1,0))</f>
        <v/>
      </c>
      <c r="AU468">
        <f>IF(A468="","",IF(ISNUMBER(SEARCH("sanctioned",LOWER(W468&amp;""))),1,0))</f>
        <v/>
      </c>
      <c r="AV468">
        <f>IF(A468="","",IF(ISNUMBER(SEARCH("Docs Pending",W468&amp;"")),1,0))</f>
        <v/>
      </c>
      <c r="AW468">
        <f>IF(A468="","",IF(OR(X468="Rejected",ISNUMBER(SEARCH("Not eligbile",W468&amp;""))),1,0))</f>
        <v/>
      </c>
    </row>
    <row r="469">
      <c r="A469">
        <f>IF('01_Master_Data'!B469="","",468)</f>
        <v/>
      </c>
      <c r="B469">
        <f>IF('01_Master_Data'!B469="","",IF('01_Master_Data'!C469&lt;&gt;"","MOB|"&amp;TEXT('01_Master_Data'!C469,"0"),IF('01_Master_Data'!D469&lt;&gt;"","PID|"&amp;TRIM('01_Master_Data'!D469&amp;""),"")))</f>
        <v/>
      </c>
      <c r="C469">
        <f>IF('01_Master_Data'!B469="","",'01_Master_Data'!B469)</f>
        <v/>
      </c>
      <c r="D469">
        <f>IF('01_Master_Data'!B469="","",'01_Master_Data'!C469)</f>
        <v/>
      </c>
      <c r="E469">
        <f>IF('01_Master_Data'!B469="","",'01_Master_Data'!D469)</f>
        <v/>
      </c>
      <c r="F469">
        <f>IF('01_Master_Data'!B469="","",'01_Master_Data'!E469)</f>
        <v/>
      </c>
      <c r="G469">
        <f>IF('01_Master_Data'!B469="","",IFERROR(VLOOKUP(TRIM('01_Master_Data'!E469&amp;""),'02_Configuration'!$A$40:$B$44,2,FALSE),UPPER(TRIM('01_Master_Data'!E469&amp;""))))</f>
        <v/>
      </c>
      <c r="H469">
        <f>IF('01_Master_Data'!B469="","",IF('01_Master_Data'!U469="","",TRIM('01_Master_Data'!U469&amp;"")))</f>
        <v/>
      </c>
      <c r="I469">
        <f>IF('01_Master_Data'!B469="","",TRIM('01_Master_Data'!F469&amp;""))</f>
        <v/>
      </c>
      <c r="J469">
        <f>IF('01_Master_Data'!B469="","",TRIM('01_Master_Data'!G469&amp;""))</f>
        <v/>
      </c>
      <c r="K469">
        <f>IF('01_Master_Data'!B469="","",'01_Master_Data'!H469)</f>
        <v/>
      </c>
      <c r="L469">
        <f>IF('01_Master_Data'!B469="","",IF(LOWER(TRIM('01_Master_Data'!V469&amp;""))="yes",1,0))</f>
        <v/>
      </c>
      <c r="M469">
        <f>IF('01_Master_Data'!B469="","",IF(LOWER(TRIM('01_Master_Data'!W469&amp;""))="yes",1,0))</f>
        <v/>
      </c>
      <c r="N469">
        <f>IF('01_Master_Data'!B469="","",IF(LOWER(TRIM('01_Master_Data'!X469&amp;""))="yes",1,0))</f>
        <v/>
      </c>
      <c r="O469">
        <f>IF('01_Master_Data'!B469="","",IF(LOWER(TRIM('01_Master_Data'!Y469&amp;""))="yes",1,0))</f>
        <v/>
      </c>
      <c r="P469">
        <f>IF('01_Master_Data'!B469="","",IF(LOWER(TRIM('01_Master_Data'!Z469&amp;""))="yes",1,0))</f>
        <v/>
      </c>
      <c r="Q469">
        <f>IF(A469="","",L469+M469+N469+O469+P469)</f>
        <v/>
      </c>
      <c r="R469">
        <f>IF(A469="","",IF(Q469&gt;1,"Yes","No"))</f>
        <v/>
      </c>
      <c r="S469">
        <f>IF(A469="","",TEXTJOIN(", ",TRUE,IF(L469=1,"ICICI",""),IF(M469=1,"Propelld",""),IF(N469=1,"Study4Buddy",""),IF(O469=1,"Poonawala Fincorp",""),IF(P469=1,"GyanDhan","")))</f>
        <v/>
      </c>
      <c r="T469">
        <f>IF(A469="","",IF(L469=1,"ICICI",IF(M469=1,"Propelld",IF(P469=1,"GyanDhan",IF(N469=1,"Study4Buddy",IF(O469=1,"Poonawala Fincorp",IF(ISNUMBER(SEARCH("GyanDhan",W469&amp;"")),"GyanDhan",IF(ISNUMBER(SEARCH("Icici",W469&amp;"")),"ICICI",IF(ISNUMBER(SEARCH("Propelld",W469&amp;"")),"Propelld",IF(ISNUMBER(SEARCH("vidyalakshmi",LOWER(W469&amp;"")),"PM Vidyalakshmi","—"))))))))))</f>
        <v/>
      </c>
      <c r="U469">
        <f>IF(A469="","",TRIM('01_Master_Data'!AA469&amp;""))</f>
        <v/>
      </c>
      <c r="V469">
        <f>IF(A469="","",TRIM('01_Master_Data'!AG469&amp;""))</f>
        <v/>
      </c>
      <c r="W469">
        <f>IF(A469="","",TRIM('01_Master_Data'!AH469&amp;""))</f>
        <v/>
      </c>
      <c r="X469">
        <f>IF(A469="","",IF(OR(LOWER(H469)="refund",LOWER(U469)="refund case"),"Refund",IF(OR(LOWER(H469)="dnp",LOWER(U469)="dnp"),"DNP",IF(OR(LOWER(V469)="disbursed",ISNUMBER(SEARCH("Disbursed",W469&amp;""))),"Disbursed",IF(OR(LOWER(V469)="loan proccessed/accepted",ISNUMBER(SEARCH("sanctioned",LOWER(W469&amp;"")))),"Sanctioned",IF(OR(LOWER(V469)="rejected",ISNUMBER(SEARCH("Not eligbile",W469&amp;"")),ISNUMBER(SEARCH("Not eligible",W469&amp;""))),"Rejected",IF(ISNUMBER(SEARCH("Docs Pending",W469&amp;"")),"Documents Pending",IF(AND(LOWER(H469)="yes",LOWER(V469)="ongoing"),"Processing",IF(AND(LOWER(H469)="yes",Q469&gt;0,OR(V469="",LOWER(V469)="not even started")),"Vendor Assigned",IF(AND(LOWER(H469)="yes",LOWER(V469)="not even started"),"Need Loan",IF(LOWER(H469)="yes","Loan Started",IF(LOWER(H469)="not sure","Interested",IF(OR(LOWER(H469)="no",LOWER(V469)="not required"),"Not Required","Unclassified")))))))))))))</f>
        <v/>
      </c>
      <c r="Y469">
        <f>IF(A469="","",IF(OR(X469="Sanctioned",X469="Disbursed",X469="Approved"),"Approved",IF(X469="Rejected","Rejected",IF(OR(X469="Processing",X469="Documents Pending",X469="Vendor Assigned"),"In Progress",IF(X469="Need Loan","Pending Start","—"))))</f>
        <v/>
      </c>
      <c r="Z469">
        <f>IF(A469="","",IF(X469="Disbursed","Disbursed",IF(X469="Sanctioned","Sanctioned - Awaiting Disbursement","Not Disbursed")))</f>
        <v/>
      </c>
      <c r="AA469">
        <f>IF(A469="","",IF(LOWER(TRIM('01_Master_Data'!AI469&amp;""))="yes","Need FLDG",IF(LOWER(TRIM('01_Master_Data'!AK469&amp;""))="yes","Need Vidyalakshmi",IF(LOWER(TRIM('01_Master_Data'!AJ469&amp;""))="yes","Need Review",IF(LOWER(J469)="critical","Critical",IF(LOWER(U469)="risk","Risk Case",IF(X469="Refund","Refund","Normal")))))))</f>
        <v/>
      </c>
      <c r="AB469">
        <f>IF(A469="","",IF(OR(LOWER(J469)="critical",LOWER(TRIM('01_Master_Data'!AI469&amp;""))="yes",LOWER(TRIM('01_Master_Data'!AK469&amp;""))="yes",LOWER(U469)="risk"),"Yes","No"))</f>
        <v/>
      </c>
      <c r="AC469">
        <f>IF(A469="","",IF(LOWER(TRIM('01_Master_Data'!AI469&amp;""))="yes","Yes","No"))</f>
        <v/>
      </c>
      <c r="AD469">
        <f>IF(A469="","",IF(LOWER(TRIM('01_Master_Data'!AK469&amp;""))="yes","Yes","No"))</f>
        <v/>
      </c>
      <c r="AE469">
        <f>IF(A469="","",IF(LOWER(TRIM('01_Master_Data'!AJ469&amp;""))="yes","Yes","No"))</f>
        <v/>
      </c>
      <c r="AF469">
        <f>IF(A469="","",TRIM('01_Master_Data'!AL469&amp;""))</f>
        <v/>
      </c>
      <c r="AG469">
        <f>IF(A469="","",IF(AF469="","—",IF(ISNUMBER(SEARCH("DNP",AF469)),"Unreachable / DNP",IF(ISNUMBER(SEARCH("interest",LOWER(AF469))),"High Interest / Terms",IF(OR(ISNUMBER(SEARCH("eligib",LOWER(AF469))),ISNUMBER(SEARCH("income",LOWER(AF469)))),"Eligibility / Income",IF(OR(ISNUMBER(SEARCH("start",LOWER(AF469))),ISNUMBER(SEARCH("Newer",AF469)),ISNUMBER(SEARCH("Will start",AF469))),"Process Yet to Start",IF(ISNUMBER(SEARCH("sure",LOWER(AF469))),"Undecided",IF(OR(ISNUMBER(SEARCH("reject",LOWER(AF469))),ISNUMBER(SEARCH("SBI",AF469))),"Rejected Elsewhere",IF(ISNUMBER(SEARCH("call",LOWER(AF469))),"Bank Communication",IF(OR(ISNUMBER(SEARCH("father",LOWER(AF469))),ISNUMBER(SEARCH("sister",LOWER(AF469)))),"Family / Dependency","Other"))))))))))</f>
        <v/>
      </c>
      <c r="AH469">
        <f>IF(A469="","",'01_Master_Data'!AC469)</f>
        <v/>
      </c>
      <c r="AI469">
        <f>IF(A469="","",IF(OR(AH469="",NOT(ISNUMBER(AH469))),"",MAX(0,'02_Configuration'!$B$82-AH469)))</f>
        <v/>
      </c>
      <c r="AJ469">
        <f>IF(A469="","",IF(AI469="","Unknown",IF(AI469&lt;=3,"0–3 Days",IF(AI469&lt;=7,"4–7 Days",IF(AI469&lt;=15,"8–15 Days",IF(AI469&lt;=30,"16–30 Days","30+ Days"))))))</f>
        <v/>
      </c>
      <c r="AK469">
        <f>IF(A469="","",IF(LOWER(H469)="yes","Yes","No"))</f>
        <v/>
      </c>
      <c r="AL469">
        <f>IF(A469="","",'01_Master_Data'!T469)</f>
        <v/>
      </c>
      <c r="AM469">
        <f>IF(A469="","",'01_Master_Data'!S469)</f>
        <v/>
      </c>
      <c r="AN469">
        <f>IF(A469="","",'01_Master_Data'!I469)</f>
        <v/>
      </c>
      <c r="AO469">
        <f>IF(A469="","",'01_Master_Data'!M469)</f>
        <v/>
      </c>
      <c r="AP469">
        <f>IF(A469="","",IF(ISNUMBER(SEARCH("Icici",W469&amp;"")),1,0))</f>
        <v/>
      </c>
      <c r="AQ469">
        <f>IF(A469="","",IF(ISNUMBER(SEARCH("Propelld",W469&amp;"")),1,0))</f>
        <v/>
      </c>
      <c r="AR469">
        <f>IF(A469="","",IF(ISNUMBER(SEARCH("GyanDhan",W469&amp;"")),1,0))</f>
        <v/>
      </c>
      <c r="AS469">
        <f>IF(A469="","",IF(ISNUMBER(SEARCH("vidyalakshmi",LOWER(W469&amp;""))),1,0))</f>
        <v/>
      </c>
      <c r="AT469">
        <f>IF(A469="","",IF(ISNUMBER(SEARCH("other bank",LOWER(W469&amp;""))),1,0))</f>
        <v/>
      </c>
      <c r="AU469">
        <f>IF(A469="","",IF(ISNUMBER(SEARCH("sanctioned",LOWER(W469&amp;""))),1,0))</f>
        <v/>
      </c>
      <c r="AV469">
        <f>IF(A469="","",IF(ISNUMBER(SEARCH("Docs Pending",W469&amp;"")),1,0))</f>
        <v/>
      </c>
      <c r="AW469">
        <f>IF(A469="","",IF(OR(X469="Rejected",ISNUMBER(SEARCH("Not eligbile",W469&amp;""))),1,0))</f>
        <v/>
      </c>
    </row>
    <row r="470">
      <c r="A470">
        <f>IF('01_Master_Data'!B470="","",469)</f>
        <v/>
      </c>
      <c r="B470">
        <f>IF('01_Master_Data'!B470="","",IF('01_Master_Data'!C470&lt;&gt;"","MOB|"&amp;TEXT('01_Master_Data'!C470,"0"),IF('01_Master_Data'!D470&lt;&gt;"","PID|"&amp;TRIM('01_Master_Data'!D470&amp;""),"")))</f>
        <v/>
      </c>
      <c r="C470">
        <f>IF('01_Master_Data'!B470="","",'01_Master_Data'!B470)</f>
        <v/>
      </c>
      <c r="D470">
        <f>IF('01_Master_Data'!B470="","",'01_Master_Data'!C470)</f>
        <v/>
      </c>
      <c r="E470">
        <f>IF('01_Master_Data'!B470="","",'01_Master_Data'!D470)</f>
        <v/>
      </c>
      <c r="F470">
        <f>IF('01_Master_Data'!B470="","",'01_Master_Data'!E470)</f>
        <v/>
      </c>
      <c r="G470">
        <f>IF('01_Master_Data'!B470="","",IFERROR(VLOOKUP(TRIM('01_Master_Data'!E470&amp;""),'02_Configuration'!$A$40:$B$44,2,FALSE),UPPER(TRIM('01_Master_Data'!E470&amp;""))))</f>
        <v/>
      </c>
      <c r="H470">
        <f>IF('01_Master_Data'!B470="","",IF('01_Master_Data'!U470="","",TRIM('01_Master_Data'!U470&amp;"")))</f>
        <v/>
      </c>
      <c r="I470">
        <f>IF('01_Master_Data'!B470="","",TRIM('01_Master_Data'!F470&amp;""))</f>
        <v/>
      </c>
      <c r="J470">
        <f>IF('01_Master_Data'!B470="","",TRIM('01_Master_Data'!G470&amp;""))</f>
        <v/>
      </c>
      <c r="K470">
        <f>IF('01_Master_Data'!B470="","",'01_Master_Data'!H470)</f>
        <v/>
      </c>
      <c r="L470">
        <f>IF('01_Master_Data'!B470="","",IF(LOWER(TRIM('01_Master_Data'!V470&amp;""))="yes",1,0))</f>
        <v/>
      </c>
      <c r="M470">
        <f>IF('01_Master_Data'!B470="","",IF(LOWER(TRIM('01_Master_Data'!W470&amp;""))="yes",1,0))</f>
        <v/>
      </c>
      <c r="N470">
        <f>IF('01_Master_Data'!B470="","",IF(LOWER(TRIM('01_Master_Data'!X470&amp;""))="yes",1,0))</f>
        <v/>
      </c>
      <c r="O470">
        <f>IF('01_Master_Data'!B470="","",IF(LOWER(TRIM('01_Master_Data'!Y470&amp;""))="yes",1,0))</f>
        <v/>
      </c>
      <c r="P470">
        <f>IF('01_Master_Data'!B470="","",IF(LOWER(TRIM('01_Master_Data'!Z470&amp;""))="yes",1,0))</f>
        <v/>
      </c>
      <c r="Q470">
        <f>IF(A470="","",L470+M470+N470+O470+P470)</f>
        <v/>
      </c>
      <c r="R470">
        <f>IF(A470="","",IF(Q470&gt;1,"Yes","No"))</f>
        <v/>
      </c>
      <c r="S470">
        <f>IF(A470="","",TEXTJOIN(", ",TRUE,IF(L470=1,"ICICI",""),IF(M470=1,"Propelld",""),IF(N470=1,"Study4Buddy",""),IF(O470=1,"Poonawala Fincorp",""),IF(P470=1,"GyanDhan","")))</f>
        <v/>
      </c>
      <c r="T470">
        <f>IF(A470="","",IF(L470=1,"ICICI",IF(M470=1,"Propelld",IF(P470=1,"GyanDhan",IF(N470=1,"Study4Buddy",IF(O470=1,"Poonawala Fincorp",IF(ISNUMBER(SEARCH("GyanDhan",W470&amp;"")),"GyanDhan",IF(ISNUMBER(SEARCH("Icici",W470&amp;"")),"ICICI",IF(ISNUMBER(SEARCH("Propelld",W470&amp;"")),"Propelld",IF(ISNUMBER(SEARCH("vidyalakshmi",LOWER(W470&amp;"")),"PM Vidyalakshmi","—"))))))))))</f>
        <v/>
      </c>
      <c r="U470">
        <f>IF(A470="","",TRIM('01_Master_Data'!AA470&amp;""))</f>
        <v/>
      </c>
      <c r="V470">
        <f>IF(A470="","",TRIM('01_Master_Data'!AG470&amp;""))</f>
        <v/>
      </c>
      <c r="W470">
        <f>IF(A470="","",TRIM('01_Master_Data'!AH470&amp;""))</f>
        <v/>
      </c>
      <c r="X470">
        <f>IF(A470="","",IF(OR(LOWER(H470)="refund",LOWER(U470)="refund case"),"Refund",IF(OR(LOWER(H470)="dnp",LOWER(U470)="dnp"),"DNP",IF(OR(LOWER(V470)="disbursed",ISNUMBER(SEARCH("Disbursed",W470&amp;""))),"Disbursed",IF(OR(LOWER(V470)="loan proccessed/accepted",ISNUMBER(SEARCH("sanctioned",LOWER(W470&amp;"")))),"Sanctioned",IF(OR(LOWER(V470)="rejected",ISNUMBER(SEARCH("Not eligbile",W470&amp;"")),ISNUMBER(SEARCH("Not eligible",W470&amp;""))),"Rejected",IF(ISNUMBER(SEARCH("Docs Pending",W470&amp;"")),"Documents Pending",IF(AND(LOWER(H470)="yes",LOWER(V470)="ongoing"),"Processing",IF(AND(LOWER(H470)="yes",Q470&gt;0,OR(V470="",LOWER(V470)="not even started")),"Vendor Assigned",IF(AND(LOWER(H470)="yes",LOWER(V470)="not even started"),"Need Loan",IF(LOWER(H470)="yes","Loan Started",IF(LOWER(H470)="not sure","Interested",IF(OR(LOWER(H470)="no",LOWER(V470)="not required"),"Not Required","Unclassified")))))))))))))</f>
        <v/>
      </c>
      <c r="Y470">
        <f>IF(A470="","",IF(OR(X470="Sanctioned",X470="Disbursed",X470="Approved"),"Approved",IF(X470="Rejected","Rejected",IF(OR(X470="Processing",X470="Documents Pending",X470="Vendor Assigned"),"In Progress",IF(X470="Need Loan","Pending Start","—"))))</f>
        <v/>
      </c>
      <c r="Z470">
        <f>IF(A470="","",IF(X470="Disbursed","Disbursed",IF(X470="Sanctioned","Sanctioned - Awaiting Disbursement","Not Disbursed")))</f>
        <v/>
      </c>
      <c r="AA470">
        <f>IF(A470="","",IF(LOWER(TRIM('01_Master_Data'!AI470&amp;""))="yes","Need FLDG",IF(LOWER(TRIM('01_Master_Data'!AK470&amp;""))="yes","Need Vidyalakshmi",IF(LOWER(TRIM('01_Master_Data'!AJ470&amp;""))="yes","Need Review",IF(LOWER(J470)="critical","Critical",IF(LOWER(U470)="risk","Risk Case",IF(X470="Refund","Refund","Normal")))))))</f>
        <v/>
      </c>
      <c r="AB470">
        <f>IF(A470="","",IF(OR(LOWER(J470)="critical",LOWER(TRIM('01_Master_Data'!AI470&amp;""))="yes",LOWER(TRIM('01_Master_Data'!AK470&amp;""))="yes",LOWER(U470)="risk"),"Yes","No"))</f>
        <v/>
      </c>
      <c r="AC470">
        <f>IF(A470="","",IF(LOWER(TRIM('01_Master_Data'!AI470&amp;""))="yes","Yes","No"))</f>
        <v/>
      </c>
      <c r="AD470">
        <f>IF(A470="","",IF(LOWER(TRIM('01_Master_Data'!AK470&amp;""))="yes","Yes","No"))</f>
        <v/>
      </c>
      <c r="AE470">
        <f>IF(A470="","",IF(LOWER(TRIM('01_Master_Data'!AJ470&amp;""))="yes","Yes","No"))</f>
        <v/>
      </c>
      <c r="AF470">
        <f>IF(A470="","",TRIM('01_Master_Data'!AL470&amp;""))</f>
        <v/>
      </c>
      <c r="AG470">
        <f>IF(A470="","",IF(AF470="","—",IF(ISNUMBER(SEARCH("DNP",AF470)),"Unreachable / DNP",IF(ISNUMBER(SEARCH("interest",LOWER(AF470))),"High Interest / Terms",IF(OR(ISNUMBER(SEARCH("eligib",LOWER(AF470))),ISNUMBER(SEARCH("income",LOWER(AF470)))),"Eligibility / Income",IF(OR(ISNUMBER(SEARCH("start",LOWER(AF470))),ISNUMBER(SEARCH("Newer",AF470)),ISNUMBER(SEARCH("Will start",AF470))),"Process Yet to Start",IF(ISNUMBER(SEARCH("sure",LOWER(AF470))),"Undecided",IF(OR(ISNUMBER(SEARCH("reject",LOWER(AF470))),ISNUMBER(SEARCH("SBI",AF470))),"Rejected Elsewhere",IF(ISNUMBER(SEARCH("call",LOWER(AF470))),"Bank Communication",IF(OR(ISNUMBER(SEARCH("father",LOWER(AF470))),ISNUMBER(SEARCH("sister",LOWER(AF470)))),"Family / Dependency","Other"))))))))))</f>
        <v/>
      </c>
      <c r="AH470">
        <f>IF(A470="","",'01_Master_Data'!AC470)</f>
        <v/>
      </c>
      <c r="AI470">
        <f>IF(A470="","",IF(OR(AH470="",NOT(ISNUMBER(AH470))),"",MAX(0,'02_Configuration'!$B$82-AH470)))</f>
        <v/>
      </c>
      <c r="AJ470">
        <f>IF(A470="","",IF(AI470="","Unknown",IF(AI470&lt;=3,"0–3 Days",IF(AI470&lt;=7,"4–7 Days",IF(AI470&lt;=15,"8–15 Days",IF(AI470&lt;=30,"16–30 Days","30+ Days"))))))</f>
        <v/>
      </c>
      <c r="AK470">
        <f>IF(A470="","",IF(LOWER(H470)="yes","Yes","No"))</f>
        <v/>
      </c>
      <c r="AL470">
        <f>IF(A470="","",'01_Master_Data'!T470)</f>
        <v/>
      </c>
      <c r="AM470">
        <f>IF(A470="","",'01_Master_Data'!S470)</f>
        <v/>
      </c>
      <c r="AN470">
        <f>IF(A470="","",'01_Master_Data'!I470)</f>
        <v/>
      </c>
      <c r="AO470">
        <f>IF(A470="","",'01_Master_Data'!M470)</f>
        <v/>
      </c>
      <c r="AP470">
        <f>IF(A470="","",IF(ISNUMBER(SEARCH("Icici",W470&amp;"")),1,0))</f>
        <v/>
      </c>
      <c r="AQ470">
        <f>IF(A470="","",IF(ISNUMBER(SEARCH("Propelld",W470&amp;"")),1,0))</f>
        <v/>
      </c>
      <c r="AR470">
        <f>IF(A470="","",IF(ISNUMBER(SEARCH("GyanDhan",W470&amp;"")),1,0))</f>
        <v/>
      </c>
      <c r="AS470">
        <f>IF(A470="","",IF(ISNUMBER(SEARCH("vidyalakshmi",LOWER(W470&amp;""))),1,0))</f>
        <v/>
      </c>
      <c r="AT470">
        <f>IF(A470="","",IF(ISNUMBER(SEARCH("other bank",LOWER(W470&amp;""))),1,0))</f>
        <v/>
      </c>
      <c r="AU470">
        <f>IF(A470="","",IF(ISNUMBER(SEARCH("sanctioned",LOWER(W470&amp;""))),1,0))</f>
        <v/>
      </c>
      <c r="AV470">
        <f>IF(A470="","",IF(ISNUMBER(SEARCH("Docs Pending",W470&amp;"")),1,0))</f>
        <v/>
      </c>
      <c r="AW470">
        <f>IF(A470="","",IF(OR(X470="Rejected",ISNUMBER(SEARCH("Not eligbile",W470&amp;""))),1,0))</f>
        <v/>
      </c>
    </row>
    <row r="471">
      <c r="A471">
        <f>IF('01_Master_Data'!B471="","",470)</f>
        <v/>
      </c>
      <c r="B471">
        <f>IF('01_Master_Data'!B471="","",IF('01_Master_Data'!C471&lt;&gt;"","MOB|"&amp;TEXT('01_Master_Data'!C471,"0"),IF('01_Master_Data'!D471&lt;&gt;"","PID|"&amp;TRIM('01_Master_Data'!D471&amp;""),"")))</f>
        <v/>
      </c>
      <c r="C471">
        <f>IF('01_Master_Data'!B471="","",'01_Master_Data'!B471)</f>
        <v/>
      </c>
      <c r="D471">
        <f>IF('01_Master_Data'!B471="","",'01_Master_Data'!C471)</f>
        <v/>
      </c>
      <c r="E471">
        <f>IF('01_Master_Data'!B471="","",'01_Master_Data'!D471)</f>
        <v/>
      </c>
      <c r="F471">
        <f>IF('01_Master_Data'!B471="","",'01_Master_Data'!E471)</f>
        <v/>
      </c>
      <c r="G471">
        <f>IF('01_Master_Data'!B471="","",IFERROR(VLOOKUP(TRIM('01_Master_Data'!E471&amp;""),'02_Configuration'!$A$40:$B$44,2,FALSE),UPPER(TRIM('01_Master_Data'!E471&amp;""))))</f>
        <v/>
      </c>
      <c r="H471">
        <f>IF('01_Master_Data'!B471="","",IF('01_Master_Data'!U471="","",TRIM('01_Master_Data'!U471&amp;"")))</f>
        <v/>
      </c>
      <c r="I471">
        <f>IF('01_Master_Data'!B471="","",TRIM('01_Master_Data'!F471&amp;""))</f>
        <v/>
      </c>
      <c r="J471">
        <f>IF('01_Master_Data'!B471="","",TRIM('01_Master_Data'!G471&amp;""))</f>
        <v/>
      </c>
      <c r="K471">
        <f>IF('01_Master_Data'!B471="","",'01_Master_Data'!H471)</f>
        <v/>
      </c>
      <c r="L471">
        <f>IF('01_Master_Data'!B471="","",IF(LOWER(TRIM('01_Master_Data'!V471&amp;""))="yes",1,0))</f>
        <v/>
      </c>
      <c r="M471">
        <f>IF('01_Master_Data'!B471="","",IF(LOWER(TRIM('01_Master_Data'!W471&amp;""))="yes",1,0))</f>
        <v/>
      </c>
      <c r="N471">
        <f>IF('01_Master_Data'!B471="","",IF(LOWER(TRIM('01_Master_Data'!X471&amp;""))="yes",1,0))</f>
        <v/>
      </c>
      <c r="O471">
        <f>IF('01_Master_Data'!B471="","",IF(LOWER(TRIM('01_Master_Data'!Y471&amp;""))="yes",1,0))</f>
        <v/>
      </c>
      <c r="P471">
        <f>IF('01_Master_Data'!B471="","",IF(LOWER(TRIM('01_Master_Data'!Z471&amp;""))="yes",1,0))</f>
        <v/>
      </c>
      <c r="Q471">
        <f>IF(A471="","",L471+M471+N471+O471+P471)</f>
        <v/>
      </c>
      <c r="R471">
        <f>IF(A471="","",IF(Q471&gt;1,"Yes","No"))</f>
        <v/>
      </c>
      <c r="S471">
        <f>IF(A471="","",TEXTJOIN(", ",TRUE,IF(L471=1,"ICICI",""),IF(M471=1,"Propelld",""),IF(N471=1,"Study4Buddy",""),IF(O471=1,"Poonawala Fincorp",""),IF(P471=1,"GyanDhan","")))</f>
        <v/>
      </c>
      <c r="T471">
        <f>IF(A471="","",IF(L471=1,"ICICI",IF(M471=1,"Propelld",IF(P471=1,"GyanDhan",IF(N471=1,"Study4Buddy",IF(O471=1,"Poonawala Fincorp",IF(ISNUMBER(SEARCH("GyanDhan",W471&amp;"")),"GyanDhan",IF(ISNUMBER(SEARCH("Icici",W471&amp;"")),"ICICI",IF(ISNUMBER(SEARCH("Propelld",W471&amp;"")),"Propelld",IF(ISNUMBER(SEARCH("vidyalakshmi",LOWER(W471&amp;"")),"PM Vidyalakshmi","—"))))))))))</f>
        <v/>
      </c>
      <c r="U471">
        <f>IF(A471="","",TRIM('01_Master_Data'!AA471&amp;""))</f>
        <v/>
      </c>
      <c r="V471">
        <f>IF(A471="","",TRIM('01_Master_Data'!AG471&amp;""))</f>
        <v/>
      </c>
      <c r="W471">
        <f>IF(A471="","",TRIM('01_Master_Data'!AH471&amp;""))</f>
        <v/>
      </c>
      <c r="X471">
        <f>IF(A471="","",IF(OR(LOWER(H471)="refund",LOWER(U471)="refund case"),"Refund",IF(OR(LOWER(H471)="dnp",LOWER(U471)="dnp"),"DNP",IF(OR(LOWER(V471)="disbursed",ISNUMBER(SEARCH("Disbursed",W471&amp;""))),"Disbursed",IF(OR(LOWER(V471)="loan proccessed/accepted",ISNUMBER(SEARCH("sanctioned",LOWER(W471&amp;"")))),"Sanctioned",IF(OR(LOWER(V471)="rejected",ISNUMBER(SEARCH("Not eligbile",W471&amp;"")),ISNUMBER(SEARCH("Not eligible",W471&amp;""))),"Rejected",IF(ISNUMBER(SEARCH("Docs Pending",W471&amp;"")),"Documents Pending",IF(AND(LOWER(H471)="yes",LOWER(V471)="ongoing"),"Processing",IF(AND(LOWER(H471)="yes",Q471&gt;0,OR(V471="",LOWER(V471)="not even started")),"Vendor Assigned",IF(AND(LOWER(H471)="yes",LOWER(V471)="not even started"),"Need Loan",IF(LOWER(H471)="yes","Loan Started",IF(LOWER(H471)="not sure","Interested",IF(OR(LOWER(H471)="no",LOWER(V471)="not required"),"Not Required","Unclassified")))))))))))))</f>
        <v/>
      </c>
      <c r="Y471">
        <f>IF(A471="","",IF(OR(X471="Sanctioned",X471="Disbursed",X471="Approved"),"Approved",IF(X471="Rejected","Rejected",IF(OR(X471="Processing",X471="Documents Pending",X471="Vendor Assigned"),"In Progress",IF(X471="Need Loan","Pending Start","—"))))</f>
        <v/>
      </c>
      <c r="Z471">
        <f>IF(A471="","",IF(X471="Disbursed","Disbursed",IF(X471="Sanctioned","Sanctioned - Awaiting Disbursement","Not Disbursed")))</f>
        <v/>
      </c>
      <c r="AA471">
        <f>IF(A471="","",IF(LOWER(TRIM('01_Master_Data'!AI471&amp;""))="yes","Need FLDG",IF(LOWER(TRIM('01_Master_Data'!AK471&amp;""))="yes","Need Vidyalakshmi",IF(LOWER(TRIM('01_Master_Data'!AJ471&amp;""))="yes","Need Review",IF(LOWER(J471)="critical","Critical",IF(LOWER(U471)="risk","Risk Case",IF(X471="Refund","Refund","Normal")))))))</f>
        <v/>
      </c>
      <c r="AB471">
        <f>IF(A471="","",IF(OR(LOWER(J471)="critical",LOWER(TRIM('01_Master_Data'!AI471&amp;""))="yes",LOWER(TRIM('01_Master_Data'!AK471&amp;""))="yes",LOWER(U471)="risk"),"Yes","No"))</f>
        <v/>
      </c>
      <c r="AC471">
        <f>IF(A471="","",IF(LOWER(TRIM('01_Master_Data'!AI471&amp;""))="yes","Yes","No"))</f>
        <v/>
      </c>
      <c r="AD471">
        <f>IF(A471="","",IF(LOWER(TRIM('01_Master_Data'!AK471&amp;""))="yes","Yes","No"))</f>
        <v/>
      </c>
      <c r="AE471">
        <f>IF(A471="","",IF(LOWER(TRIM('01_Master_Data'!AJ471&amp;""))="yes","Yes","No"))</f>
        <v/>
      </c>
      <c r="AF471">
        <f>IF(A471="","",TRIM('01_Master_Data'!AL471&amp;""))</f>
        <v/>
      </c>
      <c r="AG471">
        <f>IF(A471="","",IF(AF471="","—",IF(ISNUMBER(SEARCH("DNP",AF471)),"Unreachable / DNP",IF(ISNUMBER(SEARCH("interest",LOWER(AF471))),"High Interest / Terms",IF(OR(ISNUMBER(SEARCH("eligib",LOWER(AF471))),ISNUMBER(SEARCH("income",LOWER(AF471)))),"Eligibility / Income",IF(OR(ISNUMBER(SEARCH("start",LOWER(AF471))),ISNUMBER(SEARCH("Newer",AF471)),ISNUMBER(SEARCH("Will start",AF471))),"Process Yet to Start",IF(ISNUMBER(SEARCH("sure",LOWER(AF471))),"Undecided",IF(OR(ISNUMBER(SEARCH("reject",LOWER(AF471))),ISNUMBER(SEARCH("SBI",AF471))),"Rejected Elsewhere",IF(ISNUMBER(SEARCH("call",LOWER(AF471))),"Bank Communication",IF(OR(ISNUMBER(SEARCH("father",LOWER(AF471))),ISNUMBER(SEARCH("sister",LOWER(AF471)))),"Family / Dependency","Other"))))))))))</f>
        <v/>
      </c>
      <c r="AH471">
        <f>IF(A471="","",'01_Master_Data'!AC471)</f>
        <v/>
      </c>
      <c r="AI471">
        <f>IF(A471="","",IF(OR(AH471="",NOT(ISNUMBER(AH471))),"",MAX(0,'02_Configuration'!$B$82-AH471)))</f>
        <v/>
      </c>
      <c r="AJ471">
        <f>IF(A471="","",IF(AI471="","Unknown",IF(AI471&lt;=3,"0–3 Days",IF(AI471&lt;=7,"4–7 Days",IF(AI471&lt;=15,"8–15 Days",IF(AI471&lt;=30,"16–30 Days","30+ Days"))))))</f>
        <v/>
      </c>
      <c r="AK471">
        <f>IF(A471="","",IF(LOWER(H471)="yes","Yes","No"))</f>
        <v/>
      </c>
      <c r="AL471">
        <f>IF(A471="","",'01_Master_Data'!T471)</f>
        <v/>
      </c>
      <c r="AM471">
        <f>IF(A471="","",'01_Master_Data'!S471)</f>
        <v/>
      </c>
      <c r="AN471">
        <f>IF(A471="","",'01_Master_Data'!I471)</f>
        <v/>
      </c>
      <c r="AO471">
        <f>IF(A471="","",'01_Master_Data'!M471)</f>
        <v/>
      </c>
      <c r="AP471">
        <f>IF(A471="","",IF(ISNUMBER(SEARCH("Icici",W471&amp;"")),1,0))</f>
        <v/>
      </c>
      <c r="AQ471">
        <f>IF(A471="","",IF(ISNUMBER(SEARCH("Propelld",W471&amp;"")),1,0))</f>
        <v/>
      </c>
      <c r="AR471">
        <f>IF(A471="","",IF(ISNUMBER(SEARCH("GyanDhan",W471&amp;"")),1,0))</f>
        <v/>
      </c>
      <c r="AS471">
        <f>IF(A471="","",IF(ISNUMBER(SEARCH("vidyalakshmi",LOWER(W471&amp;""))),1,0))</f>
        <v/>
      </c>
      <c r="AT471">
        <f>IF(A471="","",IF(ISNUMBER(SEARCH("other bank",LOWER(W471&amp;""))),1,0))</f>
        <v/>
      </c>
      <c r="AU471">
        <f>IF(A471="","",IF(ISNUMBER(SEARCH("sanctioned",LOWER(W471&amp;""))),1,0))</f>
        <v/>
      </c>
      <c r="AV471">
        <f>IF(A471="","",IF(ISNUMBER(SEARCH("Docs Pending",W471&amp;"")),1,0))</f>
        <v/>
      </c>
      <c r="AW471">
        <f>IF(A471="","",IF(OR(X471="Rejected",ISNUMBER(SEARCH("Not eligbile",W471&amp;""))),1,0))</f>
        <v/>
      </c>
    </row>
    <row r="472">
      <c r="A472">
        <f>IF('01_Master_Data'!B472="","",471)</f>
        <v/>
      </c>
      <c r="B472">
        <f>IF('01_Master_Data'!B472="","",IF('01_Master_Data'!C472&lt;&gt;"","MOB|"&amp;TEXT('01_Master_Data'!C472,"0"),IF('01_Master_Data'!D472&lt;&gt;"","PID|"&amp;TRIM('01_Master_Data'!D472&amp;""),"")))</f>
        <v/>
      </c>
      <c r="C472">
        <f>IF('01_Master_Data'!B472="","",'01_Master_Data'!B472)</f>
        <v/>
      </c>
      <c r="D472">
        <f>IF('01_Master_Data'!B472="","",'01_Master_Data'!C472)</f>
        <v/>
      </c>
      <c r="E472">
        <f>IF('01_Master_Data'!B472="","",'01_Master_Data'!D472)</f>
        <v/>
      </c>
      <c r="F472">
        <f>IF('01_Master_Data'!B472="","",'01_Master_Data'!E472)</f>
        <v/>
      </c>
      <c r="G472">
        <f>IF('01_Master_Data'!B472="","",IFERROR(VLOOKUP(TRIM('01_Master_Data'!E472&amp;""),'02_Configuration'!$A$40:$B$44,2,FALSE),UPPER(TRIM('01_Master_Data'!E472&amp;""))))</f>
        <v/>
      </c>
      <c r="H472">
        <f>IF('01_Master_Data'!B472="","",IF('01_Master_Data'!U472="","",TRIM('01_Master_Data'!U472&amp;"")))</f>
        <v/>
      </c>
      <c r="I472">
        <f>IF('01_Master_Data'!B472="","",TRIM('01_Master_Data'!F472&amp;""))</f>
        <v/>
      </c>
      <c r="J472">
        <f>IF('01_Master_Data'!B472="","",TRIM('01_Master_Data'!G472&amp;""))</f>
        <v/>
      </c>
      <c r="K472">
        <f>IF('01_Master_Data'!B472="","",'01_Master_Data'!H472)</f>
        <v/>
      </c>
      <c r="L472">
        <f>IF('01_Master_Data'!B472="","",IF(LOWER(TRIM('01_Master_Data'!V472&amp;""))="yes",1,0))</f>
        <v/>
      </c>
      <c r="M472">
        <f>IF('01_Master_Data'!B472="","",IF(LOWER(TRIM('01_Master_Data'!W472&amp;""))="yes",1,0))</f>
        <v/>
      </c>
      <c r="N472">
        <f>IF('01_Master_Data'!B472="","",IF(LOWER(TRIM('01_Master_Data'!X472&amp;""))="yes",1,0))</f>
        <v/>
      </c>
      <c r="O472">
        <f>IF('01_Master_Data'!B472="","",IF(LOWER(TRIM('01_Master_Data'!Y472&amp;""))="yes",1,0))</f>
        <v/>
      </c>
      <c r="P472">
        <f>IF('01_Master_Data'!B472="","",IF(LOWER(TRIM('01_Master_Data'!Z472&amp;""))="yes",1,0))</f>
        <v/>
      </c>
      <c r="Q472">
        <f>IF(A472="","",L472+M472+N472+O472+P472)</f>
        <v/>
      </c>
      <c r="R472">
        <f>IF(A472="","",IF(Q472&gt;1,"Yes","No"))</f>
        <v/>
      </c>
      <c r="S472">
        <f>IF(A472="","",TEXTJOIN(", ",TRUE,IF(L472=1,"ICICI",""),IF(M472=1,"Propelld",""),IF(N472=1,"Study4Buddy",""),IF(O472=1,"Poonawala Fincorp",""),IF(P472=1,"GyanDhan","")))</f>
        <v/>
      </c>
      <c r="T472">
        <f>IF(A472="","",IF(L472=1,"ICICI",IF(M472=1,"Propelld",IF(P472=1,"GyanDhan",IF(N472=1,"Study4Buddy",IF(O472=1,"Poonawala Fincorp",IF(ISNUMBER(SEARCH("GyanDhan",W472&amp;"")),"GyanDhan",IF(ISNUMBER(SEARCH("Icici",W472&amp;"")),"ICICI",IF(ISNUMBER(SEARCH("Propelld",W472&amp;"")),"Propelld",IF(ISNUMBER(SEARCH("vidyalakshmi",LOWER(W472&amp;"")),"PM Vidyalakshmi","—"))))))))))</f>
        <v/>
      </c>
      <c r="U472">
        <f>IF(A472="","",TRIM('01_Master_Data'!AA472&amp;""))</f>
        <v/>
      </c>
      <c r="V472">
        <f>IF(A472="","",TRIM('01_Master_Data'!AG472&amp;""))</f>
        <v/>
      </c>
      <c r="W472">
        <f>IF(A472="","",TRIM('01_Master_Data'!AH472&amp;""))</f>
        <v/>
      </c>
      <c r="X472">
        <f>IF(A472="","",IF(OR(LOWER(H472)="refund",LOWER(U472)="refund case"),"Refund",IF(OR(LOWER(H472)="dnp",LOWER(U472)="dnp"),"DNP",IF(OR(LOWER(V472)="disbursed",ISNUMBER(SEARCH("Disbursed",W472&amp;""))),"Disbursed",IF(OR(LOWER(V472)="loan proccessed/accepted",ISNUMBER(SEARCH("sanctioned",LOWER(W472&amp;"")))),"Sanctioned",IF(OR(LOWER(V472)="rejected",ISNUMBER(SEARCH("Not eligbile",W472&amp;"")),ISNUMBER(SEARCH("Not eligible",W472&amp;""))),"Rejected",IF(ISNUMBER(SEARCH("Docs Pending",W472&amp;"")),"Documents Pending",IF(AND(LOWER(H472)="yes",LOWER(V472)="ongoing"),"Processing",IF(AND(LOWER(H472)="yes",Q472&gt;0,OR(V472="",LOWER(V472)="not even started")),"Vendor Assigned",IF(AND(LOWER(H472)="yes",LOWER(V472)="not even started"),"Need Loan",IF(LOWER(H472)="yes","Loan Started",IF(LOWER(H472)="not sure","Interested",IF(OR(LOWER(H472)="no",LOWER(V472)="not required"),"Not Required","Unclassified")))))))))))))</f>
        <v/>
      </c>
      <c r="Y472">
        <f>IF(A472="","",IF(OR(X472="Sanctioned",X472="Disbursed",X472="Approved"),"Approved",IF(X472="Rejected","Rejected",IF(OR(X472="Processing",X472="Documents Pending",X472="Vendor Assigned"),"In Progress",IF(X472="Need Loan","Pending Start","—"))))</f>
        <v/>
      </c>
      <c r="Z472">
        <f>IF(A472="","",IF(X472="Disbursed","Disbursed",IF(X472="Sanctioned","Sanctioned - Awaiting Disbursement","Not Disbursed")))</f>
        <v/>
      </c>
      <c r="AA472">
        <f>IF(A472="","",IF(LOWER(TRIM('01_Master_Data'!AI472&amp;""))="yes","Need FLDG",IF(LOWER(TRIM('01_Master_Data'!AK472&amp;""))="yes","Need Vidyalakshmi",IF(LOWER(TRIM('01_Master_Data'!AJ472&amp;""))="yes","Need Review",IF(LOWER(J472)="critical","Critical",IF(LOWER(U472)="risk","Risk Case",IF(X472="Refund","Refund","Normal")))))))</f>
        <v/>
      </c>
      <c r="AB472">
        <f>IF(A472="","",IF(OR(LOWER(J472)="critical",LOWER(TRIM('01_Master_Data'!AI472&amp;""))="yes",LOWER(TRIM('01_Master_Data'!AK472&amp;""))="yes",LOWER(U472)="risk"),"Yes","No"))</f>
        <v/>
      </c>
      <c r="AC472">
        <f>IF(A472="","",IF(LOWER(TRIM('01_Master_Data'!AI472&amp;""))="yes","Yes","No"))</f>
        <v/>
      </c>
      <c r="AD472">
        <f>IF(A472="","",IF(LOWER(TRIM('01_Master_Data'!AK472&amp;""))="yes","Yes","No"))</f>
        <v/>
      </c>
      <c r="AE472">
        <f>IF(A472="","",IF(LOWER(TRIM('01_Master_Data'!AJ472&amp;""))="yes","Yes","No"))</f>
        <v/>
      </c>
      <c r="AF472">
        <f>IF(A472="","",TRIM('01_Master_Data'!AL472&amp;""))</f>
        <v/>
      </c>
      <c r="AG472">
        <f>IF(A472="","",IF(AF472="","—",IF(ISNUMBER(SEARCH("DNP",AF472)),"Unreachable / DNP",IF(ISNUMBER(SEARCH("interest",LOWER(AF472))),"High Interest / Terms",IF(OR(ISNUMBER(SEARCH("eligib",LOWER(AF472))),ISNUMBER(SEARCH("income",LOWER(AF472)))),"Eligibility / Income",IF(OR(ISNUMBER(SEARCH("start",LOWER(AF472))),ISNUMBER(SEARCH("Newer",AF472)),ISNUMBER(SEARCH("Will start",AF472))),"Process Yet to Start",IF(ISNUMBER(SEARCH("sure",LOWER(AF472))),"Undecided",IF(OR(ISNUMBER(SEARCH("reject",LOWER(AF472))),ISNUMBER(SEARCH("SBI",AF472))),"Rejected Elsewhere",IF(ISNUMBER(SEARCH("call",LOWER(AF472))),"Bank Communication",IF(OR(ISNUMBER(SEARCH("father",LOWER(AF472))),ISNUMBER(SEARCH("sister",LOWER(AF472)))),"Family / Dependency","Other"))))))))))</f>
        <v/>
      </c>
      <c r="AH472">
        <f>IF(A472="","",'01_Master_Data'!AC472)</f>
        <v/>
      </c>
      <c r="AI472">
        <f>IF(A472="","",IF(OR(AH472="",NOT(ISNUMBER(AH472))),"",MAX(0,'02_Configuration'!$B$82-AH472)))</f>
        <v/>
      </c>
      <c r="AJ472">
        <f>IF(A472="","",IF(AI472="","Unknown",IF(AI472&lt;=3,"0–3 Days",IF(AI472&lt;=7,"4–7 Days",IF(AI472&lt;=15,"8–15 Days",IF(AI472&lt;=30,"16–30 Days","30+ Days"))))))</f>
        <v/>
      </c>
      <c r="AK472">
        <f>IF(A472="","",IF(LOWER(H472)="yes","Yes","No"))</f>
        <v/>
      </c>
      <c r="AL472">
        <f>IF(A472="","",'01_Master_Data'!T472)</f>
        <v/>
      </c>
      <c r="AM472">
        <f>IF(A472="","",'01_Master_Data'!S472)</f>
        <v/>
      </c>
      <c r="AN472">
        <f>IF(A472="","",'01_Master_Data'!I472)</f>
        <v/>
      </c>
      <c r="AO472">
        <f>IF(A472="","",'01_Master_Data'!M472)</f>
        <v/>
      </c>
      <c r="AP472">
        <f>IF(A472="","",IF(ISNUMBER(SEARCH("Icici",W472&amp;"")),1,0))</f>
        <v/>
      </c>
      <c r="AQ472">
        <f>IF(A472="","",IF(ISNUMBER(SEARCH("Propelld",W472&amp;"")),1,0))</f>
        <v/>
      </c>
      <c r="AR472">
        <f>IF(A472="","",IF(ISNUMBER(SEARCH("GyanDhan",W472&amp;"")),1,0))</f>
        <v/>
      </c>
      <c r="AS472">
        <f>IF(A472="","",IF(ISNUMBER(SEARCH("vidyalakshmi",LOWER(W472&amp;""))),1,0))</f>
        <v/>
      </c>
      <c r="AT472">
        <f>IF(A472="","",IF(ISNUMBER(SEARCH("other bank",LOWER(W472&amp;""))),1,0))</f>
        <v/>
      </c>
      <c r="AU472">
        <f>IF(A472="","",IF(ISNUMBER(SEARCH("sanctioned",LOWER(W472&amp;""))),1,0))</f>
        <v/>
      </c>
      <c r="AV472">
        <f>IF(A472="","",IF(ISNUMBER(SEARCH("Docs Pending",W472&amp;"")),1,0))</f>
        <v/>
      </c>
      <c r="AW472">
        <f>IF(A472="","",IF(OR(X472="Rejected",ISNUMBER(SEARCH("Not eligbile",W472&amp;""))),1,0))</f>
        <v/>
      </c>
    </row>
    <row r="473">
      <c r="A473">
        <f>IF('01_Master_Data'!B473="","",472)</f>
        <v/>
      </c>
      <c r="B473">
        <f>IF('01_Master_Data'!B473="","",IF('01_Master_Data'!C473&lt;&gt;"","MOB|"&amp;TEXT('01_Master_Data'!C473,"0"),IF('01_Master_Data'!D473&lt;&gt;"","PID|"&amp;TRIM('01_Master_Data'!D473&amp;""),"")))</f>
        <v/>
      </c>
      <c r="C473">
        <f>IF('01_Master_Data'!B473="","",'01_Master_Data'!B473)</f>
        <v/>
      </c>
      <c r="D473">
        <f>IF('01_Master_Data'!B473="","",'01_Master_Data'!C473)</f>
        <v/>
      </c>
      <c r="E473">
        <f>IF('01_Master_Data'!B473="","",'01_Master_Data'!D473)</f>
        <v/>
      </c>
      <c r="F473">
        <f>IF('01_Master_Data'!B473="","",'01_Master_Data'!E473)</f>
        <v/>
      </c>
      <c r="G473">
        <f>IF('01_Master_Data'!B473="","",IFERROR(VLOOKUP(TRIM('01_Master_Data'!E473&amp;""),'02_Configuration'!$A$40:$B$44,2,FALSE),UPPER(TRIM('01_Master_Data'!E473&amp;""))))</f>
        <v/>
      </c>
      <c r="H473">
        <f>IF('01_Master_Data'!B473="","",IF('01_Master_Data'!U473="","",TRIM('01_Master_Data'!U473&amp;"")))</f>
        <v/>
      </c>
      <c r="I473">
        <f>IF('01_Master_Data'!B473="","",TRIM('01_Master_Data'!F473&amp;""))</f>
        <v/>
      </c>
      <c r="J473">
        <f>IF('01_Master_Data'!B473="","",TRIM('01_Master_Data'!G473&amp;""))</f>
        <v/>
      </c>
      <c r="K473">
        <f>IF('01_Master_Data'!B473="","",'01_Master_Data'!H473)</f>
        <v/>
      </c>
      <c r="L473">
        <f>IF('01_Master_Data'!B473="","",IF(LOWER(TRIM('01_Master_Data'!V473&amp;""))="yes",1,0))</f>
        <v/>
      </c>
      <c r="M473">
        <f>IF('01_Master_Data'!B473="","",IF(LOWER(TRIM('01_Master_Data'!W473&amp;""))="yes",1,0))</f>
        <v/>
      </c>
      <c r="N473">
        <f>IF('01_Master_Data'!B473="","",IF(LOWER(TRIM('01_Master_Data'!X473&amp;""))="yes",1,0))</f>
        <v/>
      </c>
      <c r="O473">
        <f>IF('01_Master_Data'!B473="","",IF(LOWER(TRIM('01_Master_Data'!Y473&amp;""))="yes",1,0))</f>
        <v/>
      </c>
      <c r="P473">
        <f>IF('01_Master_Data'!B473="","",IF(LOWER(TRIM('01_Master_Data'!Z473&amp;""))="yes",1,0))</f>
        <v/>
      </c>
      <c r="Q473">
        <f>IF(A473="","",L473+M473+N473+O473+P473)</f>
        <v/>
      </c>
      <c r="R473">
        <f>IF(A473="","",IF(Q473&gt;1,"Yes","No"))</f>
        <v/>
      </c>
      <c r="S473">
        <f>IF(A473="","",TEXTJOIN(", ",TRUE,IF(L473=1,"ICICI",""),IF(M473=1,"Propelld",""),IF(N473=1,"Study4Buddy",""),IF(O473=1,"Poonawala Fincorp",""),IF(P473=1,"GyanDhan","")))</f>
        <v/>
      </c>
      <c r="T473">
        <f>IF(A473="","",IF(L473=1,"ICICI",IF(M473=1,"Propelld",IF(P473=1,"GyanDhan",IF(N473=1,"Study4Buddy",IF(O473=1,"Poonawala Fincorp",IF(ISNUMBER(SEARCH("GyanDhan",W473&amp;"")),"GyanDhan",IF(ISNUMBER(SEARCH("Icici",W473&amp;"")),"ICICI",IF(ISNUMBER(SEARCH("Propelld",W473&amp;"")),"Propelld",IF(ISNUMBER(SEARCH("vidyalakshmi",LOWER(W473&amp;"")),"PM Vidyalakshmi","—"))))))))))</f>
        <v/>
      </c>
      <c r="U473">
        <f>IF(A473="","",TRIM('01_Master_Data'!AA473&amp;""))</f>
        <v/>
      </c>
      <c r="V473">
        <f>IF(A473="","",TRIM('01_Master_Data'!AG473&amp;""))</f>
        <v/>
      </c>
      <c r="W473">
        <f>IF(A473="","",TRIM('01_Master_Data'!AH473&amp;""))</f>
        <v/>
      </c>
      <c r="X473">
        <f>IF(A473="","",IF(OR(LOWER(H473)="refund",LOWER(U473)="refund case"),"Refund",IF(OR(LOWER(H473)="dnp",LOWER(U473)="dnp"),"DNP",IF(OR(LOWER(V473)="disbursed",ISNUMBER(SEARCH("Disbursed",W473&amp;""))),"Disbursed",IF(OR(LOWER(V473)="loan proccessed/accepted",ISNUMBER(SEARCH("sanctioned",LOWER(W473&amp;"")))),"Sanctioned",IF(OR(LOWER(V473)="rejected",ISNUMBER(SEARCH("Not eligbile",W473&amp;"")),ISNUMBER(SEARCH("Not eligible",W473&amp;""))),"Rejected",IF(ISNUMBER(SEARCH("Docs Pending",W473&amp;"")),"Documents Pending",IF(AND(LOWER(H473)="yes",LOWER(V473)="ongoing"),"Processing",IF(AND(LOWER(H473)="yes",Q473&gt;0,OR(V473="",LOWER(V473)="not even started")),"Vendor Assigned",IF(AND(LOWER(H473)="yes",LOWER(V473)="not even started"),"Need Loan",IF(LOWER(H473)="yes","Loan Started",IF(LOWER(H473)="not sure","Interested",IF(OR(LOWER(H473)="no",LOWER(V473)="not required"),"Not Required","Unclassified")))))))))))))</f>
        <v/>
      </c>
      <c r="Y473">
        <f>IF(A473="","",IF(OR(X473="Sanctioned",X473="Disbursed",X473="Approved"),"Approved",IF(X473="Rejected","Rejected",IF(OR(X473="Processing",X473="Documents Pending",X473="Vendor Assigned"),"In Progress",IF(X473="Need Loan","Pending Start","—"))))</f>
        <v/>
      </c>
      <c r="Z473">
        <f>IF(A473="","",IF(X473="Disbursed","Disbursed",IF(X473="Sanctioned","Sanctioned - Awaiting Disbursement","Not Disbursed")))</f>
        <v/>
      </c>
      <c r="AA473">
        <f>IF(A473="","",IF(LOWER(TRIM('01_Master_Data'!AI473&amp;""))="yes","Need FLDG",IF(LOWER(TRIM('01_Master_Data'!AK473&amp;""))="yes","Need Vidyalakshmi",IF(LOWER(TRIM('01_Master_Data'!AJ473&amp;""))="yes","Need Review",IF(LOWER(J473)="critical","Critical",IF(LOWER(U473)="risk","Risk Case",IF(X473="Refund","Refund","Normal")))))))</f>
        <v/>
      </c>
      <c r="AB473">
        <f>IF(A473="","",IF(OR(LOWER(J473)="critical",LOWER(TRIM('01_Master_Data'!AI473&amp;""))="yes",LOWER(TRIM('01_Master_Data'!AK473&amp;""))="yes",LOWER(U473)="risk"),"Yes","No"))</f>
        <v/>
      </c>
      <c r="AC473">
        <f>IF(A473="","",IF(LOWER(TRIM('01_Master_Data'!AI473&amp;""))="yes","Yes","No"))</f>
        <v/>
      </c>
      <c r="AD473">
        <f>IF(A473="","",IF(LOWER(TRIM('01_Master_Data'!AK473&amp;""))="yes","Yes","No"))</f>
        <v/>
      </c>
      <c r="AE473">
        <f>IF(A473="","",IF(LOWER(TRIM('01_Master_Data'!AJ473&amp;""))="yes","Yes","No"))</f>
        <v/>
      </c>
      <c r="AF473">
        <f>IF(A473="","",TRIM('01_Master_Data'!AL473&amp;""))</f>
        <v/>
      </c>
      <c r="AG473">
        <f>IF(A473="","",IF(AF473="","—",IF(ISNUMBER(SEARCH("DNP",AF473)),"Unreachable / DNP",IF(ISNUMBER(SEARCH("interest",LOWER(AF473))),"High Interest / Terms",IF(OR(ISNUMBER(SEARCH("eligib",LOWER(AF473))),ISNUMBER(SEARCH("income",LOWER(AF473)))),"Eligibility / Income",IF(OR(ISNUMBER(SEARCH("start",LOWER(AF473))),ISNUMBER(SEARCH("Newer",AF473)),ISNUMBER(SEARCH("Will start",AF473))),"Process Yet to Start",IF(ISNUMBER(SEARCH("sure",LOWER(AF473))),"Undecided",IF(OR(ISNUMBER(SEARCH("reject",LOWER(AF473))),ISNUMBER(SEARCH("SBI",AF473))),"Rejected Elsewhere",IF(ISNUMBER(SEARCH("call",LOWER(AF473))),"Bank Communication",IF(OR(ISNUMBER(SEARCH("father",LOWER(AF473))),ISNUMBER(SEARCH("sister",LOWER(AF473)))),"Family / Dependency","Other"))))))))))</f>
        <v/>
      </c>
      <c r="AH473">
        <f>IF(A473="","",'01_Master_Data'!AC473)</f>
        <v/>
      </c>
      <c r="AI473">
        <f>IF(A473="","",IF(OR(AH473="",NOT(ISNUMBER(AH473))),"",MAX(0,'02_Configuration'!$B$82-AH473)))</f>
        <v/>
      </c>
      <c r="AJ473">
        <f>IF(A473="","",IF(AI473="","Unknown",IF(AI473&lt;=3,"0–3 Days",IF(AI473&lt;=7,"4–7 Days",IF(AI473&lt;=15,"8–15 Days",IF(AI473&lt;=30,"16–30 Days","30+ Days"))))))</f>
        <v/>
      </c>
      <c r="AK473">
        <f>IF(A473="","",IF(LOWER(H473)="yes","Yes","No"))</f>
        <v/>
      </c>
      <c r="AL473">
        <f>IF(A473="","",'01_Master_Data'!T473)</f>
        <v/>
      </c>
      <c r="AM473">
        <f>IF(A473="","",'01_Master_Data'!S473)</f>
        <v/>
      </c>
      <c r="AN473">
        <f>IF(A473="","",'01_Master_Data'!I473)</f>
        <v/>
      </c>
      <c r="AO473">
        <f>IF(A473="","",'01_Master_Data'!M473)</f>
        <v/>
      </c>
      <c r="AP473">
        <f>IF(A473="","",IF(ISNUMBER(SEARCH("Icici",W473&amp;"")),1,0))</f>
        <v/>
      </c>
      <c r="AQ473">
        <f>IF(A473="","",IF(ISNUMBER(SEARCH("Propelld",W473&amp;"")),1,0))</f>
        <v/>
      </c>
      <c r="AR473">
        <f>IF(A473="","",IF(ISNUMBER(SEARCH("GyanDhan",W473&amp;"")),1,0))</f>
        <v/>
      </c>
      <c r="AS473">
        <f>IF(A473="","",IF(ISNUMBER(SEARCH("vidyalakshmi",LOWER(W473&amp;""))),1,0))</f>
        <v/>
      </c>
      <c r="AT473">
        <f>IF(A473="","",IF(ISNUMBER(SEARCH("other bank",LOWER(W473&amp;""))),1,0))</f>
        <v/>
      </c>
      <c r="AU473">
        <f>IF(A473="","",IF(ISNUMBER(SEARCH("sanctioned",LOWER(W473&amp;""))),1,0))</f>
        <v/>
      </c>
      <c r="AV473">
        <f>IF(A473="","",IF(ISNUMBER(SEARCH("Docs Pending",W473&amp;"")),1,0))</f>
        <v/>
      </c>
      <c r="AW473">
        <f>IF(A473="","",IF(OR(X473="Rejected",ISNUMBER(SEARCH("Not eligbile",W473&amp;""))),1,0))</f>
        <v/>
      </c>
    </row>
    <row r="474">
      <c r="A474">
        <f>IF('01_Master_Data'!B474="","",473)</f>
        <v/>
      </c>
      <c r="B474">
        <f>IF('01_Master_Data'!B474="","",IF('01_Master_Data'!C474&lt;&gt;"","MOB|"&amp;TEXT('01_Master_Data'!C474,"0"),IF('01_Master_Data'!D474&lt;&gt;"","PID|"&amp;TRIM('01_Master_Data'!D474&amp;""),"")))</f>
        <v/>
      </c>
      <c r="C474">
        <f>IF('01_Master_Data'!B474="","",'01_Master_Data'!B474)</f>
        <v/>
      </c>
      <c r="D474">
        <f>IF('01_Master_Data'!B474="","",'01_Master_Data'!C474)</f>
        <v/>
      </c>
      <c r="E474">
        <f>IF('01_Master_Data'!B474="","",'01_Master_Data'!D474)</f>
        <v/>
      </c>
      <c r="F474">
        <f>IF('01_Master_Data'!B474="","",'01_Master_Data'!E474)</f>
        <v/>
      </c>
      <c r="G474">
        <f>IF('01_Master_Data'!B474="","",IFERROR(VLOOKUP(TRIM('01_Master_Data'!E474&amp;""),'02_Configuration'!$A$40:$B$44,2,FALSE),UPPER(TRIM('01_Master_Data'!E474&amp;""))))</f>
        <v/>
      </c>
      <c r="H474">
        <f>IF('01_Master_Data'!B474="","",IF('01_Master_Data'!U474="","",TRIM('01_Master_Data'!U474&amp;"")))</f>
        <v/>
      </c>
      <c r="I474">
        <f>IF('01_Master_Data'!B474="","",TRIM('01_Master_Data'!F474&amp;""))</f>
        <v/>
      </c>
      <c r="J474">
        <f>IF('01_Master_Data'!B474="","",TRIM('01_Master_Data'!G474&amp;""))</f>
        <v/>
      </c>
      <c r="K474">
        <f>IF('01_Master_Data'!B474="","",'01_Master_Data'!H474)</f>
        <v/>
      </c>
      <c r="L474">
        <f>IF('01_Master_Data'!B474="","",IF(LOWER(TRIM('01_Master_Data'!V474&amp;""))="yes",1,0))</f>
        <v/>
      </c>
      <c r="M474">
        <f>IF('01_Master_Data'!B474="","",IF(LOWER(TRIM('01_Master_Data'!W474&amp;""))="yes",1,0))</f>
        <v/>
      </c>
      <c r="N474">
        <f>IF('01_Master_Data'!B474="","",IF(LOWER(TRIM('01_Master_Data'!X474&amp;""))="yes",1,0))</f>
        <v/>
      </c>
      <c r="O474">
        <f>IF('01_Master_Data'!B474="","",IF(LOWER(TRIM('01_Master_Data'!Y474&amp;""))="yes",1,0))</f>
        <v/>
      </c>
      <c r="P474">
        <f>IF('01_Master_Data'!B474="","",IF(LOWER(TRIM('01_Master_Data'!Z474&amp;""))="yes",1,0))</f>
        <v/>
      </c>
      <c r="Q474">
        <f>IF(A474="","",L474+M474+N474+O474+P474)</f>
        <v/>
      </c>
      <c r="R474">
        <f>IF(A474="","",IF(Q474&gt;1,"Yes","No"))</f>
        <v/>
      </c>
      <c r="S474">
        <f>IF(A474="","",TEXTJOIN(", ",TRUE,IF(L474=1,"ICICI",""),IF(M474=1,"Propelld",""),IF(N474=1,"Study4Buddy",""),IF(O474=1,"Poonawala Fincorp",""),IF(P474=1,"GyanDhan","")))</f>
        <v/>
      </c>
      <c r="T474">
        <f>IF(A474="","",IF(L474=1,"ICICI",IF(M474=1,"Propelld",IF(P474=1,"GyanDhan",IF(N474=1,"Study4Buddy",IF(O474=1,"Poonawala Fincorp",IF(ISNUMBER(SEARCH("GyanDhan",W474&amp;"")),"GyanDhan",IF(ISNUMBER(SEARCH("Icici",W474&amp;"")),"ICICI",IF(ISNUMBER(SEARCH("Propelld",W474&amp;"")),"Propelld",IF(ISNUMBER(SEARCH("vidyalakshmi",LOWER(W474&amp;"")),"PM Vidyalakshmi","—"))))))))))</f>
        <v/>
      </c>
      <c r="U474">
        <f>IF(A474="","",TRIM('01_Master_Data'!AA474&amp;""))</f>
        <v/>
      </c>
      <c r="V474">
        <f>IF(A474="","",TRIM('01_Master_Data'!AG474&amp;""))</f>
        <v/>
      </c>
      <c r="W474">
        <f>IF(A474="","",TRIM('01_Master_Data'!AH474&amp;""))</f>
        <v/>
      </c>
      <c r="X474">
        <f>IF(A474="","",IF(OR(LOWER(H474)="refund",LOWER(U474)="refund case"),"Refund",IF(OR(LOWER(H474)="dnp",LOWER(U474)="dnp"),"DNP",IF(OR(LOWER(V474)="disbursed",ISNUMBER(SEARCH("Disbursed",W474&amp;""))),"Disbursed",IF(OR(LOWER(V474)="loan proccessed/accepted",ISNUMBER(SEARCH("sanctioned",LOWER(W474&amp;"")))),"Sanctioned",IF(OR(LOWER(V474)="rejected",ISNUMBER(SEARCH("Not eligbile",W474&amp;"")),ISNUMBER(SEARCH("Not eligible",W474&amp;""))),"Rejected",IF(ISNUMBER(SEARCH("Docs Pending",W474&amp;"")),"Documents Pending",IF(AND(LOWER(H474)="yes",LOWER(V474)="ongoing"),"Processing",IF(AND(LOWER(H474)="yes",Q474&gt;0,OR(V474="",LOWER(V474)="not even started")),"Vendor Assigned",IF(AND(LOWER(H474)="yes",LOWER(V474)="not even started"),"Need Loan",IF(LOWER(H474)="yes","Loan Started",IF(LOWER(H474)="not sure","Interested",IF(OR(LOWER(H474)="no",LOWER(V474)="not required"),"Not Required","Unclassified")))))))))))))</f>
        <v/>
      </c>
      <c r="Y474">
        <f>IF(A474="","",IF(OR(X474="Sanctioned",X474="Disbursed",X474="Approved"),"Approved",IF(X474="Rejected","Rejected",IF(OR(X474="Processing",X474="Documents Pending",X474="Vendor Assigned"),"In Progress",IF(X474="Need Loan","Pending Start","—"))))</f>
        <v/>
      </c>
      <c r="Z474">
        <f>IF(A474="","",IF(X474="Disbursed","Disbursed",IF(X474="Sanctioned","Sanctioned - Awaiting Disbursement","Not Disbursed")))</f>
        <v/>
      </c>
      <c r="AA474">
        <f>IF(A474="","",IF(LOWER(TRIM('01_Master_Data'!AI474&amp;""))="yes","Need FLDG",IF(LOWER(TRIM('01_Master_Data'!AK474&amp;""))="yes","Need Vidyalakshmi",IF(LOWER(TRIM('01_Master_Data'!AJ474&amp;""))="yes","Need Review",IF(LOWER(J474)="critical","Critical",IF(LOWER(U474)="risk","Risk Case",IF(X474="Refund","Refund","Normal")))))))</f>
        <v/>
      </c>
      <c r="AB474">
        <f>IF(A474="","",IF(OR(LOWER(J474)="critical",LOWER(TRIM('01_Master_Data'!AI474&amp;""))="yes",LOWER(TRIM('01_Master_Data'!AK474&amp;""))="yes",LOWER(U474)="risk"),"Yes","No"))</f>
        <v/>
      </c>
      <c r="AC474">
        <f>IF(A474="","",IF(LOWER(TRIM('01_Master_Data'!AI474&amp;""))="yes","Yes","No"))</f>
        <v/>
      </c>
      <c r="AD474">
        <f>IF(A474="","",IF(LOWER(TRIM('01_Master_Data'!AK474&amp;""))="yes","Yes","No"))</f>
        <v/>
      </c>
      <c r="AE474">
        <f>IF(A474="","",IF(LOWER(TRIM('01_Master_Data'!AJ474&amp;""))="yes","Yes","No"))</f>
        <v/>
      </c>
      <c r="AF474">
        <f>IF(A474="","",TRIM('01_Master_Data'!AL474&amp;""))</f>
        <v/>
      </c>
      <c r="AG474">
        <f>IF(A474="","",IF(AF474="","—",IF(ISNUMBER(SEARCH("DNP",AF474)),"Unreachable / DNP",IF(ISNUMBER(SEARCH("interest",LOWER(AF474))),"High Interest / Terms",IF(OR(ISNUMBER(SEARCH("eligib",LOWER(AF474))),ISNUMBER(SEARCH("income",LOWER(AF474)))),"Eligibility / Income",IF(OR(ISNUMBER(SEARCH("start",LOWER(AF474))),ISNUMBER(SEARCH("Newer",AF474)),ISNUMBER(SEARCH("Will start",AF474))),"Process Yet to Start",IF(ISNUMBER(SEARCH("sure",LOWER(AF474))),"Undecided",IF(OR(ISNUMBER(SEARCH("reject",LOWER(AF474))),ISNUMBER(SEARCH("SBI",AF474))),"Rejected Elsewhere",IF(ISNUMBER(SEARCH("call",LOWER(AF474))),"Bank Communication",IF(OR(ISNUMBER(SEARCH("father",LOWER(AF474))),ISNUMBER(SEARCH("sister",LOWER(AF474)))),"Family / Dependency","Other"))))))))))</f>
        <v/>
      </c>
      <c r="AH474">
        <f>IF(A474="","",'01_Master_Data'!AC474)</f>
        <v/>
      </c>
      <c r="AI474">
        <f>IF(A474="","",IF(OR(AH474="",NOT(ISNUMBER(AH474))),"",MAX(0,'02_Configuration'!$B$82-AH474)))</f>
        <v/>
      </c>
      <c r="AJ474">
        <f>IF(A474="","",IF(AI474="","Unknown",IF(AI474&lt;=3,"0–3 Days",IF(AI474&lt;=7,"4–7 Days",IF(AI474&lt;=15,"8–15 Days",IF(AI474&lt;=30,"16–30 Days","30+ Days"))))))</f>
        <v/>
      </c>
      <c r="AK474">
        <f>IF(A474="","",IF(LOWER(H474)="yes","Yes","No"))</f>
        <v/>
      </c>
      <c r="AL474">
        <f>IF(A474="","",'01_Master_Data'!T474)</f>
        <v/>
      </c>
      <c r="AM474">
        <f>IF(A474="","",'01_Master_Data'!S474)</f>
        <v/>
      </c>
      <c r="AN474">
        <f>IF(A474="","",'01_Master_Data'!I474)</f>
        <v/>
      </c>
      <c r="AO474">
        <f>IF(A474="","",'01_Master_Data'!M474)</f>
        <v/>
      </c>
      <c r="AP474">
        <f>IF(A474="","",IF(ISNUMBER(SEARCH("Icici",W474&amp;"")),1,0))</f>
        <v/>
      </c>
      <c r="AQ474">
        <f>IF(A474="","",IF(ISNUMBER(SEARCH("Propelld",W474&amp;"")),1,0))</f>
        <v/>
      </c>
      <c r="AR474">
        <f>IF(A474="","",IF(ISNUMBER(SEARCH("GyanDhan",W474&amp;"")),1,0))</f>
        <v/>
      </c>
      <c r="AS474">
        <f>IF(A474="","",IF(ISNUMBER(SEARCH("vidyalakshmi",LOWER(W474&amp;""))),1,0))</f>
        <v/>
      </c>
      <c r="AT474">
        <f>IF(A474="","",IF(ISNUMBER(SEARCH("other bank",LOWER(W474&amp;""))),1,0))</f>
        <v/>
      </c>
      <c r="AU474">
        <f>IF(A474="","",IF(ISNUMBER(SEARCH("sanctioned",LOWER(W474&amp;""))),1,0))</f>
        <v/>
      </c>
      <c r="AV474">
        <f>IF(A474="","",IF(ISNUMBER(SEARCH("Docs Pending",W474&amp;"")),1,0))</f>
        <v/>
      </c>
      <c r="AW474">
        <f>IF(A474="","",IF(OR(X474="Rejected",ISNUMBER(SEARCH("Not eligbile",W474&amp;""))),1,0))</f>
        <v/>
      </c>
    </row>
    <row r="475">
      <c r="A475">
        <f>IF('01_Master_Data'!B475="","",474)</f>
        <v/>
      </c>
      <c r="B475">
        <f>IF('01_Master_Data'!B475="","",IF('01_Master_Data'!C475&lt;&gt;"","MOB|"&amp;TEXT('01_Master_Data'!C475,"0"),IF('01_Master_Data'!D475&lt;&gt;"","PID|"&amp;TRIM('01_Master_Data'!D475&amp;""),"")))</f>
        <v/>
      </c>
      <c r="C475">
        <f>IF('01_Master_Data'!B475="","",'01_Master_Data'!B475)</f>
        <v/>
      </c>
      <c r="D475">
        <f>IF('01_Master_Data'!B475="","",'01_Master_Data'!C475)</f>
        <v/>
      </c>
      <c r="E475">
        <f>IF('01_Master_Data'!B475="","",'01_Master_Data'!D475)</f>
        <v/>
      </c>
      <c r="F475">
        <f>IF('01_Master_Data'!B475="","",'01_Master_Data'!E475)</f>
        <v/>
      </c>
      <c r="G475">
        <f>IF('01_Master_Data'!B475="","",IFERROR(VLOOKUP(TRIM('01_Master_Data'!E475&amp;""),'02_Configuration'!$A$40:$B$44,2,FALSE),UPPER(TRIM('01_Master_Data'!E475&amp;""))))</f>
        <v/>
      </c>
      <c r="H475">
        <f>IF('01_Master_Data'!B475="","",IF('01_Master_Data'!U475="","",TRIM('01_Master_Data'!U475&amp;"")))</f>
        <v/>
      </c>
      <c r="I475">
        <f>IF('01_Master_Data'!B475="","",TRIM('01_Master_Data'!F475&amp;""))</f>
        <v/>
      </c>
      <c r="J475">
        <f>IF('01_Master_Data'!B475="","",TRIM('01_Master_Data'!G475&amp;""))</f>
        <v/>
      </c>
      <c r="K475">
        <f>IF('01_Master_Data'!B475="","",'01_Master_Data'!H475)</f>
        <v/>
      </c>
      <c r="L475">
        <f>IF('01_Master_Data'!B475="","",IF(LOWER(TRIM('01_Master_Data'!V475&amp;""))="yes",1,0))</f>
        <v/>
      </c>
      <c r="M475">
        <f>IF('01_Master_Data'!B475="","",IF(LOWER(TRIM('01_Master_Data'!W475&amp;""))="yes",1,0))</f>
        <v/>
      </c>
      <c r="N475">
        <f>IF('01_Master_Data'!B475="","",IF(LOWER(TRIM('01_Master_Data'!X475&amp;""))="yes",1,0))</f>
        <v/>
      </c>
      <c r="O475">
        <f>IF('01_Master_Data'!B475="","",IF(LOWER(TRIM('01_Master_Data'!Y475&amp;""))="yes",1,0))</f>
        <v/>
      </c>
      <c r="P475">
        <f>IF('01_Master_Data'!B475="","",IF(LOWER(TRIM('01_Master_Data'!Z475&amp;""))="yes",1,0))</f>
        <v/>
      </c>
      <c r="Q475">
        <f>IF(A475="","",L475+M475+N475+O475+P475)</f>
        <v/>
      </c>
      <c r="R475">
        <f>IF(A475="","",IF(Q475&gt;1,"Yes","No"))</f>
        <v/>
      </c>
      <c r="S475">
        <f>IF(A475="","",TEXTJOIN(", ",TRUE,IF(L475=1,"ICICI",""),IF(M475=1,"Propelld",""),IF(N475=1,"Study4Buddy",""),IF(O475=1,"Poonawala Fincorp",""),IF(P475=1,"GyanDhan","")))</f>
        <v/>
      </c>
      <c r="T475">
        <f>IF(A475="","",IF(L475=1,"ICICI",IF(M475=1,"Propelld",IF(P475=1,"GyanDhan",IF(N475=1,"Study4Buddy",IF(O475=1,"Poonawala Fincorp",IF(ISNUMBER(SEARCH("GyanDhan",W475&amp;"")),"GyanDhan",IF(ISNUMBER(SEARCH("Icici",W475&amp;"")),"ICICI",IF(ISNUMBER(SEARCH("Propelld",W475&amp;"")),"Propelld",IF(ISNUMBER(SEARCH("vidyalakshmi",LOWER(W475&amp;"")),"PM Vidyalakshmi","—"))))))))))</f>
        <v/>
      </c>
      <c r="U475">
        <f>IF(A475="","",TRIM('01_Master_Data'!AA475&amp;""))</f>
        <v/>
      </c>
      <c r="V475">
        <f>IF(A475="","",TRIM('01_Master_Data'!AG475&amp;""))</f>
        <v/>
      </c>
      <c r="W475">
        <f>IF(A475="","",TRIM('01_Master_Data'!AH475&amp;""))</f>
        <v/>
      </c>
      <c r="X475">
        <f>IF(A475="","",IF(OR(LOWER(H475)="refund",LOWER(U475)="refund case"),"Refund",IF(OR(LOWER(H475)="dnp",LOWER(U475)="dnp"),"DNP",IF(OR(LOWER(V475)="disbursed",ISNUMBER(SEARCH("Disbursed",W475&amp;""))),"Disbursed",IF(OR(LOWER(V475)="loan proccessed/accepted",ISNUMBER(SEARCH("sanctioned",LOWER(W475&amp;"")))),"Sanctioned",IF(OR(LOWER(V475)="rejected",ISNUMBER(SEARCH("Not eligbile",W475&amp;"")),ISNUMBER(SEARCH("Not eligible",W475&amp;""))),"Rejected",IF(ISNUMBER(SEARCH("Docs Pending",W475&amp;"")),"Documents Pending",IF(AND(LOWER(H475)="yes",LOWER(V475)="ongoing"),"Processing",IF(AND(LOWER(H475)="yes",Q475&gt;0,OR(V475="",LOWER(V475)="not even started")),"Vendor Assigned",IF(AND(LOWER(H475)="yes",LOWER(V475)="not even started"),"Need Loan",IF(LOWER(H475)="yes","Loan Started",IF(LOWER(H475)="not sure","Interested",IF(OR(LOWER(H475)="no",LOWER(V475)="not required"),"Not Required","Unclassified")))))))))))))</f>
        <v/>
      </c>
      <c r="Y475">
        <f>IF(A475="","",IF(OR(X475="Sanctioned",X475="Disbursed",X475="Approved"),"Approved",IF(X475="Rejected","Rejected",IF(OR(X475="Processing",X475="Documents Pending",X475="Vendor Assigned"),"In Progress",IF(X475="Need Loan","Pending Start","—"))))</f>
        <v/>
      </c>
      <c r="Z475">
        <f>IF(A475="","",IF(X475="Disbursed","Disbursed",IF(X475="Sanctioned","Sanctioned - Awaiting Disbursement","Not Disbursed")))</f>
        <v/>
      </c>
      <c r="AA475">
        <f>IF(A475="","",IF(LOWER(TRIM('01_Master_Data'!AI475&amp;""))="yes","Need FLDG",IF(LOWER(TRIM('01_Master_Data'!AK475&amp;""))="yes","Need Vidyalakshmi",IF(LOWER(TRIM('01_Master_Data'!AJ475&amp;""))="yes","Need Review",IF(LOWER(J475)="critical","Critical",IF(LOWER(U475)="risk","Risk Case",IF(X475="Refund","Refund","Normal")))))))</f>
        <v/>
      </c>
      <c r="AB475">
        <f>IF(A475="","",IF(OR(LOWER(J475)="critical",LOWER(TRIM('01_Master_Data'!AI475&amp;""))="yes",LOWER(TRIM('01_Master_Data'!AK475&amp;""))="yes",LOWER(U475)="risk"),"Yes","No"))</f>
        <v/>
      </c>
      <c r="AC475">
        <f>IF(A475="","",IF(LOWER(TRIM('01_Master_Data'!AI475&amp;""))="yes","Yes","No"))</f>
        <v/>
      </c>
      <c r="AD475">
        <f>IF(A475="","",IF(LOWER(TRIM('01_Master_Data'!AK475&amp;""))="yes","Yes","No"))</f>
        <v/>
      </c>
      <c r="AE475">
        <f>IF(A475="","",IF(LOWER(TRIM('01_Master_Data'!AJ475&amp;""))="yes","Yes","No"))</f>
        <v/>
      </c>
      <c r="AF475">
        <f>IF(A475="","",TRIM('01_Master_Data'!AL475&amp;""))</f>
        <v/>
      </c>
      <c r="AG475">
        <f>IF(A475="","",IF(AF475="","—",IF(ISNUMBER(SEARCH("DNP",AF475)),"Unreachable / DNP",IF(ISNUMBER(SEARCH("interest",LOWER(AF475))),"High Interest / Terms",IF(OR(ISNUMBER(SEARCH("eligib",LOWER(AF475))),ISNUMBER(SEARCH("income",LOWER(AF475)))),"Eligibility / Income",IF(OR(ISNUMBER(SEARCH("start",LOWER(AF475))),ISNUMBER(SEARCH("Newer",AF475)),ISNUMBER(SEARCH("Will start",AF475))),"Process Yet to Start",IF(ISNUMBER(SEARCH("sure",LOWER(AF475))),"Undecided",IF(OR(ISNUMBER(SEARCH("reject",LOWER(AF475))),ISNUMBER(SEARCH("SBI",AF475))),"Rejected Elsewhere",IF(ISNUMBER(SEARCH("call",LOWER(AF475))),"Bank Communication",IF(OR(ISNUMBER(SEARCH("father",LOWER(AF475))),ISNUMBER(SEARCH("sister",LOWER(AF475)))),"Family / Dependency","Other"))))))))))</f>
        <v/>
      </c>
      <c r="AH475">
        <f>IF(A475="","",'01_Master_Data'!AC475)</f>
        <v/>
      </c>
      <c r="AI475">
        <f>IF(A475="","",IF(OR(AH475="",NOT(ISNUMBER(AH475))),"",MAX(0,'02_Configuration'!$B$82-AH475)))</f>
        <v/>
      </c>
      <c r="AJ475">
        <f>IF(A475="","",IF(AI475="","Unknown",IF(AI475&lt;=3,"0–3 Days",IF(AI475&lt;=7,"4–7 Days",IF(AI475&lt;=15,"8–15 Days",IF(AI475&lt;=30,"16–30 Days","30+ Days"))))))</f>
        <v/>
      </c>
      <c r="AK475">
        <f>IF(A475="","",IF(LOWER(H475)="yes","Yes","No"))</f>
        <v/>
      </c>
      <c r="AL475">
        <f>IF(A475="","",'01_Master_Data'!T475)</f>
        <v/>
      </c>
      <c r="AM475">
        <f>IF(A475="","",'01_Master_Data'!S475)</f>
        <v/>
      </c>
      <c r="AN475">
        <f>IF(A475="","",'01_Master_Data'!I475)</f>
        <v/>
      </c>
      <c r="AO475">
        <f>IF(A475="","",'01_Master_Data'!M475)</f>
        <v/>
      </c>
      <c r="AP475">
        <f>IF(A475="","",IF(ISNUMBER(SEARCH("Icici",W475&amp;"")),1,0))</f>
        <v/>
      </c>
      <c r="AQ475">
        <f>IF(A475="","",IF(ISNUMBER(SEARCH("Propelld",W475&amp;"")),1,0))</f>
        <v/>
      </c>
      <c r="AR475">
        <f>IF(A475="","",IF(ISNUMBER(SEARCH("GyanDhan",W475&amp;"")),1,0))</f>
        <v/>
      </c>
      <c r="AS475">
        <f>IF(A475="","",IF(ISNUMBER(SEARCH("vidyalakshmi",LOWER(W475&amp;""))),1,0))</f>
        <v/>
      </c>
      <c r="AT475">
        <f>IF(A475="","",IF(ISNUMBER(SEARCH("other bank",LOWER(W475&amp;""))),1,0))</f>
        <v/>
      </c>
      <c r="AU475">
        <f>IF(A475="","",IF(ISNUMBER(SEARCH("sanctioned",LOWER(W475&amp;""))),1,0))</f>
        <v/>
      </c>
      <c r="AV475">
        <f>IF(A475="","",IF(ISNUMBER(SEARCH("Docs Pending",W475&amp;"")),1,0))</f>
        <v/>
      </c>
      <c r="AW475">
        <f>IF(A475="","",IF(OR(X475="Rejected",ISNUMBER(SEARCH("Not eligbile",W475&amp;""))),1,0))</f>
        <v/>
      </c>
    </row>
    <row r="476">
      <c r="A476">
        <f>IF('01_Master_Data'!B476="","",475)</f>
        <v/>
      </c>
      <c r="B476">
        <f>IF('01_Master_Data'!B476="","",IF('01_Master_Data'!C476&lt;&gt;"","MOB|"&amp;TEXT('01_Master_Data'!C476,"0"),IF('01_Master_Data'!D476&lt;&gt;"","PID|"&amp;TRIM('01_Master_Data'!D476&amp;""),"")))</f>
        <v/>
      </c>
      <c r="C476">
        <f>IF('01_Master_Data'!B476="","",'01_Master_Data'!B476)</f>
        <v/>
      </c>
      <c r="D476">
        <f>IF('01_Master_Data'!B476="","",'01_Master_Data'!C476)</f>
        <v/>
      </c>
      <c r="E476">
        <f>IF('01_Master_Data'!B476="","",'01_Master_Data'!D476)</f>
        <v/>
      </c>
      <c r="F476">
        <f>IF('01_Master_Data'!B476="","",'01_Master_Data'!E476)</f>
        <v/>
      </c>
      <c r="G476">
        <f>IF('01_Master_Data'!B476="","",IFERROR(VLOOKUP(TRIM('01_Master_Data'!E476&amp;""),'02_Configuration'!$A$40:$B$44,2,FALSE),UPPER(TRIM('01_Master_Data'!E476&amp;""))))</f>
        <v/>
      </c>
      <c r="H476">
        <f>IF('01_Master_Data'!B476="","",IF('01_Master_Data'!U476="","",TRIM('01_Master_Data'!U476&amp;"")))</f>
        <v/>
      </c>
      <c r="I476">
        <f>IF('01_Master_Data'!B476="","",TRIM('01_Master_Data'!F476&amp;""))</f>
        <v/>
      </c>
      <c r="J476">
        <f>IF('01_Master_Data'!B476="","",TRIM('01_Master_Data'!G476&amp;""))</f>
        <v/>
      </c>
      <c r="K476">
        <f>IF('01_Master_Data'!B476="","",'01_Master_Data'!H476)</f>
        <v/>
      </c>
      <c r="L476">
        <f>IF('01_Master_Data'!B476="","",IF(LOWER(TRIM('01_Master_Data'!V476&amp;""))="yes",1,0))</f>
        <v/>
      </c>
      <c r="M476">
        <f>IF('01_Master_Data'!B476="","",IF(LOWER(TRIM('01_Master_Data'!W476&amp;""))="yes",1,0))</f>
        <v/>
      </c>
      <c r="N476">
        <f>IF('01_Master_Data'!B476="","",IF(LOWER(TRIM('01_Master_Data'!X476&amp;""))="yes",1,0))</f>
        <v/>
      </c>
      <c r="O476">
        <f>IF('01_Master_Data'!B476="","",IF(LOWER(TRIM('01_Master_Data'!Y476&amp;""))="yes",1,0))</f>
        <v/>
      </c>
      <c r="P476">
        <f>IF('01_Master_Data'!B476="","",IF(LOWER(TRIM('01_Master_Data'!Z476&amp;""))="yes",1,0))</f>
        <v/>
      </c>
      <c r="Q476">
        <f>IF(A476="","",L476+M476+N476+O476+P476)</f>
        <v/>
      </c>
      <c r="R476">
        <f>IF(A476="","",IF(Q476&gt;1,"Yes","No"))</f>
        <v/>
      </c>
      <c r="S476">
        <f>IF(A476="","",TEXTJOIN(", ",TRUE,IF(L476=1,"ICICI",""),IF(M476=1,"Propelld",""),IF(N476=1,"Study4Buddy",""),IF(O476=1,"Poonawala Fincorp",""),IF(P476=1,"GyanDhan","")))</f>
        <v/>
      </c>
      <c r="T476">
        <f>IF(A476="","",IF(L476=1,"ICICI",IF(M476=1,"Propelld",IF(P476=1,"GyanDhan",IF(N476=1,"Study4Buddy",IF(O476=1,"Poonawala Fincorp",IF(ISNUMBER(SEARCH("GyanDhan",W476&amp;"")),"GyanDhan",IF(ISNUMBER(SEARCH("Icici",W476&amp;"")),"ICICI",IF(ISNUMBER(SEARCH("Propelld",W476&amp;"")),"Propelld",IF(ISNUMBER(SEARCH("vidyalakshmi",LOWER(W476&amp;"")),"PM Vidyalakshmi","—"))))))))))</f>
        <v/>
      </c>
      <c r="U476">
        <f>IF(A476="","",TRIM('01_Master_Data'!AA476&amp;""))</f>
        <v/>
      </c>
      <c r="V476">
        <f>IF(A476="","",TRIM('01_Master_Data'!AG476&amp;""))</f>
        <v/>
      </c>
      <c r="W476">
        <f>IF(A476="","",TRIM('01_Master_Data'!AH476&amp;""))</f>
        <v/>
      </c>
      <c r="X476">
        <f>IF(A476="","",IF(OR(LOWER(H476)="refund",LOWER(U476)="refund case"),"Refund",IF(OR(LOWER(H476)="dnp",LOWER(U476)="dnp"),"DNP",IF(OR(LOWER(V476)="disbursed",ISNUMBER(SEARCH("Disbursed",W476&amp;""))),"Disbursed",IF(OR(LOWER(V476)="loan proccessed/accepted",ISNUMBER(SEARCH("sanctioned",LOWER(W476&amp;"")))),"Sanctioned",IF(OR(LOWER(V476)="rejected",ISNUMBER(SEARCH("Not eligbile",W476&amp;"")),ISNUMBER(SEARCH("Not eligible",W476&amp;""))),"Rejected",IF(ISNUMBER(SEARCH("Docs Pending",W476&amp;"")),"Documents Pending",IF(AND(LOWER(H476)="yes",LOWER(V476)="ongoing"),"Processing",IF(AND(LOWER(H476)="yes",Q476&gt;0,OR(V476="",LOWER(V476)="not even started")),"Vendor Assigned",IF(AND(LOWER(H476)="yes",LOWER(V476)="not even started"),"Need Loan",IF(LOWER(H476)="yes","Loan Started",IF(LOWER(H476)="not sure","Interested",IF(OR(LOWER(H476)="no",LOWER(V476)="not required"),"Not Required","Unclassified")))))))))))))</f>
        <v/>
      </c>
      <c r="Y476">
        <f>IF(A476="","",IF(OR(X476="Sanctioned",X476="Disbursed",X476="Approved"),"Approved",IF(X476="Rejected","Rejected",IF(OR(X476="Processing",X476="Documents Pending",X476="Vendor Assigned"),"In Progress",IF(X476="Need Loan","Pending Start","—"))))</f>
        <v/>
      </c>
      <c r="Z476">
        <f>IF(A476="","",IF(X476="Disbursed","Disbursed",IF(X476="Sanctioned","Sanctioned - Awaiting Disbursement","Not Disbursed")))</f>
        <v/>
      </c>
      <c r="AA476">
        <f>IF(A476="","",IF(LOWER(TRIM('01_Master_Data'!AI476&amp;""))="yes","Need FLDG",IF(LOWER(TRIM('01_Master_Data'!AK476&amp;""))="yes","Need Vidyalakshmi",IF(LOWER(TRIM('01_Master_Data'!AJ476&amp;""))="yes","Need Review",IF(LOWER(J476)="critical","Critical",IF(LOWER(U476)="risk","Risk Case",IF(X476="Refund","Refund","Normal")))))))</f>
        <v/>
      </c>
      <c r="AB476">
        <f>IF(A476="","",IF(OR(LOWER(J476)="critical",LOWER(TRIM('01_Master_Data'!AI476&amp;""))="yes",LOWER(TRIM('01_Master_Data'!AK476&amp;""))="yes",LOWER(U476)="risk"),"Yes","No"))</f>
        <v/>
      </c>
      <c r="AC476">
        <f>IF(A476="","",IF(LOWER(TRIM('01_Master_Data'!AI476&amp;""))="yes","Yes","No"))</f>
        <v/>
      </c>
      <c r="AD476">
        <f>IF(A476="","",IF(LOWER(TRIM('01_Master_Data'!AK476&amp;""))="yes","Yes","No"))</f>
        <v/>
      </c>
      <c r="AE476">
        <f>IF(A476="","",IF(LOWER(TRIM('01_Master_Data'!AJ476&amp;""))="yes","Yes","No"))</f>
        <v/>
      </c>
      <c r="AF476">
        <f>IF(A476="","",TRIM('01_Master_Data'!AL476&amp;""))</f>
        <v/>
      </c>
      <c r="AG476">
        <f>IF(A476="","",IF(AF476="","—",IF(ISNUMBER(SEARCH("DNP",AF476)),"Unreachable / DNP",IF(ISNUMBER(SEARCH("interest",LOWER(AF476))),"High Interest / Terms",IF(OR(ISNUMBER(SEARCH("eligib",LOWER(AF476))),ISNUMBER(SEARCH("income",LOWER(AF476)))),"Eligibility / Income",IF(OR(ISNUMBER(SEARCH("start",LOWER(AF476))),ISNUMBER(SEARCH("Newer",AF476)),ISNUMBER(SEARCH("Will start",AF476))),"Process Yet to Start",IF(ISNUMBER(SEARCH("sure",LOWER(AF476))),"Undecided",IF(OR(ISNUMBER(SEARCH("reject",LOWER(AF476))),ISNUMBER(SEARCH("SBI",AF476))),"Rejected Elsewhere",IF(ISNUMBER(SEARCH("call",LOWER(AF476))),"Bank Communication",IF(OR(ISNUMBER(SEARCH("father",LOWER(AF476))),ISNUMBER(SEARCH("sister",LOWER(AF476)))),"Family / Dependency","Other"))))))))))</f>
        <v/>
      </c>
      <c r="AH476">
        <f>IF(A476="","",'01_Master_Data'!AC476)</f>
        <v/>
      </c>
      <c r="AI476">
        <f>IF(A476="","",IF(OR(AH476="",NOT(ISNUMBER(AH476))),"",MAX(0,'02_Configuration'!$B$82-AH476)))</f>
        <v/>
      </c>
      <c r="AJ476">
        <f>IF(A476="","",IF(AI476="","Unknown",IF(AI476&lt;=3,"0–3 Days",IF(AI476&lt;=7,"4–7 Days",IF(AI476&lt;=15,"8–15 Days",IF(AI476&lt;=30,"16–30 Days","30+ Days"))))))</f>
        <v/>
      </c>
      <c r="AK476">
        <f>IF(A476="","",IF(LOWER(H476)="yes","Yes","No"))</f>
        <v/>
      </c>
      <c r="AL476">
        <f>IF(A476="","",'01_Master_Data'!T476)</f>
        <v/>
      </c>
      <c r="AM476">
        <f>IF(A476="","",'01_Master_Data'!S476)</f>
        <v/>
      </c>
      <c r="AN476">
        <f>IF(A476="","",'01_Master_Data'!I476)</f>
        <v/>
      </c>
      <c r="AO476">
        <f>IF(A476="","",'01_Master_Data'!M476)</f>
        <v/>
      </c>
      <c r="AP476">
        <f>IF(A476="","",IF(ISNUMBER(SEARCH("Icici",W476&amp;"")),1,0))</f>
        <v/>
      </c>
      <c r="AQ476">
        <f>IF(A476="","",IF(ISNUMBER(SEARCH("Propelld",W476&amp;"")),1,0))</f>
        <v/>
      </c>
      <c r="AR476">
        <f>IF(A476="","",IF(ISNUMBER(SEARCH("GyanDhan",W476&amp;"")),1,0))</f>
        <v/>
      </c>
      <c r="AS476">
        <f>IF(A476="","",IF(ISNUMBER(SEARCH("vidyalakshmi",LOWER(W476&amp;""))),1,0))</f>
        <v/>
      </c>
      <c r="AT476">
        <f>IF(A476="","",IF(ISNUMBER(SEARCH("other bank",LOWER(W476&amp;""))),1,0))</f>
        <v/>
      </c>
      <c r="AU476">
        <f>IF(A476="","",IF(ISNUMBER(SEARCH("sanctioned",LOWER(W476&amp;""))),1,0))</f>
        <v/>
      </c>
      <c r="AV476">
        <f>IF(A476="","",IF(ISNUMBER(SEARCH("Docs Pending",W476&amp;"")),1,0))</f>
        <v/>
      </c>
      <c r="AW476">
        <f>IF(A476="","",IF(OR(X476="Rejected",ISNUMBER(SEARCH("Not eligbile",W476&amp;""))),1,0))</f>
        <v/>
      </c>
    </row>
    <row r="477">
      <c r="A477">
        <f>IF('01_Master_Data'!B477="","",476)</f>
        <v/>
      </c>
      <c r="B477">
        <f>IF('01_Master_Data'!B477="","",IF('01_Master_Data'!C477&lt;&gt;"","MOB|"&amp;TEXT('01_Master_Data'!C477,"0"),IF('01_Master_Data'!D477&lt;&gt;"","PID|"&amp;TRIM('01_Master_Data'!D477&amp;""),"")))</f>
        <v/>
      </c>
      <c r="C477">
        <f>IF('01_Master_Data'!B477="","",'01_Master_Data'!B477)</f>
        <v/>
      </c>
      <c r="D477">
        <f>IF('01_Master_Data'!B477="","",'01_Master_Data'!C477)</f>
        <v/>
      </c>
      <c r="E477">
        <f>IF('01_Master_Data'!B477="","",'01_Master_Data'!D477)</f>
        <v/>
      </c>
      <c r="F477">
        <f>IF('01_Master_Data'!B477="","",'01_Master_Data'!E477)</f>
        <v/>
      </c>
      <c r="G477">
        <f>IF('01_Master_Data'!B477="","",IFERROR(VLOOKUP(TRIM('01_Master_Data'!E477&amp;""),'02_Configuration'!$A$40:$B$44,2,FALSE),UPPER(TRIM('01_Master_Data'!E477&amp;""))))</f>
        <v/>
      </c>
      <c r="H477">
        <f>IF('01_Master_Data'!B477="","",IF('01_Master_Data'!U477="","",TRIM('01_Master_Data'!U477&amp;"")))</f>
        <v/>
      </c>
      <c r="I477">
        <f>IF('01_Master_Data'!B477="","",TRIM('01_Master_Data'!F477&amp;""))</f>
        <v/>
      </c>
      <c r="J477">
        <f>IF('01_Master_Data'!B477="","",TRIM('01_Master_Data'!G477&amp;""))</f>
        <v/>
      </c>
      <c r="K477">
        <f>IF('01_Master_Data'!B477="","",'01_Master_Data'!H477)</f>
        <v/>
      </c>
      <c r="L477">
        <f>IF('01_Master_Data'!B477="","",IF(LOWER(TRIM('01_Master_Data'!V477&amp;""))="yes",1,0))</f>
        <v/>
      </c>
      <c r="M477">
        <f>IF('01_Master_Data'!B477="","",IF(LOWER(TRIM('01_Master_Data'!W477&amp;""))="yes",1,0))</f>
        <v/>
      </c>
      <c r="N477">
        <f>IF('01_Master_Data'!B477="","",IF(LOWER(TRIM('01_Master_Data'!X477&amp;""))="yes",1,0))</f>
        <v/>
      </c>
      <c r="O477">
        <f>IF('01_Master_Data'!B477="","",IF(LOWER(TRIM('01_Master_Data'!Y477&amp;""))="yes",1,0))</f>
        <v/>
      </c>
      <c r="P477">
        <f>IF('01_Master_Data'!B477="","",IF(LOWER(TRIM('01_Master_Data'!Z477&amp;""))="yes",1,0))</f>
        <v/>
      </c>
      <c r="Q477">
        <f>IF(A477="","",L477+M477+N477+O477+P477)</f>
        <v/>
      </c>
      <c r="R477">
        <f>IF(A477="","",IF(Q477&gt;1,"Yes","No"))</f>
        <v/>
      </c>
      <c r="S477">
        <f>IF(A477="","",TEXTJOIN(", ",TRUE,IF(L477=1,"ICICI",""),IF(M477=1,"Propelld",""),IF(N477=1,"Study4Buddy",""),IF(O477=1,"Poonawala Fincorp",""),IF(P477=1,"GyanDhan","")))</f>
        <v/>
      </c>
      <c r="T477">
        <f>IF(A477="","",IF(L477=1,"ICICI",IF(M477=1,"Propelld",IF(P477=1,"GyanDhan",IF(N477=1,"Study4Buddy",IF(O477=1,"Poonawala Fincorp",IF(ISNUMBER(SEARCH("GyanDhan",W477&amp;"")),"GyanDhan",IF(ISNUMBER(SEARCH("Icici",W477&amp;"")),"ICICI",IF(ISNUMBER(SEARCH("Propelld",W477&amp;"")),"Propelld",IF(ISNUMBER(SEARCH("vidyalakshmi",LOWER(W477&amp;"")),"PM Vidyalakshmi","—"))))))))))</f>
        <v/>
      </c>
      <c r="U477">
        <f>IF(A477="","",TRIM('01_Master_Data'!AA477&amp;""))</f>
        <v/>
      </c>
      <c r="V477">
        <f>IF(A477="","",TRIM('01_Master_Data'!AG477&amp;""))</f>
        <v/>
      </c>
      <c r="W477">
        <f>IF(A477="","",TRIM('01_Master_Data'!AH477&amp;""))</f>
        <v/>
      </c>
      <c r="X477">
        <f>IF(A477="","",IF(OR(LOWER(H477)="refund",LOWER(U477)="refund case"),"Refund",IF(OR(LOWER(H477)="dnp",LOWER(U477)="dnp"),"DNP",IF(OR(LOWER(V477)="disbursed",ISNUMBER(SEARCH("Disbursed",W477&amp;""))),"Disbursed",IF(OR(LOWER(V477)="loan proccessed/accepted",ISNUMBER(SEARCH("sanctioned",LOWER(W477&amp;"")))),"Sanctioned",IF(OR(LOWER(V477)="rejected",ISNUMBER(SEARCH("Not eligbile",W477&amp;"")),ISNUMBER(SEARCH("Not eligible",W477&amp;""))),"Rejected",IF(ISNUMBER(SEARCH("Docs Pending",W477&amp;"")),"Documents Pending",IF(AND(LOWER(H477)="yes",LOWER(V477)="ongoing"),"Processing",IF(AND(LOWER(H477)="yes",Q477&gt;0,OR(V477="",LOWER(V477)="not even started")),"Vendor Assigned",IF(AND(LOWER(H477)="yes",LOWER(V477)="not even started"),"Need Loan",IF(LOWER(H477)="yes","Loan Started",IF(LOWER(H477)="not sure","Interested",IF(OR(LOWER(H477)="no",LOWER(V477)="not required"),"Not Required","Unclassified")))))))))))))</f>
        <v/>
      </c>
      <c r="Y477">
        <f>IF(A477="","",IF(OR(X477="Sanctioned",X477="Disbursed",X477="Approved"),"Approved",IF(X477="Rejected","Rejected",IF(OR(X477="Processing",X477="Documents Pending",X477="Vendor Assigned"),"In Progress",IF(X477="Need Loan","Pending Start","—"))))</f>
        <v/>
      </c>
      <c r="Z477">
        <f>IF(A477="","",IF(X477="Disbursed","Disbursed",IF(X477="Sanctioned","Sanctioned - Awaiting Disbursement","Not Disbursed")))</f>
        <v/>
      </c>
      <c r="AA477">
        <f>IF(A477="","",IF(LOWER(TRIM('01_Master_Data'!AI477&amp;""))="yes","Need FLDG",IF(LOWER(TRIM('01_Master_Data'!AK477&amp;""))="yes","Need Vidyalakshmi",IF(LOWER(TRIM('01_Master_Data'!AJ477&amp;""))="yes","Need Review",IF(LOWER(J477)="critical","Critical",IF(LOWER(U477)="risk","Risk Case",IF(X477="Refund","Refund","Normal")))))))</f>
        <v/>
      </c>
      <c r="AB477">
        <f>IF(A477="","",IF(OR(LOWER(J477)="critical",LOWER(TRIM('01_Master_Data'!AI477&amp;""))="yes",LOWER(TRIM('01_Master_Data'!AK477&amp;""))="yes",LOWER(U477)="risk"),"Yes","No"))</f>
        <v/>
      </c>
      <c r="AC477">
        <f>IF(A477="","",IF(LOWER(TRIM('01_Master_Data'!AI477&amp;""))="yes","Yes","No"))</f>
        <v/>
      </c>
      <c r="AD477">
        <f>IF(A477="","",IF(LOWER(TRIM('01_Master_Data'!AK477&amp;""))="yes","Yes","No"))</f>
        <v/>
      </c>
      <c r="AE477">
        <f>IF(A477="","",IF(LOWER(TRIM('01_Master_Data'!AJ477&amp;""))="yes","Yes","No"))</f>
        <v/>
      </c>
      <c r="AF477">
        <f>IF(A477="","",TRIM('01_Master_Data'!AL477&amp;""))</f>
        <v/>
      </c>
      <c r="AG477">
        <f>IF(A477="","",IF(AF477="","—",IF(ISNUMBER(SEARCH("DNP",AF477)),"Unreachable / DNP",IF(ISNUMBER(SEARCH("interest",LOWER(AF477))),"High Interest / Terms",IF(OR(ISNUMBER(SEARCH("eligib",LOWER(AF477))),ISNUMBER(SEARCH("income",LOWER(AF477)))),"Eligibility / Income",IF(OR(ISNUMBER(SEARCH("start",LOWER(AF477))),ISNUMBER(SEARCH("Newer",AF477)),ISNUMBER(SEARCH("Will start",AF477))),"Process Yet to Start",IF(ISNUMBER(SEARCH("sure",LOWER(AF477))),"Undecided",IF(OR(ISNUMBER(SEARCH("reject",LOWER(AF477))),ISNUMBER(SEARCH("SBI",AF477))),"Rejected Elsewhere",IF(ISNUMBER(SEARCH("call",LOWER(AF477))),"Bank Communication",IF(OR(ISNUMBER(SEARCH("father",LOWER(AF477))),ISNUMBER(SEARCH("sister",LOWER(AF477)))),"Family / Dependency","Other"))))))))))</f>
        <v/>
      </c>
      <c r="AH477">
        <f>IF(A477="","",'01_Master_Data'!AC477)</f>
        <v/>
      </c>
      <c r="AI477">
        <f>IF(A477="","",IF(OR(AH477="",NOT(ISNUMBER(AH477))),"",MAX(0,'02_Configuration'!$B$82-AH477)))</f>
        <v/>
      </c>
      <c r="AJ477">
        <f>IF(A477="","",IF(AI477="","Unknown",IF(AI477&lt;=3,"0–3 Days",IF(AI477&lt;=7,"4–7 Days",IF(AI477&lt;=15,"8–15 Days",IF(AI477&lt;=30,"16–30 Days","30+ Days"))))))</f>
        <v/>
      </c>
      <c r="AK477">
        <f>IF(A477="","",IF(LOWER(H477)="yes","Yes","No"))</f>
        <v/>
      </c>
      <c r="AL477">
        <f>IF(A477="","",'01_Master_Data'!T477)</f>
        <v/>
      </c>
      <c r="AM477">
        <f>IF(A477="","",'01_Master_Data'!S477)</f>
        <v/>
      </c>
      <c r="AN477">
        <f>IF(A477="","",'01_Master_Data'!I477)</f>
        <v/>
      </c>
      <c r="AO477">
        <f>IF(A477="","",'01_Master_Data'!M477)</f>
        <v/>
      </c>
      <c r="AP477">
        <f>IF(A477="","",IF(ISNUMBER(SEARCH("Icici",W477&amp;"")),1,0))</f>
        <v/>
      </c>
      <c r="AQ477">
        <f>IF(A477="","",IF(ISNUMBER(SEARCH("Propelld",W477&amp;"")),1,0))</f>
        <v/>
      </c>
      <c r="AR477">
        <f>IF(A477="","",IF(ISNUMBER(SEARCH("GyanDhan",W477&amp;"")),1,0))</f>
        <v/>
      </c>
      <c r="AS477">
        <f>IF(A477="","",IF(ISNUMBER(SEARCH("vidyalakshmi",LOWER(W477&amp;""))),1,0))</f>
        <v/>
      </c>
      <c r="AT477">
        <f>IF(A477="","",IF(ISNUMBER(SEARCH("other bank",LOWER(W477&amp;""))),1,0))</f>
        <v/>
      </c>
      <c r="AU477">
        <f>IF(A477="","",IF(ISNUMBER(SEARCH("sanctioned",LOWER(W477&amp;""))),1,0))</f>
        <v/>
      </c>
      <c r="AV477">
        <f>IF(A477="","",IF(ISNUMBER(SEARCH("Docs Pending",W477&amp;"")),1,0))</f>
        <v/>
      </c>
      <c r="AW477">
        <f>IF(A477="","",IF(OR(X477="Rejected",ISNUMBER(SEARCH("Not eligbile",W477&amp;""))),1,0))</f>
        <v/>
      </c>
    </row>
    <row r="478">
      <c r="A478">
        <f>IF('01_Master_Data'!B478="","",477)</f>
        <v/>
      </c>
      <c r="B478">
        <f>IF('01_Master_Data'!B478="","",IF('01_Master_Data'!C478&lt;&gt;"","MOB|"&amp;TEXT('01_Master_Data'!C478,"0"),IF('01_Master_Data'!D478&lt;&gt;"","PID|"&amp;TRIM('01_Master_Data'!D478&amp;""),"")))</f>
        <v/>
      </c>
      <c r="C478">
        <f>IF('01_Master_Data'!B478="","",'01_Master_Data'!B478)</f>
        <v/>
      </c>
      <c r="D478">
        <f>IF('01_Master_Data'!B478="","",'01_Master_Data'!C478)</f>
        <v/>
      </c>
      <c r="E478">
        <f>IF('01_Master_Data'!B478="","",'01_Master_Data'!D478)</f>
        <v/>
      </c>
      <c r="F478">
        <f>IF('01_Master_Data'!B478="","",'01_Master_Data'!E478)</f>
        <v/>
      </c>
      <c r="G478">
        <f>IF('01_Master_Data'!B478="","",IFERROR(VLOOKUP(TRIM('01_Master_Data'!E478&amp;""),'02_Configuration'!$A$40:$B$44,2,FALSE),UPPER(TRIM('01_Master_Data'!E478&amp;""))))</f>
        <v/>
      </c>
      <c r="H478">
        <f>IF('01_Master_Data'!B478="","",IF('01_Master_Data'!U478="","",TRIM('01_Master_Data'!U478&amp;"")))</f>
        <v/>
      </c>
      <c r="I478">
        <f>IF('01_Master_Data'!B478="","",TRIM('01_Master_Data'!F478&amp;""))</f>
        <v/>
      </c>
      <c r="J478">
        <f>IF('01_Master_Data'!B478="","",TRIM('01_Master_Data'!G478&amp;""))</f>
        <v/>
      </c>
      <c r="K478">
        <f>IF('01_Master_Data'!B478="","",'01_Master_Data'!H478)</f>
        <v/>
      </c>
      <c r="L478">
        <f>IF('01_Master_Data'!B478="","",IF(LOWER(TRIM('01_Master_Data'!V478&amp;""))="yes",1,0))</f>
        <v/>
      </c>
      <c r="M478">
        <f>IF('01_Master_Data'!B478="","",IF(LOWER(TRIM('01_Master_Data'!W478&amp;""))="yes",1,0))</f>
        <v/>
      </c>
      <c r="N478">
        <f>IF('01_Master_Data'!B478="","",IF(LOWER(TRIM('01_Master_Data'!X478&amp;""))="yes",1,0))</f>
        <v/>
      </c>
      <c r="O478">
        <f>IF('01_Master_Data'!B478="","",IF(LOWER(TRIM('01_Master_Data'!Y478&amp;""))="yes",1,0))</f>
        <v/>
      </c>
      <c r="P478">
        <f>IF('01_Master_Data'!B478="","",IF(LOWER(TRIM('01_Master_Data'!Z478&amp;""))="yes",1,0))</f>
        <v/>
      </c>
      <c r="Q478">
        <f>IF(A478="","",L478+M478+N478+O478+P478)</f>
        <v/>
      </c>
      <c r="R478">
        <f>IF(A478="","",IF(Q478&gt;1,"Yes","No"))</f>
        <v/>
      </c>
      <c r="S478">
        <f>IF(A478="","",TEXTJOIN(", ",TRUE,IF(L478=1,"ICICI",""),IF(M478=1,"Propelld",""),IF(N478=1,"Study4Buddy",""),IF(O478=1,"Poonawala Fincorp",""),IF(P478=1,"GyanDhan","")))</f>
        <v/>
      </c>
      <c r="T478">
        <f>IF(A478="","",IF(L478=1,"ICICI",IF(M478=1,"Propelld",IF(P478=1,"GyanDhan",IF(N478=1,"Study4Buddy",IF(O478=1,"Poonawala Fincorp",IF(ISNUMBER(SEARCH("GyanDhan",W478&amp;"")),"GyanDhan",IF(ISNUMBER(SEARCH("Icici",W478&amp;"")),"ICICI",IF(ISNUMBER(SEARCH("Propelld",W478&amp;"")),"Propelld",IF(ISNUMBER(SEARCH("vidyalakshmi",LOWER(W478&amp;"")),"PM Vidyalakshmi","—"))))))))))</f>
        <v/>
      </c>
      <c r="U478">
        <f>IF(A478="","",TRIM('01_Master_Data'!AA478&amp;""))</f>
        <v/>
      </c>
      <c r="V478">
        <f>IF(A478="","",TRIM('01_Master_Data'!AG478&amp;""))</f>
        <v/>
      </c>
      <c r="W478">
        <f>IF(A478="","",TRIM('01_Master_Data'!AH478&amp;""))</f>
        <v/>
      </c>
      <c r="X478">
        <f>IF(A478="","",IF(OR(LOWER(H478)="refund",LOWER(U478)="refund case"),"Refund",IF(OR(LOWER(H478)="dnp",LOWER(U478)="dnp"),"DNP",IF(OR(LOWER(V478)="disbursed",ISNUMBER(SEARCH("Disbursed",W478&amp;""))),"Disbursed",IF(OR(LOWER(V478)="loan proccessed/accepted",ISNUMBER(SEARCH("sanctioned",LOWER(W478&amp;"")))),"Sanctioned",IF(OR(LOWER(V478)="rejected",ISNUMBER(SEARCH("Not eligbile",W478&amp;"")),ISNUMBER(SEARCH("Not eligible",W478&amp;""))),"Rejected",IF(ISNUMBER(SEARCH("Docs Pending",W478&amp;"")),"Documents Pending",IF(AND(LOWER(H478)="yes",LOWER(V478)="ongoing"),"Processing",IF(AND(LOWER(H478)="yes",Q478&gt;0,OR(V478="",LOWER(V478)="not even started")),"Vendor Assigned",IF(AND(LOWER(H478)="yes",LOWER(V478)="not even started"),"Need Loan",IF(LOWER(H478)="yes","Loan Started",IF(LOWER(H478)="not sure","Interested",IF(OR(LOWER(H478)="no",LOWER(V478)="not required"),"Not Required","Unclassified")))))))))))))</f>
        <v/>
      </c>
      <c r="Y478">
        <f>IF(A478="","",IF(OR(X478="Sanctioned",X478="Disbursed",X478="Approved"),"Approved",IF(X478="Rejected","Rejected",IF(OR(X478="Processing",X478="Documents Pending",X478="Vendor Assigned"),"In Progress",IF(X478="Need Loan","Pending Start","—"))))</f>
        <v/>
      </c>
      <c r="Z478">
        <f>IF(A478="","",IF(X478="Disbursed","Disbursed",IF(X478="Sanctioned","Sanctioned - Awaiting Disbursement","Not Disbursed")))</f>
        <v/>
      </c>
      <c r="AA478">
        <f>IF(A478="","",IF(LOWER(TRIM('01_Master_Data'!AI478&amp;""))="yes","Need FLDG",IF(LOWER(TRIM('01_Master_Data'!AK478&amp;""))="yes","Need Vidyalakshmi",IF(LOWER(TRIM('01_Master_Data'!AJ478&amp;""))="yes","Need Review",IF(LOWER(J478)="critical","Critical",IF(LOWER(U478)="risk","Risk Case",IF(X478="Refund","Refund","Normal")))))))</f>
        <v/>
      </c>
      <c r="AB478">
        <f>IF(A478="","",IF(OR(LOWER(J478)="critical",LOWER(TRIM('01_Master_Data'!AI478&amp;""))="yes",LOWER(TRIM('01_Master_Data'!AK478&amp;""))="yes",LOWER(U478)="risk"),"Yes","No"))</f>
        <v/>
      </c>
      <c r="AC478">
        <f>IF(A478="","",IF(LOWER(TRIM('01_Master_Data'!AI478&amp;""))="yes","Yes","No"))</f>
        <v/>
      </c>
      <c r="AD478">
        <f>IF(A478="","",IF(LOWER(TRIM('01_Master_Data'!AK478&amp;""))="yes","Yes","No"))</f>
        <v/>
      </c>
      <c r="AE478">
        <f>IF(A478="","",IF(LOWER(TRIM('01_Master_Data'!AJ478&amp;""))="yes","Yes","No"))</f>
        <v/>
      </c>
      <c r="AF478">
        <f>IF(A478="","",TRIM('01_Master_Data'!AL478&amp;""))</f>
        <v/>
      </c>
      <c r="AG478">
        <f>IF(A478="","",IF(AF478="","—",IF(ISNUMBER(SEARCH("DNP",AF478)),"Unreachable / DNP",IF(ISNUMBER(SEARCH("interest",LOWER(AF478))),"High Interest / Terms",IF(OR(ISNUMBER(SEARCH("eligib",LOWER(AF478))),ISNUMBER(SEARCH("income",LOWER(AF478)))),"Eligibility / Income",IF(OR(ISNUMBER(SEARCH("start",LOWER(AF478))),ISNUMBER(SEARCH("Newer",AF478)),ISNUMBER(SEARCH("Will start",AF478))),"Process Yet to Start",IF(ISNUMBER(SEARCH("sure",LOWER(AF478))),"Undecided",IF(OR(ISNUMBER(SEARCH("reject",LOWER(AF478))),ISNUMBER(SEARCH("SBI",AF478))),"Rejected Elsewhere",IF(ISNUMBER(SEARCH("call",LOWER(AF478))),"Bank Communication",IF(OR(ISNUMBER(SEARCH("father",LOWER(AF478))),ISNUMBER(SEARCH("sister",LOWER(AF478)))),"Family / Dependency","Other"))))))))))</f>
        <v/>
      </c>
      <c r="AH478">
        <f>IF(A478="","",'01_Master_Data'!AC478)</f>
        <v/>
      </c>
      <c r="AI478">
        <f>IF(A478="","",IF(OR(AH478="",NOT(ISNUMBER(AH478))),"",MAX(0,'02_Configuration'!$B$82-AH478)))</f>
        <v/>
      </c>
      <c r="AJ478">
        <f>IF(A478="","",IF(AI478="","Unknown",IF(AI478&lt;=3,"0–3 Days",IF(AI478&lt;=7,"4–7 Days",IF(AI478&lt;=15,"8–15 Days",IF(AI478&lt;=30,"16–30 Days","30+ Days"))))))</f>
        <v/>
      </c>
      <c r="AK478">
        <f>IF(A478="","",IF(LOWER(H478)="yes","Yes","No"))</f>
        <v/>
      </c>
      <c r="AL478">
        <f>IF(A478="","",'01_Master_Data'!T478)</f>
        <v/>
      </c>
      <c r="AM478">
        <f>IF(A478="","",'01_Master_Data'!S478)</f>
        <v/>
      </c>
      <c r="AN478">
        <f>IF(A478="","",'01_Master_Data'!I478)</f>
        <v/>
      </c>
      <c r="AO478">
        <f>IF(A478="","",'01_Master_Data'!M478)</f>
        <v/>
      </c>
      <c r="AP478">
        <f>IF(A478="","",IF(ISNUMBER(SEARCH("Icici",W478&amp;"")),1,0))</f>
        <v/>
      </c>
      <c r="AQ478">
        <f>IF(A478="","",IF(ISNUMBER(SEARCH("Propelld",W478&amp;"")),1,0))</f>
        <v/>
      </c>
      <c r="AR478">
        <f>IF(A478="","",IF(ISNUMBER(SEARCH("GyanDhan",W478&amp;"")),1,0))</f>
        <v/>
      </c>
      <c r="AS478">
        <f>IF(A478="","",IF(ISNUMBER(SEARCH("vidyalakshmi",LOWER(W478&amp;""))),1,0))</f>
        <v/>
      </c>
      <c r="AT478">
        <f>IF(A478="","",IF(ISNUMBER(SEARCH("other bank",LOWER(W478&amp;""))),1,0))</f>
        <v/>
      </c>
      <c r="AU478">
        <f>IF(A478="","",IF(ISNUMBER(SEARCH("sanctioned",LOWER(W478&amp;""))),1,0))</f>
        <v/>
      </c>
      <c r="AV478">
        <f>IF(A478="","",IF(ISNUMBER(SEARCH("Docs Pending",W478&amp;"")),1,0))</f>
        <v/>
      </c>
      <c r="AW478">
        <f>IF(A478="","",IF(OR(X478="Rejected",ISNUMBER(SEARCH("Not eligbile",W478&amp;""))),1,0))</f>
        <v/>
      </c>
    </row>
    <row r="479">
      <c r="A479">
        <f>IF('01_Master_Data'!B479="","",478)</f>
        <v/>
      </c>
      <c r="B479">
        <f>IF('01_Master_Data'!B479="","",IF('01_Master_Data'!C479&lt;&gt;"","MOB|"&amp;TEXT('01_Master_Data'!C479,"0"),IF('01_Master_Data'!D479&lt;&gt;"","PID|"&amp;TRIM('01_Master_Data'!D479&amp;""),"")))</f>
        <v/>
      </c>
      <c r="C479">
        <f>IF('01_Master_Data'!B479="","",'01_Master_Data'!B479)</f>
        <v/>
      </c>
      <c r="D479">
        <f>IF('01_Master_Data'!B479="","",'01_Master_Data'!C479)</f>
        <v/>
      </c>
      <c r="E479">
        <f>IF('01_Master_Data'!B479="","",'01_Master_Data'!D479)</f>
        <v/>
      </c>
      <c r="F479">
        <f>IF('01_Master_Data'!B479="","",'01_Master_Data'!E479)</f>
        <v/>
      </c>
      <c r="G479">
        <f>IF('01_Master_Data'!B479="","",IFERROR(VLOOKUP(TRIM('01_Master_Data'!E479&amp;""),'02_Configuration'!$A$40:$B$44,2,FALSE),UPPER(TRIM('01_Master_Data'!E479&amp;""))))</f>
        <v/>
      </c>
      <c r="H479">
        <f>IF('01_Master_Data'!B479="","",IF('01_Master_Data'!U479="","",TRIM('01_Master_Data'!U479&amp;"")))</f>
        <v/>
      </c>
      <c r="I479">
        <f>IF('01_Master_Data'!B479="","",TRIM('01_Master_Data'!F479&amp;""))</f>
        <v/>
      </c>
      <c r="J479">
        <f>IF('01_Master_Data'!B479="","",TRIM('01_Master_Data'!G479&amp;""))</f>
        <v/>
      </c>
      <c r="K479">
        <f>IF('01_Master_Data'!B479="","",'01_Master_Data'!H479)</f>
        <v/>
      </c>
      <c r="L479">
        <f>IF('01_Master_Data'!B479="","",IF(LOWER(TRIM('01_Master_Data'!V479&amp;""))="yes",1,0))</f>
        <v/>
      </c>
      <c r="M479">
        <f>IF('01_Master_Data'!B479="","",IF(LOWER(TRIM('01_Master_Data'!W479&amp;""))="yes",1,0))</f>
        <v/>
      </c>
      <c r="N479">
        <f>IF('01_Master_Data'!B479="","",IF(LOWER(TRIM('01_Master_Data'!X479&amp;""))="yes",1,0))</f>
        <v/>
      </c>
      <c r="O479">
        <f>IF('01_Master_Data'!B479="","",IF(LOWER(TRIM('01_Master_Data'!Y479&amp;""))="yes",1,0))</f>
        <v/>
      </c>
      <c r="P479">
        <f>IF('01_Master_Data'!B479="","",IF(LOWER(TRIM('01_Master_Data'!Z479&amp;""))="yes",1,0))</f>
        <v/>
      </c>
      <c r="Q479">
        <f>IF(A479="","",L479+M479+N479+O479+P479)</f>
        <v/>
      </c>
      <c r="R479">
        <f>IF(A479="","",IF(Q479&gt;1,"Yes","No"))</f>
        <v/>
      </c>
      <c r="S479">
        <f>IF(A479="","",TEXTJOIN(", ",TRUE,IF(L479=1,"ICICI",""),IF(M479=1,"Propelld",""),IF(N479=1,"Study4Buddy",""),IF(O479=1,"Poonawala Fincorp",""),IF(P479=1,"GyanDhan","")))</f>
        <v/>
      </c>
      <c r="T479">
        <f>IF(A479="","",IF(L479=1,"ICICI",IF(M479=1,"Propelld",IF(P479=1,"GyanDhan",IF(N479=1,"Study4Buddy",IF(O479=1,"Poonawala Fincorp",IF(ISNUMBER(SEARCH("GyanDhan",W479&amp;"")),"GyanDhan",IF(ISNUMBER(SEARCH("Icici",W479&amp;"")),"ICICI",IF(ISNUMBER(SEARCH("Propelld",W479&amp;"")),"Propelld",IF(ISNUMBER(SEARCH("vidyalakshmi",LOWER(W479&amp;"")),"PM Vidyalakshmi","—"))))))))))</f>
        <v/>
      </c>
      <c r="U479">
        <f>IF(A479="","",TRIM('01_Master_Data'!AA479&amp;""))</f>
        <v/>
      </c>
      <c r="V479">
        <f>IF(A479="","",TRIM('01_Master_Data'!AG479&amp;""))</f>
        <v/>
      </c>
      <c r="W479">
        <f>IF(A479="","",TRIM('01_Master_Data'!AH479&amp;""))</f>
        <v/>
      </c>
      <c r="X479">
        <f>IF(A479="","",IF(OR(LOWER(H479)="refund",LOWER(U479)="refund case"),"Refund",IF(OR(LOWER(H479)="dnp",LOWER(U479)="dnp"),"DNP",IF(OR(LOWER(V479)="disbursed",ISNUMBER(SEARCH("Disbursed",W479&amp;""))),"Disbursed",IF(OR(LOWER(V479)="loan proccessed/accepted",ISNUMBER(SEARCH("sanctioned",LOWER(W479&amp;"")))),"Sanctioned",IF(OR(LOWER(V479)="rejected",ISNUMBER(SEARCH("Not eligbile",W479&amp;"")),ISNUMBER(SEARCH("Not eligible",W479&amp;""))),"Rejected",IF(ISNUMBER(SEARCH("Docs Pending",W479&amp;"")),"Documents Pending",IF(AND(LOWER(H479)="yes",LOWER(V479)="ongoing"),"Processing",IF(AND(LOWER(H479)="yes",Q479&gt;0,OR(V479="",LOWER(V479)="not even started")),"Vendor Assigned",IF(AND(LOWER(H479)="yes",LOWER(V479)="not even started"),"Need Loan",IF(LOWER(H479)="yes","Loan Started",IF(LOWER(H479)="not sure","Interested",IF(OR(LOWER(H479)="no",LOWER(V479)="not required"),"Not Required","Unclassified")))))))))))))</f>
        <v/>
      </c>
      <c r="Y479">
        <f>IF(A479="","",IF(OR(X479="Sanctioned",X479="Disbursed",X479="Approved"),"Approved",IF(X479="Rejected","Rejected",IF(OR(X479="Processing",X479="Documents Pending",X479="Vendor Assigned"),"In Progress",IF(X479="Need Loan","Pending Start","—"))))</f>
        <v/>
      </c>
      <c r="Z479">
        <f>IF(A479="","",IF(X479="Disbursed","Disbursed",IF(X479="Sanctioned","Sanctioned - Awaiting Disbursement","Not Disbursed")))</f>
        <v/>
      </c>
      <c r="AA479">
        <f>IF(A479="","",IF(LOWER(TRIM('01_Master_Data'!AI479&amp;""))="yes","Need FLDG",IF(LOWER(TRIM('01_Master_Data'!AK479&amp;""))="yes","Need Vidyalakshmi",IF(LOWER(TRIM('01_Master_Data'!AJ479&amp;""))="yes","Need Review",IF(LOWER(J479)="critical","Critical",IF(LOWER(U479)="risk","Risk Case",IF(X479="Refund","Refund","Normal")))))))</f>
        <v/>
      </c>
      <c r="AB479">
        <f>IF(A479="","",IF(OR(LOWER(J479)="critical",LOWER(TRIM('01_Master_Data'!AI479&amp;""))="yes",LOWER(TRIM('01_Master_Data'!AK479&amp;""))="yes",LOWER(U479)="risk"),"Yes","No"))</f>
        <v/>
      </c>
      <c r="AC479">
        <f>IF(A479="","",IF(LOWER(TRIM('01_Master_Data'!AI479&amp;""))="yes","Yes","No"))</f>
        <v/>
      </c>
      <c r="AD479">
        <f>IF(A479="","",IF(LOWER(TRIM('01_Master_Data'!AK479&amp;""))="yes","Yes","No"))</f>
        <v/>
      </c>
      <c r="AE479">
        <f>IF(A479="","",IF(LOWER(TRIM('01_Master_Data'!AJ479&amp;""))="yes","Yes","No"))</f>
        <v/>
      </c>
      <c r="AF479">
        <f>IF(A479="","",TRIM('01_Master_Data'!AL479&amp;""))</f>
        <v/>
      </c>
      <c r="AG479">
        <f>IF(A479="","",IF(AF479="","—",IF(ISNUMBER(SEARCH("DNP",AF479)),"Unreachable / DNP",IF(ISNUMBER(SEARCH("interest",LOWER(AF479))),"High Interest / Terms",IF(OR(ISNUMBER(SEARCH("eligib",LOWER(AF479))),ISNUMBER(SEARCH("income",LOWER(AF479)))),"Eligibility / Income",IF(OR(ISNUMBER(SEARCH("start",LOWER(AF479))),ISNUMBER(SEARCH("Newer",AF479)),ISNUMBER(SEARCH("Will start",AF479))),"Process Yet to Start",IF(ISNUMBER(SEARCH("sure",LOWER(AF479))),"Undecided",IF(OR(ISNUMBER(SEARCH("reject",LOWER(AF479))),ISNUMBER(SEARCH("SBI",AF479))),"Rejected Elsewhere",IF(ISNUMBER(SEARCH("call",LOWER(AF479))),"Bank Communication",IF(OR(ISNUMBER(SEARCH("father",LOWER(AF479))),ISNUMBER(SEARCH("sister",LOWER(AF479)))),"Family / Dependency","Other"))))))))))</f>
        <v/>
      </c>
      <c r="AH479">
        <f>IF(A479="","",'01_Master_Data'!AC479)</f>
        <v/>
      </c>
      <c r="AI479">
        <f>IF(A479="","",IF(OR(AH479="",NOT(ISNUMBER(AH479))),"",MAX(0,'02_Configuration'!$B$82-AH479)))</f>
        <v/>
      </c>
      <c r="AJ479">
        <f>IF(A479="","",IF(AI479="","Unknown",IF(AI479&lt;=3,"0–3 Days",IF(AI479&lt;=7,"4–7 Days",IF(AI479&lt;=15,"8–15 Days",IF(AI479&lt;=30,"16–30 Days","30+ Days"))))))</f>
        <v/>
      </c>
      <c r="AK479">
        <f>IF(A479="","",IF(LOWER(H479)="yes","Yes","No"))</f>
        <v/>
      </c>
      <c r="AL479">
        <f>IF(A479="","",'01_Master_Data'!T479)</f>
        <v/>
      </c>
      <c r="AM479">
        <f>IF(A479="","",'01_Master_Data'!S479)</f>
        <v/>
      </c>
      <c r="AN479">
        <f>IF(A479="","",'01_Master_Data'!I479)</f>
        <v/>
      </c>
      <c r="AO479">
        <f>IF(A479="","",'01_Master_Data'!M479)</f>
        <v/>
      </c>
      <c r="AP479">
        <f>IF(A479="","",IF(ISNUMBER(SEARCH("Icici",W479&amp;"")),1,0))</f>
        <v/>
      </c>
      <c r="AQ479">
        <f>IF(A479="","",IF(ISNUMBER(SEARCH("Propelld",W479&amp;"")),1,0))</f>
        <v/>
      </c>
      <c r="AR479">
        <f>IF(A479="","",IF(ISNUMBER(SEARCH("GyanDhan",W479&amp;"")),1,0))</f>
        <v/>
      </c>
      <c r="AS479">
        <f>IF(A479="","",IF(ISNUMBER(SEARCH("vidyalakshmi",LOWER(W479&amp;""))),1,0))</f>
        <v/>
      </c>
      <c r="AT479">
        <f>IF(A479="","",IF(ISNUMBER(SEARCH("other bank",LOWER(W479&amp;""))),1,0))</f>
        <v/>
      </c>
      <c r="AU479">
        <f>IF(A479="","",IF(ISNUMBER(SEARCH("sanctioned",LOWER(W479&amp;""))),1,0))</f>
        <v/>
      </c>
      <c r="AV479">
        <f>IF(A479="","",IF(ISNUMBER(SEARCH("Docs Pending",W479&amp;"")),1,0))</f>
        <v/>
      </c>
      <c r="AW479">
        <f>IF(A479="","",IF(OR(X479="Rejected",ISNUMBER(SEARCH("Not eligbile",W479&amp;""))),1,0))</f>
        <v/>
      </c>
    </row>
    <row r="480">
      <c r="A480">
        <f>IF('01_Master_Data'!B480="","",479)</f>
        <v/>
      </c>
      <c r="B480">
        <f>IF('01_Master_Data'!B480="","",IF('01_Master_Data'!C480&lt;&gt;"","MOB|"&amp;TEXT('01_Master_Data'!C480,"0"),IF('01_Master_Data'!D480&lt;&gt;"","PID|"&amp;TRIM('01_Master_Data'!D480&amp;""),"")))</f>
        <v/>
      </c>
      <c r="C480">
        <f>IF('01_Master_Data'!B480="","",'01_Master_Data'!B480)</f>
        <v/>
      </c>
      <c r="D480">
        <f>IF('01_Master_Data'!B480="","",'01_Master_Data'!C480)</f>
        <v/>
      </c>
      <c r="E480">
        <f>IF('01_Master_Data'!B480="","",'01_Master_Data'!D480)</f>
        <v/>
      </c>
      <c r="F480">
        <f>IF('01_Master_Data'!B480="","",'01_Master_Data'!E480)</f>
        <v/>
      </c>
      <c r="G480">
        <f>IF('01_Master_Data'!B480="","",IFERROR(VLOOKUP(TRIM('01_Master_Data'!E480&amp;""),'02_Configuration'!$A$40:$B$44,2,FALSE),UPPER(TRIM('01_Master_Data'!E480&amp;""))))</f>
        <v/>
      </c>
      <c r="H480">
        <f>IF('01_Master_Data'!B480="","",IF('01_Master_Data'!U480="","",TRIM('01_Master_Data'!U480&amp;"")))</f>
        <v/>
      </c>
      <c r="I480">
        <f>IF('01_Master_Data'!B480="","",TRIM('01_Master_Data'!F480&amp;""))</f>
        <v/>
      </c>
      <c r="J480">
        <f>IF('01_Master_Data'!B480="","",TRIM('01_Master_Data'!G480&amp;""))</f>
        <v/>
      </c>
      <c r="K480">
        <f>IF('01_Master_Data'!B480="","",'01_Master_Data'!H480)</f>
        <v/>
      </c>
      <c r="L480">
        <f>IF('01_Master_Data'!B480="","",IF(LOWER(TRIM('01_Master_Data'!V480&amp;""))="yes",1,0))</f>
        <v/>
      </c>
      <c r="M480">
        <f>IF('01_Master_Data'!B480="","",IF(LOWER(TRIM('01_Master_Data'!W480&amp;""))="yes",1,0))</f>
        <v/>
      </c>
      <c r="N480">
        <f>IF('01_Master_Data'!B480="","",IF(LOWER(TRIM('01_Master_Data'!X480&amp;""))="yes",1,0))</f>
        <v/>
      </c>
      <c r="O480">
        <f>IF('01_Master_Data'!B480="","",IF(LOWER(TRIM('01_Master_Data'!Y480&amp;""))="yes",1,0))</f>
        <v/>
      </c>
      <c r="P480">
        <f>IF('01_Master_Data'!B480="","",IF(LOWER(TRIM('01_Master_Data'!Z480&amp;""))="yes",1,0))</f>
        <v/>
      </c>
      <c r="Q480">
        <f>IF(A480="","",L480+M480+N480+O480+P480)</f>
        <v/>
      </c>
      <c r="R480">
        <f>IF(A480="","",IF(Q480&gt;1,"Yes","No"))</f>
        <v/>
      </c>
      <c r="S480">
        <f>IF(A480="","",TEXTJOIN(", ",TRUE,IF(L480=1,"ICICI",""),IF(M480=1,"Propelld",""),IF(N480=1,"Study4Buddy",""),IF(O480=1,"Poonawala Fincorp",""),IF(P480=1,"GyanDhan","")))</f>
        <v/>
      </c>
      <c r="T480">
        <f>IF(A480="","",IF(L480=1,"ICICI",IF(M480=1,"Propelld",IF(P480=1,"GyanDhan",IF(N480=1,"Study4Buddy",IF(O480=1,"Poonawala Fincorp",IF(ISNUMBER(SEARCH("GyanDhan",W480&amp;"")),"GyanDhan",IF(ISNUMBER(SEARCH("Icici",W480&amp;"")),"ICICI",IF(ISNUMBER(SEARCH("Propelld",W480&amp;"")),"Propelld",IF(ISNUMBER(SEARCH("vidyalakshmi",LOWER(W480&amp;"")),"PM Vidyalakshmi","—"))))))))))</f>
        <v/>
      </c>
      <c r="U480">
        <f>IF(A480="","",TRIM('01_Master_Data'!AA480&amp;""))</f>
        <v/>
      </c>
      <c r="V480">
        <f>IF(A480="","",TRIM('01_Master_Data'!AG480&amp;""))</f>
        <v/>
      </c>
      <c r="W480">
        <f>IF(A480="","",TRIM('01_Master_Data'!AH480&amp;""))</f>
        <v/>
      </c>
      <c r="X480">
        <f>IF(A480="","",IF(OR(LOWER(H480)="refund",LOWER(U480)="refund case"),"Refund",IF(OR(LOWER(H480)="dnp",LOWER(U480)="dnp"),"DNP",IF(OR(LOWER(V480)="disbursed",ISNUMBER(SEARCH("Disbursed",W480&amp;""))),"Disbursed",IF(OR(LOWER(V480)="loan proccessed/accepted",ISNUMBER(SEARCH("sanctioned",LOWER(W480&amp;"")))),"Sanctioned",IF(OR(LOWER(V480)="rejected",ISNUMBER(SEARCH("Not eligbile",W480&amp;"")),ISNUMBER(SEARCH("Not eligible",W480&amp;""))),"Rejected",IF(ISNUMBER(SEARCH("Docs Pending",W480&amp;"")),"Documents Pending",IF(AND(LOWER(H480)="yes",LOWER(V480)="ongoing"),"Processing",IF(AND(LOWER(H480)="yes",Q480&gt;0,OR(V480="",LOWER(V480)="not even started")),"Vendor Assigned",IF(AND(LOWER(H480)="yes",LOWER(V480)="not even started"),"Need Loan",IF(LOWER(H480)="yes","Loan Started",IF(LOWER(H480)="not sure","Interested",IF(OR(LOWER(H480)="no",LOWER(V480)="not required"),"Not Required","Unclassified")))))))))))))</f>
        <v/>
      </c>
      <c r="Y480">
        <f>IF(A480="","",IF(OR(X480="Sanctioned",X480="Disbursed",X480="Approved"),"Approved",IF(X480="Rejected","Rejected",IF(OR(X480="Processing",X480="Documents Pending",X480="Vendor Assigned"),"In Progress",IF(X480="Need Loan","Pending Start","—"))))</f>
        <v/>
      </c>
      <c r="Z480">
        <f>IF(A480="","",IF(X480="Disbursed","Disbursed",IF(X480="Sanctioned","Sanctioned - Awaiting Disbursement","Not Disbursed")))</f>
        <v/>
      </c>
      <c r="AA480">
        <f>IF(A480="","",IF(LOWER(TRIM('01_Master_Data'!AI480&amp;""))="yes","Need FLDG",IF(LOWER(TRIM('01_Master_Data'!AK480&amp;""))="yes","Need Vidyalakshmi",IF(LOWER(TRIM('01_Master_Data'!AJ480&amp;""))="yes","Need Review",IF(LOWER(J480)="critical","Critical",IF(LOWER(U480)="risk","Risk Case",IF(X480="Refund","Refund","Normal")))))))</f>
        <v/>
      </c>
      <c r="AB480">
        <f>IF(A480="","",IF(OR(LOWER(J480)="critical",LOWER(TRIM('01_Master_Data'!AI480&amp;""))="yes",LOWER(TRIM('01_Master_Data'!AK480&amp;""))="yes",LOWER(U480)="risk"),"Yes","No"))</f>
        <v/>
      </c>
      <c r="AC480">
        <f>IF(A480="","",IF(LOWER(TRIM('01_Master_Data'!AI480&amp;""))="yes","Yes","No"))</f>
        <v/>
      </c>
      <c r="AD480">
        <f>IF(A480="","",IF(LOWER(TRIM('01_Master_Data'!AK480&amp;""))="yes","Yes","No"))</f>
        <v/>
      </c>
      <c r="AE480">
        <f>IF(A480="","",IF(LOWER(TRIM('01_Master_Data'!AJ480&amp;""))="yes","Yes","No"))</f>
        <v/>
      </c>
      <c r="AF480">
        <f>IF(A480="","",TRIM('01_Master_Data'!AL480&amp;""))</f>
        <v/>
      </c>
      <c r="AG480">
        <f>IF(A480="","",IF(AF480="","—",IF(ISNUMBER(SEARCH("DNP",AF480)),"Unreachable / DNP",IF(ISNUMBER(SEARCH("interest",LOWER(AF480))),"High Interest / Terms",IF(OR(ISNUMBER(SEARCH("eligib",LOWER(AF480))),ISNUMBER(SEARCH("income",LOWER(AF480)))),"Eligibility / Income",IF(OR(ISNUMBER(SEARCH("start",LOWER(AF480))),ISNUMBER(SEARCH("Newer",AF480)),ISNUMBER(SEARCH("Will start",AF480))),"Process Yet to Start",IF(ISNUMBER(SEARCH("sure",LOWER(AF480))),"Undecided",IF(OR(ISNUMBER(SEARCH("reject",LOWER(AF480))),ISNUMBER(SEARCH("SBI",AF480))),"Rejected Elsewhere",IF(ISNUMBER(SEARCH("call",LOWER(AF480))),"Bank Communication",IF(OR(ISNUMBER(SEARCH("father",LOWER(AF480))),ISNUMBER(SEARCH("sister",LOWER(AF480)))),"Family / Dependency","Other"))))))))))</f>
        <v/>
      </c>
      <c r="AH480">
        <f>IF(A480="","",'01_Master_Data'!AC480)</f>
        <v/>
      </c>
      <c r="AI480">
        <f>IF(A480="","",IF(OR(AH480="",NOT(ISNUMBER(AH480))),"",MAX(0,'02_Configuration'!$B$82-AH480)))</f>
        <v/>
      </c>
      <c r="AJ480">
        <f>IF(A480="","",IF(AI480="","Unknown",IF(AI480&lt;=3,"0–3 Days",IF(AI480&lt;=7,"4–7 Days",IF(AI480&lt;=15,"8–15 Days",IF(AI480&lt;=30,"16–30 Days","30+ Days"))))))</f>
        <v/>
      </c>
      <c r="AK480">
        <f>IF(A480="","",IF(LOWER(H480)="yes","Yes","No"))</f>
        <v/>
      </c>
      <c r="AL480">
        <f>IF(A480="","",'01_Master_Data'!T480)</f>
        <v/>
      </c>
      <c r="AM480">
        <f>IF(A480="","",'01_Master_Data'!S480)</f>
        <v/>
      </c>
      <c r="AN480">
        <f>IF(A480="","",'01_Master_Data'!I480)</f>
        <v/>
      </c>
      <c r="AO480">
        <f>IF(A480="","",'01_Master_Data'!M480)</f>
        <v/>
      </c>
      <c r="AP480">
        <f>IF(A480="","",IF(ISNUMBER(SEARCH("Icici",W480&amp;"")),1,0))</f>
        <v/>
      </c>
      <c r="AQ480">
        <f>IF(A480="","",IF(ISNUMBER(SEARCH("Propelld",W480&amp;"")),1,0))</f>
        <v/>
      </c>
      <c r="AR480">
        <f>IF(A480="","",IF(ISNUMBER(SEARCH("GyanDhan",W480&amp;"")),1,0))</f>
        <v/>
      </c>
      <c r="AS480">
        <f>IF(A480="","",IF(ISNUMBER(SEARCH("vidyalakshmi",LOWER(W480&amp;""))),1,0))</f>
        <v/>
      </c>
      <c r="AT480">
        <f>IF(A480="","",IF(ISNUMBER(SEARCH("other bank",LOWER(W480&amp;""))),1,0))</f>
        <v/>
      </c>
      <c r="AU480">
        <f>IF(A480="","",IF(ISNUMBER(SEARCH("sanctioned",LOWER(W480&amp;""))),1,0))</f>
        <v/>
      </c>
      <c r="AV480">
        <f>IF(A480="","",IF(ISNUMBER(SEARCH("Docs Pending",W480&amp;"")),1,0))</f>
        <v/>
      </c>
      <c r="AW480">
        <f>IF(A480="","",IF(OR(X480="Rejected",ISNUMBER(SEARCH("Not eligbile",W480&amp;""))),1,0))</f>
        <v/>
      </c>
    </row>
    <row r="481">
      <c r="A481">
        <f>IF('01_Master_Data'!B481="","",480)</f>
        <v/>
      </c>
      <c r="B481">
        <f>IF('01_Master_Data'!B481="","",IF('01_Master_Data'!C481&lt;&gt;"","MOB|"&amp;TEXT('01_Master_Data'!C481,"0"),IF('01_Master_Data'!D481&lt;&gt;"","PID|"&amp;TRIM('01_Master_Data'!D481&amp;""),"")))</f>
        <v/>
      </c>
      <c r="C481">
        <f>IF('01_Master_Data'!B481="","",'01_Master_Data'!B481)</f>
        <v/>
      </c>
      <c r="D481">
        <f>IF('01_Master_Data'!B481="","",'01_Master_Data'!C481)</f>
        <v/>
      </c>
      <c r="E481">
        <f>IF('01_Master_Data'!B481="","",'01_Master_Data'!D481)</f>
        <v/>
      </c>
      <c r="F481">
        <f>IF('01_Master_Data'!B481="","",'01_Master_Data'!E481)</f>
        <v/>
      </c>
      <c r="G481">
        <f>IF('01_Master_Data'!B481="","",IFERROR(VLOOKUP(TRIM('01_Master_Data'!E481&amp;""),'02_Configuration'!$A$40:$B$44,2,FALSE),UPPER(TRIM('01_Master_Data'!E481&amp;""))))</f>
        <v/>
      </c>
      <c r="H481">
        <f>IF('01_Master_Data'!B481="","",IF('01_Master_Data'!U481="","",TRIM('01_Master_Data'!U481&amp;"")))</f>
        <v/>
      </c>
      <c r="I481">
        <f>IF('01_Master_Data'!B481="","",TRIM('01_Master_Data'!F481&amp;""))</f>
        <v/>
      </c>
      <c r="J481">
        <f>IF('01_Master_Data'!B481="","",TRIM('01_Master_Data'!G481&amp;""))</f>
        <v/>
      </c>
      <c r="K481">
        <f>IF('01_Master_Data'!B481="","",'01_Master_Data'!H481)</f>
        <v/>
      </c>
      <c r="L481">
        <f>IF('01_Master_Data'!B481="","",IF(LOWER(TRIM('01_Master_Data'!V481&amp;""))="yes",1,0))</f>
        <v/>
      </c>
      <c r="M481">
        <f>IF('01_Master_Data'!B481="","",IF(LOWER(TRIM('01_Master_Data'!W481&amp;""))="yes",1,0))</f>
        <v/>
      </c>
      <c r="N481">
        <f>IF('01_Master_Data'!B481="","",IF(LOWER(TRIM('01_Master_Data'!X481&amp;""))="yes",1,0))</f>
        <v/>
      </c>
      <c r="O481">
        <f>IF('01_Master_Data'!B481="","",IF(LOWER(TRIM('01_Master_Data'!Y481&amp;""))="yes",1,0))</f>
        <v/>
      </c>
      <c r="P481">
        <f>IF('01_Master_Data'!B481="","",IF(LOWER(TRIM('01_Master_Data'!Z481&amp;""))="yes",1,0))</f>
        <v/>
      </c>
      <c r="Q481">
        <f>IF(A481="","",L481+M481+N481+O481+P481)</f>
        <v/>
      </c>
      <c r="R481">
        <f>IF(A481="","",IF(Q481&gt;1,"Yes","No"))</f>
        <v/>
      </c>
      <c r="S481">
        <f>IF(A481="","",TEXTJOIN(", ",TRUE,IF(L481=1,"ICICI",""),IF(M481=1,"Propelld",""),IF(N481=1,"Study4Buddy",""),IF(O481=1,"Poonawala Fincorp",""),IF(P481=1,"GyanDhan","")))</f>
        <v/>
      </c>
      <c r="T481">
        <f>IF(A481="","",IF(L481=1,"ICICI",IF(M481=1,"Propelld",IF(P481=1,"GyanDhan",IF(N481=1,"Study4Buddy",IF(O481=1,"Poonawala Fincorp",IF(ISNUMBER(SEARCH("GyanDhan",W481&amp;"")),"GyanDhan",IF(ISNUMBER(SEARCH("Icici",W481&amp;"")),"ICICI",IF(ISNUMBER(SEARCH("Propelld",W481&amp;"")),"Propelld",IF(ISNUMBER(SEARCH("vidyalakshmi",LOWER(W481&amp;"")),"PM Vidyalakshmi","—"))))))))))</f>
        <v/>
      </c>
      <c r="U481">
        <f>IF(A481="","",TRIM('01_Master_Data'!AA481&amp;""))</f>
        <v/>
      </c>
      <c r="V481">
        <f>IF(A481="","",TRIM('01_Master_Data'!AG481&amp;""))</f>
        <v/>
      </c>
      <c r="W481">
        <f>IF(A481="","",TRIM('01_Master_Data'!AH481&amp;""))</f>
        <v/>
      </c>
      <c r="X481">
        <f>IF(A481="","",IF(OR(LOWER(H481)="refund",LOWER(U481)="refund case"),"Refund",IF(OR(LOWER(H481)="dnp",LOWER(U481)="dnp"),"DNP",IF(OR(LOWER(V481)="disbursed",ISNUMBER(SEARCH("Disbursed",W481&amp;""))),"Disbursed",IF(OR(LOWER(V481)="loan proccessed/accepted",ISNUMBER(SEARCH("sanctioned",LOWER(W481&amp;"")))),"Sanctioned",IF(OR(LOWER(V481)="rejected",ISNUMBER(SEARCH("Not eligbile",W481&amp;"")),ISNUMBER(SEARCH("Not eligible",W481&amp;""))),"Rejected",IF(ISNUMBER(SEARCH("Docs Pending",W481&amp;"")),"Documents Pending",IF(AND(LOWER(H481)="yes",LOWER(V481)="ongoing"),"Processing",IF(AND(LOWER(H481)="yes",Q481&gt;0,OR(V481="",LOWER(V481)="not even started")),"Vendor Assigned",IF(AND(LOWER(H481)="yes",LOWER(V481)="not even started"),"Need Loan",IF(LOWER(H481)="yes","Loan Started",IF(LOWER(H481)="not sure","Interested",IF(OR(LOWER(H481)="no",LOWER(V481)="not required"),"Not Required","Unclassified")))))))))))))</f>
        <v/>
      </c>
      <c r="Y481">
        <f>IF(A481="","",IF(OR(X481="Sanctioned",X481="Disbursed",X481="Approved"),"Approved",IF(X481="Rejected","Rejected",IF(OR(X481="Processing",X481="Documents Pending",X481="Vendor Assigned"),"In Progress",IF(X481="Need Loan","Pending Start","—"))))</f>
        <v/>
      </c>
      <c r="Z481">
        <f>IF(A481="","",IF(X481="Disbursed","Disbursed",IF(X481="Sanctioned","Sanctioned - Awaiting Disbursement","Not Disbursed")))</f>
        <v/>
      </c>
      <c r="AA481">
        <f>IF(A481="","",IF(LOWER(TRIM('01_Master_Data'!AI481&amp;""))="yes","Need FLDG",IF(LOWER(TRIM('01_Master_Data'!AK481&amp;""))="yes","Need Vidyalakshmi",IF(LOWER(TRIM('01_Master_Data'!AJ481&amp;""))="yes","Need Review",IF(LOWER(J481)="critical","Critical",IF(LOWER(U481)="risk","Risk Case",IF(X481="Refund","Refund","Normal")))))))</f>
        <v/>
      </c>
      <c r="AB481">
        <f>IF(A481="","",IF(OR(LOWER(J481)="critical",LOWER(TRIM('01_Master_Data'!AI481&amp;""))="yes",LOWER(TRIM('01_Master_Data'!AK481&amp;""))="yes",LOWER(U481)="risk"),"Yes","No"))</f>
        <v/>
      </c>
      <c r="AC481">
        <f>IF(A481="","",IF(LOWER(TRIM('01_Master_Data'!AI481&amp;""))="yes","Yes","No"))</f>
        <v/>
      </c>
      <c r="AD481">
        <f>IF(A481="","",IF(LOWER(TRIM('01_Master_Data'!AK481&amp;""))="yes","Yes","No"))</f>
        <v/>
      </c>
      <c r="AE481">
        <f>IF(A481="","",IF(LOWER(TRIM('01_Master_Data'!AJ481&amp;""))="yes","Yes","No"))</f>
        <v/>
      </c>
      <c r="AF481">
        <f>IF(A481="","",TRIM('01_Master_Data'!AL481&amp;""))</f>
        <v/>
      </c>
      <c r="AG481">
        <f>IF(A481="","",IF(AF481="","—",IF(ISNUMBER(SEARCH("DNP",AF481)),"Unreachable / DNP",IF(ISNUMBER(SEARCH("interest",LOWER(AF481))),"High Interest / Terms",IF(OR(ISNUMBER(SEARCH("eligib",LOWER(AF481))),ISNUMBER(SEARCH("income",LOWER(AF481)))),"Eligibility / Income",IF(OR(ISNUMBER(SEARCH("start",LOWER(AF481))),ISNUMBER(SEARCH("Newer",AF481)),ISNUMBER(SEARCH("Will start",AF481))),"Process Yet to Start",IF(ISNUMBER(SEARCH("sure",LOWER(AF481))),"Undecided",IF(OR(ISNUMBER(SEARCH("reject",LOWER(AF481))),ISNUMBER(SEARCH("SBI",AF481))),"Rejected Elsewhere",IF(ISNUMBER(SEARCH("call",LOWER(AF481))),"Bank Communication",IF(OR(ISNUMBER(SEARCH("father",LOWER(AF481))),ISNUMBER(SEARCH("sister",LOWER(AF481)))),"Family / Dependency","Other"))))))))))</f>
        <v/>
      </c>
      <c r="AH481">
        <f>IF(A481="","",'01_Master_Data'!AC481)</f>
        <v/>
      </c>
      <c r="AI481">
        <f>IF(A481="","",IF(OR(AH481="",NOT(ISNUMBER(AH481))),"",MAX(0,'02_Configuration'!$B$82-AH481)))</f>
        <v/>
      </c>
      <c r="AJ481">
        <f>IF(A481="","",IF(AI481="","Unknown",IF(AI481&lt;=3,"0–3 Days",IF(AI481&lt;=7,"4–7 Days",IF(AI481&lt;=15,"8–15 Days",IF(AI481&lt;=30,"16–30 Days","30+ Days"))))))</f>
        <v/>
      </c>
      <c r="AK481">
        <f>IF(A481="","",IF(LOWER(H481)="yes","Yes","No"))</f>
        <v/>
      </c>
      <c r="AL481">
        <f>IF(A481="","",'01_Master_Data'!T481)</f>
        <v/>
      </c>
      <c r="AM481">
        <f>IF(A481="","",'01_Master_Data'!S481)</f>
        <v/>
      </c>
      <c r="AN481">
        <f>IF(A481="","",'01_Master_Data'!I481)</f>
        <v/>
      </c>
      <c r="AO481">
        <f>IF(A481="","",'01_Master_Data'!M481)</f>
        <v/>
      </c>
      <c r="AP481">
        <f>IF(A481="","",IF(ISNUMBER(SEARCH("Icici",W481&amp;"")),1,0))</f>
        <v/>
      </c>
      <c r="AQ481">
        <f>IF(A481="","",IF(ISNUMBER(SEARCH("Propelld",W481&amp;"")),1,0))</f>
        <v/>
      </c>
      <c r="AR481">
        <f>IF(A481="","",IF(ISNUMBER(SEARCH("GyanDhan",W481&amp;"")),1,0))</f>
        <v/>
      </c>
      <c r="AS481">
        <f>IF(A481="","",IF(ISNUMBER(SEARCH("vidyalakshmi",LOWER(W481&amp;""))),1,0))</f>
        <v/>
      </c>
      <c r="AT481">
        <f>IF(A481="","",IF(ISNUMBER(SEARCH("other bank",LOWER(W481&amp;""))),1,0))</f>
        <v/>
      </c>
      <c r="AU481">
        <f>IF(A481="","",IF(ISNUMBER(SEARCH("sanctioned",LOWER(W481&amp;""))),1,0))</f>
        <v/>
      </c>
      <c r="AV481">
        <f>IF(A481="","",IF(ISNUMBER(SEARCH("Docs Pending",W481&amp;"")),1,0))</f>
        <v/>
      </c>
      <c r="AW481">
        <f>IF(A481="","",IF(OR(X481="Rejected",ISNUMBER(SEARCH("Not eligbile",W481&amp;""))),1,0))</f>
        <v/>
      </c>
    </row>
    <row r="482">
      <c r="A482">
        <f>IF('01_Master_Data'!B482="","",481)</f>
        <v/>
      </c>
      <c r="B482">
        <f>IF('01_Master_Data'!B482="","",IF('01_Master_Data'!C482&lt;&gt;"","MOB|"&amp;TEXT('01_Master_Data'!C482,"0"),IF('01_Master_Data'!D482&lt;&gt;"","PID|"&amp;TRIM('01_Master_Data'!D482&amp;""),"")))</f>
        <v/>
      </c>
      <c r="C482">
        <f>IF('01_Master_Data'!B482="","",'01_Master_Data'!B482)</f>
        <v/>
      </c>
      <c r="D482">
        <f>IF('01_Master_Data'!B482="","",'01_Master_Data'!C482)</f>
        <v/>
      </c>
      <c r="E482">
        <f>IF('01_Master_Data'!B482="","",'01_Master_Data'!D482)</f>
        <v/>
      </c>
      <c r="F482">
        <f>IF('01_Master_Data'!B482="","",'01_Master_Data'!E482)</f>
        <v/>
      </c>
      <c r="G482">
        <f>IF('01_Master_Data'!B482="","",IFERROR(VLOOKUP(TRIM('01_Master_Data'!E482&amp;""),'02_Configuration'!$A$40:$B$44,2,FALSE),UPPER(TRIM('01_Master_Data'!E482&amp;""))))</f>
        <v/>
      </c>
      <c r="H482">
        <f>IF('01_Master_Data'!B482="","",IF('01_Master_Data'!U482="","",TRIM('01_Master_Data'!U482&amp;"")))</f>
        <v/>
      </c>
      <c r="I482">
        <f>IF('01_Master_Data'!B482="","",TRIM('01_Master_Data'!F482&amp;""))</f>
        <v/>
      </c>
      <c r="J482">
        <f>IF('01_Master_Data'!B482="","",TRIM('01_Master_Data'!G482&amp;""))</f>
        <v/>
      </c>
      <c r="K482">
        <f>IF('01_Master_Data'!B482="","",'01_Master_Data'!H482)</f>
        <v/>
      </c>
      <c r="L482">
        <f>IF('01_Master_Data'!B482="","",IF(LOWER(TRIM('01_Master_Data'!V482&amp;""))="yes",1,0))</f>
        <v/>
      </c>
      <c r="M482">
        <f>IF('01_Master_Data'!B482="","",IF(LOWER(TRIM('01_Master_Data'!W482&amp;""))="yes",1,0))</f>
        <v/>
      </c>
      <c r="N482">
        <f>IF('01_Master_Data'!B482="","",IF(LOWER(TRIM('01_Master_Data'!X482&amp;""))="yes",1,0))</f>
        <v/>
      </c>
      <c r="O482">
        <f>IF('01_Master_Data'!B482="","",IF(LOWER(TRIM('01_Master_Data'!Y482&amp;""))="yes",1,0))</f>
        <v/>
      </c>
      <c r="P482">
        <f>IF('01_Master_Data'!B482="","",IF(LOWER(TRIM('01_Master_Data'!Z482&amp;""))="yes",1,0))</f>
        <v/>
      </c>
      <c r="Q482">
        <f>IF(A482="","",L482+M482+N482+O482+P482)</f>
        <v/>
      </c>
      <c r="R482">
        <f>IF(A482="","",IF(Q482&gt;1,"Yes","No"))</f>
        <v/>
      </c>
      <c r="S482">
        <f>IF(A482="","",TEXTJOIN(", ",TRUE,IF(L482=1,"ICICI",""),IF(M482=1,"Propelld",""),IF(N482=1,"Study4Buddy",""),IF(O482=1,"Poonawala Fincorp",""),IF(P482=1,"GyanDhan","")))</f>
        <v/>
      </c>
      <c r="T482">
        <f>IF(A482="","",IF(L482=1,"ICICI",IF(M482=1,"Propelld",IF(P482=1,"GyanDhan",IF(N482=1,"Study4Buddy",IF(O482=1,"Poonawala Fincorp",IF(ISNUMBER(SEARCH("GyanDhan",W482&amp;"")),"GyanDhan",IF(ISNUMBER(SEARCH("Icici",W482&amp;"")),"ICICI",IF(ISNUMBER(SEARCH("Propelld",W482&amp;"")),"Propelld",IF(ISNUMBER(SEARCH("vidyalakshmi",LOWER(W482&amp;"")),"PM Vidyalakshmi","—"))))))))))</f>
        <v/>
      </c>
      <c r="U482">
        <f>IF(A482="","",TRIM('01_Master_Data'!AA482&amp;""))</f>
        <v/>
      </c>
      <c r="V482">
        <f>IF(A482="","",TRIM('01_Master_Data'!AG482&amp;""))</f>
        <v/>
      </c>
      <c r="W482">
        <f>IF(A482="","",TRIM('01_Master_Data'!AH482&amp;""))</f>
        <v/>
      </c>
      <c r="X482">
        <f>IF(A482="","",IF(OR(LOWER(H482)="refund",LOWER(U482)="refund case"),"Refund",IF(OR(LOWER(H482)="dnp",LOWER(U482)="dnp"),"DNP",IF(OR(LOWER(V482)="disbursed",ISNUMBER(SEARCH("Disbursed",W482&amp;""))),"Disbursed",IF(OR(LOWER(V482)="loan proccessed/accepted",ISNUMBER(SEARCH("sanctioned",LOWER(W482&amp;"")))),"Sanctioned",IF(OR(LOWER(V482)="rejected",ISNUMBER(SEARCH("Not eligbile",W482&amp;"")),ISNUMBER(SEARCH("Not eligible",W482&amp;""))),"Rejected",IF(ISNUMBER(SEARCH("Docs Pending",W482&amp;"")),"Documents Pending",IF(AND(LOWER(H482)="yes",LOWER(V482)="ongoing"),"Processing",IF(AND(LOWER(H482)="yes",Q482&gt;0,OR(V482="",LOWER(V482)="not even started")),"Vendor Assigned",IF(AND(LOWER(H482)="yes",LOWER(V482)="not even started"),"Need Loan",IF(LOWER(H482)="yes","Loan Started",IF(LOWER(H482)="not sure","Interested",IF(OR(LOWER(H482)="no",LOWER(V482)="not required"),"Not Required","Unclassified")))))))))))))</f>
        <v/>
      </c>
      <c r="Y482">
        <f>IF(A482="","",IF(OR(X482="Sanctioned",X482="Disbursed",X482="Approved"),"Approved",IF(X482="Rejected","Rejected",IF(OR(X482="Processing",X482="Documents Pending",X482="Vendor Assigned"),"In Progress",IF(X482="Need Loan","Pending Start","—"))))</f>
        <v/>
      </c>
      <c r="Z482">
        <f>IF(A482="","",IF(X482="Disbursed","Disbursed",IF(X482="Sanctioned","Sanctioned - Awaiting Disbursement","Not Disbursed")))</f>
        <v/>
      </c>
      <c r="AA482">
        <f>IF(A482="","",IF(LOWER(TRIM('01_Master_Data'!AI482&amp;""))="yes","Need FLDG",IF(LOWER(TRIM('01_Master_Data'!AK482&amp;""))="yes","Need Vidyalakshmi",IF(LOWER(TRIM('01_Master_Data'!AJ482&amp;""))="yes","Need Review",IF(LOWER(J482)="critical","Critical",IF(LOWER(U482)="risk","Risk Case",IF(X482="Refund","Refund","Normal")))))))</f>
        <v/>
      </c>
      <c r="AB482">
        <f>IF(A482="","",IF(OR(LOWER(J482)="critical",LOWER(TRIM('01_Master_Data'!AI482&amp;""))="yes",LOWER(TRIM('01_Master_Data'!AK482&amp;""))="yes",LOWER(U482)="risk"),"Yes","No"))</f>
        <v/>
      </c>
      <c r="AC482">
        <f>IF(A482="","",IF(LOWER(TRIM('01_Master_Data'!AI482&amp;""))="yes","Yes","No"))</f>
        <v/>
      </c>
      <c r="AD482">
        <f>IF(A482="","",IF(LOWER(TRIM('01_Master_Data'!AK482&amp;""))="yes","Yes","No"))</f>
        <v/>
      </c>
      <c r="AE482">
        <f>IF(A482="","",IF(LOWER(TRIM('01_Master_Data'!AJ482&amp;""))="yes","Yes","No"))</f>
        <v/>
      </c>
      <c r="AF482">
        <f>IF(A482="","",TRIM('01_Master_Data'!AL482&amp;""))</f>
        <v/>
      </c>
      <c r="AG482">
        <f>IF(A482="","",IF(AF482="","—",IF(ISNUMBER(SEARCH("DNP",AF482)),"Unreachable / DNP",IF(ISNUMBER(SEARCH("interest",LOWER(AF482))),"High Interest / Terms",IF(OR(ISNUMBER(SEARCH("eligib",LOWER(AF482))),ISNUMBER(SEARCH("income",LOWER(AF482)))),"Eligibility / Income",IF(OR(ISNUMBER(SEARCH("start",LOWER(AF482))),ISNUMBER(SEARCH("Newer",AF482)),ISNUMBER(SEARCH("Will start",AF482))),"Process Yet to Start",IF(ISNUMBER(SEARCH("sure",LOWER(AF482))),"Undecided",IF(OR(ISNUMBER(SEARCH("reject",LOWER(AF482))),ISNUMBER(SEARCH("SBI",AF482))),"Rejected Elsewhere",IF(ISNUMBER(SEARCH("call",LOWER(AF482))),"Bank Communication",IF(OR(ISNUMBER(SEARCH("father",LOWER(AF482))),ISNUMBER(SEARCH("sister",LOWER(AF482)))),"Family / Dependency","Other"))))))))))</f>
        <v/>
      </c>
      <c r="AH482">
        <f>IF(A482="","",'01_Master_Data'!AC482)</f>
        <v/>
      </c>
      <c r="AI482">
        <f>IF(A482="","",IF(OR(AH482="",NOT(ISNUMBER(AH482))),"",MAX(0,'02_Configuration'!$B$82-AH482)))</f>
        <v/>
      </c>
      <c r="AJ482">
        <f>IF(A482="","",IF(AI482="","Unknown",IF(AI482&lt;=3,"0–3 Days",IF(AI482&lt;=7,"4–7 Days",IF(AI482&lt;=15,"8–15 Days",IF(AI482&lt;=30,"16–30 Days","30+ Days"))))))</f>
        <v/>
      </c>
      <c r="AK482">
        <f>IF(A482="","",IF(LOWER(H482)="yes","Yes","No"))</f>
        <v/>
      </c>
      <c r="AL482">
        <f>IF(A482="","",'01_Master_Data'!T482)</f>
        <v/>
      </c>
      <c r="AM482">
        <f>IF(A482="","",'01_Master_Data'!S482)</f>
        <v/>
      </c>
      <c r="AN482">
        <f>IF(A482="","",'01_Master_Data'!I482)</f>
        <v/>
      </c>
      <c r="AO482">
        <f>IF(A482="","",'01_Master_Data'!M482)</f>
        <v/>
      </c>
      <c r="AP482">
        <f>IF(A482="","",IF(ISNUMBER(SEARCH("Icici",W482&amp;"")),1,0))</f>
        <v/>
      </c>
      <c r="AQ482">
        <f>IF(A482="","",IF(ISNUMBER(SEARCH("Propelld",W482&amp;"")),1,0))</f>
        <v/>
      </c>
      <c r="AR482">
        <f>IF(A482="","",IF(ISNUMBER(SEARCH("GyanDhan",W482&amp;"")),1,0))</f>
        <v/>
      </c>
      <c r="AS482">
        <f>IF(A482="","",IF(ISNUMBER(SEARCH("vidyalakshmi",LOWER(W482&amp;""))),1,0))</f>
        <v/>
      </c>
      <c r="AT482">
        <f>IF(A482="","",IF(ISNUMBER(SEARCH("other bank",LOWER(W482&amp;""))),1,0))</f>
        <v/>
      </c>
      <c r="AU482">
        <f>IF(A482="","",IF(ISNUMBER(SEARCH("sanctioned",LOWER(W482&amp;""))),1,0))</f>
        <v/>
      </c>
      <c r="AV482">
        <f>IF(A482="","",IF(ISNUMBER(SEARCH("Docs Pending",W482&amp;"")),1,0))</f>
        <v/>
      </c>
      <c r="AW482">
        <f>IF(A482="","",IF(OR(X482="Rejected",ISNUMBER(SEARCH("Not eligbile",W482&amp;""))),1,0))</f>
        <v/>
      </c>
    </row>
    <row r="483">
      <c r="A483">
        <f>IF('01_Master_Data'!B483="","",482)</f>
        <v/>
      </c>
      <c r="B483">
        <f>IF('01_Master_Data'!B483="","",IF('01_Master_Data'!C483&lt;&gt;"","MOB|"&amp;TEXT('01_Master_Data'!C483,"0"),IF('01_Master_Data'!D483&lt;&gt;"","PID|"&amp;TRIM('01_Master_Data'!D483&amp;""),"")))</f>
        <v/>
      </c>
      <c r="C483">
        <f>IF('01_Master_Data'!B483="","",'01_Master_Data'!B483)</f>
        <v/>
      </c>
      <c r="D483">
        <f>IF('01_Master_Data'!B483="","",'01_Master_Data'!C483)</f>
        <v/>
      </c>
      <c r="E483">
        <f>IF('01_Master_Data'!B483="","",'01_Master_Data'!D483)</f>
        <v/>
      </c>
      <c r="F483">
        <f>IF('01_Master_Data'!B483="","",'01_Master_Data'!E483)</f>
        <v/>
      </c>
      <c r="G483">
        <f>IF('01_Master_Data'!B483="","",IFERROR(VLOOKUP(TRIM('01_Master_Data'!E483&amp;""),'02_Configuration'!$A$40:$B$44,2,FALSE),UPPER(TRIM('01_Master_Data'!E483&amp;""))))</f>
        <v/>
      </c>
      <c r="H483">
        <f>IF('01_Master_Data'!B483="","",IF('01_Master_Data'!U483="","",TRIM('01_Master_Data'!U483&amp;"")))</f>
        <v/>
      </c>
      <c r="I483">
        <f>IF('01_Master_Data'!B483="","",TRIM('01_Master_Data'!F483&amp;""))</f>
        <v/>
      </c>
      <c r="J483">
        <f>IF('01_Master_Data'!B483="","",TRIM('01_Master_Data'!G483&amp;""))</f>
        <v/>
      </c>
      <c r="K483">
        <f>IF('01_Master_Data'!B483="","",'01_Master_Data'!H483)</f>
        <v/>
      </c>
      <c r="L483">
        <f>IF('01_Master_Data'!B483="","",IF(LOWER(TRIM('01_Master_Data'!V483&amp;""))="yes",1,0))</f>
        <v/>
      </c>
      <c r="M483">
        <f>IF('01_Master_Data'!B483="","",IF(LOWER(TRIM('01_Master_Data'!W483&amp;""))="yes",1,0))</f>
        <v/>
      </c>
      <c r="N483">
        <f>IF('01_Master_Data'!B483="","",IF(LOWER(TRIM('01_Master_Data'!X483&amp;""))="yes",1,0))</f>
        <v/>
      </c>
      <c r="O483">
        <f>IF('01_Master_Data'!B483="","",IF(LOWER(TRIM('01_Master_Data'!Y483&amp;""))="yes",1,0))</f>
        <v/>
      </c>
      <c r="P483">
        <f>IF('01_Master_Data'!B483="","",IF(LOWER(TRIM('01_Master_Data'!Z483&amp;""))="yes",1,0))</f>
        <v/>
      </c>
      <c r="Q483">
        <f>IF(A483="","",L483+M483+N483+O483+P483)</f>
        <v/>
      </c>
      <c r="R483">
        <f>IF(A483="","",IF(Q483&gt;1,"Yes","No"))</f>
        <v/>
      </c>
      <c r="S483">
        <f>IF(A483="","",TEXTJOIN(", ",TRUE,IF(L483=1,"ICICI",""),IF(M483=1,"Propelld",""),IF(N483=1,"Study4Buddy",""),IF(O483=1,"Poonawala Fincorp",""),IF(P483=1,"GyanDhan","")))</f>
        <v/>
      </c>
      <c r="T483">
        <f>IF(A483="","",IF(L483=1,"ICICI",IF(M483=1,"Propelld",IF(P483=1,"GyanDhan",IF(N483=1,"Study4Buddy",IF(O483=1,"Poonawala Fincorp",IF(ISNUMBER(SEARCH("GyanDhan",W483&amp;"")),"GyanDhan",IF(ISNUMBER(SEARCH("Icici",W483&amp;"")),"ICICI",IF(ISNUMBER(SEARCH("Propelld",W483&amp;"")),"Propelld",IF(ISNUMBER(SEARCH("vidyalakshmi",LOWER(W483&amp;"")),"PM Vidyalakshmi","—"))))))))))</f>
        <v/>
      </c>
      <c r="U483">
        <f>IF(A483="","",TRIM('01_Master_Data'!AA483&amp;""))</f>
        <v/>
      </c>
      <c r="V483">
        <f>IF(A483="","",TRIM('01_Master_Data'!AG483&amp;""))</f>
        <v/>
      </c>
      <c r="W483">
        <f>IF(A483="","",TRIM('01_Master_Data'!AH483&amp;""))</f>
        <v/>
      </c>
      <c r="X483">
        <f>IF(A483="","",IF(OR(LOWER(H483)="refund",LOWER(U483)="refund case"),"Refund",IF(OR(LOWER(H483)="dnp",LOWER(U483)="dnp"),"DNP",IF(OR(LOWER(V483)="disbursed",ISNUMBER(SEARCH("Disbursed",W483&amp;""))),"Disbursed",IF(OR(LOWER(V483)="loan proccessed/accepted",ISNUMBER(SEARCH("sanctioned",LOWER(W483&amp;"")))),"Sanctioned",IF(OR(LOWER(V483)="rejected",ISNUMBER(SEARCH("Not eligbile",W483&amp;"")),ISNUMBER(SEARCH("Not eligible",W483&amp;""))),"Rejected",IF(ISNUMBER(SEARCH("Docs Pending",W483&amp;"")),"Documents Pending",IF(AND(LOWER(H483)="yes",LOWER(V483)="ongoing"),"Processing",IF(AND(LOWER(H483)="yes",Q483&gt;0,OR(V483="",LOWER(V483)="not even started")),"Vendor Assigned",IF(AND(LOWER(H483)="yes",LOWER(V483)="not even started"),"Need Loan",IF(LOWER(H483)="yes","Loan Started",IF(LOWER(H483)="not sure","Interested",IF(OR(LOWER(H483)="no",LOWER(V483)="not required"),"Not Required","Unclassified")))))))))))))</f>
        <v/>
      </c>
      <c r="Y483">
        <f>IF(A483="","",IF(OR(X483="Sanctioned",X483="Disbursed",X483="Approved"),"Approved",IF(X483="Rejected","Rejected",IF(OR(X483="Processing",X483="Documents Pending",X483="Vendor Assigned"),"In Progress",IF(X483="Need Loan","Pending Start","—"))))</f>
        <v/>
      </c>
      <c r="Z483">
        <f>IF(A483="","",IF(X483="Disbursed","Disbursed",IF(X483="Sanctioned","Sanctioned - Awaiting Disbursement","Not Disbursed")))</f>
        <v/>
      </c>
      <c r="AA483">
        <f>IF(A483="","",IF(LOWER(TRIM('01_Master_Data'!AI483&amp;""))="yes","Need FLDG",IF(LOWER(TRIM('01_Master_Data'!AK483&amp;""))="yes","Need Vidyalakshmi",IF(LOWER(TRIM('01_Master_Data'!AJ483&amp;""))="yes","Need Review",IF(LOWER(J483)="critical","Critical",IF(LOWER(U483)="risk","Risk Case",IF(X483="Refund","Refund","Normal")))))))</f>
        <v/>
      </c>
      <c r="AB483">
        <f>IF(A483="","",IF(OR(LOWER(J483)="critical",LOWER(TRIM('01_Master_Data'!AI483&amp;""))="yes",LOWER(TRIM('01_Master_Data'!AK483&amp;""))="yes",LOWER(U483)="risk"),"Yes","No"))</f>
        <v/>
      </c>
      <c r="AC483">
        <f>IF(A483="","",IF(LOWER(TRIM('01_Master_Data'!AI483&amp;""))="yes","Yes","No"))</f>
        <v/>
      </c>
      <c r="AD483">
        <f>IF(A483="","",IF(LOWER(TRIM('01_Master_Data'!AK483&amp;""))="yes","Yes","No"))</f>
        <v/>
      </c>
      <c r="AE483">
        <f>IF(A483="","",IF(LOWER(TRIM('01_Master_Data'!AJ483&amp;""))="yes","Yes","No"))</f>
        <v/>
      </c>
      <c r="AF483">
        <f>IF(A483="","",TRIM('01_Master_Data'!AL483&amp;""))</f>
        <v/>
      </c>
      <c r="AG483">
        <f>IF(A483="","",IF(AF483="","—",IF(ISNUMBER(SEARCH("DNP",AF483)),"Unreachable / DNP",IF(ISNUMBER(SEARCH("interest",LOWER(AF483))),"High Interest / Terms",IF(OR(ISNUMBER(SEARCH("eligib",LOWER(AF483))),ISNUMBER(SEARCH("income",LOWER(AF483)))),"Eligibility / Income",IF(OR(ISNUMBER(SEARCH("start",LOWER(AF483))),ISNUMBER(SEARCH("Newer",AF483)),ISNUMBER(SEARCH("Will start",AF483))),"Process Yet to Start",IF(ISNUMBER(SEARCH("sure",LOWER(AF483))),"Undecided",IF(OR(ISNUMBER(SEARCH("reject",LOWER(AF483))),ISNUMBER(SEARCH("SBI",AF483))),"Rejected Elsewhere",IF(ISNUMBER(SEARCH("call",LOWER(AF483))),"Bank Communication",IF(OR(ISNUMBER(SEARCH("father",LOWER(AF483))),ISNUMBER(SEARCH("sister",LOWER(AF483)))),"Family / Dependency","Other"))))))))))</f>
        <v/>
      </c>
      <c r="AH483">
        <f>IF(A483="","",'01_Master_Data'!AC483)</f>
        <v/>
      </c>
      <c r="AI483">
        <f>IF(A483="","",IF(OR(AH483="",NOT(ISNUMBER(AH483))),"",MAX(0,'02_Configuration'!$B$82-AH483)))</f>
        <v/>
      </c>
      <c r="AJ483">
        <f>IF(A483="","",IF(AI483="","Unknown",IF(AI483&lt;=3,"0–3 Days",IF(AI483&lt;=7,"4–7 Days",IF(AI483&lt;=15,"8–15 Days",IF(AI483&lt;=30,"16–30 Days","30+ Days"))))))</f>
        <v/>
      </c>
      <c r="AK483">
        <f>IF(A483="","",IF(LOWER(H483)="yes","Yes","No"))</f>
        <v/>
      </c>
      <c r="AL483">
        <f>IF(A483="","",'01_Master_Data'!T483)</f>
        <v/>
      </c>
      <c r="AM483">
        <f>IF(A483="","",'01_Master_Data'!S483)</f>
        <v/>
      </c>
      <c r="AN483">
        <f>IF(A483="","",'01_Master_Data'!I483)</f>
        <v/>
      </c>
      <c r="AO483">
        <f>IF(A483="","",'01_Master_Data'!M483)</f>
        <v/>
      </c>
      <c r="AP483">
        <f>IF(A483="","",IF(ISNUMBER(SEARCH("Icici",W483&amp;"")),1,0))</f>
        <v/>
      </c>
      <c r="AQ483">
        <f>IF(A483="","",IF(ISNUMBER(SEARCH("Propelld",W483&amp;"")),1,0))</f>
        <v/>
      </c>
      <c r="AR483">
        <f>IF(A483="","",IF(ISNUMBER(SEARCH("GyanDhan",W483&amp;"")),1,0))</f>
        <v/>
      </c>
      <c r="AS483">
        <f>IF(A483="","",IF(ISNUMBER(SEARCH("vidyalakshmi",LOWER(W483&amp;""))),1,0))</f>
        <v/>
      </c>
      <c r="AT483">
        <f>IF(A483="","",IF(ISNUMBER(SEARCH("other bank",LOWER(W483&amp;""))),1,0))</f>
        <v/>
      </c>
      <c r="AU483">
        <f>IF(A483="","",IF(ISNUMBER(SEARCH("sanctioned",LOWER(W483&amp;""))),1,0))</f>
        <v/>
      </c>
      <c r="AV483">
        <f>IF(A483="","",IF(ISNUMBER(SEARCH("Docs Pending",W483&amp;"")),1,0))</f>
        <v/>
      </c>
      <c r="AW483">
        <f>IF(A483="","",IF(OR(X483="Rejected",ISNUMBER(SEARCH("Not eligbile",W483&amp;""))),1,0))</f>
        <v/>
      </c>
    </row>
    <row r="484">
      <c r="A484">
        <f>IF('01_Master_Data'!B484="","",483)</f>
        <v/>
      </c>
      <c r="B484">
        <f>IF('01_Master_Data'!B484="","",IF('01_Master_Data'!C484&lt;&gt;"","MOB|"&amp;TEXT('01_Master_Data'!C484,"0"),IF('01_Master_Data'!D484&lt;&gt;"","PID|"&amp;TRIM('01_Master_Data'!D484&amp;""),"")))</f>
        <v/>
      </c>
      <c r="C484">
        <f>IF('01_Master_Data'!B484="","",'01_Master_Data'!B484)</f>
        <v/>
      </c>
      <c r="D484">
        <f>IF('01_Master_Data'!B484="","",'01_Master_Data'!C484)</f>
        <v/>
      </c>
      <c r="E484">
        <f>IF('01_Master_Data'!B484="","",'01_Master_Data'!D484)</f>
        <v/>
      </c>
      <c r="F484">
        <f>IF('01_Master_Data'!B484="","",'01_Master_Data'!E484)</f>
        <v/>
      </c>
      <c r="G484">
        <f>IF('01_Master_Data'!B484="","",IFERROR(VLOOKUP(TRIM('01_Master_Data'!E484&amp;""),'02_Configuration'!$A$40:$B$44,2,FALSE),UPPER(TRIM('01_Master_Data'!E484&amp;""))))</f>
        <v/>
      </c>
      <c r="H484">
        <f>IF('01_Master_Data'!B484="","",IF('01_Master_Data'!U484="","",TRIM('01_Master_Data'!U484&amp;"")))</f>
        <v/>
      </c>
      <c r="I484">
        <f>IF('01_Master_Data'!B484="","",TRIM('01_Master_Data'!F484&amp;""))</f>
        <v/>
      </c>
      <c r="J484">
        <f>IF('01_Master_Data'!B484="","",TRIM('01_Master_Data'!G484&amp;""))</f>
        <v/>
      </c>
      <c r="K484">
        <f>IF('01_Master_Data'!B484="","",'01_Master_Data'!H484)</f>
        <v/>
      </c>
      <c r="L484">
        <f>IF('01_Master_Data'!B484="","",IF(LOWER(TRIM('01_Master_Data'!V484&amp;""))="yes",1,0))</f>
        <v/>
      </c>
      <c r="M484">
        <f>IF('01_Master_Data'!B484="","",IF(LOWER(TRIM('01_Master_Data'!W484&amp;""))="yes",1,0))</f>
        <v/>
      </c>
      <c r="N484">
        <f>IF('01_Master_Data'!B484="","",IF(LOWER(TRIM('01_Master_Data'!X484&amp;""))="yes",1,0))</f>
        <v/>
      </c>
      <c r="O484">
        <f>IF('01_Master_Data'!B484="","",IF(LOWER(TRIM('01_Master_Data'!Y484&amp;""))="yes",1,0))</f>
        <v/>
      </c>
      <c r="P484">
        <f>IF('01_Master_Data'!B484="","",IF(LOWER(TRIM('01_Master_Data'!Z484&amp;""))="yes",1,0))</f>
        <v/>
      </c>
      <c r="Q484">
        <f>IF(A484="","",L484+M484+N484+O484+P484)</f>
        <v/>
      </c>
      <c r="R484">
        <f>IF(A484="","",IF(Q484&gt;1,"Yes","No"))</f>
        <v/>
      </c>
      <c r="S484">
        <f>IF(A484="","",TEXTJOIN(", ",TRUE,IF(L484=1,"ICICI",""),IF(M484=1,"Propelld",""),IF(N484=1,"Study4Buddy",""),IF(O484=1,"Poonawala Fincorp",""),IF(P484=1,"GyanDhan","")))</f>
        <v/>
      </c>
      <c r="T484">
        <f>IF(A484="","",IF(L484=1,"ICICI",IF(M484=1,"Propelld",IF(P484=1,"GyanDhan",IF(N484=1,"Study4Buddy",IF(O484=1,"Poonawala Fincorp",IF(ISNUMBER(SEARCH("GyanDhan",W484&amp;"")),"GyanDhan",IF(ISNUMBER(SEARCH("Icici",W484&amp;"")),"ICICI",IF(ISNUMBER(SEARCH("Propelld",W484&amp;"")),"Propelld",IF(ISNUMBER(SEARCH("vidyalakshmi",LOWER(W484&amp;"")),"PM Vidyalakshmi","—"))))))))))</f>
        <v/>
      </c>
      <c r="U484">
        <f>IF(A484="","",TRIM('01_Master_Data'!AA484&amp;""))</f>
        <v/>
      </c>
      <c r="V484">
        <f>IF(A484="","",TRIM('01_Master_Data'!AG484&amp;""))</f>
        <v/>
      </c>
      <c r="W484">
        <f>IF(A484="","",TRIM('01_Master_Data'!AH484&amp;""))</f>
        <v/>
      </c>
      <c r="X484">
        <f>IF(A484="","",IF(OR(LOWER(H484)="refund",LOWER(U484)="refund case"),"Refund",IF(OR(LOWER(H484)="dnp",LOWER(U484)="dnp"),"DNP",IF(OR(LOWER(V484)="disbursed",ISNUMBER(SEARCH("Disbursed",W484&amp;""))),"Disbursed",IF(OR(LOWER(V484)="loan proccessed/accepted",ISNUMBER(SEARCH("sanctioned",LOWER(W484&amp;"")))),"Sanctioned",IF(OR(LOWER(V484)="rejected",ISNUMBER(SEARCH("Not eligbile",W484&amp;"")),ISNUMBER(SEARCH("Not eligible",W484&amp;""))),"Rejected",IF(ISNUMBER(SEARCH("Docs Pending",W484&amp;"")),"Documents Pending",IF(AND(LOWER(H484)="yes",LOWER(V484)="ongoing"),"Processing",IF(AND(LOWER(H484)="yes",Q484&gt;0,OR(V484="",LOWER(V484)="not even started")),"Vendor Assigned",IF(AND(LOWER(H484)="yes",LOWER(V484)="not even started"),"Need Loan",IF(LOWER(H484)="yes","Loan Started",IF(LOWER(H484)="not sure","Interested",IF(OR(LOWER(H484)="no",LOWER(V484)="not required"),"Not Required","Unclassified")))))))))))))</f>
        <v/>
      </c>
      <c r="Y484">
        <f>IF(A484="","",IF(OR(X484="Sanctioned",X484="Disbursed",X484="Approved"),"Approved",IF(X484="Rejected","Rejected",IF(OR(X484="Processing",X484="Documents Pending",X484="Vendor Assigned"),"In Progress",IF(X484="Need Loan","Pending Start","—"))))</f>
        <v/>
      </c>
      <c r="Z484">
        <f>IF(A484="","",IF(X484="Disbursed","Disbursed",IF(X484="Sanctioned","Sanctioned - Awaiting Disbursement","Not Disbursed")))</f>
        <v/>
      </c>
      <c r="AA484">
        <f>IF(A484="","",IF(LOWER(TRIM('01_Master_Data'!AI484&amp;""))="yes","Need FLDG",IF(LOWER(TRIM('01_Master_Data'!AK484&amp;""))="yes","Need Vidyalakshmi",IF(LOWER(TRIM('01_Master_Data'!AJ484&amp;""))="yes","Need Review",IF(LOWER(J484)="critical","Critical",IF(LOWER(U484)="risk","Risk Case",IF(X484="Refund","Refund","Normal")))))))</f>
        <v/>
      </c>
      <c r="AB484">
        <f>IF(A484="","",IF(OR(LOWER(J484)="critical",LOWER(TRIM('01_Master_Data'!AI484&amp;""))="yes",LOWER(TRIM('01_Master_Data'!AK484&amp;""))="yes",LOWER(U484)="risk"),"Yes","No"))</f>
        <v/>
      </c>
      <c r="AC484">
        <f>IF(A484="","",IF(LOWER(TRIM('01_Master_Data'!AI484&amp;""))="yes","Yes","No"))</f>
        <v/>
      </c>
      <c r="AD484">
        <f>IF(A484="","",IF(LOWER(TRIM('01_Master_Data'!AK484&amp;""))="yes","Yes","No"))</f>
        <v/>
      </c>
      <c r="AE484">
        <f>IF(A484="","",IF(LOWER(TRIM('01_Master_Data'!AJ484&amp;""))="yes","Yes","No"))</f>
        <v/>
      </c>
      <c r="AF484">
        <f>IF(A484="","",TRIM('01_Master_Data'!AL484&amp;""))</f>
        <v/>
      </c>
      <c r="AG484">
        <f>IF(A484="","",IF(AF484="","—",IF(ISNUMBER(SEARCH("DNP",AF484)),"Unreachable / DNP",IF(ISNUMBER(SEARCH("interest",LOWER(AF484))),"High Interest / Terms",IF(OR(ISNUMBER(SEARCH("eligib",LOWER(AF484))),ISNUMBER(SEARCH("income",LOWER(AF484)))),"Eligibility / Income",IF(OR(ISNUMBER(SEARCH("start",LOWER(AF484))),ISNUMBER(SEARCH("Newer",AF484)),ISNUMBER(SEARCH("Will start",AF484))),"Process Yet to Start",IF(ISNUMBER(SEARCH("sure",LOWER(AF484))),"Undecided",IF(OR(ISNUMBER(SEARCH("reject",LOWER(AF484))),ISNUMBER(SEARCH("SBI",AF484))),"Rejected Elsewhere",IF(ISNUMBER(SEARCH("call",LOWER(AF484))),"Bank Communication",IF(OR(ISNUMBER(SEARCH("father",LOWER(AF484))),ISNUMBER(SEARCH("sister",LOWER(AF484)))),"Family / Dependency","Other"))))))))))</f>
        <v/>
      </c>
      <c r="AH484">
        <f>IF(A484="","",'01_Master_Data'!AC484)</f>
        <v/>
      </c>
      <c r="AI484">
        <f>IF(A484="","",IF(OR(AH484="",NOT(ISNUMBER(AH484))),"",MAX(0,'02_Configuration'!$B$82-AH484)))</f>
        <v/>
      </c>
      <c r="AJ484">
        <f>IF(A484="","",IF(AI484="","Unknown",IF(AI484&lt;=3,"0–3 Days",IF(AI484&lt;=7,"4–7 Days",IF(AI484&lt;=15,"8–15 Days",IF(AI484&lt;=30,"16–30 Days","30+ Days"))))))</f>
        <v/>
      </c>
      <c r="AK484">
        <f>IF(A484="","",IF(LOWER(H484)="yes","Yes","No"))</f>
        <v/>
      </c>
      <c r="AL484">
        <f>IF(A484="","",'01_Master_Data'!T484)</f>
        <v/>
      </c>
      <c r="AM484">
        <f>IF(A484="","",'01_Master_Data'!S484)</f>
        <v/>
      </c>
      <c r="AN484">
        <f>IF(A484="","",'01_Master_Data'!I484)</f>
        <v/>
      </c>
      <c r="AO484">
        <f>IF(A484="","",'01_Master_Data'!M484)</f>
        <v/>
      </c>
      <c r="AP484">
        <f>IF(A484="","",IF(ISNUMBER(SEARCH("Icici",W484&amp;"")),1,0))</f>
        <v/>
      </c>
      <c r="AQ484">
        <f>IF(A484="","",IF(ISNUMBER(SEARCH("Propelld",W484&amp;"")),1,0))</f>
        <v/>
      </c>
      <c r="AR484">
        <f>IF(A484="","",IF(ISNUMBER(SEARCH("GyanDhan",W484&amp;"")),1,0))</f>
        <v/>
      </c>
      <c r="AS484">
        <f>IF(A484="","",IF(ISNUMBER(SEARCH("vidyalakshmi",LOWER(W484&amp;""))),1,0))</f>
        <v/>
      </c>
      <c r="AT484">
        <f>IF(A484="","",IF(ISNUMBER(SEARCH("other bank",LOWER(W484&amp;""))),1,0))</f>
        <v/>
      </c>
      <c r="AU484">
        <f>IF(A484="","",IF(ISNUMBER(SEARCH("sanctioned",LOWER(W484&amp;""))),1,0))</f>
        <v/>
      </c>
      <c r="AV484">
        <f>IF(A484="","",IF(ISNUMBER(SEARCH("Docs Pending",W484&amp;"")),1,0))</f>
        <v/>
      </c>
      <c r="AW484">
        <f>IF(A484="","",IF(OR(X484="Rejected",ISNUMBER(SEARCH("Not eligbile",W484&amp;""))),1,0))</f>
        <v/>
      </c>
    </row>
    <row r="485">
      <c r="A485">
        <f>IF('01_Master_Data'!B485="","",484)</f>
        <v/>
      </c>
      <c r="B485">
        <f>IF('01_Master_Data'!B485="","",IF('01_Master_Data'!C485&lt;&gt;"","MOB|"&amp;TEXT('01_Master_Data'!C485,"0"),IF('01_Master_Data'!D485&lt;&gt;"","PID|"&amp;TRIM('01_Master_Data'!D485&amp;""),"")))</f>
        <v/>
      </c>
      <c r="C485">
        <f>IF('01_Master_Data'!B485="","",'01_Master_Data'!B485)</f>
        <v/>
      </c>
      <c r="D485">
        <f>IF('01_Master_Data'!B485="","",'01_Master_Data'!C485)</f>
        <v/>
      </c>
      <c r="E485">
        <f>IF('01_Master_Data'!B485="","",'01_Master_Data'!D485)</f>
        <v/>
      </c>
      <c r="F485">
        <f>IF('01_Master_Data'!B485="","",'01_Master_Data'!E485)</f>
        <v/>
      </c>
      <c r="G485">
        <f>IF('01_Master_Data'!B485="","",IFERROR(VLOOKUP(TRIM('01_Master_Data'!E485&amp;""),'02_Configuration'!$A$40:$B$44,2,FALSE),UPPER(TRIM('01_Master_Data'!E485&amp;""))))</f>
        <v/>
      </c>
      <c r="H485">
        <f>IF('01_Master_Data'!B485="","",IF('01_Master_Data'!U485="","",TRIM('01_Master_Data'!U485&amp;"")))</f>
        <v/>
      </c>
      <c r="I485">
        <f>IF('01_Master_Data'!B485="","",TRIM('01_Master_Data'!F485&amp;""))</f>
        <v/>
      </c>
      <c r="J485">
        <f>IF('01_Master_Data'!B485="","",TRIM('01_Master_Data'!G485&amp;""))</f>
        <v/>
      </c>
      <c r="K485">
        <f>IF('01_Master_Data'!B485="","",'01_Master_Data'!H485)</f>
        <v/>
      </c>
      <c r="L485">
        <f>IF('01_Master_Data'!B485="","",IF(LOWER(TRIM('01_Master_Data'!V485&amp;""))="yes",1,0))</f>
        <v/>
      </c>
      <c r="M485">
        <f>IF('01_Master_Data'!B485="","",IF(LOWER(TRIM('01_Master_Data'!W485&amp;""))="yes",1,0))</f>
        <v/>
      </c>
      <c r="N485">
        <f>IF('01_Master_Data'!B485="","",IF(LOWER(TRIM('01_Master_Data'!X485&amp;""))="yes",1,0))</f>
        <v/>
      </c>
      <c r="O485">
        <f>IF('01_Master_Data'!B485="","",IF(LOWER(TRIM('01_Master_Data'!Y485&amp;""))="yes",1,0))</f>
        <v/>
      </c>
      <c r="P485">
        <f>IF('01_Master_Data'!B485="","",IF(LOWER(TRIM('01_Master_Data'!Z485&amp;""))="yes",1,0))</f>
        <v/>
      </c>
      <c r="Q485">
        <f>IF(A485="","",L485+M485+N485+O485+P485)</f>
        <v/>
      </c>
      <c r="R485">
        <f>IF(A485="","",IF(Q485&gt;1,"Yes","No"))</f>
        <v/>
      </c>
      <c r="S485">
        <f>IF(A485="","",TEXTJOIN(", ",TRUE,IF(L485=1,"ICICI",""),IF(M485=1,"Propelld",""),IF(N485=1,"Study4Buddy",""),IF(O485=1,"Poonawala Fincorp",""),IF(P485=1,"GyanDhan","")))</f>
        <v/>
      </c>
      <c r="T485">
        <f>IF(A485="","",IF(L485=1,"ICICI",IF(M485=1,"Propelld",IF(P485=1,"GyanDhan",IF(N485=1,"Study4Buddy",IF(O485=1,"Poonawala Fincorp",IF(ISNUMBER(SEARCH("GyanDhan",W485&amp;"")),"GyanDhan",IF(ISNUMBER(SEARCH("Icici",W485&amp;"")),"ICICI",IF(ISNUMBER(SEARCH("Propelld",W485&amp;"")),"Propelld",IF(ISNUMBER(SEARCH("vidyalakshmi",LOWER(W485&amp;"")),"PM Vidyalakshmi","—"))))))))))</f>
        <v/>
      </c>
      <c r="U485">
        <f>IF(A485="","",TRIM('01_Master_Data'!AA485&amp;""))</f>
        <v/>
      </c>
      <c r="V485">
        <f>IF(A485="","",TRIM('01_Master_Data'!AG485&amp;""))</f>
        <v/>
      </c>
      <c r="W485">
        <f>IF(A485="","",TRIM('01_Master_Data'!AH485&amp;""))</f>
        <v/>
      </c>
      <c r="X485">
        <f>IF(A485="","",IF(OR(LOWER(H485)="refund",LOWER(U485)="refund case"),"Refund",IF(OR(LOWER(H485)="dnp",LOWER(U485)="dnp"),"DNP",IF(OR(LOWER(V485)="disbursed",ISNUMBER(SEARCH("Disbursed",W485&amp;""))),"Disbursed",IF(OR(LOWER(V485)="loan proccessed/accepted",ISNUMBER(SEARCH("sanctioned",LOWER(W485&amp;"")))),"Sanctioned",IF(OR(LOWER(V485)="rejected",ISNUMBER(SEARCH("Not eligbile",W485&amp;"")),ISNUMBER(SEARCH("Not eligible",W485&amp;""))),"Rejected",IF(ISNUMBER(SEARCH("Docs Pending",W485&amp;"")),"Documents Pending",IF(AND(LOWER(H485)="yes",LOWER(V485)="ongoing"),"Processing",IF(AND(LOWER(H485)="yes",Q485&gt;0,OR(V485="",LOWER(V485)="not even started")),"Vendor Assigned",IF(AND(LOWER(H485)="yes",LOWER(V485)="not even started"),"Need Loan",IF(LOWER(H485)="yes","Loan Started",IF(LOWER(H485)="not sure","Interested",IF(OR(LOWER(H485)="no",LOWER(V485)="not required"),"Not Required","Unclassified")))))))))))))</f>
        <v/>
      </c>
      <c r="Y485">
        <f>IF(A485="","",IF(OR(X485="Sanctioned",X485="Disbursed",X485="Approved"),"Approved",IF(X485="Rejected","Rejected",IF(OR(X485="Processing",X485="Documents Pending",X485="Vendor Assigned"),"In Progress",IF(X485="Need Loan","Pending Start","—"))))</f>
        <v/>
      </c>
      <c r="Z485">
        <f>IF(A485="","",IF(X485="Disbursed","Disbursed",IF(X485="Sanctioned","Sanctioned - Awaiting Disbursement","Not Disbursed")))</f>
        <v/>
      </c>
      <c r="AA485">
        <f>IF(A485="","",IF(LOWER(TRIM('01_Master_Data'!AI485&amp;""))="yes","Need FLDG",IF(LOWER(TRIM('01_Master_Data'!AK485&amp;""))="yes","Need Vidyalakshmi",IF(LOWER(TRIM('01_Master_Data'!AJ485&amp;""))="yes","Need Review",IF(LOWER(J485)="critical","Critical",IF(LOWER(U485)="risk","Risk Case",IF(X485="Refund","Refund","Normal")))))))</f>
        <v/>
      </c>
      <c r="AB485">
        <f>IF(A485="","",IF(OR(LOWER(J485)="critical",LOWER(TRIM('01_Master_Data'!AI485&amp;""))="yes",LOWER(TRIM('01_Master_Data'!AK485&amp;""))="yes",LOWER(U485)="risk"),"Yes","No"))</f>
        <v/>
      </c>
      <c r="AC485">
        <f>IF(A485="","",IF(LOWER(TRIM('01_Master_Data'!AI485&amp;""))="yes","Yes","No"))</f>
        <v/>
      </c>
      <c r="AD485">
        <f>IF(A485="","",IF(LOWER(TRIM('01_Master_Data'!AK485&amp;""))="yes","Yes","No"))</f>
        <v/>
      </c>
      <c r="AE485">
        <f>IF(A485="","",IF(LOWER(TRIM('01_Master_Data'!AJ485&amp;""))="yes","Yes","No"))</f>
        <v/>
      </c>
      <c r="AF485">
        <f>IF(A485="","",TRIM('01_Master_Data'!AL485&amp;""))</f>
        <v/>
      </c>
      <c r="AG485">
        <f>IF(A485="","",IF(AF485="","—",IF(ISNUMBER(SEARCH("DNP",AF485)),"Unreachable / DNP",IF(ISNUMBER(SEARCH("interest",LOWER(AF485))),"High Interest / Terms",IF(OR(ISNUMBER(SEARCH("eligib",LOWER(AF485))),ISNUMBER(SEARCH("income",LOWER(AF485)))),"Eligibility / Income",IF(OR(ISNUMBER(SEARCH("start",LOWER(AF485))),ISNUMBER(SEARCH("Newer",AF485)),ISNUMBER(SEARCH("Will start",AF485))),"Process Yet to Start",IF(ISNUMBER(SEARCH("sure",LOWER(AF485))),"Undecided",IF(OR(ISNUMBER(SEARCH("reject",LOWER(AF485))),ISNUMBER(SEARCH("SBI",AF485))),"Rejected Elsewhere",IF(ISNUMBER(SEARCH("call",LOWER(AF485))),"Bank Communication",IF(OR(ISNUMBER(SEARCH("father",LOWER(AF485))),ISNUMBER(SEARCH("sister",LOWER(AF485)))),"Family / Dependency","Other"))))))))))</f>
        <v/>
      </c>
      <c r="AH485">
        <f>IF(A485="","",'01_Master_Data'!AC485)</f>
        <v/>
      </c>
      <c r="AI485">
        <f>IF(A485="","",IF(OR(AH485="",NOT(ISNUMBER(AH485))),"",MAX(0,'02_Configuration'!$B$82-AH485)))</f>
        <v/>
      </c>
      <c r="AJ485">
        <f>IF(A485="","",IF(AI485="","Unknown",IF(AI485&lt;=3,"0–3 Days",IF(AI485&lt;=7,"4–7 Days",IF(AI485&lt;=15,"8–15 Days",IF(AI485&lt;=30,"16–30 Days","30+ Days"))))))</f>
        <v/>
      </c>
      <c r="AK485">
        <f>IF(A485="","",IF(LOWER(H485)="yes","Yes","No"))</f>
        <v/>
      </c>
      <c r="AL485">
        <f>IF(A485="","",'01_Master_Data'!T485)</f>
        <v/>
      </c>
      <c r="AM485">
        <f>IF(A485="","",'01_Master_Data'!S485)</f>
        <v/>
      </c>
      <c r="AN485">
        <f>IF(A485="","",'01_Master_Data'!I485)</f>
        <v/>
      </c>
      <c r="AO485">
        <f>IF(A485="","",'01_Master_Data'!M485)</f>
        <v/>
      </c>
      <c r="AP485">
        <f>IF(A485="","",IF(ISNUMBER(SEARCH("Icici",W485&amp;"")),1,0))</f>
        <v/>
      </c>
      <c r="AQ485">
        <f>IF(A485="","",IF(ISNUMBER(SEARCH("Propelld",W485&amp;"")),1,0))</f>
        <v/>
      </c>
      <c r="AR485">
        <f>IF(A485="","",IF(ISNUMBER(SEARCH("GyanDhan",W485&amp;"")),1,0))</f>
        <v/>
      </c>
      <c r="AS485">
        <f>IF(A485="","",IF(ISNUMBER(SEARCH("vidyalakshmi",LOWER(W485&amp;""))),1,0))</f>
        <v/>
      </c>
      <c r="AT485">
        <f>IF(A485="","",IF(ISNUMBER(SEARCH("other bank",LOWER(W485&amp;""))),1,0))</f>
        <v/>
      </c>
      <c r="AU485">
        <f>IF(A485="","",IF(ISNUMBER(SEARCH("sanctioned",LOWER(W485&amp;""))),1,0))</f>
        <v/>
      </c>
      <c r="AV485">
        <f>IF(A485="","",IF(ISNUMBER(SEARCH("Docs Pending",W485&amp;"")),1,0))</f>
        <v/>
      </c>
      <c r="AW485">
        <f>IF(A485="","",IF(OR(X485="Rejected",ISNUMBER(SEARCH("Not eligbile",W485&amp;""))),1,0))</f>
        <v/>
      </c>
    </row>
    <row r="486">
      <c r="A486">
        <f>IF('01_Master_Data'!B486="","",485)</f>
        <v/>
      </c>
      <c r="B486">
        <f>IF('01_Master_Data'!B486="","",IF('01_Master_Data'!C486&lt;&gt;"","MOB|"&amp;TEXT('01_Master_Data'!C486,"0"),IF('01_Master_Data'!D486&lt;&gt;"","PID|"&amp;TRIM('01_Master_Data'!D486&amp;""),"")))</f>
        <v/>
      </c>
      <c r="C486">
        <f>IF('01_Master_Data'!B486="","",'01_Master_Data'!B486)</f>
        <v/>
      </c>
      <c r="D486">
        <f>IF('01_Master_Data'!B486="","",'01_Master_Data'!C486)</f>
        <v/>
      </c>
      <c r="E486">
        <f>IF('01_Master_Data'!B486="","",'01_Master_Data'!D486)</f>
        <v/>
      </c>
      <c r="F486">
        <f>IF('01_Master_Data'!B486="","",'01_Master_Data'!E486)</f>
        <v/>
      </c>
      <c r="G486">
        <f>IF('01_Master_Data'!B486="","",IFERROR(VLOOKUP(TRIM('01_Master_Data'!E486&amp;""),'02_Configuration'!$A$40:$B$44,2,FALSE),UPPER(TRIM('01_Master_Data'!E486&amp;""))))</f>
        <v/>
      </c>
      <c r="H486">
        <f>IF('01_Master_Data'!B486="","",IF('01_Master_Data'!U486="","",TRIM('01_Master_Data'!U486&amp;"")))</f>
        <v/>
      </c>
      <c r="I486">
        <f>IF('01_Master_Data'!B486="","",TRIM('01_Master_Data'!F486&amp;""))</f>
        <v/>
      </c>
      <c r="J486">
        <f>IF('01_Master_Data'!B486="","",TRIM('01_Master_Data'!G486&amp;""))</f>
        <v/>
      </c>
      <c r="K486">
        <f>IF('01_Master_Data'!B486="","",'01_Master_Data'!H486)</f>
        <v/>
      </c>
      <c r="L486">
        <f>IF('01_Master_Data'!B486="","",IF(LOWER(TRIM('01_Master_Data'!V486&amp;""))="yes",1,0))</f>
        <v/>
      </c>
      <c r="M486">
        <f>IF('01_Master_Data'!B486="","",IF(LOWER(TRIM('01_Master_Data'!W486&amp;""))="yes",1,0))</f>
        <v/>
      </c>
      <c r="N486">
        <f>IF('01_Master_Data'!B486="","",IF(LOWER(TRIM('01_Master_Data'!X486&amp;""))="yes",1,0))</f>
        <v/>
      </c>
      <c r="O486">
        <f>IF('01_Master_Data'!B486="","",IF(LOWER(TRIM('01_Master_Data'!Y486&amp;""))="yes",1,0))</f>
        <v/>
      </c>
      <c r="P486">
        <f>IF('01_Master_Data'!B486="","",IF(LOWER(TRIM('01_Master_Data'!Z486&amp;""))="yes",1,0))</f>
        <v/>
      </c>
      <c r="Q486">
        <f>IF(A486="","",L486+M486+N486+O486+P486)</f>
        <v/>
      </c>
      <c r="R486">
        <f>IF(A486="","",IF(Q486&gt;1,"Yes","No"))</f>
        <v/>
      </c>
      <c r="S486">
        <f>IF(A486="","",TEXTJOIN(", ",TRUE,IF(L486=1,"ICICI",""),IF(M486=1,"Propelld",""),IF(N486=1,"Study4Buddy",""),IF(O486=1,"Poonawala Fincorp",""),IF(P486=1,"GyanDhan","")))</f>
        <v/>
      </c>
      <c r="T486">
        <f>IF(A486="","",IF(L486=1,"ICICI",IF(M486=1,"Propelld",IF(P486=1,"GyanDhan",IF(N486=1,"Study4Buddy",IF(O486=1,"Poonawala Fincorp",IF(ISNUMBER(SEARCH("GyanDhan",W486&amp;"")),"GyanDhan",IF(ISNUMBER(SEARCH("Icici",W486&amp;"")),"ICICI",IF(ISNUMBER(SEARCH("Propelld",W486&amp;"")),"Propelld",IF(ISNUMBER(SEARCH("vidyalakshmi",LOWER(W486&amp;"")),"PM Vidyalakshmi","—"))))))))))</f>
        <v/>
      </c>
      <c r="U486">
        <f>IF(A486="","",TRIM('01_Master_Data'!AA486&amp;""))</f>
        <v/>
      </c>
      <c r="V486">
        <f>IF(A486="","",TRIM('01_Master_Data'!AG486&amp;""))</f>
        <v/>
      </c>
      <c r="W486">
        <f>IF(A486="","",TRIM('01_Master_Data'!AH486&amp;""))</f>
        <v/>
      </c>
      <c r="X486">
        <f>IF(A486="","",IF(OR(LOWER(H486)="refund",LOWER(U486)="refund case"),"Refund",IF(OR(LOWER(H486)="dnp",LOWER(U486)="dnp"),"DNP",IF(OR(LOWER(V486)="disbursed",ISNUMBER(SEARCH("Disbursed",W486&amp;""))),"Disbursed",IF(OR(LOWER(V486)="loan proccessed/accepted",ISNUMBER(SEARCH("sanctioned",LOWER(W486&amp;"")))),"Sanctioned",IF(OR(LOWER(V486)="rejected",ISNUMBER(SEARCH("Not eligbile",W486&amp;"")),ISNUMBER(SEARCH("Not eligible",W486&amp;""))),"Rejected",IF(ISNUMBER(SEARCH("Docs Pending",W486&amp;"")),"Documents Pending",IF(AND(LOWER(H486)="yes",LOWER(V486)="ongoing"),"Processing",IF(AND(LOWER(H486)="yes",Q486&gt;0,OR(V486="",LOWER(V486)="not even started")),"Vendor Assigned",IF(AND(LOWER(H486)="yes",LOWER(V486)="not even started"),"Need Loan",IF(LOWER(H486)="yes","Loan Started",IF(LOWER(H486)="not sure","Interested",IF(OR(LOWER(H486)="no",LOWER(V486)="not required"),"Not Required","Unclassified")))))))))))))</f>
        <v/>
      </c>
      <c r="Y486">
        <f>IF(A486="","",IF(OR(X486="Sanctioned",X486="Disbursed",X486="Approved"),"Approved",IF(X486="Rejected","Rejected",IF(OR(X486="Processing",X486="Documents Pending",X486="Vendor Assigned"),"In Progress",IF(X486="Need Loan","Pending Start","—"))))</f>
        <v/>
      </c>
      <c r="Z486">
        <f>IF(A486="","",IF(X486="Disbursed","Disbursed",IF(X486="Sanctioned","Sanctioned - Awaiting Disbursement","Not Disbursed")))</f>
        <v/>
      </c>
      <c r="AA486">
        <f>IF(A486="","",IF(LOWER(TRIM('01_Master_Data'!AI486&amp;""))="yes","Need FLDG",IF(LOWER(TRIM('01_Master_Data'!AK486&amp;""))="yes","Need Vidyalakshmi",IF(LOWER(TRIM('01_Master_Data'!AJ486&amp;""))="yes","Need Review",IF(LOWER(J486)="critical","Critical",IF(LOWER(U486)="risk","Risk Case",IF(X486="Refund","Refund","Normal")))))))</f>
        <v/>
      </c>
      <c r="AB486">
        <f>IF(A486="","",IF(OR(LOWER(J486)="critical",LOWER(TRIM('01_Master_Data'!AI486&amp;""))="yes",LOWER(TRIM('01_Master_Data'!AK486&amp;""))="yes",LOWER(U486)="risk"),"Yes","No"))</f>
        <v/>
      </c>
      <c r="AC486">
        <f>IF(A486="","",IF(LOWER(TRIM('01_Master_Data'!AI486&amp;""))="yes","Yes","No"))</f>
        <v/>
      </c>
      <c r="AD486">
        <f>IF(A486="","",IF(LOWER(TRIM('01_Master_Data'!AK486&amp;""))="yes","Yes","No"))</f>
        <v/>
      </c>
      <c r="AE486">
        <f>IF(A486="","",IF(LOWER(TRIM('01_Master_Data'!AJ486&amp;""))="yes","Yes","No"))</f>
        <v/>
      </c>
      <c r="AF486">
        <f>IF(A486="","",TRIM('01_Master_Data'!AL486&amp;""))</f>
        <v/>
      </c>
      <c r="AG486">
        <f>IF(A486="","",IF(AF486="","—",IF(ISNUMBER(SEARCH("DNP",AF486)),"Unreachable / DNP",IF(ISNUMBER(SEARCH("interest",LOWER(AF486))),"High Interest / Terms",IF(OR(ISNUMBER(SEARCH("eligib",LOWER(AF486))),ISNUMBER(SEARCH("income",LOWER(AF486)))),"Eligibility / Income",IF(OR(ISNUMBER(SEARCH("start",LOWER(AF486))),ISNUMBER(SEARCH("Newer",AF486)),ISNUMBER(SEARCH("Will start",AF486))),"Process Yet to Start",IF(ISNUMBER(SEARCH("sure",LOWER(AF486))),"Undecided",IF(OR(ISNUMBER(SEARCH("reject",LOWER(AF486))),ISNUMBER(SEARCH("SBI",AF486))),"Rejected Elsewhere",IF(ISNUMBER(SEARCH("call",LOWER(AF486))),"Bank Communication",IF(OR(ISNUMBER(SEARCH("father",LOWER(AF486))),ISNUMBER(SEARCH("sister",LOWER(AF486)))),"Family / Dependency","Other"))))))))))</f>
        <v/>
      </c>
      <c r="AH486">
        <f>IF(A486="","",'01_Master_Data'!AC486)</f>
        <v/>
      </c>
      <c r="AI486">
        <f>IF(A486="","",IF(OR(AH486="",NOT(ISNUMBER(AH486))),"",MAX(0,'02_Configuration'!$B$82-AH486)))</f>
        <v/>
      </c>
      <c r="AJ486">
        <f>IF(A486="","",IF(AI486="","Unknown",IF(AI486&lt;=3,"0–3 Days",IF(AI486&lt;=7,"4–7 Days",IF(AI486&lt;=15,"8–15 Days",IF(AI486&lt;=30,"16–30 Days","30+ Days"))))))</f>
        <v/>
      </c>
      <c r="AK486">
        <f>IF(A486="","",IF(LOWER(H486)="yes","Yes","No"))</f>
        <v/>
      </c>
      <c r="AL486">
        <f>IF(A486="","",'01_Master_Data'!T486)</f>
        <v/>
      </c>
      <c r="AM486">
        <f>IF(A486="","",'01_Master_Data'!S486)</f>
        <v/>
      </c>
      <c r="AN486">
        <f>IF(A486="","",'01_Master_Data'!I486)</f>
        <v/>
      </c>
      <c r="AO486">
        <f>IF(A486="","",'01_Master_Data'!M486)</f>
        <v/>
      </c>
      <c r="AP486">
        <f>IF(A486="","",IF(ISNUMBER(SEARCH("Icici",W486&amp;"")),1,0))</f>
        <v/>
      </c>
      <c r="AQ486">
        <f>IF(A486="","",IF(ISNUMBER(SEARCH("Propelld",W486&amp;"")),1,0))</f>
        <v/>
      </c>
      <c r="AR486">
        <f>IF(A486="","",IF(ISNUMBER(SEARCH("GyanDhan",W486&amp;"")),1,0))</f>
        <v/>
      </c>
      <c r="AS486">
        <f>IF(A486="","",IF(ISNUMBER(SEARCH("vidyalakshmi",LOWER(W486&amp;""))),1,0))</f>
        <v/>
      </c>
      <c r="AT486">
        <f>IF(A486="","",IF(ISNUMBER(SEARCH("other bank",LOWER(W486&amp;""))),1,0))</f>
        <v/>
      </c>
      <c r="AU486">
        <f>IF(A486="","",IF(ISNUMBER(SEARCH("sanctioned",LOWER(W486&amp;""))),1,0))</f>
        <v/>
      </c>
      <c r="AV486">
        <f>IF(A486="","",IF(ISNUMBER(SEARCH("Docs Pending",W486&amp;"")),1,0))</f>
        <v/>
      </c>
      <c r="AW486">
        <f>IF(A486="","",IF(OR(X486="Rejected",ISNUMBER(SEARCH("Not eligbile",W486&amp;""))),1,0))</f>
        <v/>
      </c>
    </row>
    <row r="487">
      <c r="A487">
        <f>IF('01_Master_Data'!B487="","",486)</f>
        <v/>
      </c>
      <c r="B487">
        <f>IF('01_Master_Data'!B487="","",IF('01_Master_Data'!C487&lt;&gt;"","MOB|"&amp;TEXT('01_Master_Data'!C487,"0"),IF('01_Master_Data'!D487&lt;&gt;"","PID|"&amp;TRIM('01_Master_Data'!D487&amp;""),"")))</f>
        <v/>
      </c>
      <c r="C487">
        <f>IF('01_Master_Data'!B487="","",'01_Master_Data'!B487)</f>
        <v/>
      </c>
      <c r="D487">
        <f>IF('01_Master_Data'!B487="","",'01_Master_Data'!C487)</f>
        <v/>
      </c>
      <c r="E487">
        <f>IF('01_Master_Data'!B487="","",'01_Master_Data'!D487)</f>
        <v/>
      </c>
      <c r="F487">
        <f>IF('01_Master_Data'!B487="","",'01_Master_Data'!E487)</f>
        <v/>
      </c>
      <c r="G487">
        <f>IF('01_Master_Data'!B487="","",IFERROR(VLOOKUP(TRIM('01_Master_Data'!E487&amp;""),'02_Configuration'!$A$40:$B$44,2,FALSE),UPPER(TRIM('01_Master_Data'!E487&amp;""))))</f>
        <v/>
      </c>
      <c r="H487">
        <f>IF('01_Master_Data'!B487="","",IF('01_Master_Data'!U487="","",TRIM('01_Master_Data'!U487&amp;"")))</f>
        <v/>
      </c>
      <c r="I487">
        <f>IF('01_Master_Data'!B487="","",TRIM('01_Master_Data'!F487&amp;""))</f>
        <v/>
      </c>
      <c r="J487">
        <f>IF('01_Master_Data'!B487="","",TRIM('01_Master_Data'!G487&amp;""))</f>
        <v/>
      </c>
      <c r="K487">
        <f>IF('01_Master_Data'!B487="","",'01_Master_Data'!H487)</f>
        <v/>
      </c>
      <c r="L487">
        <f>IF('01_Master_Data'!B487="","",IF(LOWER(TRIM('01_Master_Data'!V487&amp;""))="yes",1,0))</f>
        <v/>
      </c>
      <c r="M487">
        <f>IF('01_Master_Data'!B487="","",IF(LOWER(TRIM('01_Master_Data'!W487&amp;""))="yes",1,0))</f>
        <v/>
      </c>
      <c r="N487">
        <f>IF('01_Master_Data'!B487="","",IF(LOWER(TRIM('01_Master_Data'!X487&amp;""))="yes",1,0))</f>
        <v/>
      </c>
      <c r="O487">
        <f>IF('01_Master_Data'!B487="","",IF(LOWER(TRIM('01_Master_Data'!Y487&amp;""))="yes",1,0))</f>
        <v/>
      </c>
      <c r="P487">
        <f>IF('01_Master_Data'!B487="","",IF(LOWER(TRIM('01_Master_Data'!Z487&amp;""))="yes",1,0))</f>
        <v/>
      </c>
      <c r="Q487">
        <f>IF(A487="","",L487+M487+N487+O487+P487)</f>
        <v/>
      </c>
      <c r="R487">
        <f>IF(A487="","",IF(Q487&gt;1,"Yes","No"))</f>
        <v/>
      </c>
      <c r="S487">
        <f>IF(A487="","",TEXTJOIN(", ",TRUE,IF(L487=1,"ICICI",""),IF(M487=1,"Propelld",""),IF(N487=1,"Study4Buddy",""),IF(O487=1,"Poonawala Fincorp",""),IF(P487=1,"GyanDhan","")))</f>
        <v/>
      </c>
      <c r="T487">
        <f>IF(A487="","",IF(L487=1,"ICICI",IF(M487=1,"Propelld",IF(P487=1,"GyanDhan",IF(N487=1,"Study4Buddy",IF(O487=1,"Poonawala Fincorp",IF(ISNUMBER(SEARCH("GyanDhan",W487&amp;"")),"GyanDhan",IF(ISNUMBER(SEARCH("Icici",W487&amp;"")),"ICICI",IF(ISNUMBER(SEARCH("Propelld",W487&amp;"")),"Propelld",IF(ISNUMBER(SEARCH("vidyalakshmi",LOWER(W487&amp;"")),"PM Vidyalakshmi","—"))))))))))</f>
        <v/>
      </c>
      <c r="U487">
        <f>IF(A487="","",TRIM('01_Master_Data'!AA487&amp;""))</f>
        <v/>
      </c>
      <c r="V487">
        <f>IF(A487="","",TRIM('01_Master_Data'!AG487&amp;""))</f>
        <v/>
      </c>
      <c r="W487">
        <f>IF(A487="","",TRIM('01_Master_Data'!AH487&amp;""))</f>
        <v/>
      </c>
      <c r="X487">
        <f>IF(A487="","",IF(OR(LOWER(H487)="refund",LOWER(U487)="refund case"),"Refund",IF(OR(LOWER(H487)="dnp",LOWER(U487)="dnp"),"DNP",IF(OR(LOWER(V487)="disbursed",ISNUMBER(SEARCH("Disbursed",W487&amp;""))),"Disbursed",IF(OR(LOWER(V487)="loan proccessed/accepted",ISNUMBER(SEARCH("sanctioned",LOWER(W487&amp;"")))),"Sanctioned",IF(OR(LOWER(V487)="rejected",ISNUMBER(SEARCH("Not eligbile",W487&amp;"")),ISNUMBER(SEARCH("Not eligible",W487&amp;""))),"Rejected",IF(ISNUMBER(SEARCH("Docs Pending",W487&amp;"")),"Documents Pending",IF(AND(LOWER(H487)="yes",LOWER(V487)="ongoing"),"Processing",IF(AND(LOWER(H487)="yes",Q487&gt;0,OR(V487="",LOWER(V487)="not even started")),"Vendor Assigned",IF(AND(LOWER(H487)="yes",LOWER(V487)="not even started"),"Need Loan",IF(LOWER(H487)="yes","Loan Started",IF(LOWER(H487)="not sure","Interested",IF(OR(LOWER(H487)="no",LOWER(V487)="not required"),"Not Required","Unclassified")))))))))))))</f>
        <v/>
      </c>
      <c r="Y487">
        <f>IF(A487="","",IF(OR(X487="Sanctioned",X487="Disbursed",X487="Approved"),"Approved",IF(X487="Rejected","Rejected",IF(OR(X487="Processing",X487="Documents Pending",X487="Vendor Assigned"),"In Progress",IF(X487="Need Loan","Pending Start","—"))))</f>
        <v/>
      </c>
      <c r="Z487">
        <f>IF(A487="","",IF(X487="Disbursed","Disbursed",IF(X487="Sanctioned","Sanctioned - Awaiting Disbursement","Not Disbursed")))</f>
        <v/>
      </c>
      <c r="AA487">
        <f>IF(A487="","",IF(LOWER(TRIM('01_Master_Data'!AI487&amp;""))="yes","Need FLDG",IF(LOWER(TRIM('01_Master_Data'!AK487&amp;""))="yes","Need Vidyalakshmi",IF(LOWER(TRIM('01_Master_Data'!AJ487&amp;""))="yes","Need Review",IF(LOWER(J487)="critical","Critical",IF(LOWER(U487)="risk","Risk Case",IF(X487="Refund","Refund","Normal")))))))</f>
        <v/>
      </c>
      <c r="AB487">
        <f>IF(A487="","",IF(OR(LOWER(J487)="critical",LOWER(TRIM('01_Master_Data'!AI487&amp;""))="yes",LOWER(TRIM('01_Master_Data'!AK487&amp;""))="yes",LOWER(U487)="risk"),"Yes","No"))</f>
        <v/>
      </c>
      <c r="AC487">
        <f>IF(A487="","",IF(LOWER(TRIM('01_Master_Data'!AI487&amp;""))="yes","Yes","No"))</f>
        <v/>
      </c>
      <c r="AD487">
        <f>IF(A487="","",IF(LOWER(TRIM('01_Master_Data'!AK487&amp;""))="yes","Yes","No"))</f>
        <v/>
      </c>
      <c r="AE487">
        <f>IF(A487="","",IF(LOWER(TRIM('01_Master_Data'!AJ487&amp;""))="yes","Yes","No"))</f>
        <v/>
      </c>
      <c r="AF487">
        <f>IF(A487="","",TRIM('01_Master_Data'!AL487&amp;""))</f>
        <v/>
      </c>
      <c r="AG487">
        <f>IF(A487="","",IF(AF487="","—",IF(ISNUMBER(SEARCH("DNP",AF487)),"Unreachable / DNP",IF(ISNUMBER(SEARCH("interest",LOWER(AF487))),"High Interest / Terms",IF(OR(ISNUMBER(SEARCH("eligib",LOWER(AF487))),ISNUMBER(SEARCH("income",LOWER(AF487)))),"Eligibility / Income",IF(OR(ISNUMBER(SEARCH("start",LOWER(AF487))),ISNUMBER(SEARCH("Newer",AF487)),ISNUMBER(SEARCH("Will start",AF487))),"Process Yet to Start",IF(ISNUMBER(SEARCH("sure",LOWER(AF487))),"Undecided",IF(OR(ISNUMBER(SEARCH("reject",LOWER(AF487))),ISNUMBER(SEARCH("SBI",AF487))),"Rejected Elsewhere",IF(ISNUMBER(SEARCH("call",LOWER(AF487))),"Bank Communication",IF(OR(ISNUMBER(SEARCH("father",LOWER(AF487))),ISNUMBER(SEARCH("sister",LOWER(AF487)))),"Family / Dependency","Other"))))))))))</f>
        <v/>
      </c>
      <c r="AH487">
        <f>IF(A487="","",'01_Master_Data'!AC487)</f>
        <v/>
      </c>
      <c r="AI487">
        <f>IF(A487="","",IF(OR(AH487="",NOT(ISNUMBER(AH487))),"",MAX(0,'02_Configuration'!$B$82-AH487)))</f>
        <v/>
      </c>
      <c r="AJ487">
        <f>IF(A487="","",IF(AI487="","Unknown",IF(AI487&lt;=3,"0–3 Days",IF(AI487&lt;=7,"4–7 Days",IF(AI487&lt;=15,"8–15 Days",IF(AI487&lt;=30,"16–30 Days","30+ Days"))))))</f>
        <v/>
      </c>
      <c r="AK487">
        <f>IF(A487="","",IF(LOWER(H487)="yes","Yes","No"))</f>
        <v/>
      </c>
      <c r="AL487">
        <f>IF(A487="","",'01_Master_Data'!T487)</f>
        <v/>
      </c>
      <c r="AM487">
        <f>IF(A487="","",'01_Master_Data'!S487)</f>
        <v/>
      </c>
      <c r="AN487">
        <f>IF(A487="","",'01_Master_Data'!I487)</f>
        <v/>
      </c>
      <c r="AO487">
        <f>IF(A487="","",'01_Master_Data'!M487)</f>
        <v/>
      </c>
      <c r="AP487">
        <f>IF(A487="","",IF(ISNUMBER(SEARCH("Icici",W487&amp;"")),1,0))</f>
        <v/>
      </c>
      <c r="AQ487">
        <f>IF(A487="","",IF(ISNUMBER(SEARCH("Propelld",W487&amp;"")),1,0))</f>
        <v/>
      </c>
      <c r="AR487">
        <f>IF(A487="","",IF(ISNUMBER(SEARCH("GyanDhan",W487&amp;"")),1,0))</f>
        <v/>
      </c>
      <c r="AS487">
        <f>IF(A487="","",IF(ISNUMBER(SEARCH("vidyalakshmi",LOWER(W487&amp;""))),1,0))</f>
        <v/>
      </c>
      <c r="AT487">
        <f>IF(A487="","",IF(ISNUMBER(SEARCH("other bank",LOWER(W487&amp;""))),1,0))</f>
        <v/>
      </c>
      <c r="AU487">
        <f>IF(A487="","",IF(ISNUMBER(SEARCH("sanctioned",LOWER(W487&amp;""))),1,0))</f>
        <v/>
      </c>
      <c r="AV487">
        <f>IF(A487="","",IF(ISNUMBER(SEARCH("Docs Pending",W487&amp;"")),1,0))</f>
        <v/>
      </c>
      <c r="AW487">
        <f>IF(A487="","",IF(OR(X487="Rejected",ISNUMBER(SEARCH("Not eligbile",W487&amp;""))),1,0))</f>
        <v/>
      </c>
    </row>
    <row r="488">
      <c r="A488">
        <f>IF('01_Master_Data'!B488="","",487)</f>
        <v/>
      </c>
      <c r="B488">
        <f>IF('01_Master_Data'!B488="","",IF('01_Master_Data'!C488&lt;&gt;"","MOB|"&amp;TEXT('01_Master_Data'!C488,"0"),IF('01_Master_Data'!D488&lt;&gt;"","PID|"&amp;TRIM('01_Master_Data'!D488&amp;""),"")))</f>
        <v/>
      </c>
      <c r="C488">
        <f>IF('01_Master_Data'!B488="","",'01_Master_Data'!B488)</f>
        <v/>
      </c>
      <c r="D488">
        <f>IF('01_Master_Data'!B488="","",'01_Master_Data'!C488)</f>
        <v/>
      </c>
      <c r="E488">
        <f>IF('01_Master_Data'!B488="","",'01_Master_Data'!D488)</f>
        <v/>
      </c>
      <c r="F488">
        <f>IF('01_Master_Data'!B488="","",'01_Master_Data'!E488)</f>
        <v/>
      </c>
      <c r="G488">
        <f>IF('01_Master_Data'!B488="","",IFERROR(VLOOKUP(TRIM('01_Master_Data'!E488&amp;""),'02_Configuration'!$A$40:$B$44,2,FALSE),UPPER(TRIM('01_Master_Data'!E488&amp;""))))</f>
        <v/>
      </c>
      <c r="H488">
        <f>IF('01_Master_Data'!B488="","",IF('01_Master_Data'!U488="","",TRIM('01_Master_Data'!U488&amp;"")))</f>
        <v/>
      </c>
      <c r="I488">
        <f>IF('01_Master_Data'!B488="","",TRIM('01_Master_Data'!F488&amp;""))</f>
        <v/>
      </c>
      <c r="J488">
        <f>IF('01_Master_Data'!B488="","",TRIM('01_Master_Data'!G488&amp;""))</f>
        <v/>
      </c>
      <c r="K488">
        <f>IF('01_Master_Data'!B488="","",'01_Master_Data'!H488)</f>
        <v/>
      </c>
      <c r="L488">
        <f>IF('01_Master_Data'!B488="","",IF(LOWER(TRIM('01_Master_Data'!V488&amp;""))="yes",1,0))</f>
        <v/>
      </c>
      <c r="M488">
        <f>IF('01_Master_Data'!B488="","",IF(LOWER(TRIM('01_Master_Data'!W488&amp;""))="yes",1,0))</f>
        <v/>
      </c>
      <c r="N488">
        <f>IF('01_Master_Data'!B488="","",IF(LOWER(TRIM('01_Master_Data'!X488&amp;""))="yes",1,0))</f>
        <v/>
      </c>
      <c r="O488">
        <f>IF('01_Master_Data'!B488="","",IF(LOWER(TRIM('01_Master_Data'!Y488&amp;""))="yes",1,0))</f>
        <v/>
      </c>
      <c r="P488">
        <f>IF('01_Master_Data'!B488="","",IF(LOWER(TRIM('01_Master_Data'!Z488&amp;""))="yes",1,0))</f>
        <v/>
      </c>
      <c r="Q488">
        <f>IF(A488="","",L488+M488+N488+O488+P488)</f>
        <v/>
      </c>
      <c r="R488">
        <f>IF(A488="","",IF(Q488&gt;1,"Yes","No"))</f>
        <v/>
      </c>
      <c r="S488">
        <f>IF(A488="","",TEXTJOIN(", ",TRUE,IF(L488=1,"ICICI",""),IF(M488=1,"Propelld",""),IF(N488=1,"Study4Buddy",""),IF(O488=1,"Poonawala Fincorp",""),IF(P488=1,"GyanDhan","")))</f>
        <v/>
      </c>
      <c r="T488">
        <f>IF(A488="","",IF(L488=1,"ICICI",IF(M488=1,"Propelld",IF(P488=1,"GyanDhan",IF(N488=1,"Study4Buddy",IF(O488=1,"Poonawala Fincorp",IF(ISNUMBER(SEARCH("GyanDhan",W488&amp;"")),"GyanDhan",IF(ISNUMBER(SEARCH("Icici",W488&amp;"")),"ICICI",IF(ISNUMBER(SEARCH("Propelld",W488&amp;"")),"Propelld",IF(ISNUMBER(SEARCH("vidyalakshmi",LOWER(W488&amp;"")),"PM Vidyalakshmi","—"))))))))))</f>
        <v/>
      </c>
      <c r="U488">
        <f>IF(A488="","",TRIM('01_Master_Data'!AA488&amp;""))</f>
        <v/>
      </c>
      <c r="V488">
        <f>IF(A488="","",TRIM('01_Master_Data'!AG488&amp;""))</f>
        <v/>
      </c>
      <c r="W488">
        <f>IF(A488="","",TRIM('01_Master_Data'!AH488&amp;""))</f>
        <v/>
      </c>
      <c r="X488">
        <f>IF(A488="","",IF(OR(LOWER(H488)="refund",LOWER(U488)="refund case"),"Refund",IF(OR(LOWER(H488)="dnp",LOWER(U488)="dnp"),"DNP",IF(OR(LOWER(V488)="disbursed",ISNUMBER(SEARCH("Disbursed",W488&amp;""))),"Disbursed",IF(OR(LOWER(V488)="loan proccessed/accepted",ISNUMBER(SEARCH("sanctioned",LOWER(W488&amp;"")))),"Sanctioned",IF(OR(LOWER(V488)="rejected",ISNUMBER(SEARCH("Not eligbile",W488&amp;"")),ISNUMBER(SEARCH("Not eligible",W488&amp;""))),"Rejected",IF(ISNUMBER(SEARCH("Docs Pending",W488&amp;"")),"Documents Pending",IF(AND(LOWER(H488)="yes",LOWER(V488)="ongoing"),"Processing",IF(AND(LOWER(H488)="yes",Q488&gt;0,OR(V488="",LOWER(V488)="not even started")),"Vendor Assigned",IF(AND(LOWER(H488)="yes",LOWER(V488)="not even started"),"Need Loan",IF(LOWER(H488)="yes","Loan Started",IF(LOWER(H488)="not sure","Interested",IF(OR(LOWER(H488)="no",LOWER(V488)="not required"),"Not Required","Unclassified")))))))))))))</f>
        <v/>
      </c>
      <c r="Y488">
        <f>IF(A488="","",IF(OR(X488="Sanctioned",X488="Disbursed",X488="Approved"),"Approved",IF(X488="Rejected","Rejected",IF(OR(X488="Processing",X488="Documents Pending",X488="Vendor Assigned"),"In Progress",IF(X488="Need Loan","Pending Start","—"))))</f>
        <v/>
      </c>
      <c r="Z488">
        <f>IF(A488="","",IF(X488="Disbursed","Disbursed",IF(X488="Sanctioned","Sanctioned - Awaiting Disbursement","Not Disbursed")))</f>
        <v/>
      </c>
      <c r="AA488">
        <f>IF(A488="","",IF(LOWER(TRIM('01_Master_Data'!AI488&amp;""))="yes","Need FLDG",IF(LOWER(TRIM('01_Master_Data'!AK488&amp;""))="yes","Need Vidyalakshmi",IF(LOWER(TRIM('01_Master_Data'!AJ488&amp;""))="yes","Need Review",IF(LOWER(J488)="critical","Critical",IF(LOWER(U488)="risk","Risk Case",IF(X488="Refund","Refund","Normal")))))))</f>
        <v/>
      </c>
      <c r="AB488">
        <f>IF(A488="","",IF(OR(LOWER(J488)="critical",LOWER(TRIM('01_Master_Data'!AI488&amp;""))="yes",LOWER(TRIM('01_Master_Data'!AK488&amp;""))="yes",LOWER(U488)="risk"),"Yes","No"))</f>
        <v/>
      </c>
      <c r="AC488">
        <f>IF(A488="","",IF(LOWER(TRIM('01_Master_Data'!AI488&amp;""))="yes","Yes","No"))</f>
        <v/>
      </c>
      <c r="AD488">
        <f>IF(A488="","",IF(LOWER(TRIM('01_Master_Data'!AK488&amp;""))="yes","Yes","No"))</f>
        <v/>
      </c>
      <c r="AE488">
        <f>IF(A488="","",IF(LOWER(TRIM('01_Master_Data'!AJ488&amp;""))="yes","Yes","No"))</f>
        <v/>
      </c>
      <c r="AF488">
        <f>IF(A488="","",TRIM('01_Master_Data'!AL488&amp;""))</f>
        <v/>
      </c>
      <c r="AG488">
        <f>IF(A488="","",IF(AF488="","—",IF(ISNUMBER(SEARCH("DNP",AF488)),"Unreachable / DNP",IF(ISNUMBER(SEARCH("interest",LOWER(AF488))),"High Interest / Terms",IF(OR(ISNUMBER(SEARCH("eligib",LOWER(AF488))),ISNUMBER(SEARCH("income",LOWER(AF488)))),"Eligibility / Income",IF(OR(ISNUMBER(SEARCH("start",LOWER(AF488))),ISNUMBER(SEARCH("Newer",AF488)),ISNUMBER(SEARCH("Will start",AF488))),"Process Yet to Start",IF(ISNUMBER(SEARCH("sure",LOWER(AF488))),"Undecided",IF(OR(ISNUMBER(SEARCH("reject",LOWER(AF488))),ISNUMBER(SEARCH("SBI",AF488))),"Rejected Elsewhere",IF(ISNUMBER(SEARCH("call",LOWER(AF488))),"Bank Communication",IF(OR(ISNUMBER(SEARCH("father",LOWER(AF488))),ISNUMBER(SEARCH("sister",LOWER(AF488)))),"Family / Dependency","Other"))))))))))</f>
        <v/>
      </c>
      <c r="AH488">
        <f>IF(A488="","",'01_Master_Data'!AC488)</f>
        <v/>
      </c>
      <c r="AI488">
        <f>IF(A488="","",IF(OR(AH488="",NOT(ISNUMBER(AH488))),"",MAX(0,'02_Configuration'!$B$82-AH488)))</f>
        <v/>
      </c>
      <c r="AJ488">
        <f>IF(A488="","",IF(AI488="","Unknown",IF(AI488&lt;=3,"0–3 Days",IF(AI488&lt;=7,"4–7 Days",IF(AI488&lt;=15,"8–15 Days",IF(AI488&lt;=30,"16–30 Days","30+ Days"))))))</f>
        <v/>
      </c>
      <c r="AK488">
        <f>IF(A488="","",IF(LOWER(H488)="yes","Yes","No"))</f>
        <v/>
      </c>
      <c r="AL488">
        <f>IF(A488="","",'01_Master_Data'!T488)</f>
        <v/>
      </c>
      <c r="AM488">
        <f>IF(A488="","",'01_Master_Data'!S488)</f>
        <v/>
      </c>
      <c r="AN488">
        <f>IF(A488="","",'01_Master_Data'!I488)</f>
        <v/>
      </c>
      <c r="AO488">
        <f>IF(A488="","",'01_Master_Data'!M488)</f>
        <v/>
      </c>
      <c r="AP488">
        <f>IF(A488="","",IF(ISNUMBER(SEARCH("Icici",W488&amp;"")),1,0))</f>
        <v/>
      </c>
      <c r="AQ488">
        <f>IF(A488="","",IF(ISNUMBER(SEARCH("Propelld",W488&amp;"")),1,0))</f>
        <v/>
      </c>
      <c r="AR488">
        <f>IF(A488="","",IF(ISNUMBER(SEARCH("GyanDhan",W488&amp;"")),1,0))</f>
        <v/>
      </c>
      <c r="AS488">
        <f>IF(A488="","",IF(ISNUMBER(SEARCH("vidyalakshmi",LOWER(W488&amp;""))),1,0))</f>
        <v/>
      </c>
      <c r="AT488">
        <f>IF(A488="","",IF(ISNUMBER(SEARCH("other bank",LOWER(W488&amp;""))),1,0))</f>
        <v/>
      </c>
      <c r="AU488">
        <f>IF(A488="","",IF(ISNUMBER(SEARCH("sanctioned",LOWER(W488&amp;""))),1,0))</f>
        <v/>
      </c>
      <c r="AV488">
        <f>IF(A488="","",IF(ISNUMBER(SEARCH("Docs Pending",W488&amp;"")),1,0))</f>
        <v/>
      </c>
      <c r="AW488">
        <f>IF(A488="","",IF(OR(X488="Rejected",ISNUMBER(SEARCH("Not eligbile",W488&amp;""))),1,0))</f>
        <v/>
      </c>
    </row>
    <row r="489">
      <c r="A489">
        <f>IF('01_Master_Data'!B489="","",488)</f>
        <v/>
      </c>
      <c r="B489">
        <f>IF('01_Master_Data'!B489="","",IF('01_Master_Data'!C489&lt;&gt;"","MOB|"&amp;TEXT('01_Master_Data'!C489,"0"),IF('01_Master_Data'!D489&lt;&gt;"","PID|"&amp;TRIM('01_Master_Data'!D489&amp;""),"")))</f>
        <v/>
      </c>
      <c r="C489">
        <f>IF('01_Master_Data'!B489="","",'01_Master_Data'!B489)</f>
        <v/>
      </c>
      <c r="D489">
        <f>IF('01_Master_Data'!B489="","",'01_Master_Data'!C489)</f>
        <v/>
      </c>
      <c r="E489">
        <f>IF('01_Master_Data'!B489="","",'01_Master_Data'!D489)</f>
        <v/>
      </c>
      <c r="F489">
        <f>IF('01_Master_Data'!B489="","",'01_Master_Data'!E489)</f>
        <v/>
      </c>
      <c r="G489">
        <f>IF('01_Master_Data'!B489="","",IFERROR(VLOOKUP(TRIM('01_Master_Data'!E489&amp;""),'02_Configuration'!$A$40:$B$44,2,FALSE),UPPER(TRIM('01_Master_Data'!E489&amp;""))))</f>
        <v/>
      </c>
      <c r="H489">
        <f>IF('01_Master_Data'!B489="","",IF('01_Master_Data'!U489="","",TRIM('01_Master_Data'!U489&amp;"")))</f>
        <v/>
      </c>
      <c r="I489">
        <f>IF('01_Master_Data'!B489="","",TRIM('01_Master_Data'!F489&amp;""))</f>
        <v/>
      </c>
      <c r="J489">
        <f>IF('01_Master_Data'!B489="","",TRIM('01_Master_Data'!G489&amp;""))</f>
        <v/>
      </c>
      <c r="K489">
        <f>IF('01_Master_Data'!B489="","",'01_Master_Data'!H489)</f>
        <v/>
      </c>
      <c r="L489">
        <f>IF('01_Master_Data'!B489="","",IF(LOWER(TRIM('01_Master_Data'!V489&amp;""))="yes",1,0))</f>
        <v/>
      </c>
      <c r="M489">
        <f>IF('01_Master_Data'!B489="","",IF(LOWER(TRIM('01_Master_Data'!W489&amp;""))="yes",1,0))</f>
        <v/>
      </c>
      <c r="N489">
        <f>IF('01_Master_Data'!B489="","",IF(LOWER(TRIM('01_Master_Data'!X489&amp;""))="yes",1,0))</f>
        <v/>
      </c>
      <c r="O489">
        <f>IF('01_Master_Data'!B489="","",IF(LOWER(TRIM('01_Master_Data'!Y489&amp;""))="yes",1,0))</f>
        <v/>
      </c>
      <c r="P489">
        <f>IF('01_Master_Data'!B489="","",IF(LOWER(TRIM('01_Master_Data'!Z489&amp;""))="yes",1,0))</f>
        <v/>
      </c>
      <c r="Q489">
        <f>IF(A489="","",L489+M489+N489+O489+P489)</f>
        <v/>
      </c>
      <c r="R489">
        <f>IF(A489="","",IF(Q489&gt;1,"Yes","No"))</f>
        <v/>
      </c>
      <c r="S489">
        <f>IF(A489="","",TEXTJOIN(", ",TRUE,IF(L489=1,"ICICI",""),IF(M489=1,"Propelld",""),IF(N489=1,"Study4Buddy",""),IF(O489=1,"Poonawala Fincorp",""),IF(P489=1,"GyanDhan","")))</f>
        <v/>
      </c>
      <c r="T489">
        <f>IF(A489="","",IF(L489=1,"ICICI",IF(M489=1,"Propelld",IF(P489=1,"GyanDhan",IF(N489=1,"Study4Buddy",IF(O489=1,"Poonawala Fincorp",IF(ISNUMBER(SEARCH("GyanDhan",W489&amp;"")),"GyanDhan",IF(ISNUMBER(SEARCH("Icici",W489&amp;"")),"ICICI",IF(ISNUMBER(SEARCH("Propelld",W489&amp;"")),"Propelld",IF(ISNUMBER(SEARCH("vidyalakshmi",LOWER(W489&amp;"")),"PM Vidyalakshmi","—"))))))))))</f>
        <v/>
      </c>
      <c r="U489">
        <f>IF(A489="","",TRIM('01_Master_Data'!AA489&amp;""))</f>
        <v/>
      </c>
      <c r="V489">
        <f>IF(A489="","",TRIM('01_Master_Data'!AG489&amp;""))</f>
        <v/>
      </c>
      <c r="W489">
        <f>IF(A489="","",TRIM('01_Master_Data'!AH489&amp;""))</f>
        <v/>
      </c>
      <c r="X489">
        <f>IF(A489="","",IF(OR(LOWER(H489)="refund",LOWER(U489)="refund case"),"Refund",IF(OR(LOWER(H489)="dnp",LOWER(U489)="dnp"),"DNP",IF(OR(LOWER(V489)="disbursed",ISNUMBER(SEARCH("Disbursed",W489&amp;""))),"Disbursed",IF(OR(LOWER(V489)="loan proccessed/accepted",ISNUMBER(SEARCH("sanctioned",LOWER(W489&amp;"")))),"Sanctioned",IF(OR(LOWER(V489)="rejected",ISNUMBER(SEARCH("Not eligbile",W489&amp;"")),ISNUMBER(SEARCH("Not eligible",W489&amp;""))),"Rejected",IF(ISNUMBER(SEARCH("Docs Pending",W489&amp;"")),"Documents Pending",IF(AND(LOWER(H489)="yes",LOWER(V489)="ongoing"),"Processing",IF(AND(LOWER(H489)="yes",Q489&gt;0,OR(V489="",LOWER(V489)="not even started")),"Vendor Assigned",IF(AND(LOWER(H489)="yes",LOWER(V489)="not even started"),"Need Loan",IF(LOWER(H489)="yes","Loan Started",IF(LOWER(H489)="not sure","Interested",IF(OR(LOWER(H489)="no",LOWER(V489)="not required"),"Not Required","Unclassified")))))))))))))</f>
        <v/>
      </c>
      <c r="Y489">
        <f>IF(A489="","",IF(OR(X489="Sanctioned",X489="Disbursed",X489="Approved"),"Approved",IF(X489="Rejected","Rejected",IF(OR(X489="Processing",X489="Documents Pending",X489="Vendor Assigned"),"In Progress",IF(X489="Need Loan","Pending Start","—"))))</f>
        <v/>
      </c>
      <c r="Z489">
        <f>IF(A489="","",IF(X489="Disbursed","Disbursed",IF(X489="Sanctioned","Sanctioned - Awaiting Disbursement","Not Disbursed")))</f>
        <v/>
      </c>
      <c r="AA489">
        <f>IF(A489="","",IF(LOWER(TRIM('01_Master_Data'!AI489&amp;""))="yes","Need FLDG",IF(LOWER(TRIM('01_Master_Data'!AK489&amp;""))="yes","Need Vidyalakshmi",IF(LOWER(TRIM('01_Master_Data'!AJ489&amp;""))="yes","Need Review",IF(LOWER(J489)="critical","Critical",IF(LOWER(U489)="risk","Risk Case",IF(X489="Refund","Refund","Normal")))))))</f>
        <v/>
      </c>
      <c r="AB489">
        <f>IF(A489="","",IF(OR(LOWER(J489)="critical",LOWER(TRIM('01_Master_Data'!AI489&amp;""))="yes",LOWER(TRIM('01_Master_Data'!AK489&amp;""))="yes",LOWER(U489)="risk"),"Yes","No"))</f>
        <v/>
      </c>
      <c r="AC489">
        <f>IF(A489="","",IF(LOWER(TRIM('01_Master_Data'!AI489&amp;""))="yes","Yes","No"))</f>
        <v/>
      </c>
      <c r="AD489">
        <f>IF(A489="","",IF(LOWER(TRIM('01_Master_Data'!AK489&amp;""))="yes","Yes","No"))</f>
        <v/>
      </c>
      <c r="AE489">
        <f>IF(A489="","",IF(LOWER(TRIM('01_Master_Data'!AJ489&amp;""))="yes","Yes","No"))</f>
        <v/>
      </c>
      <c r="AF489">
        <f>IF(A489="","",TRIM('01_Master_Data'!AL489&amp;""))</f>
        <v/>
      </c>
      <c r="AG489">
        <f>IF(A489="","",IF(AF489="","—",IF(ISNUMBER(SEARCH("DNP",AF489)),"Unreachable / DNP",IF(ISNUMBER(SEARCH("interest",LOWER(AF489))),"High Interest / Terms",IF(OR(ISNUMBER(SEARCH("eligib",LOWER(AF489))),ISNUMBER(SEARCH("income",LOWER(AF489)))),"Eligibility / Income",IF(OR(ISNUMBER(SEARCH("start",LOWER(AF489))),ISNUMBER(SEARCH("Newer",AF489)),ISNUMBER(SEARCH("Will start",AF489))),"Process Yet to Start",IF(ISNUMBER(SEARCH("sure",LOWER(AF489))),"Undecided",IF(OR(ISNUMBER(SEARCH("reject",LOWER(AF489))),ISNUMBER(SEARCH("SBI",AF489))),"Rejected Elsewhere",IF(ISNUMBER(SEARCH("call",LOWER(AF489))),"Bank Communication",IF(OR(ISNUMBER(SEARCH("father",LOWER(AF489))),ISNUMBER(SEARCH("sister",LOWER(AF489)))),"Family / Dependency","Other"))))))))))</f>
        <v/>
      </c>
      <c r="AH489">
        <f>IF(A489="","",'01_Master_Data'!AC489)</f>
        <v/>
      </c>
      <c r="AI489">
        <f>IF(A489="","",IF(OR(AH489="",NOT(ISNUMBER(AH489))),"",MAX(0,'02_Configuration'!$B$82-AH489)))</f>
        <v/>
      </c>
      <c r="AJ489">
        <f>IF(A489="","",IF(AI489="","Unknown",IF(AI489&lt;=3,"0–3 Days",IF(AI489&lt;=7,"4–7 Days",IF(AI489&lt;=15,"8–15 Days",IF(AI489&lt;=30,"16–30 Days","30+ Days"))))))</f>
        <v/>
      </c>
      <c r="AK489">
        <f>IF(A489="","",IF(LOWER(H489)="yes","Yes","No"))</f>
        <v/>
      </c>
      <c r="AL489">
        <f>IF(A489="","",'01_Master_Data'!T489)</f>
        <v/>
      </c>
      <c r="AM489">
        <f>IF(A489="","",'01_Master_Data'!S489)</f>
        <v/>
      </c>
      <c r="AN489">
        <f>IF(A489="","",'01_Master_Data'!I489)</f>
        <v/>
      </c>
      <c r="AO489">
        <f>IF(A489="","",'01_Master_Data'!M489)</f>
        <v/>
      </c>
      <c r="AP489">
        <f>IF(A489="","",IF(ISNUMBER(SEARCH("Icici",W489&amp;"")),1,0))</f>
        <v/>
      </c>
      <c r="AQ489">
        <f>IF(A489="","",IF(ISNUMBER(SEARCH("Propelld",W489&amp;"")),1,0))</f>
        <v/>
      </c>
      <c r="AR489">
        <f>IF(A489="","",IF(ISNUMBER(SEARCH("GyanDhan",W489&amp;"")),1,0))</f>
        <v/>
      </c>
      <c r="AS489">
        <f>IF(A489="","",IF(ISNUMBER(SEARCH("vidyalakshmi",LOWER(W489&amp;""))),1,0))</f>
        <v/>
      </c>
      <c r="AT489">
        <f>IF(A489="","",IF(ISNUMBER(SEARCH("other bank",LOWER(W489&amp;""))),1,0))</f>
        <v/>
      </c>
      <c r="AU489">
        <f>IF(A489="","",IF(ISNUMBER(SEARCH("sanctioned",LOWER(W489&amp;""))),1,0))</f>
        <v/>
      </c>
      <c r="AV489">
        <f>IF(A489="","",IF(ISNUMBER(SEARCH("Docs Pending",W489&amp;"")),1,0))</f>
        <v/>
      </c>
      <c r="AW489">
        <f>IF(A489="","",IF(OR(X489="Rejected",ISNUMBER(SEARCH("Not eligbile",W489&amp;""))),1,0))</f>
        <v/>
      </c>
    </row>
    <row r="490">
      <c r="A490">
        <f>IF('01_Master_Data'!B490="","",489)</f>
        <v/>
      </c>
      <c r="B490">
        <f>IF('01_Master_Data'!B490="","",IF('01_Master_Data'!C490&lt;&gt;"","MOB|"&amp;TEXT('01_Master_Data'!C490,"0"),IF('01_Master_Data'!D490&lt;&gt;"","PID|"&amp;TRIM('01_Master_Data'!D490&amp;""),"")))</f>
        <v/>
      </c>
      <c r="C490">
        <f>IF('01_Master_Data'!B490="","",'01_Master_Data'!B490)</f>
        <v/>
      </c>
      <c r="D490">
        <f>IF('01_Master_Data'!B490="","",'01_Master_Data'!C490)</f>
        <v/>
      </c>
      <c r="E490">
        <f>IF('01_Master_Data'!B490="","",'01_Master_Data'!D490)</f>
        <v/>
      </c>
      <c r="F490">
        <f>IF('01_Master_Data'!B490="","",'01_Master_Data'!E490)</f>
        <v/>
      </c>
      <c r="G490">
        <f>IF('01_Master_Data'!B490="","",IFERROR(VLOOKUP(TRIM('01_Master_Data'!E490&amp;""),'02_Configuration'!$A$40:$B$44,2,FALSE),UPPER(TRIM('01_Master_Data'!E490&amp;""))))</f>
        <v/>
      </c>
      <c r="H490">
        <f>IF('01_Master_Data'!B490="","",IF('01_Master_Data'!U490="","",TRIM('01_Master_Data'!U490&amp;"")))</f>
        <v/>
      </c>
      <c r="I490">
        <f>IF('01_Master_Data'!B490="","",TRIM('01_Master_Data'!F490&amp;""))</f>
        <v/>
      </c>
      <c r="J490">
        <f>IF('01_Master_Data'!B490="","",TRIM('01_Master_Data'!G490&amp;""))</f>
        <v/>
      </c>
      <c r="K490">
        <f>IF('01_Master_Data'!B490="","",'01_Master_Data'!H490)</f>
        <v/>
      </c>
      <c r="L490">
        <f>IF('01_Master_Data'!B490="","",IF(LOWER(TRIM('01_Master_Data'!V490&amp;""))="yes",1,0))</f>
        <v/>
      </c>
      <c r="M490">
        <f>IF('01_Master_Data'!B490="","",IF(LOWER(TRIM('01_Master_Data'!W490&amp;""))="yes",1,0))</f>
        <v/>
      </c>
      <c r="N490">
        <f>IF('01_Master_Data'!B490="","",IF(LOWER(TRIM('01_Master_Data'!X490&amp;""))="yes",1,0))</f>
        <v/>
      </c>
      <c r="O490">
        <f>IF('01_Master_Data'!B490="","",IF(LOWER(TRIM('01_Master_Data'!Y490&amp;""))="yes",1,0))</f>
        <v/>
      </c>
      <c r="P490">
        <f>IF('01_Master_Data'!B490="","",IF(LOWER(TRIM('01_Master_Data'!Z490&amp;""))="yes",1,0))</f>
        <v/>
      </c>
      <c r="Q490">
        <f>IF(A490="","",L490+M490+N490+O490+P490)</f>
        <v/>
      </c>
      <c r="R490">
        <f>IF(A490="","",IF(Q490&gt;1,"Yes","No"))</f>
        <v/>
      </c>
      <c r="S490">
        <f>IF(A490="","",TEXTJOIN(", ",TRUE,IF(L490=1,"ICICI",""),IF(M490=1,"Propelld",""),IF(N490=1,"Study4Buddy",""),IF(O490=1,"Poonawala Fincorp",""),IF(P490=1,"GyanDhan","")))</f>
        <v/>
      </c>
      <c r="T490">
        <f>IF(A490="","",IF(L490=1,"ICICI",IF(M490=1,"Propelld",IF(P490=1,"GyanDhan",IF(N490=1,"Study4Buddy",IF(O490=1,"Poonawala Fincorp",IF(ISNUMBER(SEARCH("GyanDhan",W490&amp;"")),"GyanDhan",IF(ISNUMBER(SEARCH("Icici",W490&amp;"")),"ICICI",IF(ISNUMBER(SEARCH("Propelld",W490&amp;"")),"Propelld",IF(ISNUMBER(SEARCH("vidyalakshmi",LOWER(W490&amp;"")),"PM Vidyalakshmi","—"))))))))))</f>
        <v/>
      </c>
      <c r="U490">
        <f>IF(A490="","",TRIM('01_Master_Data'!AA490&amp;""))</f>
        <v/>
      </c>
      <c r="V490">
        <f>IF(A490="","",TRIM('01_Master_Data'!AG490&amp;""))</f>
        <v/>
      </c>
      <c r="W490">
        <f>IF(A490="","",TRIM('01_Master_Data'!AH490&amp;""))</f>
        <v/>
      </c>
      <c r="X490">
        <f>IF(A490="","",IF(OR(LOWER(H490)="refund",LOWER(U490)="refund case"),"Refund",IF(OR(LOWER(H490)="dnp",LOWER(U490)="dnp"),"DNP",IF(OR(LOWER(V490)="disbursed",ISNUMBER(SEARCH("Disbursed",W490&amp;""))),"Disbursed",IF(OR(LOWER(V490)="loan proccessed/accepted",ISNUMBER(SEARCH("sanctioned",LOWER(W490&amp;"")))),"Sanctioned",IF(OR(LOWER(V490)="rejected",ISNUMBER(SEARCH("Not eligbile",W490&amp;"")),ISNUMBER(SEARCH("Not eligible",W490&amp;""))),"Rejected",IF(ISNUMBER(SEARCH("Docs Pending",W490&amp;"")),"Documents Pending",IF(AND(LOWER(H490)="yes",LOWER(V490)="ongoing"),"Processing",IF(AND(LOWER(H490)="yes",Q490&gt;0,OR(V490="",LOWER(V490)="not even started")),"Vendor Assigned",IF(AND(LOWER(H490)="yes",LOWER(V490)="not even started"),"Need Loan",IF(LOWER(H490)="yes","Loan Started",IF(LOWER(H490)="not sure","Interested",IF(OR(LOWER(H490)="no",LOWER(V490)="not required"),"Not Required","Unclassified")))))))))))))</f>
        <v/>
      </c>
      <c r="Y490">
        <f>IF(A490="","",IF(OR(X490="Sanctioned",X490="Disbursed",X490="Approved"),"Approved",IF(X490="Rejected","Rejected",IF(OR(X490="Processing",X490="Documents Pending",X490="Vendor Assigned"),"In Progress",IF(X490="Need Loan","Pending Start","—"))))</f>
        <v/>
      </c>
      <c r="Z490">
        <f>IF(A490="","",IF(X490="Disbursed","Disbursed",IF(X490="Sanctioned","Sanctioned - Awaiting Disbursement","Not Disbursed")))</f>
        <v/>
      </c>
      <c r="AA490">
        <f>IF(A490="","",IF(LOWER(TRIM('01_Master_Data'!AI490&amp;""))="yes","Need FLDG",IF(LOWER(TRIM('01_Master_Data'!AK490&amp;""))="yes","Need Vidyalakshmi",IF(LOWER(TRIM('01_Master_Data'!AJ490&amp;""))="yes","Need Review",IF(LOWER(J490)="critical","Critical",IF(LOWER(U490)="risk","Risk Case",IF(X490="Refund","Refund","Normal")))))))</f>
        <v/>
      </c>
      <c r="AB490">
        <f>IF(A490="","",IF(OR(LOWER(J490)="critical",LOWER(TRIM('01_Master_Data'!AI490&amp;""))="yes",LOWER(TRIM('01_Master_Data'!AK490&amp;""))="yes",LOWER(U490)="risk"),"Yes","No"))</f>
        <v/>
      </c>
      <c r="AC490">
        <f>IF(A490="","",IF(LOWER(TRIM('01_Master_Data'!AI490&amp;""))="yes","Yes","No"))</f>
        <v/>
      </c>
      <c r="AD490">
        <f>IF(A490="","",IF(LOWER(TRIM('01_Master_Data'!AK490&amp;""))="yes","Yes","No"))</f>
        <v/>
      </c>
      <c r="AE490">
        <f>IF(A490="","",IF(LOWER(TRIM('01_Master_Data'!AJ490&amp;""))="yes","Yes","No"))</f>
        <v/>
      </c>
      <c r="AF490">
        <f>IF(A490="","",TRIM('01_Master_Data'!AL490&amp;""))</f>
        <v/>
      </c>
      <c r="AG490">
        <f>IF(A490="","",IF(AF490="","—",IF(ISNUMBER(SEARCH("DNP",AF490)),"Unreachable / DNP",IF(ISNUMBER(SEARCH("interest",LOWER(AF490))),"High Interest / Terms",IF(OR(ISNUMBER(SEARCH("eligib",LOWER(AF490))),ISNUMBER(SEARCH("income",LOWER(AF490)))),"Eligibility / Income",IF(OR(ISNUMBER(SEARCH("start",LOWER(AF490))),ISNUMBER(SEARCH("Newer",AF490)),ISNUMBER(SEARCH("Will start",AF490))),"Process Yet to Start",IF(ISNUMBER(SEARCH("sure",LOWER(AF490))),"Undecided",IF(OR(ISNUMBER(SEARCH("reject",LOWER(AF490))),ISNUMBER(SEARCH("SBI",AF490))),"Rejected Elsewhere",IF(ISNUMBER(SEARCH("call",LOWER(AF490))),"Bank Communication",IF(OR(ISNUMBER(SEARCH("father",LOWER(AF490))),ISNUMBER(SEARCH("sister",LOWER(AF490)))),"Family / Dependency","Other"))))))))))</f>
        <v/>
      </c>
      <c r="AH490">
        <f>IF(A490="","",'01_Master_Data'!AC490)</f>
        <v/>
      </c>
      <c r="AI490">
        <f>IF(A490="","",IF(OR(AH490="",NOT(ISNUMBER(AH490))),"",MAX(0,'02_Configuration'!$B$82-AH490)))</f>
        <v/>
      </c>
      <c r="AJ490">
        <f>IF(A490="","",IF(AI490="","Unknown",IF(AI490&lt;=3,"0–3 Days",IF(AI490&lt;=7,"4–7 Days",IF(AI490&lt;=15,"8–15 Days",IF(AI490&lt;=30,"16–30 Days","30+ Days"))))))</f>
        <v/>
      </c>
      <c r="AK490">
        <f>IF(A490="","",IF(LOWER(H490)="yes","Yes","No"))</f>
        <v/>
      </c>
      <c r="AL490">
        <f>IF(A490="","",'01_Master_Data'!T490)</f>
        <v/>
      </c>
      <c r="AM490">
        <f>IF(A490="","",'01_Master_Data'!S490)</f>
        <v/>
      </c>
      <c r="AN490">
        <f>IF(A490="","",'01_Master_Data'!I490)</f>
        <v/>
      </c>
      <c r="AO490">
        <f>IF(A490="","",'01_Master_Data'!M490)</f>
        <v/>
      </c>
      <c r="AP490">
        <f>IF(A490="","",IF(ISNUMBER(SEARCH("Icici",W490&amp;"")),1,0))</f>
        <v/>
      </c>
      <c r="AQ490">
        <f>IF(A490="","",IF(ISNUMBER(SEARCH("Propelld",W490&amp;"")),1,0))</f>
        <v/>
      </c>
      <c r="AR490">
        <f>IF(A490="","",IF(ISNUMBER(SEARCH("GyanDhan",W490&amp;"")),1,0))</f>
        <v/>
      </c>
      <c r="AS490">
        <f>IF(A490="","",IF(ISNUMBER(SEARCH("vidyalakshmi",LOWER(W490&amp;""))),1,0))</f>
        <v/>
      </c>
      <c r="AT490">
        <f>IF(A490="","",IF(ISNUMBER(SEARCH("other bank",LOWER(W490&amp;""))),1,0))</f>
        <v/>
      </c>
      <c r="AU490">
        <f>IF(A490="","",IF(ISNUMBER(SEARCH("sanctioned",LOWER(W490&amp;""))),1,0))</f>
        <v/>
      </c>
      <c r="AV490">
        <f>IF(A490="","",IF(ISNUMBER(SEARCH("Docs Pending",W490&amp;"")),1,0))</f>
        <v/>
      </c>
      <c r="AW490">
        <f>IF(A490="","",IF(OR(X490="Rejected",ISNUMBER(SEARCH("Not eligbile",W490&amp;""))),1,0))</f>
        <v/>
      </c>
    </row>
    <row r="491">
      <c r="A491">
        <f>IF('01_Master_Data'!B491="","",490)</f>
        <v/>
      </c>
      <c r="B491">
        <f>IF('01_Master_Data'!B491="","",IF('01_Master_Data'!C491&lt;&gt;"","MOB|"&amp;TEXT('01_Master_Data'!C491,"0"),IF('01_Master_Data'!D491&lt;&gt;"","PID|"&amp;TRIM('01_Master_Data'!D491&amp;""),"")))</f>
        <v/>
      </c>
      <c r="C491">
        <f>IF('01_Master_Data'!B491="","",'01_Master_Data'!B491)</f>
        <v/>
      </c>
      <c r="D491">
        <f>IF('01_Master_Data'!B491="","",'01_Master_Data'!C491)</f>
        <v/>
      </c>
      <c r="E491">
        <f>IF('01_Master_Data'!B491="","",'01_Master_Data'!D491)</f>
        <v/>
      </c>
      <c r="F491">
        <f>IF('01_Master_Data'!B491="","",'01_Master_Data'!E491)</f>
        <v/>
      </c>
      <c r="G491">
        <f>IF('01_Master_Data'!B491="","",IFERROR(VLOOKUP(TRIM('01_Master_Data'!E491&amp;""),'02_Configuration'!$A$40:$B$44,2,FALSE),UPPER(TRIM('01_Master_Data'!E491&amp;""))))</f>
        <v/>
      </c>
      <c r="H491">
        <f>IF('01_Master_Data'!B491="","",IF('01_Master_Data'!U491="","",TRIM('01_Master_Data'!U491&amp;"")))</f>
        <v/>
      </c>
      <c r="I491">
        <f>IF('01_Master_Data'!B491="","",TRIM('01_Master_Data'!F491&amp;""))</f>
        <v/>
      </c>
      <c r="J491">
        <f>IF('01_Master_Data'!B491="","",TRIM('01_Master_Data'!G491&amp;""))</f>
        <v/>
      </c>
      <c r="K491">
        <f>IF('01_Master_Data'!B491="","",'01_Master_Data'!H491)</f>
        <v/>
      </c>
      <c r="L491">
        <f>IF('01_Master_Data'!B491="","",IF(LOWER(TRIM('01_Master_Data'!V491&amp;""))="yes",1,0))</f>
        <v/>
      </c>
      <c r="M491">
        <f>IF('01_Master_Data'!B491="","",IF(LOWER(TRIM('01_Master_Data'!W491&amp;""))="yes",1,0))</f>
        <v/>
      </c>
      <c r="N491">
        <f>IF('01_Master_Data'!B491="","",IF(LOWER(TRIM('01_Master_Data'!X491&amp;""))="yes",1,0))</f>
        <v/>
      </c>
      <c r="O491">
        <f>IF('01_Master_Data'!B491="","",IF(LOWER(TRIM('01_Master_Data'!Y491&amp;""))="yes",1,0))</f>
        <v/>
      </c>
      <c r="P491">
        <f>IF('01_Master_Data'!B491="","",IF(LOWER(TRIM('01_Master_Data'!Z491&amp;""))="yes",1,0))</f>
        <v/>
      </c>
      <c r="Q491">
        <f>IF(A491="","",L491+M491+N491+O491+P491)</f>
        <v/>
      </c>
      <c r="R491">
        <f>IF(A491="","",IF(Q491&gt;1,"Yes","No"))</f>
        <v/>
      </c>
      <c r="S491">
        <f>IF(A491="","",TEXTJOIN(", ",TRUE,IF(L491=1,"ICICI",""),IF(M491=1,"Propelld",""),IF(N491=1,"Study4Buddy",""),IF(O491=1,"Poonawala Fincorp",""),IF(P491=1,"GyanDhan","")))</f>
        <v/>
      </c>
      <c r="T491">
        <f>IF(A491="","",IF(L491=1,"ICICI",IF(M491=1,"Propelld",IF(P491=1,"GyanDhan",IF(N491=1,"Study4Buddy",IF(O491=1,"Poonawala Fincorp",IF(ISNUMBER(SEARCH("GyanDhan",W491&amp;"")),"GyanDhan",IF(ISNUMBER(SEARCH("Icici",W491&amp;"")),"ICICI",IF(ISNUMBER(SEARCH("Propelld",W491&amp;"")),"Propelld",IF(ISNUMBER(SEARCH("vidyalakshmi",LOWER(W491&amp;"")),"PM Vidyalakshmi","—"))))))))))</f>
        <v/>
      </c>
      <c r="U491">
        <f>IF(A491="","",TRIM('01_Master_Data'!AA491&amp;""))</f>
        <v/>
      </c>
      <c r="V491">
        <f>IF(A491="","",TRIM('01_Master_Data'!AG491&amp;""))</f>
        <v/>
      </c>
      <c r="W491">
        <f>IF(A491="","",TRIM('01_Master_Data'!AH491&amp;""))</f>
        <v/>
      </c>
      <c r="X491">
        <f>IF(A491="","",IF(OR(LOWER(H491)="refund",LOWER(U491)="refund case"),"Refund",IF(OR(LOWER(H491)="dnp",LOWER(U491)="dnp"),"DNP",IF(OR(LOWER(V491)="disbursed",ISNUMBER(SEARCH("Disbursed",W491&amp;""))),"Disbursed",IF(OR(LOWER(V491)="loan proccessed/accepted",ISNUMBER(SEARCH("sanctioned",LOWER(W491&amp;"")))),"Sanctioned",IF(OR(LOWER(V491)="rejected",ISNUMBER(SEARCH("Not eligbile",W491&amp;"")),ISNUMBER(SEARCH("Not eligible",W491&amp;""))),"Rejected",IF(ISNUMBER(SEARCH("Docs Pending",W491&amp;"")),"Documents Pending",IF(AND(LOWER(H491)="yes",LOWER(V491)="ongoing"),"Processing",IF(AND(LOWER(H491)="yes",Q491&gt;0,OR(V491="",LOWER(V491)="not even started")),"Vendor Assigned",IF(AND(LOWER(H491)="yes",LOWER(V491)="not even started"),"Need Loan",IF(LOWER(H491)="yes","Loan Started",IF(LOWER(H491)="not sure","Interested",IF(OR(LOWER(H491)="no",LOWER(V491)="not required"),"Not Required","Unclassified")))))))))))))</f>
        <v/>
      </c>
      <c r="Y491">
        <f>IF(A491="","",IF(OR(X491="Sanctioned",X491="Disbursed",X491="Approved"),"Approved",IF(X491="Rejected","Rejected",IF(OR(X491="Processing",X491="Documents Pending",X491="Vendor Assigned"),"In Progress",IF(X491="Need Loan","Pending Start","—"))))</f>
        <v/>
      </c>
      <c r="Z491">
        <f>IF(A491="","",IF(X491="Disbursed","Disbursed",IF(X491="Sanctioned","Sanctioned - Awaiting Disbursement","Not Disbursed")))</f>
        <v/>
      </c>
      <c r="AA491">
        <f>IF(A491="","",IF(LOWER(TRIM('01_Master_Data'!AI491&amp;""))="yes","Need FLDG",IF(LOWER(TRIM('01_Master_Data'!AK491&amp;""))="yes","Need Vidyalakshmi",IF(LOWER(TRIM('01_Master_Data'!AJ491&amp;""))="yes","Need Review",IF(LOWER(J491)="critical","Critical",IF(LOWER(U491)="risk","Risk Case",IF(X491="Refund","Refund","Normal")))))))</f>
        <v/>
      </c>
      <c r="AB491">
        <f>IF(A491="","",IF(OR(LOWER(J491)="critical",LOWER(TRIM('01_Master_Data'!AI491&amp;""))="yes",LOWER(TRIM('01_Master_Data'!AK491&amp;""))="yes",LOWER(U491)="risk"),"Yes","No"))</f>
        <v/>
      </c>
      <c r="AC491">
        <f>IF(A491="","",IF(LOWER(TRIM('01_Master_Data'!AI491&amp;""))="yes","Yes","No"))</f>
        <v/>
      </c>
      <c r="AD491">
        <f>IF(A491="","",IF(LOWER(TRIM('01_Master_Data'!AK491&amp;""))="yes","Yes","No"))</f>
        <v/>
      </c>
      <c r="AE491">
        <f>IF(A491="","",IF(LOWER(TRIM('01_Master_Data'!AJ491&amp;""))="yes","Yes","No"))</f>
        <v/>
      </c>
      <c r="AF491">
        <f>IF(A491="","",TRIM('01_Master_Data'!AL491&amp;""))</f>
        <v/>
      </c>
      <c r="AG491">
        <f>IF(A491="","",IF(AF491="","—",IF(ISNUMBER(SEARCH("DNP",AF491)),"Unreachable / DNP",IF(ISNUMBER(SEARCH("interest",LOWER(AF491))),"High Interest / Terms",IF(OR(ISNUMBER(SEARCH("eligib",LOWER(AF491))),ISNUMBER(SEARCH("income",LOWER(AF491)))),"Eligibility / Income",IF(OR(ISNUMBER(SEARCH("start",LOWER(AF491))),ISNUMBER(SEARCH("Newer",AF491)),ISNUMBER(SEARCH("Will start",AF491))),"Process Yet to Start",IF(ISNUMBER(SEARCH("sure",LOWER(AF491))),"Undecided",IF(OR(ISNUMBER(SEARCH("reject",LOWER(AF491))),ISNUMBER(SEARCH("SBI",AF491))),"Rejected Elsewhere",IF(ISNUMBER(SEARCH("call",LOWER(AF491))),"Bank Communication",IF(OR(ISNUMBER(SEARCH("father",LOWER(AF491))),ISNUMBER(SEARCH("sister",LOWER(AF491)))),"Family / Dependency","Other"))))))))))</f>
        <v/>
      </c>
      <c r="AH491">
        <f>IF(A491="","",'01_Master_Data'!AC491)</f>
        <v/>
      </c>
      <c r="AI491">
        <f>IF(A491="","",IF(OR(AH491="",NOT(ISNUMBER(AH491))),"",MAX(0,'02_Configuration'!$B$82-AH491)))</f>
        <v/>
      </c>
      <c r="AJ491">
        <f>IF(A491="","",IF(AI491="","Unknown",IF(AI491&lt;=3,"0–3 Days",IF(AI491&lt;=7,"4–7 Days",IF(AI491&lt;=15,"8–15 Days",IF(AI491&lt;=30,"16–30 Days","30+ Days"))))))</f>
        <v/>
      </c>
      <c r="AK491">
        <f>IF(A491="","",IF(LOWER(H491)="yes","Yes","No"))</f>
        <v/>
      </c>
      <c r="AL491">
        <f>IF(A491="","",'01_Master_Data'!T491)</f>
        <v/>
      </c>
      <c r="AM491">
        <f>IF(A491="","",'01_Master_Data'!S491)</f>
        <v/>
      </c>
      <c r="AN491">
        <f>IF(A491="","",'01_Master_Data'!I491)</f>
        <v/>
      </c>
      <c r="AO491">
        <f>IF(A491="","",'01_Master_Data'!M491)</f>
        <v/>
      </c>
      <c r="AP491">
        <f>IF(A491="","",IF(ISNUMBER(SEARCH("Icici",W491&amp;"")),1,0))</f>
        <v/>
      </c>
      <c r="AQ491">
        <f>IF(A491="","",IF(ISNUMBER(SEARCH("Propelld",W491&amp;"")),1,0))</f>
        <v/>
      </c>
      <c r="AR491">
        <f>IF(A491="","",IF(ISNUMBER(SEARCH("GyanDhan",W491&amp;"")),1,0))</f>
        <v/>
      </c>
      <c r="AS491">
        <f>IF(A491="","",IF(ISNUMBER(SEARCH("vidyalakshmi",LOWER(W491&amp;""))),1,0))</f>
        <v/>
      </c>
      <c r="AT491">
        <f>IF(A491="","",IF(ISNUMBER(SEARCH("other bank",LOWER(W491&amp;""))),1,0))</f>
        <v/>
      </c>
      <c r="AU491">
        <f>IF(A491="","",IF(ISNUMBER(SEARCH("sanctioned",LOWER(W491&amp;""))),1,0))</f>
        <v/>
      </c>
      <c r="AV491">
        <f>IF(A491="","",IF(ISNUMBER(SEARCH("Docs Pending",W491&amp;"")),1,0))</f>
        <v/>
      </c>
      <c r="AW491">
        <f>IF(A491="","",IF(OR(X491="Rejected",ISNUMBER(SEARCH("Not eligbile",W491&amp;""))),1,0))</f>
        <v/>
      </c>
    </row>
    <row r="492">
      <c r="A492">
        <f>IF('01_Master_Data'!B492="","",491)</f>
        <v/>
      </c>
      <c r="B492">
        <f>IF('01_Master_Data'!B492="","",IF('01_Master_Data'!C492&lt;&gt;"","MOB|"&amp;TEXT('01_Master_Data'!C492,"0"),IF('01_Master_Data'!D492&lt;&gt;"","PID|"&amp;TRIM('01_Master_Data'!D492&amp;""),"")))</f>
        <v/>
      </c>
      <c r="C492">
        <f>IF('01_Master_Data'!B492="","",'01_Master_Data'!B492)</f>
        <v/>
      </c>
      <c r="D492">
        <f>IF('01_Master_Data'!B492="","",'01_Master_Data'!C492)</f>
        <v/>
      </c>
      <c r="E492">
        <f>IF('01_Master_Data'!B492="","",'01_Master_Data'!D492)</f>
        <v/>
      </c>
      <c r="F492">
        <f>IF('01_Master_Data'!B492="","",'01_Master_Data'!E492)</f>
        <v/>
      </c>
      <c r="G492">
        <f>IF('01_Master_Data'!B492="","",IFERROR(VLOOKUP(TRIM('01_Master_Data'!E492&amp;""),'02_Configuration'!$A$40:$B$44,2,FALSE),UPPER(TRIM('01_Master_Data'!E492&amp;""))))</f>
        <v/>
      </c>
      <c r="H492">
        <f>IF('01_Master_Data'!B492="","",IF('01_Master_Data'!U492="","",TRIM('01_Master_Data'!U492&amp;"")))</f>
        <v/>
      </c>
      <c r="I492">
        <f>IF('01_Master_Data'!B492="","",TRIM('01_Master_Data'!F492&amp;""))</f>
        <v/>
      </c>
      <c r="J492">
        <f>IF('01_Master_Data'!B492="","",TRIM('01_Master_Data'!G492&amp;""))</f>
        <v/>
      </c>
      <c r="K492">
        <f>IF('01_Master_Data'!B492="","",'01_Master_Data'!H492)</f>
        <v/>
      </c>
      <c r="L492">
        <f>IF('01_Master_Data'!B492="","",IF(LOWER(TRIM('01_Master_Data'!V492&amp;""))="yes",1,0))</f>
        <v/>
      </c>
      <c r="M492">
        <f>IF('01_Master_Data'!B492="","",IF(LOWER(TRIM('01_Master_Data'!W492&amp;""))="yes",1,0))</f>
        <v/>
      </c>
      <c r="N492">
        <f>IF('01_Master_Data'!B492="","",IF(LOWER(TRIM('01_Master_Data'!X492&amp;""))="yes",1,0))</f>
        <v/>
      </c>
      <c r="O492">
        <f>IF('01_Master_Data'!B492="","",IF(LOWER(TRIM('01_Master_Data'!Y492&amp;""))="yes",1,0))</f>
        <v/>
      </c>
      <c r="P492">
        <f>IF('01_Master_Data'!B492="","",IF(LOWER(TRIM('01_Master_Data'!Z492&amp;""))="yes",1,0))</f>
        <v/>
      </c>
      <c r="Q492">
        <f>IF(A492="","",L492+M492+N492+O492+P492)</f>
        <v/>
      </c>
      <c r="R492">
        <f>IF(A492="","",IF(Q492&gt;1,"Yes","No"))</f>
        <v/>
      </c>
      <c r="S492">
        <f>IF(A492="","",TEXTJOIN(", ",TRUE,IF(L492=1,"ICICI",""),IF(M492=1,"Propelld",""),IF(N492=1,"Study4Buddy",""),IF(O492=1,"Poonawala Fincorp",""),IF(P492=1,"GyanDhan","")))</f>
        <v/>
      </c>
      <c r="T492">
        <f>IF(A492="","",IF(L492=1,"ICICI",IF(M492=1,"Propelld",IF(P492=1,"GyanDhan",IF(N492=1,"Study4Buddy",IF(O492=1,"Poonawala Fincorp",IF(ISNUMBER(SEARCH("GyanDhan",W492&amp;"")),"GyanDhan",IF(ISNUMBER(SEARCH("Icici",W492&amp;"")),"ICICI",IF(ISNUMBER(SEARCH("Propelld",W492&amp;"")),"Propelld",IF(ISNUMBER(SEARCH("vidyalakshmi",LOWER(W492&amp;"")),"PM Vidyalakshmi","—"))))))))))</f>
        <v/>
      </c>
      <c r="U492">
        <f>IF(A492="","",TRIM('01_Master_Data'!AA492&amp;""))</f>
        <v/>
      </c>
      <c r="V492">
        <f>IF(A492="","",TRIM('01_Master_Data'!AG492&amp;""))</f>
        <v/>
      </c>
      <c r="W492">
        <f>IF(A492="","",TRIM('01_Master_Data'!AH492&amp;""))</f>
        <v/>
      </c>
      <c r="X492">
        <f>IF(A492="","",IF(OR(LOWER(H492)="refund",LOWER(U492)="refund case"),"Refund",IF(OR(LOWER(H492)="dnp",LOWER(U492)="dnp"),"DNP",IF(OR(LOWER(V492)="disbursed",ISNUMBER(SEARCH("Disbursed",W492&amp;""))),"Disbursed",IF(OR(LOWER(V492)="loan proccessed/accepted",ISNUMBER(SEARCH("sanctioned",LOWER(W492&amp;"")))),"Sanctioned",IF(OR(LOWER(V492)="rejected",ISNUMBER(SEARCH("Not eligbile",W492&amp;"")),ISNUMBER(SEARCH("Not eligible",W492&amp;""))),"Rejected",IF(ISNUMBER(SEARCH("Docs Pending",W492&amp;"")),"Documents Pending",IF(AND(LOWER(H492)="yes",LOWER(V492)="ongoing"),"Processing",IF(AND(LOWER(H492)="yes",Q492&gt;0,OR(V492="",LOWER(V492)="not even started")),"Vendor Assigned",IF(AND(LOWER(H492)="yes",LOWER(V492)="not even started"),"Need Loan",IF(LOWER(H492)="yes","Loan Started",IF(LOWER(H492)="not sure","Interested",IF(OR(LOWER(H492)="no",LOWER(V492)="not required"),"Not Required","Unclassified")))))))))))))</f>
        <v/>
      </c>
      <c r="Y492">
        <f>IF(A492="","",IF(OR(X492="Sanctioned",X492="Disbursed",X492="Approved"),"Approved",IF(X492="Rejected","Rejected",IF(OR(X492="Processing",X492="Documents Pending",X492="Vendor Assigned"),"In Progress",IF(X492="Need Loan","Pending Start","—"))))</f>
        <v/>
      </c>
      <c r="Z492">
        <f>IF(A492="","",IF(X492="Disbursed","Disbursed",IF(X492="Sanctioned","Sanctioned - Awaiting Disbursement","Not Disbursed")))</f>
        <v/>
      </c>
      <c r="AA492">
        <f>IF(A492="","",IF(LOWER(TRIM('01_Master_Data'!AI492&amp;""))="yes","Need FLDG",IF(LOWER(TRIM('01_Master_Data'!AK492&amp;""))="yes","Need Vidyalakshmi",IF(LOWER(TRIM('01_Master_Data'!AJ492&amp;""))="yes","Need Review",IF(LOWER(J492)="critical","Critical",IF(LOWER(U492)="risk","Risk Case",IF(X492="Refund","Refund","Normal")))))))</f>
        <v/>
      </c>
      <c r="AB492">
        <f>IF(A492="","",IF(OR(LOWER(J492)="critical",LOWER(TRIM('01_Master_Data'!AI492&amp;""))="yes",LOWER(TRIM('01_Master_Data'!AK492&amp;""))="yes",LOWER(U492)="risk"),"Yes","No"))</f>
        <v/>
      </c>
      <c r="AC492">
        <f>IF(A492="","",IF(LOWER(TRIM('01_Master_Data'!AI492&amp;""))="yes","Yes","No"))</f>
        <v/>
      </c>
      <c r="AD492">
        <f>IF(A492="","",IF(LOWER(TRIM('01_Master_Data'!AK492&amp;""))="yes","Yes","No"))</f>
        <v/>
      </c>
      <c r="AE492">
        <f>IF(A492="","",IF(LOWER(TRIM('01_Master_Data'!AJ492&amp;""))="yes","Yes","No"))</f>
        <v/>
      </c>
      <c r="AF492">
        <f>IF(A492="","",TRIM('01_Master_Data'!AL492&amp;""))</f>
        <v/>
      </c>
      <c r="AG492">
        <f>IF(A492="","",IF(AF492="","—",IF(ISNUMBER(SEARCH("DNP",AF492)),"Unreachable / DNP",IF(ISNUMBER(SEARCH("interest",LOWER(AF492))),"High Interest / Terms",IF(OR(ISNUMBER(SEARCH("eligib",LOWER(AF492))),ISNUMBER(SEARCH("income",LOWER(AF492)))),"Eligibility / Income",IF(OR(ISNUMBER(SEARCH("start",LOWER(AF492))),ISNUMBER(SEARCH("Newer",AF492)),ISNUMBER(SEARCH("Will start",AF492))),"Process Yet to Start",IF(ISNUMBER(SEARCH("sure",LOWER(AF492))),"Undecided",IF(OR(ISNUMBER(SEARCH("reject",LOWER(AF492))),ISNUMBER(SEARCH("SBI",AF492))),"Rejected Elsewhere",IF(ISNUMBER(SEARCH("call",LOWER(AF492))),"Bank Communication",IF(OR(ISNUMBER(SEARCH("father",LOWER(AF492))),ISNUMBER(SEARCH("sister",LOWER(AF492)))),"Family / Dependency","Other"))))))))))</f>
        <v/>
      </c>
      <c r="AH492">
        <f>IF(A492="","",'01_Master_Data'!AC492)</f>
        <v/>
      </c>
      <c r="AI492">
        <f>IF(A492="","",IF(OR(AH492="",NOT(ISNUMBER(AH492))),"",MAX(0,'02_Configuration'!$B$82-AH492)))</f>
        <v/>
      </c>
      <c r="AJ492">
        <f>IF(A492="","",IF(AI492="","Unknown",IF(AI492&lt;=3,"0–3 Days",IF(AI492&lt;=7,"4–7 Days",IF(AI492&lt;=15,"8–15 Days",IF(AI492&lt;=30,"16–30 Days","30+ Days"))))))</f>
        <v/>
      </c>
      <c r="AK492">
        <f>IF(A492="","",IF(LOWER(H492)="yes","Yes","No"))</f>
        <v/>
      </c>
      <c r="AL492">
        <f>IF(A492="","",'01_Master_Data'!T492)</f>
        <v/>
      </c>
      <c r="AM492">
        <f>IF(A492="","",'01_Master_Data'!S492)</f>
        <v/>
      </c>
      <c r="AN492">
        <f>IF(A492="","",'01_Master_Data'!I492)</f>
        <v/>
      </c>
      <c r="AO492">
        <f>IF(A492="","",'01_Master_Data'!M492)</f>
        <v/>
      </c>
      <c r="AP492">
        <f>IF(A492="","",IF(ISNUMBER(SEARCH("Icici",W492&amp;"")),1,0))</f>
        <v/>
      </c>
      <c r="AQ492">
        <f>IF(A492="","",IF(ISNUMBER(SEARCH("Propelld",W492&amp;"")),1,0))</f>
        <v/>
      </c>
      <c r="AR492">
        <f>IF(A492="","",IF(ISNUMBER(SEARCH("GyanDhan",W492&amp;"")),1,0))</f>
        <v/>
      </c>
      <c r="AS492">
        <f>IF(A492="","",IF(ISNUMBER(SEARCH("vidyalakshmi",LOWER(W492&amp;""))),1,0))</f>
        <v/>
      </c>
      <c r="AT492">
        <f>IF(A492="","",IF(ISNUMBER(SEARCH("other bank",LOWER(W492&amp;""))),1,0))</f>
        <v/>
      </c>
      <c r="AU492">
        <f>IF(A492="","",IF(ISNUMBER(SEARCH("sanctioned",LOWER(W492&amp;""))),1,0))</f>
        <v/>
      </c>
      <c r="AV492">
        <f>IF(A492="","",IF(ISNUMBER(SEARCH("Docs Pending",W492&amp;"")),1,0))</f>
        <v/>
      </c>
      <c r="AW492">
        <f>IF(A492="","",IF(OR(X492="Rejected",ISNUMBER(SEARCH("Not eligbile",W492&amp;""))),1,0))</f>
        <v/>
      </c>
    </row>
    <row r="493">
      <c r="A493">
        <f>IF('01_Master_Data'!B493="","",492)</f>
        <v/>
      </c>
      <c r="B493">
        <f>IF('01_Master_Data'!B493="","",IF('01_Master_Data'!C493&lt;&gt;"","MOB|"&amp;TEXT('01_Master_Data'!C493,"0"),IF('01_Master_Data'!D493&lt;&gt;"","PID|"&amp;TRIM('01_Master_Data'!D493&amp;""),"")))</f>
        <v/>
      </c>
      <c r="C493">
        <f>IF('01_Master_Data'!B493="","",'01_Master_Data'!B493)</f>
        <v/>
      </c>
      <c r="D493">
        <f>IF('01_Master_Data'!B493="","",'01_Master_Data'!C493)</f>
        <v/>
      </c>
      <c r="E493">
        <f>IF('01_Master_Data'!B493="","",'01_Master_Data'!D493)</f>
        <v/>
      </c>
      <c r="F493">
        <f>IF('01_Master_Data'!B493="","",'01_Master_Data'!E493)</f>
        <v/>
      </c>
      <c r="G493">
        <f>IF('01_Master_Data'!B493="","",IFERROR(VLOOKUP(TRIM('01_Master_Data'!E493&amp;""),'02_Configuration'!$A$40:$B$44,2,FALSE),UPPER(TRIM('01_Master_Data'!E493&amp;""))))</f>
        <v/>
      </c>
      <c r="H493">
        <f>IF('01_Master_Data'!B493="","",IF('01_Master_Data'!U493="","",TRIM('01_Master_Data'!U493&amp;"")))</f>
        <v/>
      </c>
      <c r="I493">
        <f>IF('01_Master_Data'!B493="","",TRIM('01_Master_Data'!F493&amp;""))</f>
        <v/>
      </c>
      <c r="J493">
        <f>IF('01_Master_Data'!B493="","",TRIM('01_Master_Data'!G493&amp;""))</f>
        <v/>
      </c>
      <c r="K493">
        <f>IF('01_Master_Data'!B493="","",'01_Master_Data'!H493)</f>
        <v/>
      </c>
      <c r="L493">
        <f>IF('01_Master_Data'!B493="","",IF(LOWER(TRIM('01_Master_Data'!V493&amp;""))="yes",1,0))</f>
        <v/>
      </c>
      <c r="M493">
        <f>IF('01_Master_Data'!B493="","",IF(LOWER(TRIM('01_Master_Data'!W493&amp;""))="yes",1,0))</f>
        <v/>
      </c>
      <c r="N493">
        <f>IF('01_Master_Data'!B493="","",IF(LOWER(TRIM('01_Master_Data'!X493&amp;""))="yes",1,0))</f>
        <v/>
      </c>
      <c r="O493">
        <f>IF('01_Master_Data'!B493="","",IF(LOWER(TRIM('01_Master_Data'!Y493&amp;""))="yes",1,0))</f>
        <v/>
      </c>
      <c r="P493">
        <f>IF('01_Master_Data'!B493="","",IF(LOWER(TRIM('01_Master_Data'!Z493&amp;""))="yes",1,0))</f>
        <v/>
      </c>
      <c r="Q493">
        <f>IF(A493="","",L493+M493+N493+O493+P493)</f>
        <v/>
      </c>
      <c r="R493">
        <f>IF(A493="","",IF(Q493&gt;1,"Yes","No"))</f>
        <v/>
      </c>
      <c r="S493">
        <f>IF(A493="","",TEXTJOIN(", ",TRUE,IF(L493=1,"ICICI",""),IF(M493=1,"Propelld",""),IF(N493=1,"Study4Buddy",""),IF(O493=1,"Poonawala Fincorp",""),IF(P493=1,"GyanDhan","")))</f>
        <v/>
      </c>
      <c r="T493">
        <f>IF(A493="","",IF(L493=1,"ICICI",IF(M493=1,"Propelld",IF(P493=1,"GyanDhan",IF(N493=1,"Study4Buddy",IF(O493=1,"Poonawala Fincorp",IF(ISNUMBER(SEARCH("GyanDhan",W493&amp;"")),"GyanDhan",IF(ISNUMBER(SEARCH("Icici",W493&amp;"")),"ICICI",IF(ISNUMBER(SEARCH("Propelld",W493&amp;"")),"Propelld",IF(ISNUMBER(SEARCH("vidyalakshmi",LOWER(W493&amp;"")),"PM Vidyalakshmi","—"))))))))))</f>
        <v/>
      </c>
      <c r="U493">
        <f>IF(A493="","",TRIM('01_Master_Data'!AA493&amp;""))</f>
        <v/>
      </c>
      <c r="V493">
        <f>IF(A493="","",TRIM('01_Master_Data'!AG493&amp;""))</f>
        <v/>
      </c>
      <c r="W493">
        <f>IF(A493="","",TRIM('01_Master_Data'!AH493&amp;""))</f>
        <v/>
      </c>
      <c r="X493">
        <f>IF(A493="","",IF(OR(LOWER(H493)="refund",LOWER(U493)="refund case"),"Refund",IF(OR(LOWER(H493)="dnp",LOWER(U493)="dnp"),"DNP",IF(OR(LOWER(V493)="disbursed",ISNUMBER(SEARCH("Disbursed",W493&amp;""))),"Disbursed",IF(OR(LOWER(V493)="loan proccessed/accepted",ISNUMBER(SEARCH("sanctioned",LOWER(W493&amp;"")))),"Sanctioned",IF(OR(LOWER(V493)="rejected",ISNUMBER(SEARCH("Not eligbile",W493&amp;"")),ISNUMBER(SEARCH("Not eligible",W493&amp;""))),"Rejected",IF(ISNUMBER(SEARCH("Docs Pending",W493&amp;"")),"Documents Pending",IF(AND(LOWER(H493)="yes",LOWER(V493)="ongoing"),"Processing",IF(AND(LOWER(H493)="yes",Q493&gt;0,OR(V493="",LOWER(V493)="not even started")),"Vendor Assigned",IF(AND(LOWER(H493)="yes",LOWER(V493)="not even started"),"Need Loan",IF(LOWER(H493)="yes","Loan Started",IF(LOWER(H493)="not sure","Interested",IF(OR(LOWER(H493)="no",LOWER(V493)="not required"),"Not Required","Unclassified")))))))))))))</f>
        <v/>
      </c>
      <c r="Y493">
        <f>IF(A493="","",IF(OR(X493="Sanctioned",X493="Disbursed",X493="Approved"),"Approved",IF(X493="Rejected","Rejected",IF(OR(X493="Processing",X493="Documents Pending",X493="Vendor Assigned"),"In Progress",IF(X493="Need Loan","Pending Start","—"))))</f>
        <v/>
      </c>
      <c r="Z493">
        <f>IF(A493="","",IF(X493="Disbursed","Disbursed",IF(X493="Sanctioned","Sanctioned - Awaiting Disbursement","Not Disbursed")))</f>
        <v/>
      </c>
      <c r="AA493">
        <f>IF(A493="","",IF(LOWER(TRIM('01_Master_Data'!AI493&amp;""))="yes","Need FLDG",IF(LOWER(TRIM('01_Master_Data'!AK493&amp;""))="yes","Need Vidyalakshmi",IF(LOWER(TRIM('01_Master_Data'!AJ493&amp;""))="yes","Need Review",IF(LOWER(J493)="critical","Critical",IF(LOWER(U493)="risk","Risk Case",IF(X493="Refund","Refund","Normal")))))))</f>
        <v/>
      </c>
      <c r="AB493">
        <f>IF(A493="","",IF(OR(LOWER(J493)="critical",LOWER(TRIM('01_Master_Data'!AI493&amp;""))="yes",LOWER(TRIM('01_Master_Data'!AK493&amp;""))="yes",LOWER(U493)="risk"),"Yes","No"))</f>
        <v/>
      </c>
      <c r="AC493">
        <f>IF(A493="","",IF(LOWER(TRIM('01_Master_Data'!AI493&amp;""))="yes","Yes","No"))</f>
        <v/>
      </c>
      <c r="AD493">
        <f>IF(A493="","",IF(LOWER(TRIM('01_Master_Data'!AK493&amp;""))="yes","Yes","No"))</f>
        <v/>
      </c>
      <c r="AE493">
        <f>IF(A493="","",IF(LOWER(TRIM('01_Master_Data'!AJ493&amp;""))="yes","Yes","No"))</f>
        <v/>
      </c>
      <c r="AF493">
        <f>IF(A493="","",TRIM('01_Master_Data'!AL493&amp;""))</f>
        <v/>
      </c>
      <c r="AG493">
        <f>IF(A493="","",IF(AF493="","—",IF(ISNUMBER(SEARCH("DNP",AF493)),"Unreachable / DNP",IF(ISNUMBER(SEARCH("interest",LOWER(AF493))),"High Interest / Terms",IF(OR(ISNUMBER(SEARCH("eligib",LOWER(AF493))),ISNUMBER(SEARCH("income",LOWER(AF493)))),"Eligibility / Income",IF(OR(ISNUMBER(SEARCH("start",LOWER(AF493))),ISNUMBER(SEARCH("Newer",AF493)),ISNUMBER(SEARCH("Will start",AF493))),"Process Yet to Start",IF(ISNUMBER(SEARCH("sure",LOWER(AF493))),"Undecided",IF(OR(ISNUMBER(SEARCH("reject",LOWER(AF493))),ISNUMBER(SEARCH("SBI",AF493))),"Rejected Elsewhere",IF(ISNUMBER(SEARCH("call",LOWER(AF493))),"Bank Communication",IF(OR(ISNUMBER(SEARCH("father",LOWER(AF493))),ISNUMBER(SEARCH("sister",LOWER(AF493)))),"Family / Dependency","Other"))))))))))</f>
        <v/>
      </c>
      <c r="AH493">
        <f>IF(A493="","",'01_Master_Data'!AC493)</f>
        <v/>
      </c>
      <c r="AI493">
        <f>IF(A493="","",IF(OR(AH493="",NOT(ISNUMBER(AH493))),"",MAX(0,'02_Configuration'!$B$82-AH493)))</f>
        <v/>
      </c>
      <c r="AJ493">
        <f>IF(A493="","",IF(AI493="","Unknown",IF(AI493&lt;=3,"0–3 Days",IF(AI493&lt;=7,"4–7 Days",IF(AI493&lt;=15,"8–15 Days",IF(AI493&lt;=30,"16–30 Days","30+ Days"))))))</f>
        <v/>
      </c>
      <c r="AK493">
        <f>IF(A493="","",IF(LOWER(H493)="yes","Yes","No"))</f>
        <v/>
      </c>
      <c r="AL493">
        <f>IF(A493="","",'01_Master_Data'!T493)</f>
        <v/>
      </c>
      <c r="AM493">
        <f>IF(A493="","",'01_Master_Data'!S493)</f>
        <v/>
      </c>
      <c r="AN493">
        <f>IF(A493="","",'01_Master_Data'!I493)</f>
        <v/>
      </c>
      <c r="AO493">
        <f>IF(A493="","",'01_Master_Data'!M493)</f>
        <v/>
      </c>
      <c r="AP493">
        <f>IF(A493="","",IF(ISNUMBER(SEARCH("Icici",W493&amp;"")),1,0))</f>
        <v/>
      </c>
      <c r="AQ493">
        <f>IF(A493="","",IF(ISNUMBER(SEARCH("Propelld",W493&amp;"")),1,0))</f>
        <v/>
      </c>
      <c r="AR493">
        <f>IF(A493="","",IF(ISNUMBER(SEARCH("GyanDhan",W493&amp;"")),1,0))</f>
        <v/>
      </c>
      <c r="AS493">
        <f>IF(A493="","",IF(ISNUMBER(SEARCH("vidyalakshmi",LOWER(W493&amp;""))),1,0))</f>
        <v/>
      </c>
      <c r="AT493">
        <f>IF(A493="","",IF(ISNUMBER(SEARCH("other bank",LOWER(W493&amp;""))),1,0))</f>
        <v/>
      </c>
      <c r="AU493">
        <f>IF(A493="","",IF(ISNUMBER(SEARCH("sanctioned",LOWER(W493&amp;""))),1,0))</f>
        <v/>
      </c>
      <c r="AV493">
        <f>IF(A493="","",IF(ISNUMBER(SEARCH("Docs Pending",W493&amp;"")),1,0))</f>
        <v/>
      </c>
      <c r="AW493">
        <f>IF(A493="","",IF(OR(X493="Rejected",ISNUMBER(SEARCH("Not eligbile",W493&amp;""))),1,0))</f>
        <v/>
      </c>
    </row>
  </sheetData>
  <autoFilter ref="A1:AW493"/>
  <pageMargins left="0.75" right="0.75" top="1" bottom="1" header="0.5" footer="0.5"/>
</worksheet>
</file>

<file path=xl/worksheets/sheet5.xml><?xml version="1.0" encoding="utf-8"?>
<worksheet xmlns="http://schemas.openxmlformats.org/spreadsheetml/2006/main">
  <sheetPr>
    <tabColor rgb="007C3AED"/>
    <outlinePr summaryBelow="1" summaryRight="1"/>
    <pageSetUpPr/>
  </sheetPr>
  <dimension ref="A1:AB49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26"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s>
  <sheetData>
    <row r="1">
      <c r="A1" s="29" t="inlineStr">
        <is>
          <t>StudentKey</t>
        </is>
      </c>
      <c r="B1" s="29" t="inlineStr">
        <is>
          <t>StudentName</t>
        </is>
      </c>
      <c r="C1" s="29" t="inlineStr">
        <is>
          <t>Campus</t>
        </is>
      </c>
      <c r="D1" s="29" t="inlineStr">
        <is>
          <t>ProvisionalID</t>
        </is>
      </c>
      <c r="E1" s="29" t="inlineStr">
        <is>
          <t>Mobile</t>
        </is>
      </c>
      <c r="F1" s="29" t="inlineStr">
        <is>
          <t>LoanRequired</t>
        </is>
      </c>
      <c r="G1" s="29" t="inlineStr">
        <is>
          <t>CanonicalStage</t>
        </is>
      </c>
      <c r="H1" s="29" t="inlineStr">
        <is>
          <t>ApprovalStatus</t>
        </is>
      </c>
      <c r="I1" s="29" t="inlineStr">
        <is>
          <t>DisbursementStatus</t>
        </is>
      </c>
      <c r="J1" s="29" t="inlineStr">
        <is>
          <t>VendorCount</t>
        </is>
      </c>
      <c r="K1" s="29" t="inlineStr">
        <is>
          <t>DuplicateVendorFlag</t>
        </is>
      </c>
      <c r="L1" s="29" t="inlineStr">
        <is>
          <t>VendorsApplied</t>
        </is>
      </c>
      <c r="M1" s="29" t="inlineStr">
        <is>
          <t>PrimaryVendor</t>
        </is>
      </c>
      <c r="N1" s="29" t="inlineStr">
        <is>
          <t>RiskCategory</t>
        </is>
      </c>
      <c r="O1" s="29" t="inlineStr">
        <is>
          <t>CriticalFlag</t>
        </is>
      </c>
      <c r="P1" s="29" t="inlineStr">
        <is>
          <t>NeedFLDG</t>
        </is>
      </c>
      <c r="Q1" s="29" t="inlineStr">
        <is>
          <t>NeedVidyalakshmi</t>
        </is>
      </c>
      <c r="R1" s="29" t="inlineStr">
        <is>
          <t>PendingDays</t>
        </is>
      </c>
      <c r="S1" s="29" t="inlineStr">
        <is>
          <t>AgeingBucket</t>
        </is>
      </c>
      <c r="T1" s="29" t="inlineStr">
        <is>
          <t>CaseStatus</t>
        </is>
      </c>
      <c r="U1" s="29" t="inlineStr">
        <is>
          <t>LoanStatusRaw</t>
        </is>
      </c>
      <c r="V1" s="29" t="inlineStr">
        <is>
          <t>ReasonBucket</t>
        </is>
      </c>
      <c r="W1" s="29" t="inlineStr">
        <is>
          <t>IsLoanPipeline</t>
        </is>
      </c>
      <c r="X1" s="29" t="inlineStr">
        <is>
          <t>Scholarship</t>
        </is>
      </c>
      <c r="Y1" s="29" t="inlineStr">
        <is>
          <t>LoanAmt</t>
        </is>
      </c>
      <c r="AA1" s="40" t="inlineStr">
        <is>
          <t>UNIQUE_KEY_REGISTRY</t>
        </is>
      </c>
    </row>
    <row r="2">
      <c r="A2">
        <f>IF('03_Helper'!A2="","",'03_Helper'!B2)</f>
        <v/>
      </c>
      <c r="B2">
        <f>IF('03_Helper'!A2="","",'03_Helper'!C2)</f>
        <v/>
      </c>
      <c r="C2">
        <f>IF('03_Helper'!A2="","",'03_Helper'!G2)</f>
        <v/>
      </c>
      <c r="D2">
        <f>IF('03_Helper'!A2="","",'03_Helper'!E2)</f>
        <v/>
      </c>
      <c r="E2">
        <f>IF('03_Helper'!A2="","",'03_Helper'!D2)</f>
        <v/>
      </c>
      <c r="F2">
        <f>IF('03_Helper'!A2="","",'03_Helper'!H2)</f>
        <v/>
      </c>
      <c r="G2">
        <f>IF('03_Helper'!A2="","",'03_Helper'!X2)</f>
        <v/>
      </c>
      <c r="H2">
        <f>IF('03_Helper'!A2="","",'03_Helper'!Y2)</f>
        <v/>
      </c>
      <c r="I2">
        <f>IF('03_Helper'!A2="","",'03_Helper'!Z2)</f>
        <v/>
      </c>
      <c r="J2">
        <f>IF('03_Helper'!A2="","",'03_Helper'!Q2)</f>
        <v/>
      </c>
      <c r="K2">
        <f>IF('03_Helper'!A2="","",'03_Helper'!R2)</f>
        <v/>
      </c>
      <c r="L2">
        <f>IF('03_Helper'!A2="","",'03_Helper'!S2)</f>
        <v/>
      </c>
      <c r="M2">
        <f>IF('03_Helper'!A2="","",'03_Helper'!T2)</f>
        <v/>
      </c>
      <c r="N2">
        <f>IF('03_Helper'!A2="","",'03_Helper'!AA2)</f>
        <v/>
      </c>
      <c r="O2">
        <f>IF('03_Helper'!A2="","",'03_Helper'!AB2)</f>
        <v/>
      </c>
      <c r="P2">
        <f>IF('03_Helper'!A2="","",'03_Helper'!AC2)</f>
        <v/>
      </c>
      <c r="Q2">
        <f>IF('03_Helper'!A2="","",'03_Helper'!AD2)</f>
        <v/>
      </c>
      <c r="R2">
        <f>IF('03_Helper'!A2="","",'03_Helper'!AI2)</f>
        <v/>
      </c>
      <c r="S2">
        <f>IF('03_Helper'!A2="","",'03_Helper'!AJ2)</f>
        <v/>
      </c>
      <c r="T2">
        <f>IF('03_Helper'!A2="","",'03_Helper'!U2)</f>
        <v/>
      </c>
      <c r="U2">
        <f>IF('03_Helper'!A2="","",'03_Helper'!W2)</f>
        <v/>
      </c>
      <c r="V2">
        <f>IF('03_Helper'!A2="","",'03_Helper'!AG2)</f>
        <v/>
      </c>
      <c r="W2">
        <f>IF('03_Helper'!A2="","",'03_Helper'!AK2)</f>
        <v/>
      </c>
      <c r="X2">
        <f>IF('03_Helper'!A2="","",'03_Helper'!K2)</f>
        <v/>
      </c>
      <c r="Y2">
        <f>IF('03_Helper'!A2="","",'03_Helper'!AN2)</f>
        <v/>
      </c>
      <c r="AA2" s="41" t="inlineStr">
        <is>
          <t>Note: Master is already 1-row≈1-student. StudentKey enforces identity. Duplicate mobiles flagged below.</t>
        </is>
      </c>
    </row>
    <row r="3">
      <c r="A3">
        <f>IF('03_Helper'!A3="","",'03_Helper'!B3)</f>
        <v/>
      </c>
      <c r="B3">
        <f>IF('03_Helper'!A3="","",'03_Helper'!C3)</f>
        <v/>
      </c>
      <c r="C3">
        <f>IF('03_Helper'!A3="","",'03_Helper'!G3)</f>
        <v/>
      </c>
      <c r="D3">
        <f>IF('03_Helper'!A3="","",'03_Helper'!E3)</f>
        <v/>
      </c>
      <c r="E3">
        <f>IF('03_Helper'!A3="","",'03_Helper'!D3)</f>
        <v/>
      </c>
      <c r="F3">
        <f>IF('03_Helper'!A3="","",'03_Helper'!H3)</f>
        <v/>
      </c>
      <c r="G3">
        <f>IF('03_Helper'!A3="","",'03_Helper'!X3)</f>
        <v/>
      </c>
      <c r="H3">
        <f>IF('03_Helper'!A3="","",'03_Helper'!Y3)</f>
        <v/>
      </c>
      <c r="I3">
        <f>IF('03_Helper'!A3="","",'03_Helper'!Z3)</f>
        <v/>
      </c>
      <c r="J3">
        <f>IF('03_Helper'!A3="","",'03_Helper'!Q3)</f>
        <v/>
      </c>
      <c r="K3">
        <f>IF('03_Helper'!A3="","",'03_Helper'!R3)</f>
        <v/>
      </c>
      <c r="L3">
        <f>IF('03_Helper'!A3="","",'03_Helper'!S3)</f>
        <v/>
      </c>
      <c r="M3">
        <f>IF('03_Helper'!A3="","",'03_Helper'!T3)</f>
        <v/>
      </c>
      <c r="N3">
        <f>IF('03_Helper'!A3="","",'03_Helper'!AA3)</f>
        <v/>
      </c>
      <c r="O3">
        <f>IF('03_Helper'!A3="","",'03_Helper'!AB3)</f>
        <v/>
      </c>
      <c r="P3">
        <f>IF('03_Helper'!A3="","",'03_Helper'!AC3)</f>
        <v/>
      </c>
      <c r="Q3">
        <f>IF('03_Helper'!A3="","",'03_Helper'!AD3)</f>
        <v/>
      </c>
      <c r="R3">
        <f>IF('03_Helper'!A3="","",'03_Helper'!AI3)</f>
        <v/>
      </c>
      <c r="S3">
        <f>IF('03_Helper'!A3="","",'03_Helper'!AJ3)</f>
        <v/>
      </c>
      <c r="T3">
        <f>IF('03_Helper'!A3="","",'03_Helper'!U3)</f>
        <v/>
      </c>
      <c r="U3">
        <f>IF('03_Helper'!A3="","",'03_Helper'!W3)</f>
        <v/>
      </c>
      <c r="V3">
        <f>IF('03_Helper'!A3="","",'03_Helper'!AG3)</f>
        <v/>
      </c>
      <c r="W3">
        <f>IF('03_Helper'!A3="","",'03_Helper'!AK3)</f>
        <v/>
      </c>
      <c r="X3">
        <f>IF('03_Helper'!A3="","",'03_Helper'!K3)</f>
        <v/>
      </c>
      <c r="Y3">
        <f>IF('03_Helper'!A3="","",'03_Helper'!AN3)</f>
        <v/>
      </c>
    </row>
    <row r="4">
      <c r="A4">
        <f>IF('03_Helper'!A4="","",'03_Helper'!B4)</f>
        <v/>
      </c>
      <c r="B4">
        <f>IF('03_Helper'!A4="","",'03_Helper'!C4)</f>
        <v/>
      </c>
      <c r="C4">
        <f>IF('03_Helper'!A4="","",'03_Helper'!G4)</f>
        <v/>
      </c>
      <c r="D4">
        <f>IF('03_Helper'!A4="","",'03_Helper'!E4)</f>
        <v/>
      </c>
      <c r="E4">
        <f>IF('03_Helper'!A4="","",'03_Helper'!D4)</f>
        <v/>
      </c>
      <c r="F4">
        <f>IF('03_Helper'!A4="","",'03_Helper'!H4)</f>
        <v/>
      </c>
      <c r="G4">
        <f>IF('03_Helper'!A4="","",'03_Helper'!X4)</f>
        <v/>
      </c>
      <c r="H4">
        <f>IF('03_Helper'!A4="","",'03_Helper'!Y4)</f>
        <v/>
      </c>
      <c r="I4">
        <f>IF('03_Helper'!A4="","",'03_Helper'!Z4)</f>
        <v/>
      </c>
      <c r="J4">
        <f>IF('03_Helper'!A4="","",'03_Helper'!Q4)</f>
        <v/>
      </c>
      <c r="K4">
        <f>IF('03_Helper'!A4="","",'03_Helper'!R4)</f>
        <v/>
      </c>
      <c r="L4">
        <f>IF('03_Helper'!A4="","",'03_Helper'!S4)</f>
        <v/>
      </c>
      <c r="M4">
        <f>IF('03_Helper'!A4="","",'03_Helper'!T4)</f>
        <v/>
      </c>
      <c r="N4">
        <f>IF('03_Helper'!A4="","",'03_Helper'!AA4)</f>
        <v/>
      </c>
      <c r="O4">
        <f>IF('03_Helper'!A4="","",'03_Helper'!AB4)</f>
        <v/>
      </c>
      <c r="P4">
        <f>IF('03_Helper'!A4="","",'03_Helper'!AC4)</f>
        <v/>
      </c>
      <c r="Q4">
        <f>IF('03_Helper'!A4="","",'03_Helper'!AD4)</f>
        <v/>
      </c>
      <c r="R4">
        <f>IF('03_Helper'!A4="","",'03_Helper'!AI4)</f>
        <v/>
      </c>
      <c r="S4">
        <f>IF('03_Helper'!A4="","",'03_Helper'!AJ4)</f>
        <v/>
      </c>
      <c r="T4">
        <f>IF('03_Helper'!A4="","",'03_Helper'!U4)</f>
        <v/>
      </c>
      <c r="U4">
        <f>IF('03_Helper'!A4="","",'03_Helper'!W4)</f>
        <v/>
      </c>
      <c r="V4">
        <f>IF('03_Helper'!A4="","",'03_Helper'!AG4)</f>
        <v/>
      </c>
      <c r="W4">
        <f>IF('03_Helper'!A4="","",'03_Helper'!AK4)</f>
        <v/>
      </c>
      <c r="X4">
        <f>IF('03_Helper'!A4="","",'03_Helper'!K4)</f>
        <v/>
      </c>
      <c r="Y4">
        <f>IF('03_Helper'!A4="","",'03_Helper'!AN4)</f>
        <v/>
      </c>
      <c r="AA4" s="40" t="inlineStr">
        <is>
          <t>Duplicate Mobile Check</t>
        </is>
      </c>
    </row>
    <row r="5">
      <c r="A5">
        <f>IF('03_Helper'!A5="","",'03_Helper'!B5)</f>
        <v/>
      </c>
      <c r="B5">
        <f>IF('03_Helper'!A5="","",'03_Helper'!C5)</f>
        <v/>
      </c>
      <c r="C5">
        <f>IF('03_Helper'!A5="","",'03_Helper'!G5)</f>
        <v/>
      </c>
      <c r="D5">
        <f>IF('03_Helper'!A5="","",'03_Helper'!E5)</f>
        <v/>
      </c>
      <c r="E5">
        <f>IF('03_Helper'!A5="","",'03_Helper'!D5)</f>
        <v/>
      </c>
      <c r="F5">
        <f>IF('03_Helper'!A5="","",'03_Helper'!H5)</f>
        <v/>
      </c>
      <c r="G5">
        <f>IF('03_Helper'!A5="","",'03_Helper'!X5)</f>
        <v/>
      </c>
      <c r="H5">
        <f>IF('03_Helper'!A5="","",'03_Helper'!Y5)</f>
        <v/>
      </c>
      <c r="I5">
        <f>IF('03_Helper'!A5="","",'03_Helper'!Z5)</f>
        <v/>
      </c>
      <c r="J5">
        <f>IF('03_Helper'!A5="","",'03_Helper'!Q5)</f>
        <v/>
      </c>
      <c r="K5">
        <f>IF('03_Helper'!A5="","",'03_Helper'!R5)</f>
        <v/>
      </c>
      <c r="L5">
        <f>IF('03_Helper'!A5="","",'03_Helper'!S5)</f>
        <v/>
      </c>
      <c r="M5">
        <f>IF('03_Helper'!A5="","",'03_Helper'!T5)</f>
        <v/>
      </c>
      <c r="N5">
        <f>IF('03_Helper'!A5="","",'03_Helper'!AA5)</f>
        <v/>
      </c>
      <c r="O5">
        <f>IF('03_Helper'!A5="","",'03_Helper'!AB5)</f>
        <v/>
      </c>
      <c r="P5">
        <f>IF('03_Helper'!A5="","",'03_Helper'!AC5)</f>
        <v/>
      </c>
      <c r="Q5">
        <f>IF('03_Helper'!A5="","",'03_Helper'!AD5)</f>
        <v/>
      </c>
      <c r="R5">
        <f>IF('03_Helper'!A5="","",'03_Helper'!AI5)</f>
        <v/>
      </c>
      <c r="S5">
        <f>IF('03_Helper'!A5="","",'03_Helper'!AJ5)</f>
        <v/>
      </c>
      <c r="T5">
        <f>IF('03_Helper'!A5="","",'03_Helper'!U5)</f>
        <v/>
      </c>
      <c r="U5">
        <f>IF('03_Helper'!A5="","",'03_Helper'!W5)</f>
        <v/>
      </c>
      <c r="V5">
        <f>IF('03_Helper'!A5="","",'03_Helper'!AG5)</f>
        <v/>
      </c>
      <c r="W5">
        <f>IF('03_Helper'!A5="","",'03_Helper'!AK5)</f>
        <v/>
      </c>
      <c r="X5">
        <f>IF('03_Helper'!A5="","",'03_Helper'!K5)</f>
        <v/>
      </c>
      <c r="Y5">
        <f>IF('03_Helper'!A5="","",'03_Helper'!AN5)</f>
        <v/>
      </c>
      <c r="AA5" s="30" t="inlineStr">
        <is>
          <t>Mobile</t>
        </is>
      </c>
      <c r="AB5" s="30" t="inlineStr">
        <is>
          <t>Occurrences</t>
        </is>
      </c>
    </row>
    <row r="6">
      <c r="A6">
        <f>IF('03_Helper'!A6="","",'03_Helper'!B6)</f>
        <v/>
      </c>
      <c r="B6">
        <f>IF('03_Helper'!A6="","",'03_Helper'!C6)</f>
        <v/>
      </c>
      <c r="C6">
        <f>IF('03_Helper'!A6="","",'03_Helper'!G6)</f>
        <v/>
      </c>
      <c r="D6">
        <f>IF('03_Helper'!A6="","",'03_Helper'!E6)</f>
        <v/>
      </c>
      <c r="E6">
        <f>IF('03_Helper'!A6="","",'03_Helper'!D6)</f>
        <v/>
      </c>
      <c r="F6">
        <f>IF('03_Helper'!A6="","",'03_Helper'!H6)</f>
        <v/>
      </c>
      <c r="G6">
        <f>IF('03_Helper'!A6="","",'03_Helper'!X6)</f>
        <v/>
      </c>
      <c r="H6">
        <f>IF('03_Helper'!A6="","",'03_Helper'!Y6)</f>
        <v/>
      </c>
      <c r="I6">
        <f>IF('03_Helper'!A6="","",'03_Helper'!Z6)</f>
        <v/>
      </c>
      <c r="J6">
        <f>IF('03_Helper'!A6="","",'03_Helper'!Q6)</f>
        <v/>
      </c>
      <c r="K6">
        <f>IF('03_Helper'!A6="","",'03_Helper'!R6)</f>
        <v/>
      </c>
      <c r="L6">
        <f>IF('03_Helper'!A6="","",'03_Helper'!S6)</f>
        <v/>
      </c>
      <c r="M6">
        <f>IF('03_Helper'!A6="","",'03_Helper'!T6)</f>
        <v/>
      </c>
      <c r="N6">
        <f>IF('03_Helper'!A6="","",'03_Helper'!AA6)</f>
        <v/>
      </c>
      <c r="O6">
        <f>IF('03_Helper'!A6="","",'03_Helper'!AB6)</f>
        <v/>
      </c>
      <c r="P6">
        <f>IF('03_Helper'!A6="","",'03_Helper'!AC6)</f>
        <v/>
      </c>
      <c r="Q6">
        <f>IF('03_Helper'!A6="","",'03_Helper'!AD6)</f>
        <v/>
      </c>
      <c r="R6">
        <f>IF('03_Helper'!A6="","",'03_Helper'!AI6)</f>
        <v/>
      </c>
      <c r="S6">
        <f>IF('03_Helper'!A6="","",'03_Helper'!AJ6)</f>
        <v/>
      </c>
      <c r="T6">
        <f>IF('03_Helper'!A6="","",'03_Helper'!U6)</f>
        <v/>
      </c>
      <c r="U6">
        <f>IF('03_Helper'!A6="","",'03_Helper'!W6)</f>
        <v/>
      </c>
      <c r="V6">
        <f>IF('03_Helper'!A6="","",'03_Helper'!AG6)</f>
        <v/>
      </c>
      <c r="W6">
        <f>IF('03_Helper'!A6="","",'03_Helper'!AK6)</f>
        <v/>
      </c>
      <c r="X6">
        <f>IF('03_Helper'!A6="","",'03_Helper'!K6)</f>
        <v/>
      </c>
      <c r="Y6">
        <f>IF('03_Helper'!A6="","",'03_Helper'!AN6)</f>
        <v/>
      </c>
      <c r="AA6" s="6" t="inlineStr">
        <is>
          <t>(Use Ops_Views → Duplicate Keys for live list)</t>
        </is>
      </c>
    </row>
    <row r="7">
      <c r="A7">
        <f>IF('03_Helper'!A7="","",'03_Helper'!B7)</f>
        <v/>
      </c>
      <c r="B7">
        <f>IF('03_Helper'!A7="","",'03_Helper'!C7)</f>
        <v/>
      </c>
      <c r="C7">
        <f>IF('03_Helper'!A7="","",'03_Helper'!G7)</f>
        <v/>
      </c>
      <c r="D7">
        <f>IF('03_Helper'!A7="","",'03_Helper'!E7)</f>
        <v/>
      </c>
      <c r="E7">
        <f>IF('03_Helper'!A7="","",'03_Helper'!D7)</f>
        <v/>
      </c>
      <c r="F7">
        <f>IF('03_Helper'!A7="","",'03_Helper'!H7)</f>
        <v/>
      </c>
      <c r="G7">
        <f>IF('03_Helper'!A7="","",'03_Helper'!X7)</f>
        <v/>
      </c>
      <c r="H7">
        <f>IF('03_Helper'!A7="","",'03_Helper'!Y7)</f>
        <v/>
      </c>
      <c r="I7">
        <f>IF('03_Helper'!A7="","",'03_Helper'!Z7)</f>
        <v/>
      </c>
      <c r="J7">
        <f>IF('03_Helper'!A7="","",'03_Helper'!Q7)</f>
        <v/>
      </c>
      <c r="K7">
        <f>IF('03_Helper'!A7="","",'03_Helper'!R7)</f>
        <v/>
      </c>
      <c r="L7">
        <f>IF('03_Helper'!A7="","",'03_Helper'!S7)</f>
        <v/>
      </c>
      <c r="M7">
        <f>IF('03_Helper'!A7="","",'03_Helper'!T7)</f>
        <v/>
      </c>
      <c r="N7">
        <f>IF('03_Helper'!A7="","",'03_Helper'!AA7)</f>
        <v/>
      </c>
      <c r="O7">
        <f>IF('03_Helper'!A7="","",'03_Helper'!AB7)</f>
        <v/>
      </c>
      <c r="P7">
        <f>IF('03_Helper'!A7="","",'03_Helper'!AC7)</f>
        <v/>
      </c>
      <c r="Q7">
        <f>IF('03_Helper'!A7="","",'03_Helper'!AD7)</f>
        <v/>
      </c>
      <c r="R7">
        <f>IF('03_Helper'!A7="","",'03_Helper'!AI7)</f>
        <v/>
      </c>
      <c r="S7">
        <f>IF('03_Helper'!A7="","",'03_Helper'!AJ7)</f>
        <v/>
      </c>
      <c r="T7">
        <f>IF('03_Helper'!A7="","",'03_Helper'!U7)</f>
        <v/>
      </c>
      <c r="U7">
        <f>IF('03_Helper'!A7="","",'03_Helper'!W7)</f>
        <v/>
      </c>
      <c r="V7">
        <f>IF('03_Helper'!A7="","",'03_Helper'!AG7)</f>
        <v/>
      </c>
      <c r="W7">
        <f>IF('03_Helper'!A7="","",'03_Helper'!AK7)</f>
        <v/>
      </c>
      <c r="X7">
        <f>IF('03_Helper'!A7="","",'03_Helper'!K7)</f>
        <v/>
      </c>
      <c r="Y7">
        <f>IF('03_Helper'!A7="","",'03_Helper'!AN7)</f>
        <v/>
      </c>
    </row>
    <row r="8">
      <c r="A8">
        <f>IF('03_Helper'!A8="","",'03_Helper'!B8)</f>
        <v/>
      </c>
      <c r="B8">
        <f>IF('03_Helper'!A8="","",'03_Helper'!C8)</f>
        <v/>
      </c>
      <c r="C8">
        <f>IF('03_Helper'!A8="","",'03_Helper'!G8)</f>
        <v/>
      </c>
      <c r="D8">
        <f>IF('03_Helper'!A8="","",'03_Helper'!E8)</f>
        <v/>
      </c>
      <c r="E8">
        <f>IF('03_Helper'!A8="","",'03_Helper'!D8)</f>
        <v/>
      </c>
      <c r="F8">
        <f>IF('03_Helper'!A8="","",'03_Helper'!H8)</f>
        <v/>
      </c>
      <c r="G8">
        <f>IF('03_Helper'!A8="","",'03_Helper'!X8)</f>
        <v/>
      </c>
      <c r="H8">
        <f>IF('03_Helper'!A8="","",'03_Helper'!Y8)</f>
        <v/>
      </c>
      <c r="I8">
        <f>IF('03_Helper'!A8="","",'03_Helper'!Z8)</f>
        <v/>
      </c>
      <c r="J8">
        <f>IF('03_Helper'!A8="","",'03_Helper'!Q8)</f>
        <v/>
      </c>
      <c r="K8">
        <f>IF('03_Helper'!A8="","",'03_Helper'!R8)</f>
        <v/>
      </c>
      <c r="L8">
        <f>IF('03_Helper'!A8="","",'03_Helper'!S8)</f>
        <v/>
      </c>
      <c r="M8">
        <f>IF('03_Helper'!A8="","",'03_Helper'!T8)</f>
        <v/>
      </c>
      <c r="N8">
        <f>IF('03_Helper'!A8="","",'03_Helper'!AA8)</f>
        <v/>
      </c>
      <c r="O8">
        <f>IF('03_Helper'!A8="","",'03_Helper'!AB8)</f>
        <v/>
      </c>
      <c r="P8">
        <f>IF('03_Helper'!A8="","",'03_Helper'!AC8)</f>
        <v/>
      </c>
      <c r="Q8">
        <f>IF('03_Helper'!A8="","",'03_Helper'!AD8)</f>
        <v/>
      </c>
      <c r="R8">
        <f>IF('03_Helper'!A8="","",'03_Helper'!AI8)</f>
        <v/>
      </c>
      <c r="S8">
        <f>IF('03_Helper'!A8="","",'03_Helper'!AJ8)</f>
        <v/>
      </c>
      <c r="T8">
        <f>IF('03_Helper'!A8="","",'03_Helper'!U8)</f>
        <v/>
      </c>
      <c r="U8">
        <f>IF('03_Helper'!A8="","",'03_Helper'!W8)</f>
        <v/>
      </c>
      <c r="V8">
        <f>IF('03_Helper'!A8="","",'03_Helper'!AG8)</f>
        <v/>
      </c>
      <c r="W8">
        <f>IF('03_Helper'!A8="","",'03_Helper'!AK8)</f>
        <v/>
      </c>
      <c r="X8">
        <f>IF('03_Helper'!A8="","",'03_Helper'!K8)</f>
        <v/>
      </c>
      <c r="Y8">
        <f>IF('03_Helper'!A8="","",'03_Helper'!AN8)</f>
        <v/>
      </c>
    </row>
    <row r="9">
      <c r="A9">
        <f>IF('03_Helper'!A9="","",'03_Helper'!B9)</f>
        <v/>
      </c>
      <c r="B9">
        <f>IF('03_Helper'!A9="","",'03_Helper'!C9)</f>
        <v/>
      </c>
      <c r="C9">
        <f>IF('03_Helper'!A9="","",'03_Helper'!G9)</f>
        <v/>
      </c>
      <c r="D9">
        <f>IF('03_Helper'!A9="","",'03_Helper'!E9)</f>
        <v/>
      </c>
      <c r="E9">
        <f>IF('03_Helper'!A9="","",'03_Helper'!D9)</f>
        <v/>
      </c>
      <c r="F9">
        <f>IF('03_Helper'!A9="","",'03_Helper'!H9)</f>
        <v/>
      </c>
      <c r="G9">
        <f>IF('03_Helper'!A9="","",'03_Helper'!X9)</f>
        <v/>
      </c>
      <c r="H9">
        <f>IF('03_Helper'!A9="","",'03_Helper'!Y9)</f>
        <v/>
      </c>
      <c r="I9">
        <f>IF('03_Helper'!A9="","",'03_Helper'!Z9)</f>
        <v/>
      </c>
      <c r="J9">
        <f>IF('03_Helper'!A9="","",'03_Helper'!Q9)</f>
        <v/>
      </c>
      <c r="K9">
        <f>IF('03_Helper'!A9="","",'03_Helper'!R9)</f>
        <v/>
      </c>
      <c r="L9">
        <f>IF('03_Helper'!A9="","",'03_Helper'!S9)</f>
        <v/>
      </c>
      <c r="M9">
        <f>IF('03_Helper'!A9="","",'03_Helper'!T9)</f>
        <v/>
      </c>
      <c r="N9">
        <f>IF('03_Helper'!A9="","",'03_Helper'!AA9)</f>
        <v/>
      </c>
      <c r="O9">
        <f>IF('03_Helper'!A9="","",'03_Helper'!AB9)</f>
        <v/>
      </c>
      <c r="P9">
        <f>IF('03_Helper'!A9="","",'03_Helper'!AC9)</f>
        <v/>
      </c>
      <c r="Q9">
        <f>IF('03_Helper'!A9="","",'03_Helper'!AD9)</f>
        <v/>
      </c>
      <c r="R9">
        <f>IF('03_Helper'!A9="","",'03_Helper'!AI9)</f>
        <v/>
      </c>
      <c r="S9">
        <f>IF('03_Helper'!A9="","",'03_Helper'!AJ9)</f>
        <v/>
      </c>
      <c r="T9">
        <f>IF('03_Helper'!A9="","",'03_Helper'!U9)</f>
        <v/>
      </c>
      <c r="U9">
        <f>IF('03_Helper'!A9="","",'03_Helper'!W9)</f>
        <v/>
      </c>
      <c r="V9">
        <f>IF('03_Helper'!A9="","",'03_Helper'!AG9)</f>
        <v/>
      </c>
      <c r="W9">
        <f>IF('03_Helper'!A9="","",'03_Helper'!AK9)</f>
        <v/>
      </c>
      <c r="X9">
        <f>IF('03_Helper'!A9="","",'03_Helper'!K9)</f>
        <v/>
      </c>
      <c r="Y9">
        <f>IF('03_Helper'!A9="","",'03_Helper'!AN9)</f>
        <v/>
      </c>
    </row>
    <row r="10">
      <c r="A10">
        <f>IF('03_Helper'!A10="","",'03_Helper'!B10)</f>
        <v/>
      </c>
      <c r="B10">
        <f>IF('03_Helper'!A10="","",'03_Helper'!C10)</f>
        <v/>
      </c>
      <c r="C10">
        <f>IF('03_Helper'!A10="","",'03_Helper'!G10)</f>
        <v/>
      </c>
      <c r="D10">
        <f>IF('03_Helper'!A10="","",'03_Helper'!E10)</f>
        <v/>
      </c>
      <c r="E10">
        <f>IF('03_Helper'!A10="","",'03_Helper'!D10)</f>
        <v/>
      </c>
      <c r="F10">
        <f>IF('03_Helper'!A10="","",'03_Helper'!H10)</f>
        <v/>
      </c>
      <c r="G10">
        <f>IF('03_Helper'!A10="","",'03_Helper'!X10)</f>
        <v/>
      </c>
      <c r="H10">
        <f>IF('03_Helper'!A10="","",'03_Helper'!Y10)</f>
        <v/>
      </c>
      <c r="I10">
        <f>IF('03_Helper'!A10="","",'03_Helper'!Z10)</f>
        <v/>
      </c>
      <c r="J10">
        <f>IF('03_Helper'!A10="","",'03_Helper'!Q10)</f>
        <v/>
      </c>
      <c r="K10">
        <f>IF('03_Helper'!A10="","",'03_Helper'!R10)</f>
        <v/>
      </c>
      <c r="L10">
        <f>IF('03_Helper'!A10="","",'03_Helper'!S10)</f>
        <v/>
      </c>
      <c r="M10">
        <f>IF('03_Helper'!A10="","",'03_Helper'!T10)</f>
        <v/>
      </c>
      <c r="N10">
        <f>IF('03_Helper'!A10="","",'03_Helper'!AA10)</f>
        <v/>
      </c>
      <c r="O10">
        <f>IF('03_Helper'!A10="","",'03_Helper'!AB10)</f>
        <v/>
      </c>
      <c r="P10">
        <f>IF('03_Helper'!A10="","",'03_Helper'!AC10)</f>
        <v/>
      </c>
      <c r="Q10">
        <f>IF('03_Helper'!A10="","",'03_Helper'!AD10)</f>
        <v/>
      </c>
      <c r="R10">
        <f>IF('03_Helper'!A10="","",'03_Helper'!AI10)</f>
        <v/>
      </c>
      <c r="S10">
        <f>IF('03_Helper'!A10="","",'03_Helper'!AJ10)</f>
        <v/>
      </c>
      <c r="T10">
        <f>IF('03_Helper'!A10="","",'03_Helper'!U10)</f>
        <v/>
      </c>
      <c r="U10">
        <f>IF('03_Helper'!A10="","",'03_Helper'!W10)</f>
        <v/>
      </c>
      <c r="V10">
        <f>IF('03_Helper'!A10="","",'03_Helper'!AG10)</f>
        <v/>
      </c>
      <c r="W10">
        <f>IF('03_Helper'!A10="","",'03_Helper'!AK10)</f>
        <v/>
      </c>
      <c r="X10">
        <f>IF('03_Helper'!A10="","",'03_Helper'!K10)</f>
        <v/>
      </c>
      <c r="Y10">
        <f>IF('03_Helper'!A10="","",'03_Helper'!AN10)</f>
        <v/>
      </c>
    </row>
    <row r="11">
      <c r="A11">
        <f>IF('03_Helper'!A11="","",'03_Helper'!B11)</f>
        <v/>
      </c>
      <c r="B11">
        <f>IF('03_Helper'!A11="","",'03_Helper'!C11)</f>
        <v/>
      </c>
      <c r="C11">
        <f>IF('03_Helper'!A11="","",'03_Helper'!G11)</f>
        <v/>
      </c>
      <c r="D11">
        <f>IF('03_Helper'!A11="","",'03_Helper'!E11)</f>
        <v/>
      </c>
      <c r="E11">
        <f>IF('03_Helper'!A11="","",'03_Helper'!D11)</f>
        <v/>
      </c>
      <c r="F11">
        <f>IF('03_Helper'!A11="","",'03_Helper'!H11)</f>
        <v/>
      </c>
      <c r="G11">
        <f>IF('03_Helper'!A11="","",'03_Helper'!X11)</f>
        <v/>
      </c>
      <c r="H11">
        <f>IF('03_Helper'!A11="","",'03_Helper'!Y11)</f>
        <v/>
      </c>
      <c r="I11">
        <f>IF('03_Helper'!A11="","",'03_Helper'!Z11)</f>
        <v/>
      </c>
      <c r="J11">
        <f>IF('03_Helper'!A11="","",'03_Helper'!Q11)</f>
        <v/>
      </c>
      <c r="K11">
        <f>IF('03_Helper'!A11="","",'03_Helper'!R11)</f>
        <v/>
      </c>
      <c r="L11">
        <f>IF('03_Helper'!A11="","",'03_Helper'!S11)</f>
        <v/>
      </c>
      <c r="M11">
        <f>IF('03_Helper'!A11="","",'03_Helper'!T11)</f>
        <v/>
      </c>
      <c r="N11">
        <f>IF('03_Helper'!A11="","",'03_Helper'!AA11)</f>
        <v/>
      </c>
      <c r="O11">
        <f>IF('03_Helper'!A11="","",'03_Helper'!AB11)</f>
        <v/>
      </c>
      <c r="P11">
        <f>IF('03_Helper'!A11="","",'03_Helper'!AC11)</f>
        <v/>
      </c>
      <c r="Q11">
        <f>IF('03_Helper'!A11="","",'03_Helper'!AD11)</f>
        <v/>
      </c>
      <c r="R11">
        <f>IF('03_Helper'!A11="","",'03_Helper'!AI11)</f>
        <v/>
      </c>
      <c r="S11">
        <f>IF('03_Helper'!A11="","",'03_Helper'!AJ11)</f>
        <v/>
      </c>
      <c r="T11">
        <f>IF('03_Helper'!A11="","",'03_Helper'!U11)</f>
        <v/>
      </c>
      <c r="U11">
        <f>IF('03_Helper'!A11="","",'03_Helper'!W11)</f>
        <v/>
      </c>
      <c r="V11">
        <f>IF('03_Helper'!A11="","",'03_Helper'!AG11)</f>
        <v/>
      </c>
      <c r="W11">
        <f>IF('03_Helper'!A11="","",'03_Helper'!AK11)</f>
        <v/>
      </c>
      <c r="X11">
        <f>IF('03_Helper'!A11="","",'03_Helper'!K11)</f>
        <v/>
      </c>
      <c r="Y11">
        <f>IF('03_Helper'!A11="","",'03_Helper'!AN11)</f>
        <v/>
      </c>
    </row>
    <row r="12">
      <c r="A12">
        <f>IF('03_Helper'!A12="","",'03_Helper'!B12)</f>
        <v/>
      </c>
      <c r="B12">
        <f>IF('03_Helper'!A12="","",'03_Helper'!C12)</f>
        <v/>
      </c>
      <c r="C12">
        <f>IF('03_Helper'!A12="","",'03_Helper'!G12)</f>
        <v/>
      </c>
      <c r="D12">
        <f>IF('03_Helper'!A12="","",'03_Helper'!E12)</f>
        <v/>
      </c>
      <c r="E12">
        <f>IF('03_Helper'!A12="","",'03_Helper'!D12)</f>
        <v/>
      </c>
      <c r="F12">
        <f>IF('03_Helper'!A12="","",'03_Helper'!H12)</f>
        <v/>
      </c>
      <c r="G12">
        <f>IF('03_Helper'!A12="","",'03_Helper'!X12)</f>
        <v/>
      </c>
      <c r="H12">
        <f>IF('03_Helper'!A12="","",'03_Helper'!Y12)</f>
        <v/>
      </c>
      <c r="I12">
        <f>IF('03_Helper'!A12="","",'03_Helper'!Z12)</f>
        <v/>
      </c>
      <c r="J12">
        <f>IF('03_Helper'!A12="","",'03_Helper'!Q12)</f>
        <v/>
      </c>
      <c r="K12">
        <f>IF('03_Helper'!A12="","",'03_Helper'!R12)</f>
        <v/>
      </c>
      <c r="L12">
        <f>IF('03_Helper'!A12="","",'03_Helper'!S12)</f>
        <v/>
      </c>
      <c r="M12">
        <f>IF('03_Helper'!A12="","",'03_Helper'!T12)</f>
        <v/>
      </c>
      <c r="N12">
        <f>IF('03_Helper'!A12="","",'03_Helper'!AA12)</f>
        <v/>
      </c>
      <c r="O12">
        <f>IF('03_Helper'!A12="","",'03_Helper'!AB12)</f>
        <v/>
      </c>
      <c r="P12">
        <f>IF('03_Helper'!A12="","",'03_Helper'!AC12)</f>
        <v/>
      </c>
      <c r="Q12">
        <f>IF('03_Helper'!A12="","",'03_Helper'!AD12)</f>
        <v/>
      </c>
      <c r="R12">
        <f>IF('03_Helper'!A12="","",'03_Helper'!AI12)</f>
        <v/>
      </c>
      <c r="S12">
        <f>IF('03_Helper'!A12="","",'03_Helper'!AJ12)</f>
        <v/>
      </c>
      <c r="T12">
        <f>IF('03_Helper'!A12="","",'03_Helper'!U12)</f>
        <v/>
      </c>
      <c r="U12">
        <f>IF('03_Helper'!A12="","",'03_Helper'!W12)</f>
        <v/>
      </c>
      <c r="V12">
        <f>IF('03_Helper'!A12="","",'03_Helper'!AG12)</f>
        <v/>
      </c>
      <c r="W12">
        <f>IF('03_Helper'!A12="","",'03_Helper'!AK12)</f>
        <v/>
      </c>
      <c r="X12">
        <f>IF('03_Helper'!A12="","",'03_Helper'!K12)</f>
        <v/>
      </c>
      <c r="Y12">
        <f>IF('03_Helper'!A12="","",'03_Helper'!AN12)</f>
        <v/>
      </c>
    </row>
    <row r="13">
      <c r="A13">
        <f>IF('03_Helper'!A13="","",'03_Helper'!B13)</f>
        <v/>
      </c>
      <c r="B13">
        <f>IF('03_Helper'!A13="","",'03_Helper'!C13)</f>
        <v/>
      </c>
      <c r="C13">
        <f>IF('03_Helper'!A13="","",'03_Helper'!G13)</f>
        <v/>
      </c>
      <c r="D13">
        <f>IF('03_Helper'!A13="","",'03_Helper'!E13)</f>
        <v/>
      </c>
      <c r="E13">
        <f>IF('03_Helper'!A13="","",'03_Helper'!D13)</f>
        <v/>
      </c>
      <c r="F13">
        <f>IF('03_Helper'!A13="","",'03_Helper'!H13)</f>
        <v/>
      </c>
      <c r="G13">
        <f>IF('03_Helper'!A13="","",'03_Helper'!X13)</f>
        <v/>
      </c>
      <c r="H13">
        <f>IF('03_Helper'!A13="","",'03_Helper'!Y13)</f>
        <v/>
      </c>
      <c r="I13">
        <f>IF('03_Helper'!A13="","",'03_Helper'!Z13)</f>
        <v/>
      </c>
      <c r="J13">
        <f>IF('03_Helper'!A13="","",'03_Helper'!Q13)</f>
        <v/>
      </c>
      <c r="K13">
        <f>IF('03_Helper'!A13="","",'03_Helper'!R13)</f>
        <v/>
      </c>
      <c r="L13">
        <f>IF('03_Helper'!A13="","",'03_Helper'!S13)</f>
        <v/>
      </c>
      <c r="M13">
        <f>IF('03_Helper'!A13="","",'03_Helper'!T13)</f>
        <v/>
      </c>
      <c r="N13">
        <f>IF('03_Helper'!A13="","",'03_Helper'!AA13)</f>
        <v/>
      </c>
      <c r="O13">
        <f>IF('03_Helper'!A13="","",'03_Helper'!AB13)</f>
        <v/>
      </c>
      <c r="P13">
        <f>IF('03_Helper'!A13="","",'03_Helper'!AC13)</f>
        <v/>
      </c>
      <c r="Q13">
        <f>IF('03_Helper'!A13="","",'03_Helper'!AD13)</f>
        <v/>
      </c>
      <c r="R13">
        <f>IF('03_Helper'!A13="","",'03_Helper'!AI13)</f>
        <v/>
      </c>
      <c r="S13">
        <f>IF('03_Helper'!A13="","",'03_Helper'!AJ13)</f>
        <v/>
      </c>
      <c r="T13">
        <f>IF('03_Helper'!A13="","",'03_Helper'!U13)</f>
        <v/>
      </c>
      <c r="U13">
        <f>IF('03_Helper'!A13="","",'03_Helper'!W13)</f>
        <v/>
      </c>
      <c r="V13">
        <f>IF('03_Helper'!A13="","",'03_Helper'!AG13)</f>
        <v/>
      </c>
      <c r="W13">
        <f>IF('03_Helper'!A13="","",'03_Helper'!AK13)</f>
        <v/>
      </c>
      <c r="X13">
        <f>IF('03_Helper'!A13="","",'03_Helper'!K13)</f>
        <v/>
      </c>
      <c r="Y13">
        <f>IF('03_Helper'!A13="","",'03_Helper'!AN13)</f>
        <v/>
      </c>
    </row>
    <row r="14">
      <c r="A14">
        <f>IF('03_Helper'!A14="","",'03_Helper'!B14)</f>
        <v/>
      </c>
      <c r="B14">
        <f>IF('03_Helper'!A14="","",'03_Helper'!C14)</f>
        <v/>
      </c>
      <c r="C14">
        <f>IF('03_Helper'!A14="","",'03_Helper'!G14)</f>
        <v/>
      </c>
      <c r="D14">
        <f>IF('03_Helper'!A14="","",'03_Helper'!E14)</f>
        <v/>
      </c>
      <c r="E14">
        <f>IF('03_Helper'!A14="","",'03_Helper'!D14)</f>
        <v/>
      </c>
      <c r="F14">
        <f>IF('03_Helper'!A14="","",'03_Helper'!H14)</f>
        <v/>
      </c>
      <c r="G14">
        <f>IF('03_Helper'!A14="","",'03_Helper'!X14)</f>
        <v/>
      </c>
      <c r="H14">
        <f>IF('03_Helper'!A14="","",'03_Helper'!Y14)</f>
        <v/>
      </c>
      <c r="I14">
        <f>IF('03_Helper'!A14="","",'03_Helper'!Z14)</f>
        <v/>
      </c>
      <c r="J14">
        <f>IF('03_Helper'!A14="","",'03_Helper'!Q14)</f>
        <v/>
      </c>
      <c r="K14">
        <f>IF('03_Helper'!A14="","",'03_Helper'!R14)</f>
        <v/>
      </c>
      <c r="L14">
        <f>IF('03_Helper'!A14="","",'03_Helper'!S14)</f>
        <v/>
      </c>
      <c r="M14">
        <f>IF('03_Helper'!A14="","",'03_Helper'!T14)</f>
        <v/>
      </c>
      <c r="N14">
        <f>IF('03_Helper'!A14="","",'03_Helper'!AA14)</f>
        <v/>
      </c>
      <c r="O14">
        <f>IF('03_Helper'!A14="","",'03_Helper'!AB14)</f>
        <v/>
      </c>
      <c r="P14">
        <f>IF('03_Helper'!A14="","",'03_Helper'!AC14)</f>
        <v/>
      </c>
      <c r="Q14">
        <f>IF('03_Helper'!A14="","",'03_Helper'!AD14)</f>
        <v/>
      </c>
      <c r="R14">
        <f>IF('03_Helper'!A14="","",'03_Helper'!AI14)</f>
        <v/>
      </c>
      <c r="S14">
        <f>IF('03_Helper'!A14="","",'03_Helper'!AJ14)</f>
        <v/>
      </c>
      <c r="T14">
        <f>IF('03_Helper'!A14="","",'03_Helper'!U14)</f>
        <v/>
      </c>
      <c r="U14">
        <f>IF('03_Helper'!A14="","",'03_Helper'!W14)</f>
        <v/>
      </c>
      <c r="V14">
        <f>IF('03_Helper'!A14="","",'03_Helper'!AG14)</f>
        <v/>
      </c>
      <c r="W14">
        <f>IF('03_Helper'!A14="","",'03_Helper'!AK14)</f>
        <v/>
      </c>
      <c r="X14">
        <f>IF('03_Helper'!A14="","",'03_Helper'!K14)</f>
        <v/>
      </c>
      <c r="Y14">
        <f>IF('03_Helper'!A14="","",'03_Helper'!AN14)</f>
        <v/>
      </c>
    </row>
    <row r="15">
      <c r="A15">
        <f>IF('03_Helper'!A15="","",'03_Helper'!B15)</f>
        <v/>
      </c>
      <c r="B15">
        <f>IF('03_Helper'!A15="","",'03_Helper'!C15)</f>
        <v/>
      </c>
      <c r="C15">
        <f>IF('03_Helper'!A15="","",'03_Helper'!G15)</f>
        <v/>
      </c>
      <c r="D15">
        <f>IF('03_Helper'!A15="","",'03_Helper'!E15)</f>
        <v/>
      </c>
      <c r="E15">
        <f>IF('03_Helper'!A15="","",'03_Helper'!D15)</f>
        <v/>
      </c>
      <c r="F15">
        <f>IF('03_Helper'!A15="","",'03_Helper'!H15)</f>
        <v/>
      </c>
      <c r="G15">
        <f>IF('03_Helper'!A15="","",'03_Helper'!X15)</f>
        <v/>
      </c>
      <c r="H15">
        <f>IF('03_Helper'!A15="","",'03_Helper'!Y15)</f>
        <v/>
      </c>
      <c r="I15">
        <f>IF('03_Helper'!A15="","",'03_Helper'!Z15)</f>
        <v/>
      </c>
      <c r="J15">
        <f>IF('03_Helper'!A15="","",'03_Helper'!Q15)</f>
        <v/>
      </c>
      <c r="K15">
        <f>IF('03_Helper'!A15="","",'03_Helper'!R15)</f>
        <v/>
      </c>
      <c r="L15">
        <f>IF('03_Helper'!A15="","",'03_Helper'!S15)</f>
        <v/>
      </c>
      <c r="M15">
        <f>IF('03_Helper'!A15="","",'03_Helper'!T15)</f>
        <v/>
      </c>
      <c r="N15">
        <f>IF('03_Helper'!A15="","",'03_Helper'!AA15)</f>
        <v/>
      </c>
      <c r="O15">
        <f>IF('03_Helper'!A15="","",'03_Helper'!AB15)</f>
        <v/>
      </c>
      <c r="P15">
        <f>IF('03_Helper'!A15="","",'03_Helper'!AC15)</f>
        <v/>
      </c>
      <c r="Q15">
        <f>IF('03_Helper'!A15="","",'03_Helper'!AD15)</f>
        <v/>
      </c>
      <c r="R15">
        <f>IF('03_Helper'!A15="","",'03_Helper'!AI15)</f>
        <v/>
      </c>
      <c r="S15">
        <f>IF('03_Helper'!A15="","",'03_Helper'!AJ15)</f>
        <v/>
      </c>
      <c r="T15">
        <f>IF('03_Helper'!A15="","",'03_Helper'!U15)</f>
        <v/>
      </c>
      <c r="U15">
        <f>IF('03_Helper'!A15="","",'03_Helper'!W15)</f>
        <v/>
      </c>
      <c r="V15">
        <f>IF('03_Helper'!A15="","",'03_Helper'!AG15)</f>
        <v/>
      </c>
      <c r="W15">
        <f>IF('03_Helper'!A15="","",'03_Helper'!AK15)</f>
        <v/>
      </c>
      <c r="X15">
        <f>IF('03_Helper'!A15="","",'03_Helper'!K15)</f>
        <v/>
      </c>
      <c r="Y15">
        <f>IF('03_Helper'!A15="","",'03_Helper'!AN15)</f>
        <v/>
      </c>
    </row>
    <row r="16">
      <c r="A16">
        <f>IF('03_Helper'!A16="","",'03_Helper'!B16)</f>
        <v/>
      </c>
      <c r="B16">
        <f>IF('03_Helper'!A16="","",'03_Helper'!C16)</f>
        <v/>
      </c>
      <c r="C16">
        <f>IF('03_Helper'!A16="","",'03_Helper'!G16)</f>
        <v/>
      </c>
      <c r="D16">
        <f>IF('03_Helper'!A16="","",'03_Helper'!E16)</f>
        <v/>
      </c>
      <c r="E16">
        <f>IF('03_Helper'!A16="","",'03_Helper'!D16)</f>
        <v/>
      </c>
      <c r="F16">
        <f>IF('03_Helper'!A16="","",'03_Helper'!H16)</f>
        <v/>
      </c>
      <c r="G16">
        <f>IF('03_Helper'!A16="","",'03_Helper'!X16)</f>
        <v/>
      </c>
      <c r="H16">
        <f>IF('03_Helper'!A16="","",'03_Helper'!Y16)</f>
        <v/>
      </c>
      <c r="I16">
        <f>IF('03_Helper'!A16="","",'03_Helper'!Z16)</f>
        <v/>
      </c>
      <c r="J16">
        <f>IF('03_Helper'!A16="","",'03_Helper'!Q16)</f>
        <v/>
      </c>
      <c r="K16">
        <f>IF('03_Helper'!A16="","",'03_Helper'!R16)</f>
        <v/>
      </c>
      <c r="L16">
        <f>IF('03_Helper'!A16="","",'03_Helper'!S16)</f>
        <v/>
      </c>
      <c r="M16">
        <f>IF('03_Helper'!A16="","",'03_Helper'!T16)</f>
        <v/>
      </c>
      <c r="N16">
        <f>IF('03_Helper'!A16="","",'03_Helper'!AA16)</f>
        <v/>
      </c>
      <c r="O16">
        <f>IF('03_Helper'!A16="","",'03_Helper'!AB16)</f>
        <v/>
      </c>
      <c r="P16">
        <f>IF('03_Helper'!A16="","",'03_Helper'!AC16)</f>
        <v/>
      </c>
      <c r="Q16">
        <f>IF('03_Helper'!A16="","",'03_Helper'!AD16)</f>
        <v/>
      </c>
      <c r="R16">
        <f>IF('03_Helper'!A16="","",'03_Helper'!AI16)</f>
        <v/>
      </c>
      <c r="S16">
        <f>IF('03_Helper'!A16="","",'03_Helper'!AJ16)</f>
        <v/>
      </c>
      <c r="T16">
        <f>IF('03_Helper'!A16="","",'03_Helper'!U16)</f>
        <v/>
      </c>
      <c r="U16">
        <f>IF('03_Helper'!A16="","",'03_Helper'!W16)</f>
        <v/>
      </c>
      <c r="V16">
        <f>IF('03_Helper'!A16="","",'03_Helper'!AG16)</f>
        <v/>
      </c>
      <c r="W16">
        <f>IF('03_Helper'!A16="","",'03_Helper'!AK16)</f>
        <v/>
      </c>
      <c r="X16">
        <f>IF('03_Helper'!A16="","",'03_Helper'!K16)</f>
        <v/>
      </c>
      <c r="Y16">
        <f>IF('03_Helper'!A16="","",'03_Helper'!AN16)</f>
        <v/>
      </c>
    </row>
    <row r="17">
      <c r="A17">
        <f>IF('03_Helper'!A17="","",'03_Helper'!B17)</f>
        <v/>
      </c>
      <c r="B17">
        <f>IF('03_Helper'!A17="","",'03_Helper'!C17)</f>
        <v/>
      </c>
      <c r="C17">
        <f>IF('03_Helper'!A17="","",'03_Helper'!G17)</f>
        <v/>
      </c>
      <c r="D17">
        <f>IF('03_Helper'!A17="","",'03_Helper'!E17)</f>
        <v/>
      </c>
      <c r="E17">
        <f>IF('03_Helper'!A17="","",'03_Helper'!D17)</f>
        <v/>
      </c>
      <c r="F17">
        <f>IF('03_Helper'!A17="","",'03_Helper'!H17)</f>
        <v/>
      </c>
      <c r="G17">
        <f>IF('03_Helper'!A17="","",'03_Helper'!X17)</f>
        <v/>
      </c>
      <c r="H17">
        <f>IF('03_Helper'!A17="","",'03_Helper'!Y17)</f>
        <v/>
      </c>
      <c r="I17">
        <f>IF('03_Helper'!A17="","",'03_Helper'!Z17)</f>
        <v/>
      </c>
      <c r="J17">
        <f>IF('03_Helper'!A17="","",'03_Helper'!Q17)</f>
        <v/>
      </c>
      <c r="K17">
        <f>IF('03_Helper'!A17="","",'03_Helper'!R17)</f>
        <v/>
      </c>
      <c r="L17">
        <f>IF('03_Helper'!A17="","",'03_Helper'!S17)</f>
        <v/>
      </c>
      <c r="M17">
        <f>IF('03_Helper'!A17="","",'03_Helper'!T17)</f>
        <v/>
      </c>
      <c r="N17">
        <f>IF('03_Helper'!A17="","",'03_Helper'!AA17)</f>
        <v/>
      </c>
      <c r="O17">
        <f>IF('03_Helper'!A17="","",'03_Helper'!AB17)</f>
        <v/>
      </c>
      <c r="P17">
        <f>IF('03_Helper'!A17="","",'03_Helper'!AC17)</f>
        <v/>
      </c>
      <c r="Q17">
        <f>IF('03_Helper'!A17="","",'03_Helper'!AD17)</f>
        <v/>
      </c>
      <c r="R17">
        <f>IF('03_Helper'!A17="","",'03_Helper'!AI17)</f>
        <v/>
      </c>
      <c r="S17">
        <f>IF('03_Helper'!A17="","",'03_Helper'!AJ17)</f>
        <v/>
      </c>
      <c r="T17">
        <f>IF('03_Helper'!A17="","",'03_Helper'!U17)</f>
        <v/>
      </c>
      <c r="U17">
        <f>IF('03_Helper'!A17="","",'03_Helper'!W17)</f>
        <v/>
      </c>
      <c r="V17">
        <f>IF('03_Helper'!A17="","",'03_Helper'!AG17)</f>
        <v/>
      </c>
      <c r="W17">
        <f>IF('03_Helper'!A17="","",'03_Helper'!AK17)</f>
        <v/>
      </c>
      <c r="X17">
        <f>IF('03_Helper'!A17="","",'03_Helper'!K17)</f>
        <v/>
      </c>
      <c r="Y17">
        <f>IF('03_Helper'!A17="","",'03_Helper'!AN17)</f>
        <v/>
      </c>
    </row>
    <row r="18">
      <c r="A18">
        <f>IF('03_Helper'!A18="","",'03_Helper'!B18)</f>
        <v/>
      </c>
      <c r="B18">
        <f>IF('03_Helper'!A18="","",'03_Helper'!C18)</f>
        <v/>
      </c>
      <c r="C18">
        <f>IF('03_Helper'!A18="","",'03_Helper'!G18)</f>
        <v/>
      </c>
      <c r="D18">
        <f>IF('03_Helper'!A18="","",'03_Helper'!E18)</f>
        <v/>
      </c>
      <c r="E18">
        <f>IF('03_Helper'!A18="","",'03_Helper'!D18)</f>
        <v/>
      </c>
      <c r="F18">
        <f>IF('03_Helper'!A18="","",'03_Helper'!H18)</f>
        <v/>
      </c>
      <c r="G18">
        <f>IF('03_Helper'!A18="","",'03_Helper'!X18)</f>
        <v/>
      </c>
      <c r="H18">
        <f>IF('03_Helper'!A18="","",'03_Helper'!Y18)</f>
        <v/>
      </c>
      <c r="I18">
        <f>IF('03_Helper'!A18="","",'03_Helper'!Z18)</f>
        <v/>
      </c>
      <c r="J18">
        <f>IF('03_Helper'!A18="","",'03_Helper'!Q18)</f>
        <v/>
      </c>
      <c r="K18">
        <f>IF('03_Helper'!A18="","",'03_Helper'!R18)</f>
        <v/>
      </c>
      <c r="L18">
        <f>IF('03_Helper'!A18="","",'03_Helper'!S18)</f>
        <v/>
      </c>
      <c r="M18">
        <f>IF('03_Helper'!A18="","",'03_Helper'!T18)</f>
        <v/>
      </c>
      <c r="N18">
        <f>IF('03_Helper'!A18="","",'03_Helper'!AA18)</f>
        <v/>
      </c>
      <c r="O18">
        <f>IF('03_Helper'!A18="","",'03_Helper'!AB18)</f>
        <v/>
      </c>
      <c r="P18">
        <f>IF('03_Helper'!A18="","",'03_Helper'!AC18)</f>
        <v/>
      </c>
      <c r="Q18">
        <f>IF('03_Helper'!A18="","",'03_Helper'!AD18)</f>
        <v/>
      </c>
      <c r="R18">
        <f>IF('03_Helper'!A18="","",'03_Helper'!AI18)</f>
        <v/>
      </c>
      <c r="S18">
        <f>IF('03_Helper'!A18="","",'03_Helper'!AJ18)</f>
        <v/>
      </c>
      <c r="T18">
        <f>IF('03_Helper'!A18="","",'03_Helper'!U18)</f>
        <v/>
      </c>
      <c r="U18">
        <f>IF('03_Helper'!A18="","",'03_Helper'!W18)</f>
        <v/>
      </c>
      <c r="V18">
        <f>IF('03_Helper'!A18="","",'03_Helper'!AG18)</f>
        <v/>
      </c>
      <c r="W18">
        <f>IF('03_Helper'!A18="","",'03_Helper'!AK18)</f>
        <v/>
      </c>
      <c r="X18">
        <f>IF('03_Helper'!A18="","",'03_Helper'!K18)</f>
        <v/>
      </c>
      <c r="Y18">
        <f>IF('03_Helper'!A18="","",'03_Helper'!AN18)</f>
        <v/>
      </c>
    </row>
    <row r="19">
      <c r="A19">
        <f>IF('03_Helper'!A19="","",'03_Helper'!B19)</f>
        <v/>
      </c>
      <c r="B19">
        <f>IF('03_Helper'!A19="","",'03_Helper'!C19)</f>
        <v/>
      </c>
      <c r="C19">
        <f>IF('03_Helper'!A19="","",'03_Helper'!G19)</f>
        <v/>
      </c>
      <c r="D19">
        <f>IF('03_Helper'!A19="","",'03_Helper'!E19)</f>
        <v/>
      </c>
      <c r="E19">
        <f>IF('03_Helper'!A19="","",'03_Helper'!D19)</f>
        <v/>
      </c>
      <c r="F19">
        <f>IF('03_Helper'!A19="","",'03_Helper'!H19)</f>
        <v/>
      </c>
      <c r="G19">
        <f>IF('03_Helper'!A19="","",'03_Helper'!X19)</f>
        <v/>
      </c>
      <c r="H19">
        <f>IF('03_Helper'!A19="","",'03_Helper'!Y19)</f>
        <v/>
      </c>
      <c r="I19">
        <f>IF('03_Helper'!A19="","",'03_Helper'!Z19)</f>
        <v/>
      </c>
      <c r="J19">
        <f>IF('03_Helper'!A19="","",'03_Helper'!Q19)</f>
        <v/>
      </c>
      <c r="K19">
        <f>IF('03_Helper'!A19="","",'03_Helper'!R19)</f>
        <v/>
      </c>
      <c r="L19">
        <f>IF('03_Helper'!A19="","",'03_Helper'!S19)</f>
        <v/>
      </c>
      <c r="M19">
        <f>IF('03_Helper'!A19="","",'03_Helper'!T19)</f>
        <v/>
      </c>
      <c r="N19">
        <f>IF('03_Helper'!A19="","",'03_Helper'!AA19)</f>
        <v/>
      </c>
      <c r="O19">
        <f>IF('03_Helper'!A19="","",'03_Helper'!AB19)</f>
        <v/>
      </c>
      <c r="P19">
        <f>IF('03_Helper'!A19="","",'03_Helper'!AC19)</f>
        <v/>
      </c>
      <c r="Q19">
        <f>IF('03_Helper'!A19="","",'03_Helper'!AD19)</f>
        <v/>
      </c>
      <c r="R19">
        <f>IF('03_Helper'!A19="","",'03_Helper'!AI19)</f>
        <v/>
      </c>
      <c r="S19">
        <f>IF('03_Helper'!A19="","",'03_Helper'!AJ19)</f>
        <v/>
      </c>
      <c r="T19">
        <f>IF('03_Helper'!A19="","",'03_Helper'!U19)</f>
        <v/>
      </c>
      <c r="U19">
        <f>IF('03_Helper'!A19="","",'03_Helper'!W19)</f>
        <v/>
      </c>
      <c r="V19">
        <f>IF('03_Helper'!A19="","",'03_Helper'!AG19)</f>
        <v/>
      </c>
      <c r="W19">
        <f>IF('03_Helper'!A19="","",'03_Helper'!AK19)</f>
        <v/>
      </c>
      <c r="X19">
        <f>IF('03_Helper'!A19="","",'03_Helper'!K19)</f>
        <v/>
      </c>
      <c r="Y19">
        <f>IF('03_Helper'!A19="","",'03_Helper'!AN19)</f>
        <v/>
      </c>
    </row>
    <row r="20">
      <c r="A20">
        <f>IF('03_Helper'!A20="","",'03_Helper'!B20)</f>
        <v/>
      </c>
      <c r="B20">
        <f>IF('03_Helper'!A20="","",'03_Helper'!C20)</f>
        <v/>
      </c>
      <c r="C20">
        <f>IF('03_Helper'!A20="","",'03_Helper'!G20)</f>
        <v/>
      </c>
      <c r="D20">
        <f>IF('03_Helper'!A20="","",'03_Helper'!E20)</f>
        <v/>
      </c>
      <c r="E20">
        <f>IF('03_Helper'!A20="","",'03_Helper'!D20)</f>
        <v/>
      </c>
      <c r="F20">
        <f>IF('03_Helper'!A20="","",'03_Helper'!H20)</f>
        <v/>
      </c>
      <c r="G20">
        <f>IF('03_Helper'!A20="","",'03_Helper'!X20)</f>
        <v/>
      </c>
      <c r="H20">
        <f>IF('03_Helper'!A20="","",'03_Helper'!Y20)</f>
        <v/>
      </c>
      <c r="I20">
        <f>IF('03_Helper'!A20="","",'03_Helper'!Z20)</f>
        <v/>
      </c>
      <c r="J20">
        <f>IF('03_Helper'!A20="","",'03_Helper'!Q20)</f>
        <v/>
      </c>
      <c r="K20">
        <f>IF('03_Helper'!A20="","",'03_Helper'!R20)</f>
        <v/>
      </c>
      <c r="L20">
        <f>IF('03_Helper'!A20="","",'03_Helper'!S20)</f>
        <v/>
      </c>
      <c r="M20">
        <f>IF('03_Helper'!A20="","",'03_Helper'!T20)</f>
        <v/>
      </c>
      <c r="N20">
        <f>IF('03_Helper'!A20="","",'03_Helper'!AA20)</f>
        <v/>
      </c>
      <c r="O20">
        <f>IF('03_Helper'!A20="","",'03_Helper'!AB20)</f>
        <v/>
      </c>
      <c r="P20">
        <f>IF('03_Helper'!A20="","",'03_Helper'!AC20)</f>
        <v/>
      </c>
      <c r="Q20">
        <f>IF('03_Helper'!A20="","",'03_Helper'!AD20)</f>
        <v/>
      </c>
      <c r="R20">
        <f>IF('03_Helper'!A20="","",'03_Helper'!AI20)</f>
        <v/>
      </c>
      <c r="S20">
        <f>IF('03_Helper'!A20="","",'03_Helper'!AJ20)</f>
        <v/>
      </c>
      <c r="T20">
        <f>IF('03_Helper'!A20="","",'03_Helper'!U20)</f>
        <v/>
      </c>
      <c r="U20">
        <f>IF('03_Helper'!A20="","",'03_Helper'!W20)</f>
        <v/>
      </c>
      <c r="V20">
        <f>IF('03_Helper'!A20="","",'03_Helper'!AG20)</f>
        <v/>
      </c>
      <c r="W20">
        <f>IF('03_Helper'!A20="","",'03_Helper'!AK20)</f>
        <v/>
      </c>
      <c r="X20">
        <f>IF('03_Helper'!A20="","",'03_Helper'!K20)</f>
        <v/>
      </c>
      <c r="Y20">
        <f>IF('03_Helper'!A20="","",'03_Helper'!AN20)</f>
        <v/>
      </c>
    </row>
    <row r="21">
      <c r="A21">
        <f>IF('03_Helper'!A21="","",'03_Helper'!B21)</f>
        <v/>
      </c>
      <c r="B21">
        <f>IF('03_Helper'!A21="","",'03_Helper'!C21)</f>
        <v/>
      </c>
      <c r="C21">
        <f>IF('03_Helper'!A21="","",'03_Helper'!G21)</f>
        <v/>
      </c>
      <c r="D21">
        <f>IF('03_Helper'!A21="","",'03_Helper'!E21)</f>
        <v/>
      </c>
      <c r="E21">
        <f>IF('03_Helper'!A21="","",'03_Helper'!D21)</f>
        <v/>
      </c>
      <c r="F21">
        <f>IF('03_Helper'!A21="","",'03_Helper'!H21)</f>
        <v/>
      </c>
      <c r="G21">
        <f>IF('03_Helper'!A21="","",'03_Helper'!X21)</f>
        <v/>
      </c>
      <c r="H21">
        <f>IF('03_Helper'!A21="","",'03_Helper'!Y21)</f>
        <v/>
      </c>
      <c r="I21">
        <f>IF('03_Helper'!A21="","",'03_Helper'!Z21)</f>
        <v/>
      </c>
      <c r="J21">
        <f>IF('03_Helper'!A21="","",'03_Helper'!Q21)</f>
        <v/>
      </c>
      <c r="K21">
        <f>IF('03_Helper'!A21="","",'03_Helper'!R21)</f>
        <v/>
      </c>
      <c r="L21">
        <f>IF('03_Helper'!A21="","",'03_Helper'!S21)</f>
        <v/>
      </c>
      <c r="M21">
        <f>IF('03_Helper'!A21="","",'03_Helper'!T21)</f>
        <v/>
      </c>
      <c r="N21">
        <f>IF('03_Helper'!A21="","",'03_Helper'!AA21)</f>
        <v/>
      </c>
      <c r="O21">
        <f>IF('03_Helper'!A21="","",'03_Helper'!AB21)</f>
        <v/>
      </c>
      <c r="P21">
        <f>IF('03_Helper'!A21="","",'03_Helper'!AC21)</f>
        <v/>
      </c>
      <c r="Q21">
        <f>IF('03_Helper'!A21="","",'03_Helper'!AD21)</f>
        <v/>
      </c>
      <c r="R21">
        <f>IF('03_Helper'!A21="","",'03_Helper'!AI21)</f>
        <v/>
      </c>
      <c r="S21">
        <f>IF('03_Helper'!A21="","",'03_Helper'!AJ21)</f>
        <v/>
      </c>
      <c r="T21">
        <f>IF('03_Helper'!A21="","",'03_Helper'!U21)</f>
        <v/>
      </c>
      <c r="U21">
        <f>IF('03_Helper'!A21="","",'03_Helper'!W21)</f>
        <v/>
      </c>
      <c r="V21">
        <f>IF('03_Helper'!A21="","",'03_Helper'!AG21)</f>
        <v/>
      </c>
      <c r="W21">
        <f>IF('03_Helper'!A21="","",'03_Helper'!AK21)</f>
        <v/>
      </c>
      <c r="X21">
        <f>IF('03_Helper'!A21="","",'03_Helper'!K21)</f>
        <v/>
      </c>
      <c r="Y21">
        <f>IF('03_Helper'!A21="","",'03_Helper'!AN21)</f>
        <v/>
      </c>
    </row>
    <row r="22">
      <c r="A22">
        <f>IF('03_Helper'!A22="","",'03_Helper'!B22)</f>
        <v/>
      </c>
      <c r="B22">
        <f>IF('03_Helper'!A22="","",'03_Helper'!C22)</f>
        <v/>
      </c>
      <c r="C22">
        <f>IF('03_Helper'!A22="","",'03_Helper'!G22)</f>
        <v/>
      </c>
      <c r="D22">
        <f>IF('03_Helper'!A22="","",'03_Helper'!E22)</f>
        <v/>
      </c>
      <c r="E22">
        <f>IF('03_Helper'!A22="","",'03_Helper'!D22)</f>
        <v/>
      </c>
      <c r="F22">
        <f>IF('03_Helper'!A22="","",'03_Helper'!H22)</f>
        <v/>
      </c>
      <c r="G22">
        <f>IF('03_Helper'!A22="","",'03_Helper'!X22)</f>
        <v/>
      </c>
      <c r="H22">
        <f>IF('03_Helper'!A22="","",'03_Helper'!Y22)</f>
        <v/>
      </c>
      <c r="I22">
        <f>IF('03_Helper'!A22="","",'03_Helper'!Z22)</f>
        <v/>
      </c>
      <c r="J22">
        <f>IF('03_Helper'!A22="","",'03_Helper'!Q22)</f>
        <v/>
      </c>
      <c r="K22">
        <f>IF('03_Helper'!A22="","",'03_Helper'!R22)</f>
        <v/>
      </c>
      <c r="L22">
        <f>IF('03_Helper'!A22="","",'03_Helper'!S22)</f>
        <v/>
      </c>
      <c r="M22">
        <f>IF('03_Helper'!A22="","",'03_Helper'!T22)</f>
        <v/>
      </c>
      <c r="N22">
        <f>IF('03_Helper'!A22="","",'03_Helper'!AA22)</f>
        <v/>
      </c>
      <c r="O22">
        <f>IF('03_Helper'!A22="","",'03_Helper'!AB22)</f>
        <v/>
      </c>
      <c r="P22">
        <f>IF('03_Helper'!A22="","",'03_Helper'!AC22)</f>
        <v/>
      </c>
      <c r="Q22">
        <f>IF('03_Helper'!A22="","",'03_Helper'!AD22)</f>
        <v/>
      </c>
      <c r="R22">
        <f>IF('03_Helper'!A22="","",'03_Helper'!AI22)</f>
        <v/>
      </c>
      <c r="S22">
        <f>IF('03_Helper'!A22="","",'03_Helper'!AJ22)</f>
        <v/>
      </c>
      <c r="T22">
        <f>IF('03_Helper'!A22="","",'03_Helper'!U22)</f>
        <v/>
      </c>
      <c r="U22">
        <f>IF('03_Helper'!A22="","",'03_Helper'!W22)</f>
        <v/>
      </c>
      <c r="V22">
        <f>IF('03_Helper'!A22="","",'03_Helper'!AG22)</f>
        <v/>
      </c>
      <c r="W22">
        <f>IF('03_Helper'!A22="","",'03_Helper'!AK22)</f>
        <v/>
      </c>
      <c r="X22">
        <f>IF('03_Helper'!A22="","",'03_Helper'!K22)</f>
        <v/>
      </c>
      <c r="Y22">
        <f>IF('03_Helper'!A22="","",'03_Helper'!AN22)</f>
        <v/>
      </c>
    </row>
    <row r="23">
      <c r="A23">
        <f>IF('03_Helper'!A23="","",'03_Helper'!B23)</f>
        <v/>
      </c>
      <c r="B23">
        <f>IF('03_Helper'!A23="","",'03_Helper'!C23)</f>
        <v/>
      </c>
      <c r="C23">
        <f>IF('03_Helper'!A23="","",'03_Helper'!G23)</f>
        <v/>
      </c>
      <c r="D23">
        <f>IF('03_Helper'!A23="","",'03_Helper'!E23)</f>
        <v/>
      </c>
      <c r="E23">
        <f>IF('03_Helper'!A23="","",'03_Helper'!D23)</f>
        <v/>
      </c>
      <c r="F23">
        <f>IF('03_Helper'!A23="","",'03_Helper'!H23)</f>
        <v/>
      </c>
      <c r="G23">
        <f>IF('03_Helper'!A23="","",'03_Helper'!X23)</f>
        <v/>
      </c>
      <c r="H23">
        <f>IF('03_Helper'!A23="","",'03_Helper'!Y23)</f>
        <v/>
      </c>
      <c r="I23">
        <f>IF('03_Helper'!A23="","",'03_Helper'!Z23)</f>
        <v/>
      </c>
      <c r="J23">
        <f>IF('03_Helper'!A23="","",'03_Helper'!Q23)</f>
        <v/>
      </c>
      <c r="K23">
        <f>IF('03_Helper'!A23="","",'03_Helper'!R23)</f>
        <v/>
      </c>
      <c r="L23">
        <f>IF('03_Helper'!A23="","",'03_Helper'!S23)</f>
        <v/>
      </c>
      <c r="M23">
        <f>IF('03_Helper'!A23="","",'03_Helper'!T23)</f>
        <v/>
      </c>
      <c r="N23">
        <f>IF('03_Helper'!A23="","",'03_Helper'!AA23)</f>
        <v/>
      </c>
      <c r="O23">
        <f>IF('03_Helper'!A23="","",'03_Helper'!AB23)</f>
        <v/>
      </c>
      <c r="P23">
        <f>IF('03_Helper'!A23="","",'03_Helper'!AC23)</f>
        <v/>
      </c>
      <c r="Q23">
        <f>IF('03_Helper'!A23="","",'03_Helper'!AD23)</f>
        <v/>
      </c>
      <c r="R23">
        <f>IF('03_Helper'!A23="","",'03_Helper'!AI23)</f>
        <v/>
      </c>
      <c r="S23">
        <f>IF('03_Helper'!A23="","",'03_Helper'!AJ23)</f>
        <v/>
      </c>
      <c r="T23">
        <f>IF('03_Helper'!A23="","",'03_Helper'!U23)</f>
        <v/>
      </c>
      <c r="U23">
        <f>IF('03_Helper'!A23="","",'03_Helper'!W23)</f>
        <v/>
      </c>
      <c r="V23">
        <f>IF('03_Helper'!A23="","",'03_Helper'!AG23)</f>
        <v/>
      </c>
      <c r="W23">
        <f>IF('03_Helper'!A23="","",'03_Helper'!AK23)</f>
        <v/>
      </c>
      <c r="X23">
        <f>IF('03_Helper'!A23="","",'03_Helper'!K23)</f>
        <v/>
      </c>
      <c r="Y23">
        <f>IF('03_Helper'!A23="","",'03_Helper'!AN23)</f>
        <v/>
      </c>
    </row>
    <row r="24">
      <c r="A24">
        <f>IF('03_Helper'!A24="","",'03_Helper'!B24)</f>
        <v/>
      </c>
      <c r="B24">
        <f>IF('03_Helper'!A24="","",'03_Helper'!C24)</f>
        <v/>
      </c>
      <c r="C24">
        <f>IF('03_Helper'!A24="","",'03_Helper'!G24)</f>
        <v/>
      </c>
      <c r="D24">
        <f>IF('03_Helper'!A24="","",'03_Helper'!E24)</f>
        <v/>
      </c>
      <c r="E24">
        <f>IF('03_Helper'!A24="","",'03_Helper'!D24)</f>
        <v/>
      </c>
      <c r="F24">
        <f>IF('03_Helper'!A24="","",'03_Helper'!H24)</f>
        <v/>
      </c>
      <c r="G24">
        <f>IF('03_Helper'!A24="","",'03_Helper'!X24)</f>
        <v/>
      </c>
      <c r="H24">
        <f>IF('03_Helper'!A24="","",'03_Helper'!Y24)</f>
        <v/>
      </c>
      <c r="I24">
        <f>IF('03_Helper'!A24="","",'03_Helper'!Z24)</f>
        <v/>
      </c>
      <c r="J24">
        <f>IF('03_Helper'!A24="","",'03_Helper'!Q24)</f>
        <v/>
      </c>
      <c r="K24">
        <f>IF('03_Helper'!A24="","",'03_Helper'!R24)</f>
        <v/>
      </c>
      <c r="L24">
        <f>IF('03_Helper'!A24="","",'03_Helper'!S24)</f>
        <v/>
      </c>
      <c r="M24">
        <f>IF('03_Helper'!A24="","",'03_Helper'!T24)</f>
        <v/>
      </c>
      <c r="N24">
        <f>IF('03_Helper'!A24="","",'03_Helper'!AA24)</f>
        <v/>
      </c>
      <c r="O24">
        <f>IF('03_Helper'!A24="","",'03_Helper'!AB24)</f>
        <v/>
      </c>
      <c r="P24">
        <f>IF('03_Helper'!A24="","",'03_Helper'!AC24)</f>
        <v/>
      </c>
      <c r="Q24">
        <f>IF('03_Helper'!A24="","",'03_Helper'!AD24)</f>
        <v/>
      </c>
      <c r="R24">
        <f>IF('03_Helper'!A24="","",'03_Helper'!AI24)</f>
        <v/>
      </c>
      <c r="S24">
        <f>IF('03_Helper'!A24="","",'03_Helper'!AJ24)</f>
        <v/>
      </c>
      <c r="T24">
        <f>IF('03_Helper'!A24="","",'03_Helper'!U24)</f>
        <v/>
      </c>
      <c r="U24">
        <f>IF('03_Helper'!A24="","",'03_Helper'!W24)</f>
        <v/>
      </c>
      <c r="V24">
        <f>IF('03_Helper'!A24="","",'03_Helper'!AG24)</f>
        <v/>
      </c>
      <c r="W24">
        <f>IF('03_Helper'!A24="","",'03_Helper'!AK24)</f>
        <v/>
      </c>
      <c r="X24">
        <f>IF('03_Helper'!A24="","",'03_Helper'!K24)</f>
        <v/>
      </c>
      <c r="Y24">
        <f>IF('03_Helper'!A24="","",'03_Helper'!AN24)</f>
        <v/>
      </c>
    </row>
    <row r="25">
      <c r="A25">
        <f>IF('03_Helper'!A25="","",'03_Helper'!B25)</f>
        <v/>
      </c>
      <c r="B25">
        <f>IF('03_Helper'!A25="","",'03_Helper'!C25)</f>
        <v/>
      </c>
      <c r="C25">
        <f>IF('03_Helper'!A25="","",'03_Helper'!G25)</f>
        <v/>
      </c>
      <c r="D25">
        <f>IF('03_Helper'!A25="","",'03_Helper'!E25)</f>
        <v/>
      </c>
      <c r="E25">
        <f>IF('03_Helper'!A25="","",'03_Helper'!D25)</f>
        <v/>
      </c>
      <c r="F25">
        <f>IF('03_Helper'!A25="","",'03_Helper'!H25)</f>
        <v/>
      </c>
      <c r="G25">
        <f>IF('03_Helper'!A25="","",'03_Helper'!X25)</f>
        <v/>
      </c>
      <c r="H25">
        <f>IF('03_Helper'!A25="","",'03_Helper'!Y25)</f>
        <v/>
      </c>
      <c r="I25">
        <f>IF('03_Helper'!A25="","",'03_Helper'!Z25)</f>
        <v/>
      </c>
      <c r="J25">
        <f>IF('03_Helper'!A25="","",'03_Helper'!Q25)</f>
        <v/>
      </c>
      <c r="K25">
        <f>IF('03_Helper'!A25="","",'03_Helper'!R25)</f>
        <v/>
      </c>
      <c r="L25">
        <f>IF('03_Helper'!A25="","",'03_Helper'!S25)</f>
        <v/>
      </c>
      <c r="M25">
        <f>IF('03_Helper'!A25="","",'03_Helper'!T25)</f>
        <v/>
      </c>
      <c r="N25">
        <f>IF('03_Helper'!A25="","",'03_Helper'!AA25)</f>
        <v/>
      </c>
      <c r="O25">
        <f>IF('03_Helper'!A25="","",'03_Helper'!AB25)</f>
        <v/>
      </c>
      <c r="P25">
        <f>IF('03_Helper'!A25="","",'03_Helper'!AC25)</f>
        <v/>
      </c>
      <c r="Q25">
        <f>IF('03_Helper'!A25="","",'03_Helper'!AD25)</f>
        <v/>
      </c>
      <c r="R25">
        <f>IF('03_Helper'!A25="","",'03_Helper'!AI25)</f>
        <v/>
      </c>
      <c r="S25">
        <f>IF('03_Helper'!A25="","",'03_Helper'!AJ25)</f>
        <v/>
      </c>
      <c r="T25">
        <f>IF('03_Helper'!A25="","",'03_Helper'!U25)</f>
        <v/>
      </c>
      <c r="U25">
        <f>IF('03_Helper'!A25="","",'03_Helper'!W25)</f>
        <v/>
      </c>
      <c r="V25">
        <f>IF('03_Helper'!A25="","",'03_Helper'!AG25)</f>
        <v/>
      </c>
      <c r="W25">
        <f>IF('03_Helper'!A25="","",'03_Helper'!AK25)</f>
        <v/>
      </c>
      <c r="X25">
        <f>IF('03_Helper'!A25="","",'03_Helper'!K25)</f>
        <v/>
      </c>
      <c r="Y25">
        <f>IF('03_Helper'!A25="","",'03_Helper'!AN25)</f>
        <v/>
      </c>
    </row>
    <row r="26">
      <c r="A26">
        <f>IF('03_Helper'!A26="","",'03_Helper'!B26)</f>
        <v/>
      </c>
      <c r="B26">
        <f>IF('03_Helper'!A26="","",'03_Helper'!C26)</f>
        <v/>
      </c>
      <c r="C26">
        <f>IF('03_Helper'!A26="","",'03_Helper'!G26)</f>
        <v/>
      </c>
      <c r="D26">
        <f>IF('03_Helper'!A26="","",'03_Helper'!E26)</f>
        <v/>
      </c>
      <c r="E26">
        <f>IF('03_Helper'!A26="","",'03_Helper'!D26)</f>
        <v/>
      </c>
      <c r="F26">
        <f>IF('03_Helper'!A26="","",'03_Helper'!H26)</f>
        <v/>
      </c>
      <c r="G26">
        <f>IF('03_Helper'!A26="","",'03_Helper'!X26)</f>
        <v/>
      </c>
      <c r="H26">
        <f>IF('03_Helper'!A26="","",'03_Helper'!Y26)</f>
        <v/>
      </c>
      <c r="I26">
        <f>IF('03_Helper'!A26="","",'03_Helper'!Z26)</f>
        <v/>
      </c>
      <c r="J26">
        <f>IF('03_Helper'!A26="","",'03_Helper'!Q26)</f>
        <v/>
      </c>
      <c r="K26">
        <f>IF('03_Helper'!A26="","",'03_Helper'!R26)</f>
        <v/>
      </c>
      <c r="L26">
        <f>IF('03_Helper'!A26="","",'03_Helper'!S26)</f>
        <v/>
      </c>
      <c r="M26">
        <f>IF('03_Helper'!A26="","",'03_Helper'!T26)</f>
        <v/>
      </c>
      <c r="N26">
        <f>IF('03_Helper'!A26="","",'03_Helper'!AA26)</f>
        <v/>
      </c>
      <c r="O26">
        <f>IF('03_Helper'!A26="","",'03_Helper'!AB26)</f>
        <v/>
      </c>
      <c r="P26">
        <f>IF('03_Helper'!A26="","",'03_Helper'!AC26)</f>
        <v/>
      </c>
      <c r="Q26">
        <f>IF('03_Helper'!A26="","",'03_Helper'!AD26)</f>
        <v/>
      </c>
      <c r="R26">
        <f>IF('03_Helper'!A26="","",'03_Helper'!AI26)</f>
        <v/>
      </c>
      <c r="S26">
        <f>IF('03_Helper'!A26="","",'03_Helper'!AJ26)</f>
        <v/>
      </c>
      <c r="T26">
        <f>IF('03_Helper'!A26="","",'03_Helper'!U26)</f>
        <v/>
      </c>
      <c r="U26">
        <f>IF('03_Helper'!A26="","",'03_Helper'!W26)</f>
        <v/>
      </c>
      <c r="V26">
        <f>IF('03_Helper'!A26="","",'03_Helper'!AG26)</f>
        <v/>
      </c>
      <c r="W26">
        <f>IF('03_Helper'!A26="","",'03_Helper'!AK26)</f>
        <v/>
      </c>
      <c r="X26">
        <f>IF('03_Helper'!A26="","",'03_Helper'!K26)</f>
        <v/>
      </c>
      <c r="Y26">
        <f>IF('03_Helper'!A26="","",'03_Helper'!AN26)</f>
        <v/>
      </c>
    </row>
    <row r="27">
      <c r="A27">
        <f>IF('03_Helper'!A27="","",'03_Helper'!B27)</f>
        <v/>
      </c>
      <c r="B27">
        <f>IF('03_Helper'!A27="","",'03_Helper'!C27)</f>
        <v/>
      </c>
      <c r="C27">
        <f>IF('03_Helper'!A27="","",'03_Helper'!G27)</f>
        <v/>
      </c>
      <c r="D27">
        <f>IF('03_Helper'!A27="","",'03_Helper'!E27)</f>
        <v/>
      </c>
      <c r="E27">
        <f>IF('03_Helper'!A27="","",'03_Helper'!D27)</f>
        <v/>
      </c>
      <c r="F27">
        <f>IF('03_Helper'!A27="","",'03_Helper'!H27)</f>
        <v/>
      </c>
      <c r="G27">
        <f>IF('03_Helper'!A27="","",'03_Helper'!X27)</f>
        <v/>
      </c>
      <c r="H27">
        <f>IF('03_Helper'!A27="","",'03_Helper'!Y27)</f>
        <v/>
      </c>
      <c r="I27">
        <f>IF('03_Helper'!A27="","",'03_Helper'!Z27)</f>
        <v/>
      </c>
      <c r="J27">
        <f>IF('03_Helper'!A27="","",'03_Helper'!Q27)</f>
        <v/>
      </c>
      <c r="K27">
        <f>IF('03_Helper'!A27="","",'03_Helper'!R27)</f>
        <v/>
      </c>
      <c r="L27">
        <f>IF('03_Helper'!A27="","",'03_Helper'!S27)</f>
        <v/>
      </c>
      <c r="M27">
        <f>IF('03_Helper'!A27="","",'03_Helper'!T27)</f>
        <v/>
      </c>
      <c r="N27">
        <f>IF('03_Helper'!A27="","",'03_Helper'!AA27)</f>
        <v/>
      </c>
      <c r="O27">
        <f>IF('03_Helper'!A27="","",'03_Helper'!AB27)</f>
        <v/>
      </c>
      <c r="P27">
        <f>IF('03_Helper'!A27="","",'03_Helper'!AC27)</f>
        <v/>
      </c>
      <c r="Q27">
        <f>IF('03_Helper'!A27="","",'03_Helper'!AD27)</f>
        <v/>
      </c>
      <c r="R27">
        <f>IF('03_Helper'!A27="","",'03_Helper'!AI27)</f>
        <v/>
      </c>
      <c r="S27">
        <f>IF('03_Helper'!A27="","",'03_Helper'!AJ27)</f>
        <v/>
      </c>
      <c r="T27">
        <f>IF('03_Helper'!A27="","",'03_Helper'!U27)</f>
        <v/>
      </c>
      <c r="U27">
        <f>IF('03_Helper'!A27="","",'03_Helper'!W27)</f>
        <v/>
      </c>
      <c r="V27">
        <f>IF('03_Helper'!A27="","",'03_Helper'!AG27)</f>
        <v/>
      </c>
      <c r="W27">
        <f>IF('03_Helper'!A27="","",'03_Helper'!AK27)</f>
        <v/>
      </c>
      <c r="X27">
        <f>IF('03_Helper'!A27="","",'03_Helper'!K27)</f>
        <v/>
      </c>
      <c r="Y27">
        <f>IF('03_Helper'!A27="","",'03_Helper'!AN27)</f>
        <v/>
      </c>
    </row>
    <row r="28">
      <c r="A28">
        <f>IF('03_Helper'!A28="","",'03_Helper'!B28)</f>
        <v/>
      </c>
      <c r="B28">
        <f>IF('03_Helper'!A28="","",'03_Helper'!C28)</f>
        <v/>
      </c>
      <c r="C28">
        <f>IF('03_Helper'!A28="","",'03_Helper'!G28)</f>
        <v/>
      </c>
      <c r="D28">
        <f>IF('03_Helper'!A28="","",'03_Helper'!E28)</f>
        <v/>
      </c>
      <c r="E28">
        <f>IF('03_Helper'!A28="","",'03_Helper'!D28)</f>
        <v/>
      </c>
      <c r="F28">
        <f>IF('03_Helper'!A28="","",'03_Helper'!H28)</f>
        <v/>
      </c>
      <c r="G28">
        <f>IF('03_Helper'!A28="","",'03_Helper'!X28)</f>
        <v/>
      </c>
      <c r="H28">
        <f>IF('03_Helper'!A28="","",'03_Helper'!Y28)</f>
        <v/>
      </c>
      <c r="I28">
        <f>IF('03_Helper'!A28="","",'03_Helper'!Z28)</f>
        <v/>
      </c>
      <c r="J28">
        <f>IF('03_Helper'!A28="","",'03_Helper'!Q28)</f>
        <v/>
      </c>
      <c r="K28">
        <f>IF('03_Helper'!A28="","",'03_Helper'!R28)</f>
        <v/>
      </c>
      <c r="L28">
        <f>IF('03_Helper'!A28="","",'03_Helper'!S28)</f>
        <v/>
      </c>
      <c r="M28">
        <f>IF('03_Helper'!A28="","",'03_Helper'!T28)</f>
        <v/>
      </c>
      <c r="N28">
        <f>IF('03_Helper'!A28="","",'03_Helper'!AA28)</f>
        <v/>
      </c>
      <c r="O28">
        <f>IF('03_Helper'!A28="","",'03_Helper'!AB28)</f>
        <v/>
      </c>
      <c r="P28">
        <f>IF('03_Helper'!A28="","",'03_Helper'!AC28)</f>
        <v/>
      </c>
      <c r="Q28">
        <f>IF('03_Helper'!A28="","",'03_Helper'!AD28)</f>
        <v/>
      </c>
      <c r="R28">
        <f>IF('03_Helper'!A28="","",'03_Helper'!AI28)</f>
        <v/>
      </c>
      <c r="S28">
        <f>IF('03_Helper'!A28="","",'03_Helper'!AJ28)</f>
        <v/>
      </c>
      <c r="T28">
        <f>IF('03_Helper'!A28="","",'03_Helper'!U28)</f>
        <v/>
      </c>
      <c r="U28">
        <f>IF('03_Helper'!A28="","",'03_Helper'!W28)</f>
        <v/>
      </c>
      <c r="V28">
        <f>IF('03_Helper'!A28="","",'03_Helper'!AG28)</f>
        <v/>
      </c>
      <c r="W28">
        <f>IF('03_Helper'!A28="","",'03_Helper'!AK28)</f>
        <v/>
      </c>
      <c r="X28">
        <f>IF('03_Helper'!A28="","",'03_Helper'!K28)</f>
        <v/>
      </c>
      <c r="Y28">
        <f>IF('03_Helper'!A28="","",'03_Helper'!AN28)</f>
        <v/>
      </c>
    </row>
    <row r="29">
      <c r="A29">
        <f>IF('03_Helper'!A29="","",'03_Helper'!B29)</f>
        <v/>
      </c>
      <c r="B29">
        <f>IF('03_Helper'!A29="","",'03_Helper'!C29)</f>
        <v/>
      </c>
      <c r="C29">
        <f>IF('03_Helper'!A29="","",'03_Helper'!G29)</f>
        <v/>
      </c>
      <c r="D29">
        <f>IF('03_Helper'!A29="","",'03_Helper'!E29)</f>
        <v/>
      </c>
      <c r="E29">
        <f>IF('03_Helper'!A29="","",'03_Helper'!D29)</f>
        <v/>
      </c>
      <c r="F29">
        <f>IF('03_Helper'!A29="","",'03_Helper'!H29)</f>
        <v/>
      </c>
      <c r="G29">
        <f>IF('03_Helper'!A29="","",'03_Helper'!X29)</f>
        <v/>
      </c>
      <c r="H29">
        <f>IF('03_Helper'!A29="","",'03_Helper'!Y29)</f>
        <v/>
      </c>
      <c r="I29">
        <f>IF('03_Helper'!A29="","",'03_Helper'!Z29)</f>
        <v/>
      </c>
      <c r="J29">
        <f>IF('03_Helper'!A29="","",'03_Helper'!Q29)</f>
        <v/>
      </c>
      <c r="K29">
        <f>IF('03_Helper'!A29="","",'03_Helper'!R29)</f>
        <v/>
      </c>
      <c r="L29">
        <f>IF('03_Helper'!A29="","",'03_Helper'!S29)</f>
        <v/>
      </c>
      <c r="M29">
        <f>IF('03_Helper'!A29="","",'03_Helper'!T29)</f>
        <v/>
      </c>
      <c r="N29">
        <f>IF('03_Helper'!A29="","",'03_Helper'!AA29)</f>
        <v/>
      </c>
      <c r="O29">
        <f>IF('03_Helper'!A29="","",'03_Helper'!AB29)</f>
        <v/>
      </c>
      <c r="P29">
        <f>IF('03_Helper'!A29="","",'03_Helper'!AC29)</f>
        <v/>
      </c>
      <c r="Q29">
        <f>IF('03_Helper'!A29="","",'03_Helper'!AD29)</f>
        <v/>
      </c>
      <c r="R29">
        <f>IF('03_Helper'!A29="","",'03_Helper'!AI29)</f>
        <v/>
      </c>
      <c r="S29">
        <f>IF('03_Helper'!A29="","",'03_Helper'!AJ29)</f>
        <v/>
      </c>
      <c r="T29">
        <f>IF('03_Helper'!A29="","",'03_Helper'!U29)</f>
        <v/>
      </c>
      <c r="U29">
        <f>IF('03_Helper'!A29="","",'03_Helper'!W29)</f>
        <v/>
      </c>
      <c r="V29">
        <f>IF('03_Helper'!A29="","",'03_Helper'!AG29)</f>
        <v/>
      </c>
      <c r="W29">
        <f>IF('03_Helper'!A29="","",'03_Helper'!AK29)</f>
        <v/>
      </c>
      <c r="X29">
        <f>IF('03_Helper'!A29="","",'03_Helper'!K29)</f>
        <v/>
      </c>
      <c r="Y29">
        <f>IF('03_Helper'!A29="","",'03_Helper'!AN29)</f>
        <v/>
      </c>
    </row>
    <row r="30">
      <c r="A30">
        <f>IF('03_Helper'!A30="","",'03_Helper'!B30)</f>
        <v/>
      </c>
      <c r="B30">
        <f>IF('03_Helper'!A30="","",'03_Helper'!C30)</f>
        <v/>
      </c>
      <c r="C30">
        <f>IF('03_Helper'!A30="","",'03_Helper'!G30)</f>
        <v/>
      </c>
      <c r="D30">
        <f>IF('03_Helper'!A30="","",'03_Helper'!E30)</f>
        <v/>
      </c>
      <c r="E30">
        <f>IF('03_Helper'!A30="","",'03_Helper'!D30)</f>
        <v/>
      </c>
      <c r="F30">
        <f>IF('03_Helper'!A30="","",'03_Helper'!H30)</f>
        <v/>
      </c>
      <c r="G30">
        <f>IF('03_Helper'!A30="","",'03_Helper'!X30)</f>
        <v/>
      </c>
      <c r="H30">
        <f>IF('03_Helper'!A30="","",'03_Helper'!Y30)</f>
        <v/>
      </c>
      <c r="I30">
        <f>IF('03_Helper'!A30="","",'03_Helper'!Z30)</f>
        <v/>
      </c>
      <c r="J30">
        <f>IF('03_Helper'!A30="","",'03_Helper'!Q30)</f>
        <v/>
      </c>
      <c r="K30">
        <f>IF('03_Helper'!A30="","",'03_Helper'!R30)</f>
        <v/>
      </c>
      <c r="L30">
        <f>IF('03_Helper'!A30="","",'03_Helper'!S30)</f>
        <v/>
      </c>
      <c r="M30">
        <f>IF('03_Helper'!A30="","",'03_Helper'!T30)</f>
        <v/>
      </c>
      <c r="N30">
        <f>IF('03_Helper'!A30="","",'03_Helper'!AA30)</f>
        <v/>
      </c>
      <c r="O30">
        <f>IF('03_Helper'!A30="","",'03_Helper'!AB30)</f>
        <v/>
      </c>
      <c r="P30">
        <f>IF('03_Helper'!A30="","",'03_Helper'!AC30)</f>
        <v/>
      </c>
      <c r="Q30">
        <f>IF('03_Helper'!A30="","",'03_Helper'!AD30)</f>
        <v/>
      </c>
      <c r="R30">
        <f>IF('03_Helper'!A30="","",'03_Helper'!AI30)</f>
        <v/>
      </c>
      <c r="S30">
        <f>IF('03_Helper'!A30="","",'03_Helper'!AJ30)</f>
        <v/>
      </c>
      <c r="T30">
        <f>IF('03_Helper'!A30="","",'03_Helper'!U30)</f>
        <v/>
      </c>
      <c r="U30">
        <f>IF('03_Helper'!A30="","",'03_Helper'!W30)</f>
        <v/>
      </c>
      <c r="V30">
        <f>IF('03_Helper'!A30="","",'03_Helper'!AG30)</f>
        <v/>
      </c>
      <c r="W30">
        <f>IF('03_Helper'!A30="","",'03_Helper'!AK30)</f>
        <v/>
      </c>
      <c r="X30">
        <f>IF('03_Helper'!A30="","",'03_Helper'!K30)</f>
        <v/>
      </c>
      <c r="Y30">
        <f>IF('03_Helper'!A30="","",'03_Helper'!AN30)</f>
        <v/>
      </c>
    </row>
    <row r="31">
      <c r="A31">
        <f>IF('03_Helper'!A31="","",'03_Helper'!B31)</f>
        <v/>
      </c>
      <c r="B31">
        <f>IF('03_Helper'!A31="","",'03_Helper'!C31)</f>
        <v/>
      </c>
      <c r="C31">
        <f>IF('03_Helper'!A31="","",'03_Helper'!G31)</f>
        <v/>
      </c>
      <c r="D31">
        <f>IF('03_Helper'!A31="","",'03_Helper'!E31)</f>
        <v/>
      </c>
      <c r="E31">
        <f>IF('03_Helper'!A31="","",'03_Helper'!D31)</f>
        <v/>
      </c>
      <c r="F31">
        <f>IF('03_Helper'!A31="","",'03_Helper'!H31)</f>
        <v/>
      </c>
      <c r="G31">
        <f>IF('03_Helper'!A31="","",'03_Helper'!X31)</f>
        <v/>
      </c>
      <c r="H31">
        <f>IF('03_Helper'!A31="","",'03_Helper'!Y31)</f>
        <v/>
      </c>
      <c r="I31">
        <f>IF('03_Helper'!A31="","",'03_Helper'!Z31)</f>
        <v/>
      </c>
      <c r="J31">
        <f>IF('03_Helper'!A31="","",'03_Helper'!Q31)</f>
        <v/>
      </c>
      <c r="K31">
        <f>IF('03_Helper'!A31="","",'03_Helper'!R31)</f>
        <v/>
      </c>
      <c r="L31">
        <f>IF('03_Helper'!A31="","",'03_Helper'!S31)</f>
        <v/>
      </c>
      <c r="M31">
        <f>IF('03_Helper'!A31="","",'03_Helper'!T31)</f>
        <v/>
      </c>
      <c r="N31">
        <f>IF('03_Helper'!A31="","",'03_Helper'!AA31)</f>
        <v/>
      </c>
      <c r="O31">
        <f>IF('03_Helper'!A31="","",'03_Helper'!AB31)</f>
        <v/>
      </c>
      <c r="P31">
        <f>IF('03_Helper'!A31="","",'03_Helper'!AC31)</f>
        <v/>
      </c>
      <c r="Q31">
        <f>IF('03_Helper'!A31="","",'03_Helper'!AD31)</f>
        <v/>
      </c>
      <c r="R31">
        <f>IF('03_Helper'!A31="","",'03_Helper'!AI31)</f>
        <v/>
      </c>
      <c r="S31">
        <f>IF('03_Helper'!A31="","",'03_Helper'!AJ31)</f>
        <v/>
      </c>
      <c r="T31">
        <f>IF('03_Helper'!A31="","",'03_Helper'!U31)</f>
        <v/>
      </c>
      <c r="U31">
        <f>IF('03_Helper'!A31="","",'03_Helper'!W31)</f>
        <v/>
      </c>
      <c r="V31">
        <f>IF('03_Helper'!A31="","",'03_Helper'!AG31)</f>
        <v/>
      </c>
      <c r="W31">
        <f>IF('03_Helper'!A31="","",'03_Helper'!AK31)</f>
        <v/>
      </c>
      <c r="X31">
        <f>IF('03_Helper'!A31="","",'03_Helper'!K31)</f>
        <v/>
      </c>
      <c r="Y31">
        <f>IF('03_Helper'!A31="","",'03_Helper'!AN31)</f>
        <v/>
      </c>
    </row>
    <row r="32">
      <c r="A32">
        <f>IF('03_Helper'!A32="","",'03_Helper'!B32)</f>
        <v/>
      </c>
      <c r="B32">
        <f>IF('03_Helper'!A32="","",'03_Helper'!C32)</f>
        <v/>
      </c>
      <c r="C32">
        <f>IF('03_Helper'!A32="","",'03_Helper'!G32)</f>
        <v/>
      </c>
      <c r="D32">
        <f>IF('03_Helper'!A32="","",'03_Helper'!E32)</f>
        <v/>
      </c>
      <c r="E32">
        <f>IF('03_Helper'!A32="","",'03_Helper'!D32)</f>
        <v/>
      </c>
      <c r="F32">
        <f>IF('03_Helper'!A32="","",'03_Helper'!H32)</f>
        <v/>
      </c>
      <c r="G32">
        <f>IF('03_Helper'!A32="","",'03_Helper'!X32)</f>
        <v/>
      </c>
      <c r="H32">
        <f>IF('03_Helper'!A32="","",'03_Helper'!Y32)</f>
        <v/>
      </c>
      <c r="I32">
        <f>IF('03_Helper'!A32="","",'03_Helper'!Z32)</f>
        <v/>
      </c>
      <c r="J32">
        <f>IF('03_Helper'!A32="","",'03_Helper'!Q32)</f>
        <v/>
      </c>
      <c r="K32">
        <f>IF('03_Helper'!A32="","",'03_Helper'!R32)</f>
        <v/>
      </c>
      <c r="L32">
        <f>IF('03_Helper'!A32="","",'03_Helper'!S32)</f>
        <v/>
      </c>
      <c r="M32">
        <f>IF('03_Helper'!A32="","",'03_Helper'!T32)</f>
        <v/>
      </c>
      <c r="N32">
        <f>IF('03_Helper'!A32="","",'03_Helper'!AA32)</f>
        <v/>
      </c>
      <c r="O32">
        <f>IF('03_Helper'!A32="","",'03_Helper'!AB32)</f>
        <v/>
      </c>
      <c r="P32">
        <f>IF('03_Helper'!A32="","",'03_Helper'!AC32)</f>
        <v/>
      </c>
      <c r="Q32">
        <f>IF('03_Helper'!A32="","",'03_Helper'!AD32)</f>
        <v/>
      </c>
      <c r="R32">
        <f>IF('03_Helper'!A32="","",'03_Helper'!AI32)</f>
        <v/>
      </c>
      <c r="S32">
        <f>IF('03_Helper'!A32="","",'03_Helper'!AJ32)</f>
        <v/>
      </c>
      <c r="T32">
        <f>IF('03_Helper'!A32="","",'03_Helper'!U32)</f>
        <v/>
      </c>
      <c r="U32">
        <f>IF('03_Helper'!A32="","",'03_Helper'!W32)</f>
        <v/>
      </c>
      <c r="V32">
        <f>IF('03_Helper'!A32="","",'03_Helper'!AG32)</f>
        <v/>
      </c>
      <c r="W32">
        <f>IF('03_Helper'!A32="","",'03_Helper'!AK32)</f>
        <v/>
      </c>
      <c r="X32">
        <f>IF('03_Helper'!A32="","",'03_Helper'!K32)</f>
        <v/>
      </c>
      <c r="Y32">
        <f>IF('03_Helper'!A32="","",'03_Helper'!AN32)</f>
        <v/>
      </c>
    </row>
    <row r="33">
      <c r="A33">
        <f>IF('03_Helper'!A33="","",'03_Helper'!B33)</f>
        <v/>
      </c>
      <c r="B33">
        <f>IF('03_Helper'!A33="","",'03_Helper'!C33)</f>
        <v/>
      </c>
      <c r="C33">
        <f>IF('03_Helper'!A33="","",'03_Helper'!G33)</f>
        <v/>
      </c>
      <c r="D33">
        <f>IF('03_Helper'!A33="","",'03_Helper'!E33)</f>
        <v/>
      </c>
      <c r="E33">
        <f>IF('03_Helper'!A33="","",'03_Helper'!D33)</f>
        <v/>
      </c>
      <c r="F33">
        <f>IF('03_Helper'!A33="","",'03_Helper'!H33)</f>
        <v/>
      </c>
      <c r="G33">
        <f>IF('03_Helper'!A33="","",'03_Helper'!X33)</f>
        <v/>
      </c>
      <c r="H33">
        <f>IF('03_Helper'!A33="","",'03_Helper'!Y33)</f>
        <v/>
      </c>
      <c r="I33">
        <f>IF('03_Helper'!A33="","",'03_Helper'!Z33)</f>
        <v/>
      </c>
      <c r="J33">
        <f>IF('03_Helper'!A33="","",'03_Helper'!Q33)</f>
        <v/>
      </c>
      <c r="K33">
        <f>IF('03_Helper'!A33="","",'03_Helper'!R33)</f>
        <v/>
      </c>
      <c r="L33">
        <f>IF('03_Helper'!A33="","",'03_Helper'!S33)</f>
        <v/>
      </c>
      <c r="M33">
        <f>IF('03_Helper'!A33="","",'03_Helper'!T33)</f>
        <v/>
      </c>
      <c r="N33">
        <f>IF('03_Helper'!A33="","",'03_Helper'!AA33)</f>
        <v/>
      </c>
      <c r="O33">
        <f>IF('03_Helper'!A33="","",'03_Helper'!AB33)</f>
        <v/>
      </c>
      <c r="P33">
        <f>IF('03_Helper'!A33="","",'03_Helper'!AC33)</f>
        <v/>
      </c>
      <c r="Q33">
        <f>IF('03_Helper'!A33="","",'03_Helper'!AD33)</f>
        <v/>
      </c>
      <c r="R33">
        <f>IF('03_Helper'!A33="","",'03_Helper'!AI33)</f>
        <v/>
      </c>
      <c r="S33">
        <f>IF('03_Helper'!A33="","",'03_Helper'!AJ33)</f>
        <v/>
      </c>
      <c r="T33">
        <f>IF('03_Helper'!A33="","",'03_Helper'!U33)</f>
        <v/>
      </c>
      <c r="U33">
        <f>IF('03_Helper'!A33="","",'03_Helper'!W33)</f>
        <v/>
      </c>
      <c r="V33">
        <f>IF('03_Helper'!A33="","",'03_Helper'!AG33)</f>
        <v/>
      </c>
      <c r="W33">
        <f>IF('03_Helper'!A33="","",'03_Helper'!AK33)</f>
        <v/>
      </c>
      <c r="X33">
        <f>IF('03_Helper'!A33="","",'03_Helper'!K33)</f>
        <v/>
      </c>
      <c r="Y33">
        <f>IF('03_Helper'!A33="","",'03_Helper'!AN33)</f>
        <v/>
      </c>
    </row>
    <row r="34">
      <c r="A34">
        <f>IF('03_Helper'!A34="","",'03_Helper'!B34)</f>
        <v/>
      </c>
      <c r="B34">
        <f>IF('03_Helper'!A34="","",'03_Helper'!C34)</f>
        <v/>
      </c>
      <c r="C34">
        <f>IF('03_Helper'!A34="","",'03_Helper'!G34)</f>
        <v/>
      </c>
      <c r="D34">
        <f>IF('03_Helper'!A34="","",'03_Helper'!E34)</f>
        <v/>
      </c>
      <c r="E34">
        <f>IF('03_Helper'!A34="","",'03_Helper'!D34)</f>
        <v/>
      </c>
      <c r="F34">
        <f>IF('03_Helper'!A34="","",'03_Helper'!H34)</f>
        <v/>
      </c>
      <c r="G34">
        <f>IF('03_Helper'!A34="","",'03_Helper'!X34)</f>
        <v/>
      </c>
      <c r="H34">
        <f>IF('03_Helper'!A34="","",'03_Helper'!Y34)</f>
        <v/>
      </c>
      <c r="I34">
        <f>IF('03_Helper'!A34="","",'03_Helper'!Z34)</f>
        <v/>
      </c>
      <c r="J34">
        <f>IF('03_Helper'!A34="","",'03_Helper'!Q34)</f>
        <v/>
      </c>
      <c r="K34">
        <f>IF('03_Helper'!A34="","",'03_Helper'!R34)</f>
        <v/>
      </c>
      <c r="L34">
        <f>IF('03_Helper'!A34="","",'03_Helper'!S34)</f>
        <v/>
      </c>
      <c r="M34">
        <f>IF('03_Helper'!A34="","",'03_Helper'!T34)</f>
        <v/>
      </c>
      <c r="N34">
        <f>IF('03_Helper'!A34="","",'03_Helper'!AA34)</f>
        <v/>
      </c>
      <c r="O34">
        <f>IF('03_Helper'!A34="","",'03_Helper'!AB34)</f>
        <v/>
      </c>
      <c r="P34">
        <f>IF('03_Helper'!A34="","",'03_Helper'!AC34)</f>
        <v/>
      </c>
      <c r="Q34">
        <f>IF('03_Helper'!A34="","",'03_Helper'!AD34)</f>
        <v/>
      </c>
      <c r="R34">
        <f>IF('03_Helper'!A34="","",'03_Helper'!AI34)</f>
        <v/>
      </c>
      <c r="S34">
        <f>IF('03_Helper'!A34="","",'03_Helper'!AJ34)</f>
        <v/>
      </c>
      <c r="T34">
        <f>IF('03_Helper'!A34="","",'03_Helper'!U34)</f>
        <v/>
      </c>
      <c r="U34">
        <f>IF('03_Helper'!A34="","",'03_Helper'!W34)</f>
        <v/>
      </c>
      <c r="V34">
        <f>IF('03_Helper'!A34="","",'03_Helper'!AG34)</f>
        <v/>
      </c>
      <c r="W34">
        <f>IF('03_Helper'!A34="","",'03_Helper'!AK34)</f>
        <v/>
      </c>
      <c r="X34">
        <f>IF('03_Helper'!A34="","",'03_Helper'!K34)</f>
        <v/>
      </c>
      <c r="Y34">
        <f>IF('03_Helper'!A34="","",'03_Helper'!AN34)</f>
        <v/>
      </c>
    </row>
    <row r="35">
      <c r="A35">
        <f>IF('03_Helper'!A35="","",'03_Helper'!B35)</f>
        <v/>
      </c>
      <c r="B35">
        <f>IF('03_Helper'!A35="","",'03_Helper'!C35)</f>
        <v/>
      </c>
      <c r="C35">
        <f>IF('03_Helper'!A35="","",'03_Helper'!G35)</f>
        <v/>
      </c>
      <c r="D35">
        <f>IF('03_Helper'!A35="","",'03_Helper'!E35)</f>
        <v/>
      </c>
      <c r="E35">
        <f>IF('03_Helper'!A35="","",'03_Helper'!D35)</f>
        <v/>
      </c>
      <c r="F35">
        <f>IF('03_Helper'!A35="","",'03_Helper'!H35)</f>
        <v/>
      </c>
      <c r="G35">
        <f>IF('03_Helper'!A35="","",'03_Helper'!X35)</f>
        <v/>
      </c>
      <c r="H35">
        <f>IF('03_Helper'!A35="","",'03_Helper'!Y35)</f>
        <v/>
      </c>
      <c r="I35">
        <f>IF('03_Helper'!A35="","",'03_Helper'!Z35)</f>
        <v/>
      </c>
      <c r="J35">
        <f>IF('03_Helper'!A35="","",'03_Helper'!Q35)</f>
        <v/>
      </c>
      <c r="K35">
        <f>IF('03_Helper'!A35="","",'03_Helper'!R35)</f>
        <v/>
      </c>
      <c r="L35">
        <f>IF('03_Helper'!A35="","",'03_Helper'!S35)</f>
        <v/>
      </c>
      <c r="M35">
        <f>IF('03_Helper'!A35="","",'03_Helper'!T35)</f>
        <v/>
      </c>
      <c r="N35">
        <f>IF('03_Helper'!A35="","",'03_Helper'!AA35)</f>
        <v/>
      </c>
      <c r="O35">
        <f>IF('03_Helper'!A35="","",'03_Helper'!AB35)</f>
        <v/>
      </c>
      <c r="P35">
        <f>IF('03_Helper'!A35="","",'03_Helper'!AC35)</f>
        <v/>
      </c>
      <c r="Q35">
        <f>IF('03_Helper'!A35="","",'03_Helper'!AD35)</f>
        <v/>
      </c>
      <c r="R35">
        <f>IF('03_Helper'!A35="","",'03_Helper'!AI35)</f>
        <v/>
      </c>
      <c r="S35">
        <f>IF('03_Helper'!A35="","",'03_Helper'!AJ35)</f>
        <v/>
      </c>
      <c r="T35">
        <f>IF('03_Helper'!A35="","",'03_Helper'!U35)</f>
        <v/>
      </c>
      <c r="U35">
        <f>IF('03_Helper'!A35="","",'03_Helper'!W35)</f>
        <v/>
      </c>
      <c r="V35">
        <f>IF('03_Helper'!A35="","",'03_Helper'!AG35)</f>
        <v/>
      </c>
      <c r="W35">
        <f>IF('03_Helper'!A35="","",'03_Helper'!AK35)</f>
        <v/>
      </c>
      <c r="X35">
        <f>IF('03_Helper'!A35="","",'03_Helper'!K35)</f>
        <v/>
      </c>
      <c r="Y35">
        <f>IF('03_Helper'!A35="","",'03_Helper'!AN35)</f>
        <v/>
      </c>
    </row>
    <row r="36">
      <c r="A36">
        <f>IF('03_Helper'!A36="","",'03_Helper'!B36)</f>
        <v/>
      </c>
      <c r="B36">
        <f>IF('03_Helper'!A36="","",'03_Helper'!C36)</f>
        <v/>
      </c>
      <c r="C36">
        <f>IF('03_Helper'!A36="","",'03_Helper'!G36)</f>
        <v/>
      </c>
      <c r="D36">
        <f>IF('03_Helper'!A36="","",'03_Helper'!E36)</f>
        <v/>
      </c>
      <c r="E36">
        <f>IF('03_Helper'!A36="","",'03_Helper'!D36)</f>
        <v/>
      </c>
      <c r="F36">
        <f>IF('03_Helper'!A36="","",'03_Helper'!H36)</f>
        <v/>
      </c>
      <c r="G36">
        <f>IF('03_Helper'!A36="","",'03_Helper'!X36)</f>
        <v/>
      </c>
      <c r="H36">
        <f>IF('03_Helper'!A36="","",'03_Helper'!Y36)</f>
        <v/>
      </c>
      <c r="I36">
        <f>IF('03_Helper'!A36="","",'03_Helper'!Z36)</f>
        <v/>
      </c>
      <c r="J36">
        <f>IF('03_Helper'!A36="","",'03_Helper'!Q36)</f>
        <v/>
      </c>
      <c r="K36">
        <f>IF('03_Helper'!A36="","",'03_Helper'!R36)</f>
        <v/>
      </c>
      <c r="L36">
        <f>IF('03_Helper'!A36="","",'03_Helper'!S36)</f>
        <v/>
      </c>
      <c r="M36">
        <f>IF('03_Helper'!A36="","",'03_Helper'!T36)</f>
        <v/>
      </c>
      <c r="N36">
        <f>IF('03_Helper'!A36="","",'03_Helper'!AA36)</f>
        <v/>
      </c>
      <c r="O36">
        <f>IF('03_Helper'!A36="","",'03_Helper'!AB36)</f>
        <v/>
      </c>
      <c r="P36">
        <f>IF('03_Helper'!A36="","",'03_Helper'!AC36)</f>
        <v/>
      </c>
      <c r="Q36">
        <f>IF('03_Helper'!A36="","",'03_Helper'!AD36)</f>
        <v/>
      </c>
      <c r="R36">
        <f>IF('03_Helper'!A36="","",'03_Helper'!AI36)</f>
        <v/>
      </c>
      <c r="S36">
        <f>IF('03_Helper'!A36="","",'03_Helper'!AJ36)</f>
        <v/>
      </c>
      <c r="T36">
        <f>IF('03_Helper'!A36="","",'03_Helper'!U36)</f>
        <v/>
      </c>
      <c r="U36">
        <f>IF('03_Helper'!A36="","",'03_Helper'!W36)</f>
        <v/>
      </c>
      <c r="V36">
        <f>IF('03_Helper'!A36="","",'03_Helper'!AG36)</f>
        <v/>
      </c>
      <c r="W36">
        <f>IF('03_Helper'!A36="","",'03_Helper'!AK36)</f>
        <v/>
      </c>
      <c r="X36">
        <f>IF('03_Helper'!A36="","",'03_Helper'!K36)</f>
        <v/>
      </c>
      <c r="Y36">
        <f>IF('03_Helper'!A36="","",'03_Helper'!AN36)</f>
        <v/>
      </c>
    </row>
    <row r="37">
      <c r="A37">
        <f>IF('03_Helper'!A37="","",'03_Helper'!B37)</f>
        <v/>
      </c>
      <c r="B37">
        <f>IF('03_Helper'!A37="","",'03_Helper'!C37)</f>
        <v/>
      </c>
      <c r="C37">
        <f>IF('03_Helper'!A37="","",'03_Helper'!G37)</f>
        <v/>
      </c>
      <c r="D37">
        <f>IF('03_Helper'!A37="","",'03_Helper'!E37)</f>
        <v/>
      </c>
      <c r="E37">
        <f>IF('03_Helper'!A37="","",'03_Helper'!D37)</f>
        <v/>
      </c>
      <c r="F37">
        <f>IF('03_Helper'!A37="","",'03_Helper'!H37)</f>
        <v/>
      </c>
      <c r="G37">
        <f>IF('03_Helper'!A37="","",'03_Helper'!X37)</f>
        <v/>
      </c>
      <c r="H37">
        <f>IF('03_Helper'!A37="","",'03_Helper'!Y37)</f>
        <v/>
      </c>
      <c r="I37">
        <f>IF('03_Helper'!A37="","",'03_Helper'!Z37)</f>
        <v/>
      </c>
      <c r="J37">
        <f>IF('03_Helper'!A37="","",'03_Helper'!Q37)</f>
        <v/>
      </c>
      <c r="K37">
        <f>IF('03_Helper'!A37="","",'03_Helper'!R37)</f>
        <v/>
      </c>
      <c r="L37">
        <f>IF('03_Helper'!A37="","",'03_Helper'!S37)</f>
        <v/>
      </c>
      <c r="M37">
        <f>IF('03_Helper'!A37="","",'03_Helper'!T37)</f>
        <v/>
      </c>
      <c r="N37">
        <f>IF('03_Helper'!A37="","",'03_Helper'!AA37)</f>
        <v/>
      </c>
      <c r="O37">
        <f>IF('03_Helper'!A37="","",'03_Helper'!AB37)</f>
        <v/>
      </c>
      <c r="P37">
        <f>IF('03_Helper'!A37="","",'03_Helper'!AC37)</f>
        <v/>
      </c>
      <c r="Q37">
        <f>IF('03_Helper'!A37="","",'03_Helper'!AD37)</f>
        <v/>
      </c>
      <c r="R37">
        <f>IF('03_Helper'!A37="","",'03_Helper'!AI37)</f>
        <v/>
      </c>
      <c r="S37">
        <f>IF('03_Helper'!A37="","",'03_Helper'!AJ37)</f>
        <v/>
      </c>
      <c r="T37">
        <f>IF('03_Helper'!A37="","",'03_Helper'!U37)</f>
        <v/>
      </c>
      <c r="U37">
        <f>IF('03_Helper'!A37="","",'03_Helper'!W37)</f>
        <v/>
      </c>
      <c r="V37">
        <f>IF('03_Helper'!A37="","",'03_Helper'!AG37)</f>
        <v/>
      </c>
      <c r="W37">
        <f>IF('03_Helper'!A37="","",'03_Helper'!AK37)</f>
        <v/>
      </c>
      <c r="X37">
        <f>IF('03_Helper'!A37="","",'03_Helper'!K37)</f>
        <v/>
      </c>
      <c r="Y37">
        <f>IF('03_Helper'!A37="","",'03_Helper'!AN37)</f>
        <v/>
      </c>
    </row>
    <row r="38">
      <c r="A38">
        <f>IF('03_Helper'!A38="","",'03_Helper'!B38)</f>
        <v/>
      </c>
      <c r="B38">
        <f>IF('03_Helper'!A38="","",'03_Helper'!C38)</f>
        <v/>
      </c>
      <c r="C38">
        <f>IF('03_Helper'!A38="","",'03_Helper'!G38)</f>
        <v/>
      </c>
      <c r="D38">
        <f>IF('03_Helper'!A38="","",'03_Helper'!E38)</f>
        <v/>
      </c>
      <c r="E38">
        <f>IF('03_Helper'!A38="","",'03_Helper'!D38)</f>
        <v/>
      </c>
      <c r="F38">
        <f>IF('03_Helper'!A38="","",'03_Helper'!H38)</f>
        <v/>
      </c>
      <c r="G38">
        <f>IF('03_Helper'!A38="","",'03_Helper'!X38)</f>
        <v/>
      </c>
      <c r="H38">
        <f>IF('03_Helper'!A38="","",'03_Helper'!Y38)</f>
        <v/>
      </c>
      <c r="I38">
        <f>IF('03_Helper'!A38="","",'03_Helper'!Z38)</f>
        <v/>
      </c>
      <c r="J38">
        <f>IF('03_Helper'!A38="","",'03_Helper'!Q38)</f>
        <v/>
      </c>
      <c r="K38">
        <f>IF('03_Helper'!A38="","",'03_Helper'!R38)</f>
        <v/>
      </c>
      <c r="L38">
        <f>IF('03_Helper'!A38="","",'03_Helper'!S38)</f>
        <v/>
      </c>
      <c r="M38">
        <f>IF('03_Helper'!A38="","",'03_Helper'!T38)</f>
        <v/>
      </c>
      <c r="N38">
        <f>IF('03_Helper'!A38="","",'03_Helper'!AA38)</f>
        <v/>
      </c>
      <c r="O38">
        <f>IF('03_Helper'!A38="","",'03_Helper'!AB38)</f>
        <v/>
      </c>
      <c r="P38">
        <f>IF('03_Helper'!A38="","",'03_Helper'!AC38)</f>
        <v/>
      </c>
      <c r="Q38">
        <f>IF('03_Helper'!A38="","",'03_Helper'!AD38)</f>
        <v/>
      </c>
      <c r="R38">
        <f>IF('03_Helper'!A38="","",'03_Helper'!AI38)</f>
        <v/>
      </c>
      <c r="S38">
        <f>IF('03_Helper'!A38="","",'03_Helper'!AJ38)</f>
        <v/>
      </c>
      <c r="T38">
        <f>IF('03_Helper'!A38="","",'03_Helper'!U38)</f>
        <v/>
      </c>
      <c r="U38">
        <f>IF('03_Helper'!A38="","",'03_Helper'!W38)</f>
        <v/>
      </c>
      <c r="V38">
        <f>IF('03_Helper'!A38="","",'03_Helper'!AG38)</f>
        <v/>
      </c>
      <c r="W38">
        <f>IF('03_Helper'!A38="","",'03_Helper'!AK38)</f>
        <v/>
      </c>
      <c r="X38">
        <f>IF('03_Helper'!A38="","",'03_Helper'!K38)</f>
        <v/>
      </c>
      <c r="Y38">
        <f>IF('03_Helper'!A38="","",'03_Helper'!AN38)</f>
        <v/>
      </c>
    </row>
    <row r="39">
      <c r="A39">
        <f>IF('03_Helper'!A39="","",'03_Helper'!B39)</f>
        <v/>
      </c>
      <c r="B39">
        <f>IF('03_Helper'!A39="","",'03_Helper'!C39)</f>
        <v/>
      </c>
      <c r="C39">
        <f>IF('03_Helper'!A39="","",'03_Helper'!G39)</f>
        <v/>
      </c>
      <c r="D39">
        <f>IF('03_Helper'!A39="","",'03_Helper'!E39)</f>
        <v/>
      </c>
      <c r="E39">
        <f>IF('03_Helper'!A39="","",'03_Helper'!D39)</f>
        <v/>
      </c>
      <c r="F39">
        <f>IF('03_Helper'!A39="","",'03_Helper'!H39)</f>
        <v/>
      </c>
      <c r="G39">
        <f>IF('03_Helper'!A39="","",'03_Helper'!X39)</f>
        <v/>
      </c>
      <c r="H39">
        <f>IF('03_Helper'!A39="","",'03_Helper'!Y39)</f>
        <v/>
      </c>
      <c r="I39">
        <f>IF('03_Helper'!A39="","",'03_Helper'!Z39)</f>
        <v/>
      </c>
      <c r="J39">
        <f>IF('03_Helper'!A39="","",'03_Helper'!Q39)</f>
        <v/>
      </c>
      <c r="K39">
        <f>IF('03_Helper'!A39="","",'03_Helper'!R39)</f>
        <v/>
      </c>
      <c r="L39">
        <f>IF('03_Helper'!A39="","",'03_Helper'!S39)</f>
        <v/>
      </c>
      <c r="M39">
        <f>IF('03_Helper'!A39="","",'03_Helper'!T39)</f>
        <v/>
      </c>
      <c r="N39">
        <f>IF('03_Helper'!A39="","",'03_Helper'!AA39)</f>
        <v/>
      </c>
      <c r="O39">
        <f>IF('03_Helper'!A39="","",'03_Helper'!AB39)</f>
        <v/>
      </c>
      <c r="P39">
        <f>IF('03_Helper'!A39="","",'03_Helper'!AC39)</f>
        <v/>
      </c>
      <c r="Q39">
        <f>IF('03_Helper'!A39="","",'03_Helper'!AD39)</f>
        <v/>
      </c>
      <c r="R39">
        <f>IF('03_Helper'!A39="","",'03_Helper'!AI39)</f>
        <v/>
      </c>
      <c r="S39">
        <f>IF('03_Helper'!A39="","",'03_Helper'!AJ39)</f>
        <v/>
      </c>
      <c r="T39">
        <f>IF('03_Helper'!A39="","",'03_Helper'!U39)</f>
        <v/>
      </c>
      <c r="U39">
        <f>IF('03_Helper'!A39="","",'03_Helper'!W39)</f>
        <v/>
      </c>
      <c r="V39">
        <f>IF('03_Helper'!A39="","",'03_Helper'!AG39)</f>
        <v/>
      </c>
      <c r="W39">
        <f>IF('03_Helper'!A39="","",'03_Helper'!AK39)</f>
        <v/>
      </c>
      <c r="X39">
        <f>IF('03_Helper'!A39="","",'03_Helper'!K39)</f>
        <v/>
      </c>
      <c r="Y39">
        <f>IF('03_Helper'!A39="","",'03_Helper'!AN39)</f>
        <v/>
      </c>
    </row>
    <row r="40">
      <c r="A40">
        <f>IF('03_Helper'!A40="","",'03_Helper'!B40)</f>
        <v/>
      </c>
      <c r="B40">
        <f>IF('03_Helper'!A40="","",'03_Helper'!C40)</f>
        <v/>
      </c>
      <c r="C40">
        <f>IF('03_Helper'!A40="","",'03_Helper'!G40)</f>
        <v/>
      </c>
      <c r="D40">
        <f>IF('03_Helper'!A40="","",'03_Helper'!E40)</f>
        <v/>
      </c>
      <c r="E40">
        <f>IF('03_Helper'!A40="","",'03_Helper'!D40)</f>
        <v/>
      </c>
      <c r="F40">
        <f>IF('03_Helper'!A40="","",'03_Helper'!H40)</f>
        <v/>
      </c>
      <c r="G40">
        <f>IF('03_Helper'!A40="","",'03_Helper'!X40)</f>
        <v/>
      </c>
      <c r="H40">
        <f>IF('03_Helper'!A40="","",'03_Helper'!Y40)</f>
        <v/>
      </c>
      <c r="I40">
        <f>IF('03_Helper'!A40="","",'03_Helper'!Z40)</f>
        <v/>
      </c>
      <c r="J40">
        <f>IF('03_Helper'!A40="","",'03_Helper'!Q40)</f>
        <v/>
      </c>
      <c r="K40">
        <f>IF('03_Helper'!A40="","",'03_Helper'!R40)</f>
        <v/>
      </c>
      <c r="L40">
        <f>IF('03_Helper'!A40="","",'03_Helper'!S40)</f>
        <v/>
      </c>
      <c r="M40">
        <f>IF('03_Helper'!A40="","",'03_Helper'!T40)</f>
        <v/>
      </c>
      <c r="N40">
        <f>IF('03_Helper'!A40="","",'03_Helper'!AA40)</f>
        <v/>
      </c>
      <c r="O40">
        <f>IF('03_Helper'!A40="","",'03_Helper'!AB40)</f>
        <v/>
      </c>
      <c r="P40">
        <f>IF('03_Helper'!A40="","",'03_Helper'!AC40)</f>
        <v/>
      </c>
      <c r="Q40">
        <f>IF('03_Helper'!A40="","",'03_Helper'!AD40)</f>
        <v/>
      </c>
      <c r="R40">
        <f>IF('03_Helper'!A40="","",'03_Helper'!AI40)</f>
        <v/>
      </c>
      <c r="S40">
        <f>IF('03_Helper'!A40="","",'03_Helper'!AJ40)</f>
        <v/>
      </c>
      <c r="T40">
        <f>IF('03_Helper'!A40="","",'03_Helper'!U40)</f>
        <v/>
      </c>
      <c r="U40">
        <f>IF('03_Helper'!A40="","",'03_Helper'!W40)</f>
        <v/>
      </c>
      <c r="V40">
        <f>IF('03_Helper'!A40="","",'03_Helper'!AG40)</f>
        <v/>
      </c>
      <c r="W40">
        <f>IF('03_Helper'!A40="","",'03_Helper'!AK40)</f>
        <v/>
      </c>
      <c r="X40">
        <f>IF('03_Helper'!A40="","",'03_Helper'!K40)</f>
        <v/>
      </c>
      <c r="Y40">
        <f>IF('03_Helper'!A40="","",'03_Helper'!AN40)</f>
        <v/>
      </c>
    </row>
    <row r="41">
      <c r="A41">
        <f>IF('03_Helper'!A41="","",'03_Helper'!B41)</f>
        <v/>
      </c>
      <c r="B41">
        <f>IF('03_Helper'!A41="","",'03_Helper'!C41)</f>
        <v/>
      </c>
      <c r="C41">
        <f>IF('03_Helper'!A41="","",'03_Helper'!G41)</f>
        <v/>
      </c>
      <c r="D41">
        <f>IF('03_Helper'!A41="","",'03_Helper'!E41)</f>
        <v/>
      </c>
      <c r="E41">
        <f>IF('03_Helper'!A41="","",'03_Helper'!D41)</f>
        <v/>
      </c>
      <c r="F41">
        <f>IF('03_Helper'!A41="","",'03_Helper'!H41)</f>
        <v/>
      </c>
      <c r="G41">
        <f>IF('03_Helper'!A41="","",'03_Helper'!X41)</f>
        <v/>
      </c>
      <c r="H41">
        <f>IF('03_Helper'!A41="","",'03_Helper'!Y41)</f>
        <v/>
      </c>
      <c r="I41">
        <f>IF('03_Helper'!A41="","",'03_Helper'!Z41)</f>
        <v/>
      </c>
      <c r="J41">
        <f>IF('03_Helper'!A41="","",'03_Helper'!Q41)</f>
        <v/>
      </c>
      <c r="K41">
        <f>IF('03_Helper'!A41="","",'03_Helper'!R41)</f>
        <v/>
      </c>
      <c r="L41">
        <f>IF('03_Helper'!A41="","",'03_Helper'!S41)</f>
        <v/>
      </c>
      <c r="M41">
        <f>IF('03_Helper'!A41="","",'03_Helper'!T41)</f>
        <v/>
      </c>
      <c r="N41">
        <f>IF('03_Helper'!A41="","",'03_Helper'!AA41)</f>
        <v/>
      </c>
      <c r="O41">
        <f>IF('03_Helper'!A41="","",'03_Helper'!AB41)</f>
        <v/>
      </c>
      <c r="P41">
        <f>IF('03_Helper'!A41="","",'03_Helper'!AC41)</f>
        <v/>
      </c>
      <c r="Q41">
        <f>IF('03_Helper'!A41="","",'03_Helper'!AD41)</f>
        <v/>
      </c>
      <c r="R41">
        <f>IF('03_Helper'!A41="","",'03_Helper'!AI41)</f>
        <v/>
      </c>
      <c r="S41">
        <f>IF('03_Helper'!A41="","",'03_Helper'!AJ41)</f>
        <v/>
      </c>
      <c r="T41">
        <f>IF('03_Helper'!A41="","",'03_Helper'!U41)</f>
        <v/>
      </c>
      <c r="U41">
        <f>IF('03_Helper'!A41="","",'03_Helper'!W41)</f>
        <v/>
      </c>
      <c r="V41">
        <f>IF('03_Helper'!A41="","",'03_Helper'!AG41)</f>
        <v/>
      </c>
      <c r="W41">
        <f>IF('03_Helper'!A41="","",'03_Helper'!AK41)</f>
        <v/>
      </c>
      <c r="X41">
        <f>IF('03_Helper'!A41="","",'03_Helper'!K41)</f>
        <v/>
      </c>
      <c r="Y41">
        <f>IF('03_Helper'!A41="","",'03_Helper'!AN41)</f>
        <v/>
      </c>
    </row>
    <row r="42">
      <c r="A42">
        <f>IF('03_Helper'!A42="","",'03_Helper'!B42)</f>
        <v/>
      </c>
      <c r="B42">
        <f>IF('03_Helper'!A42="","",'03_Helper'!C42)</f>
        <v/>
      </c>
      <c r="C42">
        <f>IF('03_Helper'!A42="","",'03_Helper'!G42)</f>
        <v/>
      </c>
      <c r="D42">
        <f>IF('03_Helper'!A42="","",'03_Helper'!E42)</f>
        <v/>
      </c>
      <c r="E42">
        <f>IF('03_Helper'!A42="","",'03_Helper'!D42)</f>
        <v/>
      </c>
      <c r="F42">
        <f>IF('03_Helper'!A42="","",'03_Helper'!H42)</f>
        <v/>
      </c>
      <c r="G42">
        <f>IF('03_Helper'!A42="","",'03_Helper'!X42)</f>
        <v/>
      </c>
      <c r="H42">
        <f>IF('03_Helper'!A42="","",'03_Helper'!Y42)</f>
        <v/>
      </c>
      <c r="I42">
        <f>IF('03_Helper'!A42="","",'03_Helper'!Z42)</f>
        <v/>
      </c>
      <c r="J42">
        <f>IF('03_Helper'!A42="","",'03_Helper'!Q42)</f>
        <v/>
      </c>
      <c r="K42">
        <f>IF('03_Helper'!A42="","",'03_Helper'!R42)</f>
        <v/>
      </c>
      <c r="L42">
        <f>IF('03_Helper'!A42="","",'03_Helper'!S42)</f>
        <v/>
      </c>
      <c r="M42">
        <f>IF('03_Helper'!A42="","",'03_Helper'!T42)</f>
        <v/>
      </c>
      <c r="N42">
        <f>IF('03_Helper'!A42="","",'03_Helper'!AA42)</f>
        <v/>
      </c>
      <c r="O42">
        <f>IF('03_Helper'!A42="","",'03_Helper'!AB42)</f>
        <v/>
      </c>
      <c r="P42">
        <f>IF('03_Helper'!A42="","",'03_Helper'!AC42)</f>
        <v/>
      </c>
      <c r="Q42">
        <f>IF('03_Helper'!A42="","",'03_Helper'!AD42)</f>
        <v/>
      </c>
      <c r="R42">
        <f>IF('03_Helper'!A42="","",'03_Helper'!AI42)</f>
        <v/>
      </c>
      <c r="S42">
        <f>IF('03_Helper'!A42="","",'03_Helper'!AJ42)</f>
        <v/>
      </c>
      <c r="T42">
        <f>IF('03_Helper'!A42="","",'03_Helper'!U42)</f>
        <v/>
      </c>
      <c r="U42">
        <f>IF('03_Helper'!A42="","",'03_Helper'!W42)</f>
        <v/>
      </c>
      <c r="V42">
        <f>IF('03_Helper'!A42="","",'03_Helper'!AG42)</f>
        <v/>
      </c>
      <c r="W42">
        <f>IF('03_Helper'!A42="","",'03_Helper'!AK42)</f>
        <v/>
      </c>
      <c r="X42">
        <f>IF('03_Helper'!A42="","",'03_Helper'!K42)</f>
        <v/>
      </c>
      <c r="Y42">
        <f>IF('03_Helper'!A42="","",'03_Helper'!AN42)</f>
        <v/>
      </c>
    </row>
    <row r="43">
      <c r="A43">
        <f>IF('03_Helper'!A43="","",'03_Helper'!B43)</f>
        <v/>
      </c>
      <c r="B43">
        <f>IF('03_Helper'!A43="","",'03_Helper'!C43)</f>
        <v/>
      </c>
      <c r="C43">
        <f>IF('03_Helper'!A43="","",'03_Helper'!G43)</f>
        <v/>
      </c>
      <c r="D43">
        <f>IF('03_Helper'!A43="","",'03_Helper'!E43)</f>
        <v/>
      </c>
      <c r="E43">
        <f>IF('03_Helper'!A43="","",'03_Helper'!D43)</f>
        <v/>
      </c>
      <c r="F43">
        <f>IF('03_Helper'!A43="","",'03_Helper'!H43)</f>
        <v/>
      </c>
      <c r="G43">
        <f>IF('03_Helper'!A43="","",'03_Helper'!X43)</f>
        <v/>
      </c>
      <c r="H43">
        <f>IF('03_Helper'!A43="","",'03_Helper'!Y43)</f>
        <v/>
      </c>
      <c r="I43">
        <f>IF('03_Helper'!A43="","",'03_Helper'!Z43)</f>
        <v/>
      </c>
      <c r="J43">
        <f>IF('03_Helper'!A43="","",'03_Helper'!Q43)</f>
        <v/>
      </c>
      <c r="K43">
        <f>IF('03_Helper'!A43="","",'03_Helper'!R43)</f>
        <v/>
      </c>
      <c r="L43">
        <f>IF('03_Helper'!A43="","",'03_Helper'!S43)</f>
        <v/>
      </c>
      <c r="M43">
        <f>IF('03_Helper'!A43="","",'03_Helper'!T43)</f>
        <v/>
      </c>
      <c r="N43">
        <f>IF('03_Helper'!A43="","",'03_Helper'!AA43)</f>
        <v/>
      </c>
      <c r="O43">
        <f>IF('03_Helper'!A43="","",'03_Helper'!AB43)</f>
        <v/>
      </c>
      <c r="P43">
        <f>IF('03_Helper'!A43="","",'03_Helper'!AC43)</f>
        <v/>
      </c>
      <c r="Q43">
        <f>IF('03_Helper'!A43="","",'03_Helper'!AD43)</f>
        <v/>
      </c>
      <c r="R43">
        <f>IF('03_Helper'!A43="","",'03_Helper'!AI43)</f>
        <v/>
      </c>
      <c r="S43">
        <f>IF('03_Helper'!A43="","",'03_Helper'!AJ43)</f>
        <v/>
      </c>
      <c r="T43">
        <f>IF('03_Helper'!A43="","",'03_Helper'!U43)</f>
        <v/>
      </c>
      <c r="U43">
        <f>IF('03_Helper'!A43="","",'03_Helper'!W43)</f>
        <v/>
      </c>
      <c r="V43">
        <f>IF('03_Helper'!A43="","",'03_Helper'!AG43)</f>
        <v/>
      </c>
      <c r="W43">
        <f>IF('03_Helper'!A43="","",'03_Helper'!AK43)</f>
        <v/>
      </c>
      <c r="X43">
        <f>IF('03_Helper'!A43="","",'03_Helper'!K43)</f>
        <v/>
      </c>
      <c r="Y43">
        <f>IF('03_Helper'!A43="","",'03_Helper'!AN43)</f>
        <v/>
      </c>
    </row>
    <row r="44">
      <c r="A44">
        <f>IF('03_Helper'!A44="","",'03_Helper'!B44)</f>
        <v/>
      </c>
      <c r="B44">
        <f>IF('03_Helper'!A44="","",'03_Helper'!C44)</f>
        <v/>
      </c>
      <c r="C44">
        <f>IF('03_Helper'!A44="","",'03_Helper'!G44)</f>
        <v/>
      </c>
      <c r="D44">
        <f>IF('03_Helper'!A44="","",'03_Helper'!E44)</f>
        <v/>
      </c>
      <c r="E44">
        <f>IF('03_Helper'!A44="","",'03_Helper'!D44)</f>
        <v/>
      </c>
      <c r="F44">
        <f>IF('03_Helper'!A44="","",'03_Helper'!H44)</f>
        <v/>
      </c>
      <c r="G44">
        <f>IF('03_Helper'!A44="","",'03_Helper'!X44)</f>
        <v/>
      </c>
      <c r="H44">
        <f>IF('03_Helper'!A44="","",'03_Helper'!Y44)</f>
        <v/>
      </c>
      <c r="I44">
        <f>IF('03_Helper'!A44="","",'03_Helper'!Z44)</f>
        <v/>
      </c>
      <c r="J44">
        <f>IF('03_Helper'!A44="","",'03_Helper'!Q44)</f>
        <v/>
      </c>
      <c r="K44">
        <f>IF('03_Helper'!A44="","",'03_Helper'!R44)</f>
        <v/>
      </c>
      <c r="L44">
        <f>IF('03_Helper'!A44="","",'03_Helper'!S44)</f>
        <v/>
      </c>
      <c r="M44">
        <f>IF('03_Helper'!A44="","",'03_Helper'!T44)</f>
        <v/>
      </c>
      <c r="N44">
        <f>IF('03_Helper'!A44="","",'03_Helper'!AA44)</f>
        <v/>
      </c>
      <c r="O44">
        <f>IF('03_Helper'!A44="","",'03_Helper'!AB44)</f>
        <v/>
      </c>
      <c r="P44">
        <f>IF('03_Helper'!A44="","",'03_Helper'!AC44)</f>
        <v/>
      </c>
      <c r="Q44">
        <f>IF('03_Helper'!A44="","",'03_Helper'!AD44)</f>
        <v/>
      </c>
      <c r="R44">
        <f>IF('03_Helper'!A44="","",'03_Helper'!AI44)</f>
        <v/>
      </c>
      <c r="S44">
        <f>IF('03_Helper'!A44="","",'03_Helper'!AJ44)</f>
        <v/>
      </c>
      <c r="T44">
        <f>IF('03_Helper'!A44="","",'03_Helper'!U44)</f>
        <v/>
      </c>
      <c r="U44">
        <f>IF('03_Helper'!A44="","",'03_Helper'!W44)</f>
        <v/>
      </c>
      <c r="V44">
        <f>IF('03_Helper'!A44="","",'03_Helper'!AG44)</f>
        <v/>
      </c>
      <c r="W44">
        <f>IF('03_Helper'!A44="","",'03_Helper'!AK44)</f>
        <v/>
      </c>
      <c r="X44">
        <f>IF('03_Helper'!A44="","",'03_Helper'!K44)</f>
        <v/>
      </c>
      <c r="Y44">
        <f>IF('03_Helper'!A44="","",'03_Helper'!AN44)</f>
        <v/>
      </c>
    </row>
    <row r="45">
      <c r="A45">
        <f>IF('03_Helper'!A45="","",'03_Helper'!B45)</f>
        <v/>
      </c>
      <c r="B45">
        <f>IF('03_Helper'!A45="","",'03_Helper'!C45)</f>
        <v/>
      </c>
      <c r="C45">
        <f>IF('03_Helper'!A45="","",'03_Helper'!G45)</f>
        <v/>
      </c>
      <c r="D45">
        <f>IF('03_Helper'!A45="","",'03_Helper'!E45)</f>
        <v/>
      </c>
      <c r="E45">
        <f>IF('03_Helper'!A45="","",'03_Helper'!D45)</f>
        <v/>
      </c>
      <c r="F45">
        <f>IF('03_Helper'!A45="","",'03_Helper'!H45)</f>
        <v/>
      </c>
      <c r="G45">
        <f>IF('03_Helper'!A45="","",'03_Helper'!X45)</f>
        <v/>
      </c>
      <c r="H45">
        <f>IF('03_Helper'!A45="","",'03_Helper'!Y45)</f>
        <v/>
      </c>
      <c r="I45">
        <f>IF('03_Helper'!A45="","",'03_Helper'!Z45)</f>
        <v/>
      </c>
      <c r="J45">
        <f>IF('03_Helper'!A45="","",'03_Helper'!Q45)</f>
        <v/>
      </c>
      <c r="K45">
        <f>IF('03_Helper'!A45="","",'03_Helper'!R45)</f>
        <v/>
      </c>
      <c r="L45">
        <f>IF('03_Helper'!A45="","",'03_Helper'!S45)</f>
        <v/>
      </c>
      <c r="M45">
        <f>IF('03_Helper'!A45="","",'03_Helper'!T45)</f>
        <v/>
      </c>
      <c r="N45">
        <f>IF('03_Helper'!A45="","",'03_Helper'!AA45)</f>
        <v/>
      </c>
      <c r="O45">
        <f>IF('03_Helper'!A45="","",'03_Helper'!AB45)</f>
        <v/>
      </c>
      <c r="P45">
        <f>IF('03_Helper'!A45="","",'03_Helper'!AC45)</f>
        <v/>
      </c>
      <c r="Q45">
        <f>IF('03_Helper'!A45="","",'03_Helper'!AD45)</f>
        <v/>
      </c>
      <c r="R45">
        <f>IF('03_Helper'!A45="","",'03_Helper'!AI45)</f>
        <v/>
      </c>
      <c r="S45">
        <f>IF('03_Helper'!A45="","",'03_Helper'!AJ45)</f>
        <v/>
      </c>
      <c r="T45">
        <f>IF('03_Helper'!A45="","",'03_Helper'!U45)</f>
        <v/>
      </c>
      <c r="U45">
        <f>IF('03_Helper'!A45="","",'03_Helper'!W45)</f>
        <v/>
      </c>
      <c r="V45">
        <f>IF('03_Helper'!A45="","",'03_Helper'!AG45)</f>
        <v/>
      </c>
      <c r="W45">
        <f>IF('03_Helper'!A45="","",'03_Helper'!AK45)</f>
        <v/>
      </c>
      <c r="X45">
        <f>IF('03_Helper'!A45="","",'03_Helper'!K45)</f>
        <v/>
      </c>
      <c r="Y45">
        <f>IF('03_Helper'!A45="","",'03_Helper'!AN45)</f>
        <v/>
      </c>
    </row>
    <row r="46">
      <c r="A46">
        <f>IF('03_Helper'!A46="","",'03_Helper'!B46)</f>
        <v/>
      </c>
      <c r="B46">
        <f>IF('03_Helper'!A46="","",'03_Helper'!C46)</f>
        <v/>
      </c>
      <c r="C46">
        <f>IF('03_Helper'!A46="","",'03_Helper'!G46)</f>
        <v/>
      </c>
      <c r="D46">
        <f>IF('03_Helper'!A46="","",'03_Helper'!E46)</f>
        <v/>
      </c>
      <c r="E46">
        <f>IF('03_Helper'!A46="","",'03_Helper'!D46)</f>
        <v/>
      </c>
      <c r="F46">
        <f>IF('03_Helper'!A46="","",'03_Helper'!H46)</f>
        <v/>
      </c>
      <c r="G46">
        <f>IF('03_Helper'!A46="","",'03_Helper'!X46)</f>
        <v/>
      </c>
      <c r="H46">
        <f>IF('03_Helper'!A46="","",'03_Helper'!Y46)</f>
        <v/>
      </c>
      <c r="I46">
        <f>IF('03_Helper'!A46="","",'03_Helper'!Z46)</f>
        <v/>
      </c>
      <c r="J46">
        <f>IF('03_Helper'!A46="","",'03_Helper'!Q46)</f>
        <v/>
      </c>
      <c r="K46">
        <f>IF('03_Helper'!A46="","",'03_Helper'!R46)</f>
        <v/>
      </c>
      <c r="L46">
        <f>IF('03_Helper'!A46="","",'03_Helper'!S46)</f>
        <v/>
      </c>
      <c r="M46">
        <f>IF('03_Helper'!A46="","",'03_Helper'!T46)</f>
        <v/>
      </c>
      <c r="N46">
        <f>IF('03_Helper'!A46="","",'03_Helper'!AA46)</f>
        <v/>
      </c>
      <c r="O46">
        <f>IF('03_Helper'!A46="","",'03_Helper'!AB46)</f>
        <v/>
      </c>
      <c r="P46">
        <f>IF('03_Helper'!A46="","",'03_Helper'!AC46)</f>
        <v/>
      </c>
      <c r="Q46">
        <f>IF('03_Helper'!A46="","",'03_Helper'!AD46)</f>
        <v/>
      </c>
      <c r="R46">
        <f>IF('03_Helper'!A46="","",'03_Helper'!AI46)</f>
        <v/>
      </c>
      <c r="S46">
        <f>IF('03_Helper'!A46="","",'03_Helper'!AJ46)</f>
        <v/>
      </c>
      <c r="T46">
        <f>IF('03_Helper'!A46="","",'03_Helper'!U46)</f>
        <v/>
      </c>
      <c r="U46">
        <f>IF('03_Helper'!A46="","",'03_Helper'!W46)</f>
        <v/>
      </c>
      <c r="V46">
        <f>IF('03_Helper'!A46="","",'03_Helper'!AG46)</f>
        <v/>
      </c>
      <c r="W46">
        <f>IF('03_Helper'!A46="","",'03_Helper'!AK46)</f>
        <v/>
      </c>
      <c r="X46">
        <f>IF('03_Helper'!A46="","",'03_Helper'!K46)</f>
        <v/>
      </c>
      <c r="Y46">
        <f>IF('03_Helper'!A46="","",'03_Helper'!AN46)</f>
        <v/>
      </c>
    </row>
    <row r="47">
      <c r="A47">
        <f>IF('03_Helper'!A47="","",'03_Helper'!B47)</f>
        <v/>
      </c>
      <c r="B47">
        <f>IF('03_Helper'!A47="","",'03_Helper'!C47)</f>
        <v/>
      </c>
      <c r="C47">
        <f>IF('03_Helper'!A47="","",'03_Helper'!G47)</f>
        <v/>
      </c>
      <c r="D47">
        <f>IF('03_Helper'!A47="","",'03_Helper'!E47)</f>
        <v/>
      </c>
      <c r="E47">
        <f>IF('03_Helper'!A47="","",'03_Helper'!D47)</f>
        <v/>
      </c>
      <c r="F47">
        <f>IF('03_Helper'!A47="","",'03_Helper'!H47)</f>
        <v/>
      </c>
      <c r="G47">
        <f>IF('03_Helper'!A47="","",'03_Helper'!X47)</f>
        <v/>
      </c>
      <c r="H47">
        <f>IF('03_Helper'!A47="","",'03_Helper'!Y47)</f>
        <v/>
      </c>
      <c r="I47">
        <f>IF('03_Helper'!A47="","",'03_Helper'!Z47)</f>
        <v/>
      </c>
      <c r="J47">
        <f>IF('03_Helper'!A47="","",'03_Helper'!Q47)</f>
        <v/>
      </c>
      <c r="K47">
        <f>IF('03_Helper'!A47="","",'03_Helper'!R47)</f>
        <v/>
      </c>
      <c r="L47">
        <f>IF('03_Helper'!A47="","",'03_Helper'!S47)</f>
        <v/>
      </c>
      <c r="M47">
        <f>IF('03_Helper'!A47="","",'03_Helper'!T47)</f>
        <v/>
      </c>
      <c r="N47">
        <f>IF('03_Helper'!A47="","",'03_Helper'!AA47)</f>
        <v/>
      </c>
      <c r="O47">
        <f>IF('03_Helper'!A47="","",'03_Helper'!AB47)</f>
        <v/>
      </c>
      <c r="P47">
        <f>IF('03_Helper'!A47="","",'03_Helper'!AC47)</f>
        <v/>
      </c>
      <c r="Q47">
        <f>IF('03_Helper'!A47="","",'03_Helper'!AD47)</f>
        <v/>
      </c>
      <c r="R47">
        <f>IF('03_Helper'!A47="","",'03_Helper'!AI47)</f>
        <v/>
      </c>
      <c r="S47">
        <f>IF('03_Helper'!A47="","",'03_Helper'!AJ47)</f>
        <v/>
      </c>
      <c r="T47">
        <f>IF('03_Helper'!A47="","",'03_Helper'!U47)</f>
        <v/>
      </c>
      <c r="U47">
        <f>IF('03_Helper'!A47="","",'03_Helper'!W47)</f>
        <v/>
      </c>
      <c r="V47">
        <f>IF('03_Helper'!A47="","",'03_Helper'!AG47)</f>
        <v/>
      </c>
      <c r="W47">
        <f>IF('03_Helper'!A47="","",'03_Helper'!AK47)</f>
        <v/>
      </c>
      <c r="X47">
        <f>IF('03_Helper'!A47="","",'03_Helper'!K47)</f>
        <v/>
      </c>
      <c r="Y47">
        <f>IF('03_Helper'!A47="","",'03_Helper'!AN47)</f>
        <v/>
      </c>
    </row>
    <row r="48">
      <c r="A48">
        <f>IF('03_Helper'!A48="","",'03_Helper'!B48)</f>
        <v/>
      </c>
      <c r="B48">
        <f>IF('03_Helper'!A48="","",'03_Helper'!C48)</f>
        <v/>
      </c>
      <c r="C48">
        <f>IF('03_Helper'!A48="","",'03_Helper'!G48)</f>
        <v/>
      </c>
      <c r="D48">
        <f>IF('03_Helper'!A48="","",'03_Helper'!E48)</f>
        <v/>
      </c>
      <c r="E48">
        <f>IF('03_Helper'!A48="","",'03_Helper'!D48)</f>
        <v/>
      </c>
      <c r="F48">
        <f>IF('03_Helper'!A48="","",'03_Helper'!H48)</f>
        <v/>
      </c>
      <c r="G48">
        <f>IF('03_Helper'!A48="","",'03_Helper'!X48)</f>
        <v/>
      </c>
      <c r="H48">
        <f>IF('03_Helper'!A48="","",'03_Helper'!Y48)</f>
        <v/>
      </c>
      <c r="I48">
        <f>IF('03_Helper'!A48="","",'03_Helper'!Z48)</f>
        <v/>
      </c>
      <c r="J48">
        <f>IF('03_Helper'!A48="","",'03_Helper'!Q48)</f>
        <v/>
      </c>
      <c r="K48">
        <f>IF('03_Helper'!A48="","",'03_Helper'!R48)</f>
        <v/>
      </c>
      <c r="L48">
        <f>IF('03_Helper'!A48="","",'03_Helper'!S48)</f>
        <v/>
      </c>
      <c r="M48">
        <f>IF('03_Helper'!A48="","",'03_Helper'!T48)</f>
        <v/>
      </c>
      <c r="N48">
        <f>IF('03_Helper'!A48="","",'03_Helper'!AA48)</f>
        <v/>
      </c>
      <c r="O48">
        <f>IF('03_Helper'!A48="","",'03_Helper'!AB48)</f>
        <v/>
      </c>
      <c r="P48">
        <f>IF('03_Helper'!A48="","",'03_Helper'!AC48)</f>
        <v/>
      </c>
      <c r="Q48">
        <f>IF('03_Helper'!A48="","",'03_Helper'!AD48)</f>
        <v/>
      </c>
      <c r="R48">
        <f>IF('03_Helper'!A48="","",'03_Helper'!AI48)</f>
        <v/>
      </c>
      <c r="S48">
        <f>IF('03_Helper'!A48="","",'03_Helper'!AJ48)</f>
        <v/>
      </c>
      <c r="T48">
        <f>IF('03_Helper'!A48="","",'03_Helper'!U48)</f>
        <v/>
      </c>
      <c r="U48">
        <f>IF('03_Helper'!A48="","",'03_Helper'!W48)</f>
        <v/>
      </c>
      <c r="V48">
        <f>IF('03_Helper'!A48="","",'03_Helper'!AG48)</f>
        <v/>
      </c>
      <c r="W48">
        <f>IF('03_Helper'!A48="","",'03_Helper'!AK48)</f>
        <v/>
      </c>
      <c r="X48">
        <f>IF('03_Helper'!A48="","",'03_Helper'!K48)</f>
        <v/>
      </c>
      <c r="Y48">
        <f>IF('03_Helper'!A48="","",'03_Helper'!AN48)</f>
        <v/>
      </c>
    </row>
    <row r="49">
      <c r="A49">
        <f>IF('03_Helper'!A49="","",'03_Helper'!B49)</f>
        <v/>
      </c>
      <c r="B49">
        <f>IF('03_Helper'!A49="","",'03_Helper'!C49)</f>
        <v/>
      </c>
      <c r="C49">
        <f>IF('03_Helper'!A49="","",'03_Helper'!G49)</f>
        <v/>
      </c>
      <c r="D49">
        <f>IF('03_Helper'!A49="","",'03_Helper'!E49)</f>
        <v/>
      </c>
      <c r="E49">
        <f>IF('03_Helper'!A49="","",'03_Helper'!D49)</f>
        <v/>
      </c>
      <c r="F49">
        <f>IF('03_Helper'!A49="","",'03_Helper'!H49)</f>
        <v/>
      </c>
      <c r="G49">
        <f>IF('03_Helper'!A49="","",'03_Helper'!X49)</f>
        <v/>
      </c>
      <c r="H49">
        <f>IF('03_Helper'!A49="","",'03_Helper'!Y49)</f>
        <v/>
      </c>
      <c r="I49">
        <f>IF('03_Helper'!A49="","",'03_Helper'!Z49)</f>
        <v/>
      </c>
      <c r="J49">
        <f>IF('03_Helper'!A49="","",'03_Helper'!Q49)</f>
        <v/>
      </c>
      <c r="K49">
        <f>IF('03_Helper'!A49="","",'03_Helper'!R49)</f>
        <v/>
      </c>
      <c r="L49">
        <f>IF('03_Helper'!A49="","",'03_Helper'!S49)</f>
        <v/>
      </c>
      <c r="M49">
        <f>IF('03_Helper'!A49="","",'03_Helper'!T49)</f>
        <v/>
      </c>
      <c r="N49">
        <f>IF('03_Helper'!A49="","",'03_Helper'!AA49)</f>
        <v/>
      </c>
      <c r="O49">
        <f>IF('03_Helper'!A49="","",'03_Helper'!AB49)</f>
        <v/>
      </c>
      <c r="P49">
        <f>IF('03_Helper'!A49="","",'03_Helper'!AC49)</f>
        <v/>
      </c>
      <c r="Q49">
        <f>IF('03_Helper'!A49="","",'03_Helper'!AD49)</f>
        <v/>
      </c>
      <c r="R49">
        <f>IF('03_Helper'!A49="","",'03_Helper'!AI49)</f>
        <v/>
      </c>
      <c r="S49">
        <f>IF('03_Helper'!A49="","",'03_Helper'!AJ49)</f>
        <v/>
      </c>
      <c r="T49">
        <f>IF('03_Helper'!A49="","",'03_Helper'!U49)</f>
        <v/>
      </c>
      <c r="U49">
        <f>IF('03_Helper'!A49="","",'03_Helper'!W49)</f>
        <v/>
      </c>
      <c r="V49">
        <f>IF('03_Helper'!A49="","",'03_Helper'!AG49)</f>
        <v/>
      </c>
      <c r="W49">
        <f>IF('03_Helper'!A49="","",'03_Helper'!AK49)</f>
        <v/>
      </c>
      <c r="X49">
        <f>IF('03_Helper'!A49="","",'03_Helper'!K49)</f>
        <v/>
      </c>
      <c r="Y49">
        <f>IF('03_Helper'!A49="","",'03_Helper'!AN49)</f>
        <v/>
      </c>
    </row>
    <row r="50">
      <c r="A50">
        <f>IF('03_Helper'!A50="","",'03_Helper'!B50)</f>
        <v/>
      </c>
      <c r="B50">
        <f>IF('03_Helper'!A50="","",'03_Helper'!C50)</f>
        <v/>
      </c>
      <c r="C50">
        <f>IF('03_Helper'!A50="","",'03_Helper'!G50)</f>
        <v/>
      </c>
      <c r="D50">
        <f>IF('03_Helper'!A50="","",'03_Helper'!E50)</f>
        <v/>
      </c>
      <c r="E50">
        <f>IF('03_Helper'!A50="","",'03_Helper'!D50)</f>
        <v/>
      </c>
      <c r="F50">
        <f>IF('03_Helper'!A50="","",'03_Helper'!H50)</f>
        <v/>
      </c>
      <c r="G50">
        <f>IF('03_Helper'!A50="","",'03_Helper'!X50)</f>
        <v/>
      </c>
      <c r="H50">
        <f>IF('03_Helper'!A50="","",'03_Helper'!Y50)</f>
        <v/>
      </c>
      <c r="I50">
        <f>IF('03_Helper'!A50="","",'03_Helper'!Z50)</f>
        <v/>
      </c>
      <c r="J50">
        <f>IF('03_Helper'!A50="","",'03_Helper'!Q50)</f>
        <v/>
      </c>
      <c r="K50">
        <f>IF('03_Helper'!A50="","",'03_Helper'!R50)</f>
        <v/>
      </c>
      <c r="L50">
        <f>IF('03_Helper'!A50="","",'03_Helper'!S50)</f>
        <v/>
      </c>
      <c r="M50">
        <f>IF('03_Helper'!A50="","",'03_Helper'!T50)</f>
        <v/>
      </c>
      <c r="N50">
        <f>IF('03_Helper'!A50="","",'03_Helper'!AA50)</f>
        <v/>
      </c>
      <c r="O50">
        <f>IF('03_Helper'!A50="","",'03_Helper'!AB50)</f>
        <v/>
      </c>
      <c r="P50">
        <f>IF('03_Helper'!A50="","",'03_Helper'!AC50)</f>
        <v/>
      </c>
      <c r="Q50">
        <f>IF('03_Helper'!A50="","",'03_Helper'!AD50)</f>
        <v/>
      </c>
      <c r="R50">
        <f>IF('03_Helper'!A50="","",'03_Helper'!AI50)</f>
        <v/>
      </c>
      <c r="S50">
        <f>IF('03_Helper'!A50="","",'03_Helper'!AJ50)</f>
        <v/>
      </c>
      <c r="T50">
        <f>IF('03_Helper'!A50="","",'03_Helper'!U50)</f>
        <v/>
      </c>
      <c r="U50">
        <f>IF('03_Helper'!A50="","",'03_Helper'!W50)</f>
        <v/>
      </c>
      <c r="V50">
        <f>IF('03_Helper'!A50="","",'03_Helper'!AG50)</f>
        <v/>
      </c>
      <c r="W50">
        <f>IF('03_Helper'!A50="","",'03_Helper'!AK50)</f>
        <v/>
      </c>
      <c r="X50">
        <f>IF('03_Helper'!A50="","",'03_Helper'!K50)</f>
        <v/>
      </c>
      <c r="Y50">
        <f>IF('03_Helper'!A50="","",'03_Helper'!AN50)</f>
        <v/>
      </c>
    </row>
    <row r="51">
      <c r="A51">
        <f>IF('03_Helper'!A51="","",'03_Helper'!B51)</f>
        <v/>
      </c>
      <c r="B51">
        <f>IF('03_Helper'!A51="","",'03_Helper'!C51)</f>
        <v/>
      </c>
      <c r="C51">
        <f>IF('03_Helper'!A51="","",'03_Helper'!G51)</f>
        <v/>
      </c>
      <c r="D51">
        <f>IF('03_Helper'!A51="","",'03_Helper'!E51)</f>
        <v/>
      </c>
      <c r="E51">
        <f>IF('03_Helper'!A51="","",'03_Helper'!D51)</f>
        <v/>
      </c>
      <c r="F51">
        <f>IF('03_Helper'!A51="","",'03_Helper'!H51)</f>
        <v/>
      </c>
      <c r="G51">
        <f>IF('03_Helper'!A51="","",'03_Helper'!X51)</f>
        <v/>
      </c>
      <c r="H51">
        <f>IF('03_Helper'!A51="","",'03_Helper'!Y51)</f>
        <v/>
      </c>
      <c r="I51">
        <f>IF('03_Helper'!A51="","",'03_Helper'!Z51)</f>
        <v/>
      </c>
      <c r="J51">
        <f>IF('03_Helper'!A51="","",'03_Helper'!Q51)</f>
        <v/>
      </c>
      <c r="K51">
        <f>IF('03_Helper'!A51="","",'03_Helper'!R51)</f>
        <v/>
      </c>
      <c r="L51">
        <f>IF('03_Helper'!A51="","",'03_Helper'!S51)</f>
        <v/>
      </c>
      <c r="M51">
        <f>IF('03_Helper'!A51="","",'03_Helper'!T51)</f>
        <v/>
      </c>
      <c r="N51">
        <f>IF('03_Helper'!A51="","",'03_Helper'!AA51)</f>
        <v/>
      </c>
      <c r="O51">
        <f>IF('03_Helper'!A51="","",'03_Helper'!AB51)</f>
        <v/>
      </c>
      <c r="P51">
        <f>IF('03_Helper'!A51="","",'03_Helper'!AC51)</f>
        <v/>
      </c>
      <c r="Q51">
        <f>IF('03_Helper'!A51="","",'03_Helper'!AD51)</f>
        <v/>
      </c>
      <c r="R51">
        <f>IF('03_Helper'!A51="","",'03_Helper'!AI51)</f>
        <v/>
      </c>
      <c r="S51">
        <f>IF('03_Helper'!A51="","",'03_Helper'!AJ51)</f>
        <v/>
      </c>
      <c r="T51">
        <f>IF('03_Helper'!A51="","",'03_Helper'!U51)</f>
        <v/>
      </c>
      <c r="U51">
        <f>IF('03_Helper'!A51="","",'03_Helper'!W51)</f>
        <v/>
      </c>
      <c r="V51">
        <f>IF('03_Helper'!A51="","",'03_Helper'!AG51)</f>
        <v/>
      </c>
      <c r="W51">
        <f>IF('03_Helper'!A51="","",'03_Helper'!AK51)</f>
        <v/>
      </c>
      <c r="X51">
        <f>IF('03_Helper'!A51="","",'03_Helper'!K51)</f>
        <v/>
      </c>
      <c r="Y51">
        <f>IF('03_Helper'!A51="","",'03_Helper'!AN51)</f>
        <v/>
      </c>
    </row>
    <row r="52">
      <c r="A52">
        <f>IF('03_Helper'!A52="","",'03_Helper'!B52)</f>
        <v/>
      </c>
      <c r="B52">
        <f>IF('03_Helper'!A52="","",'03_Helper'!C52)</f>
        <v/>
      </c>
      <c r="C52">
        <f>IF('03_Helper'!A52="","",'03_Helper'!G52)</f>
        <v/>
      </c>
      <c r="D52">
        <f>IF('03_Helper'!A52="","",'03_Helper'!E52)</f>
        <v/>
      </c>
      <c r="E52">
        <f>IF('03_Helper'!A52="","",'03_Helper'!D52)</f>
        <v/>
      </c>
      <c r="F52">
        <f>IF('03_Helper'!A52="","",'03_Helper'!H52)</f>
        <v/>
      </c>
      <c r="G52">
        <f>IF('03_Helper'!A52="","",'03_Helper'!X52)</f>
        <v/>
      </c>
      <c r="H52">
        <f>IF('03_Helper'!A52="","",'03_Helper'!Y52)</f>
        <v/>
      </c>
      <c r="I52">
        <f>IF('03_Helper'!A52="","",'03_Helper'!Z52)</f>
        <v/>
      </c>
      <c r="J52">
        <f>IF('03_Helper'!A52="","",'03_Helper'!Q52)</f>
        <v/>
      </c>
      <c r="K52">
        <f>IF('03_Helper'!A52="","",'03_Helper'!R52)</f>
        <v/>
      </c>
      <c r="L52">
        <f>IF('03_Helper'!A52="","",'03_Helper'!S52)</f>
        <v/>
      </c>
      <c r="M52">
        <f>IF('03_Helper'!A52="","",'03_Helper'!T52)</f>
        <v/>
      </c>
      <c r="N52">
        <f>IF('03_Helper'!A52="","",'03_Helper'!AA52)</f>
        <v/>
      </c>
      <c r="O52">
        <f>IF('03_Helper'!A52="","",'03_Helper'!AB52)</f>
        <v/>
      </c>
      <c r="P52">
        <f>IF('03_Helper'!A52="","",'03_Helper'!AC52)</f>
        <v/>
      </c>
      <c r="Q52">
        <f>IF('03_Helper'!A52="","",'03_Helper'!AD52)</f>
        <v/>
      </c>
      <c r="R52">
        <f>IF('03_Helper'!A52="","",'03_Helper'!AI52)</f>
        <v/>
      </c>
      <c r="S52">
        <f>IF('03_Helper'!A52="","",'03_Helper'!AJ52)</f>
        <v/>
      </c>
      <c r="T52">
        <f>IF('03_Helper'!A52="","",'03_Helper'!U52)</f>
        <v/>
      </c>
      <c r="U52">
        <f>IF('03_Helper'!A52="","",'03_Helper'!W52)</f>
        <v/>
      </c>
      <c r="V52">
        <f>IF('03_Helper'!A52="","",'03_Helper'!AG52)</f>
        <v/>
      </c>
      <c r="W52">
        <f>IF('03_Helper'!A52="","",'03_Helper'!AK52)</f>
        <v/>
      </c>
      <c r="X52">
        <f>IF('03_Helper'!A52="","",'03_Helper'!K52)</f>
        <v/>
      </c>
      <c r="Y52">
        <f>IF('03_Helper'!A52="","",'03_Helper'!AN52)</f>
        <v/>
      </c>
    </row>
    <row r="53">
      <c r="A53">
        <f>IF('03_Helper'!A53="","",'03_Helper'!B53)</f>
        <v/>
      </c>
      <c r="B53">
        <f>IF('03_Helper'!A53="","",'03_Helper'!C53)</f>
        <v/>
      </c>
      <c r="C53">
        <f>IF('03_Helper'!A53="","",'03_Helper'!G53)</f>
        <v/>
      </c>
      <c r="D53">
        <f>IF('03_Helper'!A53="","",'03_Helper'!E53)</f>
        <v/>
      </c>
      <c r="E53">
        <f>IF('03_Helper'!A53="","",'03_Helper'!D53)</f>
        <v/>
      </c>
      <c r="F53">
        <f>IF('03_Helper'!A53="","",'03_Helper'!H53)</f>
        <v/>
      </c>
      <c r="G53">
        <f>IF('03_Helper'!A53="","",'03_Helper'!X53)</f>
        <v/>
      </c>
      <c r="H53">
        <f>IF('03_Helper'!A53="","",'03_Helper'!Y53)</f>
        <v/>
      </c>
      <c r="I53">
        <f>IF('03_Helper'!A53="","",'03_Helper'!Z53)</f>
        <v/>
      </c>
      <c r="J53">
        <f>IF('03_Helper'!A53="","",'03_Helper'!Q53)</f>
        <v/>
      </c>
      <c r="K53">
        <f>IF('03_Helper'!A53="","",'03_Helper'!R53)</f>
        <v/>
      </c>
      <c r="L53">
        <f>IF('03_Helper'!A53="","",'03_Helper'!S53)</f>
        <v/>
      </c>
      <c r="M53">
        <f>IF('03_Helper'!A53="","",'03_Helper'!T53)</f>
        <v/>
      </c>
      <c r="N53">
        <f>IF('03_Helper'!A53="","",'03_Helper'!AA53)</f>
        <v/>
      </c>
      <c r="O53">
        <f>IF('03_Helper'!A53="","",'03_Helper'!AB53)</f>
        <v/>
      </c>
      <c r="P53">
        <f>IF('03_Helper'!A53="","",'03_Helper'!AC53)</f>
        <v/>
      </c>
      <c r="Q53">
        <f>IF('03_Helper'!A53="","",'03_Helper'!AD53)</f>
        <v/>
      </c>
      <c r="R53">
        <f>IF('03_Helper'!A53="","",'03_Helper'!AI53)</f>
        <v/>
      </c>
      <c r="S53">
        <f>IF('03_Helper'!A53="","",'03_Helper'!AJ53)</f>
        <v/>
      </c>
      <c r="T53">
        <f>IF('03_Helper'!A53="","",'03_Helper'!U53)</f>
        <v/>
      </c>
      <c r="U53">
        <f>IF('03_Helper'!A53="","",'03_Helper'!W53)</f>
        <v/>
      </c>
      <c r="V53">
        <f>IF('03_Helper'!A53="","",'03_Helper'!AG53)</f>
        <v/>
      </c>
      <c r="W53">
        <f>IF('03_Helper'!A53="","",'03_Helper'!AK53)</f>
        <v/>
      </c>
      <c r="X53">
        <f>IF('03_Helper'!A53="","",'03_Helper'!K53)</f>
        <v/>
      </c>
      <c r="Y53">
        <f>IF('03_Helper'!A53="","",'03_Helper'!AN53)</f>
        <v/>
      </c>
    </row>
    <row r="54">
      <c r="A54">
        <f>IF('03_Helper'!A54="","",'03_Helper'!B54)</f>
        <v/>
      </c>
      <c r="B54">
        <f>IF('03_Helper'!A54="","",'03_Helper'!C54)</f>
        <v/>
      </c>
      <c r="C54">
        <f>IF('03_Helper'!A54="","",'03_Helper'!G54)</f>
        <v/>
      </c>
      <c r="D54">
        <f>IF('03_Helper'!A54="","",'03_Helper'!E54)</f>
        <v/>
      </c>
      <c r="E54">
        <f>IF('03_Helper'!A54="","",'03_Helper'!D54)</f>
        <v/>
      </c>
      <c r="F54">
        <f>IF('03_Helper'!A54="","",'03_Helper'!H54)</f>
        <v/>
      </c>
      <c r="G54">
        <f>IF('03_Helper'!A54="","",'03_Helper'!X54)</f>
        <v/>
      </c>
      <c r="H54">
        <f>IF('03_Helper'!A54="","",'03_Helper'!Y54)</f>
        <v/>
      </c>
      <c r="I54">
        <f>IF('03_Helper'!A54="","",'03_Helper'!Z54)</f>
        <v/>
      </c>
      <c r="J54">
        <f>IF('03_Helper'!A54="","",'03_Helper'!Q54)</f>
        <v/>
      </c>
      <c r="K54">
        <f>IF('03_Helper'!A54="","",'03_Helper'!R54)</f>
        <v/>
      </c>
      <c r="L54">
        <f>IF('03_Helper'!A54="","",'03_Helper'!S54)</f>
        <v/>
      </c>
      <c r="M54">
        <f>IF('03_Helper'!A54="","",'03_Helper'!T54)</f>
        <v/>
      </c>
      <c r="N54">
        <f>IF('03_Helper'!A54="","",'03_Helper'!AA54)</f>
        <v/>
      </c>
      <c r="O54">
        <f>IF('03_Helper'!A54="","",'03_Helper'!AB54)</f>
        <v/>
      </c>
      <c r="P54">
        <f>IF('03_Helper'!A54="","",'03_Helper'!AC54)</f>
        <v/>
      </c>
      <c r="Q54">
        <f>IF('03_Helper'!A54="","",'03_Helper'!AD54)</f>
        <v/>
      </c>
      <c r="R54">
        <f>IF('03_Helper'!A54="","",'03_Helper'!AI54)</f>
        <v/>
      </c>
      <c r="S54">
        <f>IF('03_Helper'!A54="","",'03_Helper'!AJ54)</f>
        <v/>
      </c>
      <c r="T54">
        <f>IF('03_Helper'!A54="","",'03_Helper'!U54)</f>
        <v/>
      </c>
      <c r="U54">
        <f>IF('03_Helper'!A54="","",'03_Helper'!W54)</f>
        <v/>
      </c>
      <c r="V54">
        <f>IF('03_Helper'!A54="","",'03_Helper'!AG54)</f>
        <v/>
      </c>
      <c r="W54">
        <f>IF('03_Helper'!A54="","",'03_Helper'!AK54)</f>
        <v/>
      </c>
      <c r="X54">
        <f>IF('03_Helper'!A54="","",'03_Helper'!K54)</f>
        <v/>
      </c>
      <c r="Y54">
        <f>IF('03_Helper'!A54="","",'03_Helper'!AN54)</f>
        <v/>
      </c>
    </row>
    <row r="55">
      <c r="A55">
        <f>IF('03_Helper'!A55="","",'03_Helper'!B55)</f>
        <v/>
      </c>
      <c r="B55">
        <f>IF('03_Helper'!A55="","",'03_Helper'!C55)</f>
        <v/>
      </c>
      <c r="C55">
        <f>IF('03_Helper'!A55="","",'03_Helper'!G55)</f>
        <v/>
      </c>
      <c r="D55">
        <f>IF('03_Helper'!A55="","",'03_Helper'!E55)</f>
        <v/>
      </c>
      <c r="E55">
        <f>IF('03_Helper'!A55="","",'03_Helper'!D55)</f>
        <v/>
      </c>
      <c r="F55">
        <f>IF('03_Helper'!A55="","",'03_Helper'!H55)</f>
        <v/>
      </c>
      <c r="G55">
        <f>IF('03_Helper'!A55="","",'03_Helper'!X55)</f>
        <v/>
      </c>
      <c r="H55">
        <f>IF('03_Helper'!A55="","",'03_Helper'!Y55)</f>
        <v/>
      </c>
      <c r="I55">
        <f>IF('03_Helper'!A55="","",'03_Helper'!Z55)</f>
        <v/>
      </c>
      <c r="J55">
        <f>IF('03_Helper'!A55="","",'03_Helper'!Q55)</f>
        <v/>
      </c>
      <c r="K55">
        <f>IF('03_Helper'!A55="","",'03_Helper'!R55)</f>
        <v/>
      </c>
      <c r="L55">
        <f>IF('03_Helper'!A55="","",'03_Helper'!S55)</f>
        <v/>
      </c>
      <c r="M55">
        <f>IF('03_Helper'!A55="","",'03_Helper'!T55)</f>
        <v/>
      </c>
      <c r="N55">
        <f>IF('03_Helper'!A55="","",'03_Helper'!AA55)</f>
        <v/>
      </c>
      <c r="O55">
        <f>IF('03_Helper'!A55="","",'03_Helper'!AB55)</f>
        <v/>
      </c>
      <c r="P55">
        <f>IF('03_Helper'!A55="","",'03_Helper'!AC55)</f>
        <v/>
      </c>
      <c r="Q55">
        <f>IF('03_Helper'!A55="","",'03_Helper'!AD55)</f>
        <v/>
      </c>
      <c r="R55">
        <f>IF('03_Helper'!A55="","",'03_Helper'!AI55)</f>
        <v/>
      </c>
      <c r="S55">
        <f>IF('03_Helper'!A55="","",'03_Helper'!AJ55)</f>
        <v/>
      </c>
      <c r="T55">
        <f>IF('03_Helper'!A55="","",'03_Helper'!U55)</f>
        <v/>
      </c>
      <c r="U55">
        <f>IF('03_Helper'!A55="","",'03_Helper'!W55)</f>
        <v/>
      </c>
      <c r="V55">
        <f>IF('03_Helper'!A55="","",'03_Helper'!AG55)</f>
        <v/>
      </c>
      <c r="W55">
        <f>IF('03_Helper'!A55="","",'03_Helper'!AK55)</f>
        <v/>
      </c>
      <c r="X55">
        <f>IF('03_Helper'!A55="","",'03_Helper'!K55)</f>
        <v/>
      </c>
      <c r="Y55">
        <f>IF('03_Helper'!A55="","",'03_Helper'!AN55)</f>
        <v/>
      </c>
    </row>
    <row r="56">
      <c r="A56">
        <f>IF('03_Helper'!A56="","",'03_Helper'!B56)</f>
        <v/>
      </c>
      <c r="B56">
        <f>IF('03_Helper'!A56="","",'03_Helper'!C56)</f>
        <v/>
      </c>
      <c r="C56">
        <f>IF('03_Helper'!A56="","",'03_Helper'!G56)</f>
        <v/>
      </c>
      <c r="D56">
        <f>IF('03_Helper'!A56="","",'03_Helper'!E56)</f>
        <v/>
      </c>
      <c r="E56">
        <f>IF('03_Helper'!A56="","",'03_Helper'!D56)</f>
        <v/>
      </c>
      <c r="F56">
        <f>IF('03_Helper'!A56="","",'03_Helper'!H56)</f>
        <v/>
      </c>
      <c r="G56">
        <f>IF('03_Helper'!A56="","",'03_Helper'!X56)</f>
        <v/>
      </c>
      <c r="H56">
        <f>IF('03_Helper'!A56="","",'03_Helper'!Y56)</f>
        <v/>
      </c>
      <c r="I56">
        <f>IF('03_Helper'!A56="","",'03_Helper'!Z56)</f>
        <v/>
      </c>
      <c r="J56">
        <f>IF('03_Helper'!A56="","",'03_Helper'!Q56)</f>
        <v/>
      </c>
      <c r="K56">
        <f>IF('03_Helper'!A56="","",'03_Helper'!R56)</f>
        <v/>
      </c>
      <c r="L56">
        <f>IF('03_Helper'!A56="","",'03_Helper'!S56)</f>
        <v/>
      </c>
      <c r="M56">
        <f>IF('03_Helper'!A56="","",'03_Helper'!T56)</f>
        <v/>
      </c>
      <c r="N56">
        <f>IF('03_Helper'!A56="","",'03_Helper'!AA56)</f>
        <v/>
      </c>
      <c r="O56">
        <f>IF('03_Helper'!A56="","",'03_Helper'!AB56)</f>
        <v/>
      </c>
      <c r="P56">
        <f>IF('03_Helper'!A56="","",'03_Helper'!AC56)</f>
        <v/>
      </c>
      <c r="Q56">
        <f>IF('03_Helper'!A56="","",'03_Helper'!AD56)</f>
        <v/>
      </c>
      <c r="R56">
        <f>IF('03_Helper'!A56="","",'03_Helper'!AI56)</f>
        <v/>
      </c>
      <c r="S56">
        <f>IF('03_Helper'!A56="","",'03_Helper'!AJ56)</f>
        <v/>
      </c>
      <c r="T56">
        <f>IF('03_Helper'!A56="","",'03_Helper'!U56)</f>
        <v/>
      </c>
      <c r="U56">
        <f>IF('03_Helper'!A56="","",'03_Helper'!W56)</f>
        <v/>
      </c>
      <c r="V56">
        <f>IF('03_Helper'!A56="","",'03_Helper'!AG56)</f>
        <v/>
      </c>
      <c r="W56">
        <f>IF('03_Helper'!A56="","",'03_Helper'!AK56)</f>
        <v/>
      </c>
      <c r="X56">
        <f>IF('03_Helper'!A56="","",'03_Helper'!K56)</f>
        <v/>
      </c>
      <c r="Y56">
        <f>IF('03_Helper'!A56="","",'03_Helper'!AN56)</f>
        <v/>
      </c>
    </row>
    <row r="57">
      <c r="A57">
        <f>IF('03_Helper'!A57="","",'03_Helper'!B57)</f>
        <v/>
      </c>
      <c r="B57">
        <f>IF('03_Helper'!A57="","",'03_Helper'!C57)</f>
        <v/>
      </c>
      <c r="C57">
        <f>IF('03_Helper'!A57="","",'03_Helper'!G57)</f>
        <v/>
      </c>
      <c r="D57">
        <f>IF('03_Helper'!A57="","",'03_Helper'!E57)</f>
        <v/>
      </c>
      <c r="E57">
        <f>IF('03_Helper'!A57="","",'03_Helper'!D57)</f>
        <v/>
      </c>
      <c r="F57">
        <f>IF('03_Helper'!A57="","",'03_Helper'!H57)</f>
        <v/>
      </c>
      <c r="G57">
        <f>IF('03_Helper'!A57="","",'03_Helper'!X57)</f>
        <v/>
      </c>
      <c r="H57">
        <f>IF('03_Helper'!A57="","",'03_Helper'!Y57)</f>
        <v/>
      </c>
      <c r="I57">
        <f>IF('03_Helper'!A57="","",'03_Helper'!Z57)</f>
        <v/>
      </c>
      <c r="J57">
        <f>IF('03_Helper'!A57="","",'03_Helper'!Q57)</f>
        <v/>
      </c>
      <c r="K57">
        <f>IF('03_Helper'!A57="","",'03_Helper'!R57)</f>
        <v/>
      </c>
      <c r="L57">
        <f>IF('03_Helper'!A57="","",'03_Helper'!S57)</f>
        <v/>
      </c>
      <c r="M57">
        <f>IF('03_Helper'!A57="","",'03_Helper'!T57)</f>
        <v/>
      </c>
      <c r="N57">
        <f>IF('03_Helper'!A57="","",'03_Helper'!AA57)</f>
        <v/>
      </c>
      <c r="O57">
        <f>IF('03_Helper'!A57="","",'03_Helper'!AB57)</f>
        <v/>
      </c>
      <c r="P57">
        <f>IF('03_Helper'!A57="","",'03_Helper'!AC57)</f>
        <v/>
      </c>
      <c r="Q57">
        <f>IF('03_Helper'!A57="","",'03_Helper'!AD57)</f>
        <v/>
      </c>
      <c r="R57">
        <f>IF('03_Helper'!A57="","",'03_Helper'!AI57)</f>
        <v/>
      </c>
      <c r="S57">
        <f>IF('03_Helper'!A57="","",'03_Helper'!AJ57)</f>
        <v/>
      </c>
      <c r="T57">
        <f>IF('03_Helper'!A57="","",'03_Helper'!U57)</f>
        <v/>
      </c>
      <c r="U57">
        <f>IF('03_Helper'!A57="","",'03_Helper'!W57)</f>
        <v/>
      </c>
      <c r="V57">
        <f>IF('03_Helper'!A57="","",'03_Helper'!AG57)</f>
        <v/>
      </c>
      <c r="W57">
        <f>IF('03_Helper'!A57="","",'03_Helper'!AK57)</f>
        <v/>
      </c>
      <c r="X57">
        <f>IF('03_Helper'!A57="","",'03_Helper'!K57)</f>
        <v/>
      </c>
      <c r="Y57">
        <f>IF('03_Helper'!A57="","",'03_Helper'!AN57)</f>
        <v/>
      </c>
    </row>
    <row r="58">
      <c r="A58">
        <f>IF('03_Helper'!A58="","",'03_Helper'!B58)</f>
        <v/>
      </c>
      <c r="B58">
        <f>IF('03_Helper'!A58="","",'03_Helper'!C58)</f>
        <v/>
      </c>
      <c r="C58">
        <f>IF('03_Helper'!A58="","",'03_Helper'!G58)</f>
        <v/>
      </c>
      <c r="D58">
        <f>IF('03_Helper'!A58="","",'03_Helper'!E58)</f>
        <v/>
      </c>
      <c r="E58">
        <f>IF('03_Helper'!A58="","",'03_Helper'!D58)</f>
        <v/>
      </c>
      <c r="F58">
        <f>IF('03_Helper'!A58="","",'03_Helper'!H58)</f>
        <v/>
      </c>
      <c r="G58">
        <f>IF('03_Helper'!A58="","",'03_Helper'!X58)</f>
        <v/>
      </c>
      <c r="H58">
        <f>IF('03_Helper'!A58="","",'03_Helper'!Y58)</f>
        <v/>
      </c>
      <c r="I58">
        <f>IF('03_Helper'!A58="","",'03_Helper'!Z58)</f>
        <v/>
      </c>
      <c r="J58">
        <f>IF('03_Helper'!A58="","",'03_Helper'!Q58)</f>
        <v/>
      </c>
      <c r="K58">
        <f>IF('03_Helper'!A58="","",'03_Helper'!R58)</f>
        <v/>
      </c>
      <c r="L58">
        <f>IF('03_Helper'!A58="","",'03_Helper'!S58)</f>
        <v/>
      </c>
      <c r="M58">
        <f>IF('03_Helper'!A58="","",'03_Helper'!T58)</f>
        <v/>
      </c>
      <c r="N58">
        <f>IF('03_Helper'!A58="","",'03_Helper'!AA58)</f>
        <v/>
      </c>
      <c r="O58">
        <f>IF('03_Helper'!A58="","",'03_Helper'!AB58)</f>
        <v/>
      </c>
      <c r="P58">
        <f>IF('03_Helper'!A58="","",'03_Helper'!AC58)</f>
        <v/>
      </c>
      <c r="Q58">
        <f>IF('03_Helper'!A58="","",'03_Helper'!AD58)</f>
        <v/>
      </c>
      <c r="R58">
        <f>IF('03_Helper'!A58="","",'03_Helper'!AI58)</f>
        <v/>
      </c>
      <c r="S58">
        <f>IF('03_Helper'!A58="","",'03_Helper'!AJ58)</f>
        <v/>
      </c>
      <c r="T58">
        <f>IF('03_Helper'!A58="","",'03_Helper'!U58)</f>
        <v/>
      </c>
      <c r="U58">
        <f>IF('03_Helper'!A58="","",'03_Helper'!W58)</f>
        <v/>
      </c>
      <c r="V58">
        <f>IF('03_Helper'!A58="","",'03_Helper'!AG58)</f>
        <v/>
      </c>
      <c r="W58">
        <f>IF('03_Helper'!A58="","",'03_Helper'!AK58)</f>
        <v/>
      </c>
      <c r="X58">
        <f>IF('03_Helper'!A58="","",'03_Helper'!K58)</f>
        <v/>
      </c>
      <c r="Y58">
        <f>IF('03_Helper'!A58="","",'03_Helper'!AN58)</f>
        <v/>
      </c>
    </row>
    <row r="59">
      <c r="A59">
        <f>IF('03_Helper'!A59="","",'03_Helper'!B59)</f>
        <v/>
      </c>
      <c r="B59">
        <f>IF('03_Helper'!A59="","",'03_Helper'!C59)</f>
        <v/>
      </c>
      <c r="C59">
        <f>IF('03_Helper'!A59="","",'03_Helper'!G59)</f>
        <v/>
      </c>
      <c r="D59">
        <f>IF('03_Helper'!A59="","",'03_Helper'!E59)</f>
        <v/>
      </c>
      <c r="E59">
        <f>IF('03_Helper'!A59="","",'03_Helper'!D59)</f>
        <v/>
      </c>
      <c r="F59">
        <f>IF('03_Helper'!A59="","",'03_Helper'!H59)</f>
        <v/>
      </c>
      <c r="G59">
        <f>IF('03_Helper'!A59="","",'03_Helper'!X59)</f>
        <v/>
      </c>
      <c r="H59">
        <f>IF('03_Helper'!A59="","",'03_Helper'!Y59)</f>
        <v/>
      </c>
      <c r="I59">
        <f>IF('03_Helper'!A59="","",'03_Helper'!Z59)</f>
        <v/>
      </c>
      <c r="J59">
        <f>IF('03_Helper'!A59="","",'03_Helper'!Q59)</f>
        <v/>
      </c>
      <c r="K59">
        <f>IF('03_Helper'!A59="","",'03_Helper'!R59)</f>
        <v/>
      </c>
      <c r="L59">
        <f>IF('03_Helper'!A59="","",'03_Helper'!S59)</f>
        <v/>
      </c>
      <c r="M59">
        <f>IF('03_Helper'!A59="","",'03_Helper'!T59)</f>
        <v/>
      </c>
      <c r="N59">
        <f>IF('03_Helper'!A59="","",'03_Helper'!AA59)</f>
        <v/>
      </c>
      <c r="O59">
        <f>IF('03_Helper'!A59="","",'03_Helper'!AB59)</f>
        <v/>
      </c>
      <c r="P59">
        <f>IF('03_Helper'!A59="","",'03_Helper'!AC59)</f>
        <v/>
      </c>
      <c r="Q59">
        <f>IF('03_Helper'!A59="","",'03_Helper'!AD59)</f>
        <v/>
      </c>
      <c r="R59">
        <f>IF('03_Helper'!A59="","",'03_Helper'!AI59)</f>
        <v/>
      </c>
      <c r="S59">
        <f>IF('03_Helper'!A59="","",'03_Helper'!AJ59)</f>
        <v/>
      </c>
      <c r="T59">
        <f>IF('03_Helper'!A59="","",'03_Helper'!U59)</f>
        <v/>
      </c>
      <c r="U59">
        <f>IF('03_Helper'!A59="","",'03_Helper'!W59)</f>
        <v/>
      </c>
      <c r="V59">
        <f>IF('03_Helper'!A59="","",'03_Helper'!AG59)</f>
        <v/>
      </c>
      <c r="W59">
        <f>IF('03_Helper'!A59="","",'03_Helper'!AK59)</f>
        <v/>
      </c>
      <c r="X59">
        <f>IF('03_Helper'!A59="","",'03_Helper'!K59)</f>
        <v/>
      </c>
      <c r="Y59">
        <f>IF('03_Helper'!A59="","",'03_Helper'!AN59)</f>
        <v/>
      </c>
    </row>
    <row r="60">
      <c r="A60">
        <f>IF('03_Helper'!A60="","",'03_Helper'!B60)</f>
        <v/>
      </c>
      <c r="B60">
        <f>IF('03_Helper'!A60="","",'03_Helper'!C60)</f>
        <v/>
      </c>
      <c r="C60">
        <f>IF('03_Helper'!A60="","",'03_Helper'!G60)</f>
        <v/>
      </c>
      <c r="D60">
        <f>IF('03_Helper'!A60="","",'03_Helper'!E60)</f>
        <v/>
      </c>
      <c r="E60">
        <f>IF('03_Helper'!A60="","",'03_Helper'!D60)</f>
        <v/>
      </c>
      <c r="F60">
        <f>IF('03_Helper'!A60="","",'03_Helper'!H60)</f>
        <v/>
      </c>
      <c r="G60">
        <f>IF('03_Helper'!A60="","",'03_Helper'!X60)</f>
        <v/>
      </c>
      <c r="H60">
        <f>IF('03_Helper'!A60="","",'03_Helper'!Y60)</f>
        <v/>
      </c>
      <c r="I60">
        <f>IF('03_Helper'!A60="","",'03_Helper'!Z60)</f>
        <v/>
      </c>
      <c r="J60">
        <f>IF('03_Helper'!A60="","",'03_Helper'!Q60)</f>
        <v/>
      </c>
      <c r="K60">
        <f>IF('03_Helper'!A60="","",'03_Helper'!R60)</f>
        <v/>
      </c>
      <c r="L60">
        <f>IF('03_Helper'!A60="","",'03_Helper'!S60)</f>
        <v/>
      </c>
      <c r="M60">
        <f>IF('03_Helper'!A60="","",'03_Helper'!T60)</f>
        <v/>
      </c>
      <c r="N60">
        <f>IF('03_Helper'!A60="","",'03_Helper'!AA60)</f>
        <v/>
      </c>
      <c r="O60">
        <f>IF('03_Helper'!A60="","",'03_Helper'!AB60)</f>
        <v/>
      </c>
      <c r="P60">
        <f>IF('03_Helper'!A60="","",'03_Helper'!AC60)</f>
        <v/>
      </c>
      <c r="Q60">
        <f>IF('03_Helper'!A60="","",'03_Helper'!AD60)</f>
        <v/>
      </c>
      <c r="R60">
        <f>IF('03_Helper'!A60="","",'03_Helper'!AI60)</f>
        <v/>
      </c>
      <c r="S60">
        <f>IF('03_Helper'!A60="","",'03_Helper'!AJ60)</f>
        <v/>
      </c>
      <c r="T60">
        <f>IF('03_Helper'!A60="","",'03_Helper'!U60)</f>
        <v/>
      </c>
      <c r="U60">
        <f>IF('03_Helper'!A60="","",'03_Helper'!W60)</f>
        <v/>
      </c>
      <c r="V60">
        <f>IF('03_Helper'!A60="","",'03_Helper'!AG60)</f>
        <v/>
      </c>
      <c r="W60">
        <f>IF('03_Helper'!A60="","",'03_Helper'!AK60)</f>
        <v/>
      </c>
      <c r="X60">
        <f>IF('03_Helper'!A60="","",'03_Helper'!K60)</f>
        <v/>
      </c>
      <c r="Y60">
        <f>IF('03_Helper'!A60="","",'03_Helper'!AN60)</f>
        <v/>
      </c>
    </row>
    <row r="61">
      <c r="A61">
        <f>IF('03_Helper'!A61="","",'03_Helper'!B61)</f>
        <v/>
      </c>
      <c r="B61">
        <f>IF('03_Helper'!A61="","",'03_Helper'!C61)</f>
        <v/>
      </c>
      <c r="C61">
        <f>IF('03_Helper'!A61="","",'03_Helper'!G61)</f>
        <v/>
      </c>
      <c r="D61">
        <f>IF('03_Helper'!A61="","",'03_Helper'!E61)</f>
        <v/>
      </c>
      <c r="E61">
        <f>IF('03_Helper'!A61="","",'03_Helper'!D61)</f>
        <v/>
      </c>
      <c r="F61">
        <f>IF('03_Helper'!A61="","",'03_Helper'!H61)</f>
        <v/>
      </c>
      <c r="G61">
        <f>IF('03_Helper'!A61="","",'03_Helper'!X61)</f>
        <v/>
      </c>
      <c r="H61">
        <f>IF('03_Helper'!A61="","",'03_Helper'!Y61)</f>
        <v/>
      </c>
      <c r="I61">
        <f>IF('03_Helper'!A61="","",'03_Helper'!Z61)</f>
        <v/>
      </c>
      <c r="J61">
        <f>IF('03_Helper'!A61="","",'03_Helper'!Q61)</f>
        <v/>
      </c>
      <c r="K61">
        <f>IF('03_Helper'!A61="","",'03_Helper'!R61)</f>
        <v/>
      </c>
      <c r="L61">
        <f>IF('03_Helper'!A61="","",'03_Helper'!S61)</f>
        <v/>
      </c>
      <c r="M61">
        <f>IF('03_Helper'!A61="","",'03_Helper'!T61)</f>
        <v/>
      </c>
      <c r="N61">
        <f>IF('03_Helper'!A61="","",'03_Helper'!AA61)</f>
        <v/>
      </c>
      <c r="O61">
        <f>IF('03_Helper'!A61="","",'03_Helper'!AB61)</f>
        <v/>
      </c>
      <c r="P61">
        <f>IF('03_Helper'!A61="","",'03_Helper'!AC61)</f>
        <v/>
      </c>
      <c r="Q61">
        <f>IF('03_Helper'!A61="","",'03_Helper'!AD61)</f>
        <v/>
      </c>
      <c r="R61">
        <f>IF('03_Helper'!A61="","",'03_Helper'!AI61)</f>
        <v/>
      </c>
      <c r="S61">
        <f>IF('03_Helper'!A61="","",'03_Helper'!AJ61)</f>
        <v/>
      </c>
      <c r="T61">
        <f>IF('03_Helper'!A61="","",'03_Helper'!U61)</f>
        <v/>
      </c>
      <c r="U61">
        <f>IF('03_Helper'!A61="","",'03_Helper'!W61)</f>
        <v/>
      </c>
      <c r="V61">
        <f>IF('03_Helper'!A61="","",'03_Helper'!AG61)</f>
        <v/>
      </c>
      <c r="W61">
        <f>IF('03_Helper'!A61="","",'03_Helper'!AK61)</f>
        <v/>
      </c>
      <c r="X61">
        <f>IF('03_Helper'!A61="","",'03_Helper'!K61)</f>
        <v/>
      </c>
      <c r="Y61">
        <f>IF('03_Helper'!A61="","",'03_Helper'!AN61)</f>
        <v/>
      </c>
    </row>
    <row r="62">
      <c r="A62">
        <f>IF('03_Helper'!A62="","",'03_Helper'!B62)</f>
        <v/>
      </c>
      <c r="B62">
        <f>IF('03_Helper'!A62="","",'03_Helper'!C62)</f>
        <v/>
      </c>
      <c r="C62">
        <f>IF('03_Helper'!A62="","",'03_Helper'!G62)</f>
        <v/>
      </c>
      <c r="D62">
        <f>IF('03_Helper'!A62="","",'03_Helper'!E62)</f>
        <v/>
      </c>
      <c r="E62">
        <f>IF('03_Helper'!A62="","",'03_Helper'!D62)</f>
        <v/>
      </c>
      <c r="F62">
        <f>IF('03_Helper'!A62="","",'03_Helper'!H62)</f>
        <v/>
      </c>
      <c r="G62">
        <f>IF('03_Helper'!A62="","",'03_Helper'!X62)</f>
        <v/>
      </c>
      <c r="H62">
        <f>IF('03_Helper'!A62="","",'03_Helper'!Y62)</f>
        <v/>
      </c>
      <c r="I62">
        <f>IF('03_Helper'!A62="","",'03_Helper'!Z62)</f>
        <v/>
      </c>
      <c r="J62">
        <f>IF('03_Helper'!A62="","",'03_Helper'!Q62)</f>
        <v/>
      </c>
      <c r="K62">
        <f>IF('03_Helper'!A62="","",'03_Helper'!R62)</f>
        <v/>
      </c>
      <c r="L62">
        <f>IF('03_Helper'!A62="","",'03_Helper'!S62)</f>
        <v/>
      </c>
      <c r="M62">
        <f>IF('03_Helper'!A62="","",'03_Helper'!T62)</f>
        <v/>
      </c>
      <c r="N62">
        <f>IF('03_Helper'!A62="","",'03_Helper'!AA62)</f>
        <v/>
      </c>
      <c r="O62">
        <f>IF('03_Helper'!A62="","",'03_Helper'!AB62)</f>
        <v/>
      </c>
      <c r="P62">
        <f>IF('03_Helper'!A62="","",'03_Helper'!AC62)</f>
        <v/>
      </c>
      <c r="Q62">
        <f>IF('03_Helper'!A62="","",'03_Helper'!AD62)</f>
        <v/>
      </c>
      <c r="R62">
        <f>IF('03_Helper'!A62="","",'03_Helper'!AI62)</f>
        <v/>
      </c>
      <c r="S62">
        <f>IF('03_Helper'!A62="","",'03_Helper'!AJ62)</f>
        <v/>
      </c>
      <c r="T62">
        <f>IF('03_Helper'!A62="","",'03_Helper'!U62)</f>
        <v/>
      </c>
      <c r="U62">
        <f>IF('03_Helper'!A62="","",'03_Helper'!W62)</f>
        <v/>
      </c>
      <c r="V62">
        <f>IF('03_Helper'!A62="","",'03_Helper'!AG62)</f>
        <v/>
      </c>
      <c r="W62">
        <f>IF('03_Helper'!A62="","",'03_Helper'!AK62)</f>
        <v/>
      </c>
      <c r="X62">
        <f>IF('03_Helper'!A62="","",'03_Helper'!K62)</f>
        <v/>
      </c>
      <c r="Y62">
        <f>IF('03_Helper'!A62="","",'03_Helper'!AN62)</f>
        <v/>
      </c>
    </row>
    <row r="63">
      <c r="A63">
        <f>IF('03_Helper'!A63="","",'03_Helper'!B63)</f>
        <v/>
      </c>
      <c r="B63">
        <f>IF('03_Helper'!A63="","",'03_Helper'!C63)</f>
        <v/>
      </c>
      <c r="C63">
        <f>IF('03_Helper'!A63="","",'03_Helper'!G63)</f>
        <v/>
      </c>
      <c r="D63">
        <f>IF('03_Helper'!A63="","",'03_Helper'!E63)</f>
        <v/>
      </c>
      <c r="E63">
        <f>IF('03_Helper'!A63="","",'03_Helper'!D63)</f>
        <v/>
      </c>
      <c r="F63">
        <f>IF('03_Helper'!A63="","",'03_Helper'!H63)</f>
        <v/>
      </c>
      <c r="G63">
        <f>IF('03_Helper'!A63="","",'03_Helper'!X63)</f>
        <v/>
      </c>
      <c r="H63">
        <f>IF('03_Helper'!A63="","",'03_Helper'!Y63)</f>
        <v/>
      </c>
      <c r="I63">
        <f>IF('03_Helper'!A63="","",'03_Helper'!Z63)</f>
        <v/>
      </c>
      <c r="J63">
        <f>IF('03_Helper'!A63="","",'03_Helper'!Q63)</f>
        <v/>
      </c>
      <c r="K63">
        <f>IF('03_Helper'!A63="","",'03_Helper'!R63)</f>
        <v/>
      </c>
      <c r="L63">
        <f>IF('03_Helper'!A63="","",'03_Helper'!S63)</f>
        <v/>
      </c>
      <c r="M63">
        <f>IF('03_Helper'!A63="","",'03_Helper'!T63)</f>
        <v/>
      </c>
      <c r="N63">
        <f>IF('03_Helper'!A63="","",'03_Helper'!AA63)</f>
        <v/>
      </c>
      <c r="O63">
        <f>IF('03_Helper'!A63="","",'03_Helper'!AB63)</f>
        <v/>
      </c>
      <c r="P63">
        <f>IF('03_Helper'!A63="","",'03_Helper'!AC63)</f>
        <v/>
      </c>
      <c r="Q63">
        <f>IF('03_Helper'!A63="","",'03_Helper'!AD63)</f>
        <v/>
      </c>
      <c r="R63">
        <f>IF('03_Helper'!A63="","",'03_Helper'!AI63)</f>
        <v/>
      </c>
      <c r="S63">
        <f>IF('03_Helper'!A63="","",'03_Helper'!AJ63)</f>
        <v/>
      </c>
      <c r="T63">
        <f>IF('03_Helper'!A63="","",'03_Helper'!U63)</f>
        <v/>
      </c>
      <c r="U63">
        <f>IF('03_Helper'!A63="","",'03_Helper'!W63)</f>
        <v/>
      </c>
      <c r="V63">
        <f>IF('03_Helper'!A63="","",'03_Helper'!AG63)</f>
        <v/>
      </c>
      <c r="W63">
        <f>IF('03_Helper'!A63="","",'03_Helper'!AK63)</f>
        <v/>
      </c>
      <c r="X63">
        <f>IF('03_Helper'!A63="","",'03_Helper'!K63)</f>
        <v/>
      </c>
      <c r="Y63">
        <f>IF('03_Helper'!A63="","",'03_Helper'!AN63)</f>
        <v/>
      </c>
    </row>
    <row r="64">
      <c r="A64">
        <f>IF('03_Helper'!A64="","",'03_Helper'!B64)</f>
        <v/>
      </c>
      <c r="B64">
        <f>IF('03_Helper'!A64="","",'03_Helper'!C64)</f>
        <v/>
      </c>
      <c r="C64">
        <f>IF('03_Helper'!A64="","",'03_Helper'!G64)</f>
        <v/>
      </c>
      <c r="D64">
        <f>IF('03_Helper'!A64="","",'03_Helper'!E64)</f>
        <v/>
      </c>
      <c r="E64">
        <f>IF('03_Helper'!A64="","",'03_Helper'!D64)</f>
        <v/>
      </c>
      <c r="F64">
        <f>IF('03_Helper'!A64="","",'03_Helper'!H64)</f>
        <v/>
      </c>
      <c r="G64">
        <f>IF('03_Helper'!A64="","",'03_Helper'!X64)</f>
        <v/>
      </c>
      <c r="H64">
        <f>IF('03_Helper'!A64="","",'03_Helper'!Y64)</f>
        <v/>
      </c>
      <c r="I64">
        <f>IF('03_Helper'!A64="","",'03_Helper'!Z64)</f>
        <v/>
      </c>
      <c r="J64">
        <f>IF('03_Helper'!A64="","",'03_Helper'!Q64)</f>
        <v/>
      </c>
      <c r="K64">
        <f>IF('03_Helper'!A64="","",'03_Helper'!R64)</f>
        <v/>
      </c>
      <c r="L64">
        <f>IF('03_Helper'!A64="","",'03_Helper'!S64)</f>
        <v/>
      </c>
      <c r="M64">
        <f>IF('03_Helper'!A64="","",'03_Helper'!T64)</f>
        <v/>
      </c>
      <c r="N64">
        <f>IF('03_Helper'!A64="","",'03_Helper'!AA64)</f>
        <v/>
      </c>
      <c r="O64">
        <f>IF('03_Helper'!A64="","",'03_Helper'!AB64)</f>
        <v/>
      </c>
      <c r="P64">
        <f>IF('03_Helper'!A64="","",'03_Helper'!AC64)</f>
        <v/>
      </c>
      <c r="Q64">
        <f>IF('03_Helper'!A64="","",'03_Helper'!AD64)</f>
        <v/>
      </c>
      <c r="R64">
        <f>IF('03_Helper'!A64="","",'03_Helper'!AI64)</f>
        <v/>
      </c>
      <c r="S64">
        <f>IF('03_Helper'!A64="","",'03_Helper'!AJ64)</f>
        <v/>
      </c>
      <c r="T64">
        <f>IF('03_Helper'!A64="","",'03_Helper'!U64)</f>
        <v/>
      </c>
      <c r="U64">
        <f>IF('03_Helper'!A64="","",'03_Helper'!W64)</f>
        <v/>
      </c>
      <c r="V64">
        <f>IF('03_Helper'!A64="","",'03_Helper'!AG64)</f>
        <v/>
      </c>
      <c r="W64">
        <f>IF('03_Helper'!A64="","",'03_Helper'!AK64)</f>
        <v/>
      </c>
      <c r="X64">
        <f>IF('03_Helper'!A64="","",'03_Helper'!K64)</f>
        <v/>
      </c>
      <c r="Y64">
        <f>IF('03_Helper'!A64="","",'03_Helper'!AN64)</f>
        <v/>
      </c>
    </row>
    <row r="65">
      <c r="A65">
        <f>IF('03_Helper'!A65="","",'03_Helper'!B65)</f>
        <v/>
      </c>
      <c r="B65">
        <f>IF('03_Helper'!A65="","",'03_Helper'!C65)</f>
        <v/>
      </c>
      <c r="C65">
        <f>IF('03_Helper'!A65="","",'03_Helper'!G65)</f>
        <v/>
      </c>
      <c r="D65">
        <f>IF('03_Helper'!A65="","",'03_Helper'!E65)</f>
        <v/>
      </c>
      <c r="E65">
        <f>IF('03_Helper'!A65="","",'03_Helper'!D65)</f>
        <v/>
      </c>
      <c r="F65">
        <f>IF('03_Helper'!A65="","",'03_Helper'!H65)</f>
        <v/>
      </c>
      <c r="G65">
        <f>IF('03_Helper'!A65="","",'03_Helper'!X65)</f>
        <v/>
      </c>
      <c r="H65">
        <f>IF('03_Helper'!A65="","",'03_Helper'!Y65)</f>
        <v/>
      </c>
      <c r="I65">
        <f>IF('03_Helper'!A65="","",'03_Helper'!Z65)</f>
        <v/>
      </c>
      <c r="J65">
        <f>IF('03_Helper'!A65="","",'03_Helper'!Q65)</f>
        <v/>
      </c>
      <c r="K65">
        <f>IF('03_Helper'!A65="","",'03_Helper'!R65)</f>
        <v/>
      </c>
      <c r="L65">
        <f>IF('03_Helper'!A65="","",'03_Helper'!S65)</f>
        <v/>
      </c>
      <c r="M65">
        <f>IF('03_Helper'!A65="","",'03_Helper'!T65)</f>
        <v/>
      </c>
      <c r="N65">
        <f>IF('03_Helper'!A65="","",'03_Helper'!AA65)</f>
        <v/>
      </c>
      <c r="O65">
        <f>IF('03_Helper'!A65="","",'03_Helper'!AB65)</f>
        <v/>
      </c>
      <c r="P65">
        <f>IF('03_Helper'!A65="","",'03_Helper'!AC65)</f>
        <v/>
      </c>
      <c r="Q65">
        <f>IF('03_Helper'!A65="","",'03_Helper'!AD65)</f>
        <v/>
      </c>
      <c r="R65">
        <f>IF('03_Helper'!A65="","",'03_Helper'!AI65)</f>
        <v/>
      </c>
      <c r="S65">
        <f>IF('03_Helper'!A65="","",'03_Helper'!AJ65)</f>
        <v/>
      </c>
      <c r="T65">
        <f>IF('03_Helper'!A65="","",'03_Helper'!U65)</f>
        <v/>
      </c>
      <c r="U65">
        <f>IF('03_Helper'!A65="","",'03_Helper'!W65)</f>
        <v/>
      </c>
      <c r="V65">
        <f>IF('03_Helper'!A65="","",'03_Helper'!AG65)</f>
        <v/>
      </c>
      <c r="W65">
        <f>IF('03_Helper'!A65="","",'03_Helper'!AK65)</f>
        <v/>
      </c>
      <c r="X65">
        <f>IF('03_Helper'!A65="","",'03_Helper'!K65)</f>
        <v/>
      </c>
      <c r="Y65">
        <f>IF('03_Helper'!A65="","",'03_Helper'!AN65)</f>
        <v/>
      </c>
    </row>
    <row r="66">
      <c r="A66">
        <f>IF('03_Helper'!A66="","",'03_Helper'!B66)</f>
        <v/>
      </c>
      <c r="B66">
        <f>IF('03_Helper'!A66="","",'03_Helper'!C66)</f>
        <v/>
      </c>
      <c r="C66">
        <f>IF('03_Helper'!A66="","",'03_Helper'!G66)</f>
        <v/>
      </c>
      <c r="D66">
        <f>IF('03_Helper'!A66="","",'03_Helper'!E66)</f>
        <v/>
      </c>
      <c r="E66">
        <f>IF('03_Helper'!A66="","",'03_Helper'!D66)</f>
        <v/>
      </c>
      <c r="F66">
        <f>IF('03_Helper'!A66="","",'03_Helper'!H66)</f>
        <v/>
      </c>
      <c r="G66">
        <f>IF('03_Helper'!A66="","",'03_Helper'!X66)</f>
        <v/>
      </c>
      <c r="H66">
        <f>IF('03_Helper'!A66="","",'03_Helper'!Y66)</f>
        <v/>
      </c>
      <c r="I66">
        <f>IF('03_Helper'!A66="","",'03_Helper'!Z66)</f>
        <v/>
      </c>
      <c r="J66">
        <f>IF('03_Helper'!A66="","",'03_Helper'!Q66)</f>
        <v/>
      </c>
      <c r="K66">
        <f>IF('03_Helper'!A66="","",'03_Helper'!R66)</f>
        <v/>
      </c>
      <c r="L66">
        <f>IF('03_Helper'!A66="","",'03_Helper'!S66)</f>
        <v/>
      </c>
      <c r="M66">
        <f>IF('03_Helper'!A66="","",'03_Helper'!T66)</f>
        <v/>
      </c>
      <c r="N66">
        <f>IF('03_Helper'!A66="","",'03_Helper'!AA66)</f>
        <v/>
      </c>
      <c r="O66">
        <f>IF('03_Helper'!A66="","",'03_Helper'!AB66)</f>
        <v/>
      </c>
      <c r="P66">
        <f>IF('03_Helper'!A66="","",'03_Helper'!AC66)</f>
        <v/>
      </c>
      <c r="Q66">
        <f>IF('03_Helper'!A66="","",'03_Helper'!AD66)</f>
        <v/>
      </c>
      <c r="R66">
        <f>IF('03_Helper'!A66="","",'03_Helper'!AI66)</f>
        <v/>
      </c>
      <c r="S66">
        <f>IF('03_Helper'!A66="","",'03_Helper'!AJ66)</f>
        <v/>
      </c>
      <c r="T66">
        <f>IF('03_Helper'!A66="","",'03_Helper'!U66)</f>
        <v/>
      </c>
      <c r="U66">
        <f>IF('03_Helper'!A66="","",'03_Helper'!W66)</f>
        <v/>
      </c>
      <c r="V66">
        <f>IF('03_Helper'!A66="","",'03_Helper'!AG66)</f>
        <v/>
      </c>
      <c r="W66">
        <f>IF('03_Helper'!A66="","",'03_Helper'!AK66)</f>
        <v/>
      </c>
      <c r="X66">
        <f>IF('03_Helper'!A66="","",'03_Helper'!K66)</f>
        <v/>
      </c>
      <c r="Y66">
        <f>IF('03_Helper'!A66="","",'03_Helper'!AN66)</f>
        <v/>
      </c>
    </row>
    <row r="67">
      <c r="A67">
        <f>IF('03_Helper'!A67="","",'03_Helper'!B67)</f>
        <v/>
      </c>
      <c r="B67">
        <f>IF('03_Helper'!A67="","",'03_Helper'!C67)</f>
        <v/>
      </c>
      <c r="C67">
        <f>IF('03_Helper'!A67="","",'03_Helper'!G67)</f>
        <v/>
      </c>
      <c r="D67">
        <f>IF('03_Helper'!A67="","",'03_Helper'!E67)</f>
        <v/>
      </c>
      <c r="E67">
        <f>IF('03_Helper'!A67="","",'03_Helper'!D67)</f>
        <v/>
      </c>
      <c r="F67">
        <f>IF('03_Helper'!A67="","",'03_Helper'!H67)</f>
        <v/>
      </c>
      <c r="G67">
        <f>IF('03_Helper'!A67="","",'03_Helper'!X67)</f>
        <v/>
      </c>
      <c r="H67">
        <f>IF('03_Helper'!A67="","",'03_Helper'!Y67)</f>
        <v/>
      </c>
      <c r="I67">
        <f>IF('03_Helper'!A67="","",'03_Helper'!Z67)</f>
        <v/>
      </c>
      <c r="J67">
        <f>IF('03_Helper'!A67="","",'03_Helper'!Q67)</f>
        <v/>
      </c>
      <c r="K67">
        <f>IF('03_Helper'!A67="","",'03_Helper'!R67)</f>
        <v/>
      </c>
      <c r="L67">
        <f>IF('03_Helper'!A67="","",'03_Helper'!S67)</f>
        <v/>
      </c>
      <c r="M67">
        <f>IF('03_Helper'!A67="","",'03_Helper'!T67)</f>
        <v/>
      </c>
      <c r="N67">
        <f>IF('03_Helper'!A67="","",'03_Helper'!AA67)</f>
        <v/>
      </c>
      <c r="O67">
        <f>IF('03_Helper'!A67="","",'03_Helper'!AB67)</f>
        <v/>
      </c>
      <c r="P67">
        <f>IF('03_Helper'!A67="","",'03_Helper'!AC67)</f>
        <v/>
      </c>
      <c r="Q67">
        <f>IF('03_Helper'!A67="","",'03_Helper'!AD67)</f>
        <v/>
      </c>
      <c r="R67">
        <f>IF('03_Helper'!A67="","",'03_Helper'!AI67)</f>
        <v/>
      </c>
      <c r="S67">
        <f>IF('03_Helper'!A67="","",'03_Helper'!AJ67)</f>
        <v/>
      </c>
      <c r="T67">
        <f>IF('03_Helper'!A67="","",'03_Helper'!U67)</f>
        <v/>
      </c>
      <c r="U67">
        <f>IF('03_Helper'!A67="","",'03_Helper'!W67)</f>
        <v/>
      </c>
      <c r="V67">
        <f>IF('03_Helper'!A67="","",'03_Helper'!AG67)</f>
        <v/>
      </c>
      <c r="W67">
        <f>IF('03_Helper'!A67="","",'03_Helper'!AK67)</f>
        <v/>
      </c>
      <c r="X67">
        <f>IF('03_Helper'!A67="","",'03_Helper'!K67)</f>
        <v/>
      </c>
      <c r="Y67">
        <f>IF('03_Helper'!A67="","",'03_Helper'!AN67)</f>
        <v/>
      </c>
    </row>
    <row r="68">
      <c r="A68">
        <f>IF('03_Helper'!A68="","",'03_Helper'!B68)</f>
        <v/>
      </c>
      <c r="B68">
        <f>IF('03_Helper'!A68="","",'03_Helper'!C68)</f>
        <v/>
      </c>
      <c r="C68">
        <f>IF('03_Helper'!A68="","",'03_Helper'!G68)</f>
        <v/>
      </c>
      <c r="D68">
        <f>IF('03_Helper'!A68="","",'03_Helper'!E68)</f>
        <v/>
      </c>
      <c r="E68">
        <f>IF('03_Helper'!A68="","",'03_Helper'!D68)</f>
        <v/>
      </c>
      <c r="F68">
        <f>IF('03_Helper'!A68="","",'03_Helper'!H68)</f>
        <v/>
      </c>
      <c r="G68">
        <f>IF('03_Helper'!A68="","",'03_Helper'!X68)</f>
        <v/>
      </c>
      <c r="H68">
        <f>IF('03_Helper'!A68="","",'03_Helper'!Y68)</f>
        <v/>
      </c>
      <c r="I68">
        <f>IF('03_Helper'!A68="","",'03_Helper'!Z68)</f>
        <v/>
      </c>
      <c r="J68">
        <f>IF('03_Helper'!A68="","",'03_Helper'!Q68)</f>
        <v/>
      </c>
      <c r="K68">
        <f>IF('03_Helper'!A68="","",'03_Helper'!R68)</f>
        <v/>
      </c>
      <c r="L68">
        <f>IF('03_Helper'!A68="","",'03_Helper'!S68)</f>
        <v/>
      </c>
      <c r="M68">
        <f>IF('03_Helper'!A68="","",'03_Helper'!T68)</f>
        <v/>
      </c>
      <c r="N68">
        <f>IF('03_Helper'!A68="","",'03_Helper'!AA68)</f>
        <v/>
      </c>
      <c r="O68">
        <f>IF('03_Helper'!A68="","",'03_Helper'!AB68)</f>
        <v/>
      </c>
      <c r="P68">
        <f>IF('03_Helper'!A68="","",'03_Helper'!AC68)</f>
        <v/>
      </c>
      <c r="Q68">
        <f>IF('03_Helper'!A68="","",'03_Helper'!AD68)</f>
        <v/>
      </c>
      <c r="R68">
        <f>IF('03_Helper'!A68="","",'03_Helper'!AI68)</f>
        <v/>
      </c>
      <c r="S68">
        <f>IF('03_Helper'!A68="","",'03_Helper'!AJ68)</f>
        <v/>
      </c>
      <c r="T68">
        <f>IF('03_Helper'!A68="","",'03_Helper'!U68)</f>
        <v/>
      </c>
      <c r="U68">
        <f>IF('03_Helper'!A68="","",'03_Helper'!W68)</f>
        <v/>
      </c>
      <c r="V68">
        <f>IF('03_Helper'!A68="","",'03_Helper'!AG68)</f>
        <v/>
      </c>
      <c r="W68">
        <f>IF('03_Helper'!A68="","",'03_Helper'!AK68)</f>
        <v/>
      </c>
      <c r="X68">
        <f>IF('03_Helper'!A68="","",'03_Helper'!K68)</f>
        <v/>
      </c>
      <c r="Y68">
        <f>IF('03_Helper'!A68="","",'03_Helper'!AN68)</f>
        <v/>
      </c>
    </row>
    <row r="69">
      <c r="A69">
        <f>IF('03_Helper'!A69="","",'03_Helper'!B69)</f>
        <v/>
      </c>
      <c r="B69">
        <f>IF('03_Helper'!A69="","",'03_Helper'!C69)</f>
        <v/>
      </c>
      <c r="C69">
        <f>IF('03_Helper'!A69="","",'03_Helper'!G69)</f>
        <v/>
      </c>
      <c r="D69">
        <f>IF('03_Helper'!A69="","",'03_Helper'!E69)</f>
        <v/>
      </c>
      <c r="E69">
        <f>IF('03_Helper'!A69="","",'03_Helper'!D69)</f>
        <v/>
      </c>
      <c r="F69">
        <f>IF('03_Helper'!A69="","",'03_Helper'!H69)</f>
        <v/>
      </c>
      <c r="G69">
        <f>IF('03_Helper'!A69="","",'03_Helper'!X69)</f>
        <v/>
      </c>
      <c r="H69">
        <f>IF('03_Helper'!A69="","",'03_Helper'!Y69)</f>
        <v/>
      </c>
      <c r="I69">
        <f>IF('03_Helper'!A69="","",'03_Helper'!Z69)</f>
        <v/>
      </c>
      <c r="J69">
        <f>IF('03_Helper'!A69="","",'03_Helper'!Q69)</f>
        <v/>
      </c>
      <c r="K69">
        <f>IF('03_Helper'!A69="","",'03_Helper'!R69)</f>
        <v/>
      </c>
      <c r="L69">
        <f>IF('03_Helper'!A69="","",'03_Helper'!S69)</f>
        <v/>
      </c>
      <c r="M69">
        <f>IF('03_Helper'!A69="","",'03_Helper'!T69)</f>
        <v/>
      </c>
      <c r="N69">
        <f>IF('03_Helper'!A69="","",'03_Helper'!AA69)</f>
        <v/>
      </c>
      <c r="O69">
        <f>IF('03_Helper'!A69="","",'03_Helper'!AB69)</f>
        <v/>
      </c>
      <c r="P69">
        <f>IF('03_Helper'!A69="","",'03_Helper'!AC69)</f>
        <v/>
      </c>
      <c r="Q69">
        <f>IF('03_Helper'!A69="","",'03_Helper'!AD69)</f>
        <v/>
      </c>
      <c r="R69">
        <f>IF('03_Helper'!A69="","",'03_Helper'!AI69)</f>
        <v/>
      </c>
      <c r="S69">
        <f>IF('03_Helper'!A69="","",'03_Helper'!AJ69)</f>
        <v/>
      </c>
      <c r="T69">
        <f>IF('03_Helper'!A69="","",'03_Helper'!U69)</f>
        <v/>
      </c>
      <c r="U69">
        <f>IF('03_Helper'!A69="","",'03_Helper'!W69)</f>
        <v/>
      </c>
      <c r="V69">
        <f>IF('03_Helper'!A69="","",'03_Helper'!AG69)</f>
        <v/>
      </c>
      <c r="W69">
        <f>IF('03_Helper'!A69="","",'03_Helper'!AK69)</f>
        <v/>
      </c>
      <c r="X69">
        <f>IF('03_Helper'!A69="","",'03_Helper'!K69)</f>
        <v/>
      </c>
      <c r="Y69">
        <f>IF('03_Helper'!A69="","",'03_Helper'!AN69)</f>
        <v/>
      </c>
    </row>
    <row r="70">
      <c r="A70">
        <f>IF('03_Helper'!A70="","",'03_Helper'!B70)</f>
        <v/>
      </c>
      <c r="B70">
        <f>IF('03_Helper'!A70="","",'03_Helper'!C70)</f>
        <v/>
      </c>
      <c r="C70">
        <f>IF('03_Helper'!A70="","",'03_Helper'!G70)</f>
        <v/>
      </c>
      <c r="D70">
        <f>IF('03_Helper'!A70="","",'03_Helper'!E70)</f>
        <v/>
      </c>
      <c r="E70">
        <f>IF('03_Helper'!A70="","",'03_Helper'!D70)</f>
        <v/>
      </c>
      <c r="F70">
        <f>IF('03_Helper'!A70="","",'03_Helper'!H70)</f>
        <v/>
      </c>
      <c r="G70">
        <f>IF('03_Helper'!A70="","",'03_Helper'!X70)</f>
        <v/>
      </c>
      <c r="H70">
        <f>IF('03_Helper'!A70="","",'03_Helper'!Y70)</f>
        <v/>
      </c>
      <c r="I70">
        <f>IF('03_Helper'!A70="","",'03_Helper'!Z70)</f>
        <v/>
      </c>
      <c r="J70">
        <f>IF('03_Helper'!A70="","",'03_Helper'!Q70)</f>
        <v/>
      </c>
      <c r="K70">
        <f>IF('03_Helper'!A70="","",'03_Helper'!R70)</f>
        <v/>
      </c>
      <c r="L70">
        <f>IF('03_Helper'!A70="","",'03_Helper'!S70)</f>
        <v/>
      </c>
      <c r="M70">
        <f>IF('03_Helper'!A70="","",'03_Helper'!T70)</f>
        <v/>
      </c>
      <c r="N70">
        <f>IF('03_Helper'!A70="","",'03_Helper'!AA70)</f>
        <v/>
      </c>
      <c r="O70">
        <f>IF('03_Helper'!A70="","",'03_Helper'!AB70)</f>
        <v/>
      </c>
      <c r="P70">
        <f>IF('03_Helper'!A70="","",'03_Helper'!AC70)</f>
        <v/>
      </c>
      <c r="Q70">
        <f>IF('03_Helper'!A70="","",'03_Helper'!AD70)</f>
        <v/>
      </c>
      <c r="R70">
        <f>IF('03_Helper'!A70="","",'03_Helper'!AI70)</f>
        <v/>
      </c>
      <c r="S70">
        <f>IF('03_Helper'!A70="","",'03_Helper'!AJ70)</f>
        <v/>
      </c>
      <c r="T70">
        <f>IF('03_Helper'!A70="","",'03_Helper'!U70)</f>
        <v/>
      </c>
      <c r="U70">
        <f>IF('03_Helper'!A70="","",'03_Helper'!W70)</f>
        <v/>
      </c>
      <c r="V70">
        <f>IF('03_Helper'!A70="","",'03_Helper'!AG70)</f>
        <v/>
      </c>
      <c r="W70">
        <f>IF('03_Helper'!A70="","",'03_Helper'!AK70)</f>
        <v/>
      </c>
      <c r="X70">
        <f>IF('03_Helper'!A70="","",'03_Helper'!K70)</f>
        <v/>
      </c>
      <c r="Y70">
        <f>IF('03_Helper'!A70="","",'03_Helper'!AN70)</f>
        <v/>
      </c>
    </row>
    <row r="71">
      <c r="A71">
        <f>IF('03_Helper'!A71="","",'03_Helper'!B71)</f>
        <v/>
      </c>
      <c r="B71">
        <f>IF('03_Helper'!A71="","",'03_Helper'!C71)</f>
        <v/>
      </c>
      <c r="C71">
        <f>IF('03_Helper'!A71="","",'03_Helper'!G71)</f>
        <v/>
      </c>
      <c r="D71">
        <f>IF('03_Helper'!A71="","",'03_Helper'!E71)</f>
        <v/>
      </c>
      <c r="E71">
        <f>IF('03_Helper'!A71="","",'03_Helper'!D71)</f>
        <v/>
      </c>
      <c r="F71">
        <f>IF('03_Helper'!A71="","",'03_Helper'!H71)</f>
        <v/>
      </c>
      <c r="G71">
        <f>IF('03_Helper'!A71="","",'03_Helper'!X71)</f>
        <v/>
      </c>
      <c r="H71">
        <f>IF('03_Helper'!A71="","",'03_Helper'!Y71)</f>
        <v/>
      </c>
      <c r="I71">
        <f>IF('03_Helper'!A71="","",'03_Helper'!Z71)</f>
        <v/>
      </c>
      <c r="J71">
        <f>IF('03_Helper'!A71="","",'03_Helper'!Q71)</f>
        <v/>
      </c>
      <c r="K71">
        <f>IF('03_Helper'!A71="","",'03_Helper'!R71)</f>
        <v/>
      </c>
      <c r="L71">
        <f>IF('03_Helper'!A71="","",'03_Helper'!S71)</f>
        <v/>
      </c>
      <c r="M71">
        <f>IF('03_Helper'!A71="","",'03_Helper'!T71)</f>
        <v/>
      </c>
      <c r="N71">
        <f>IF('03_Helper'!A71="","",'03_Helper'!AA71)</f>
        <v/>
      </c>
      <c r="O71">
        <f>IF('03_Helper'!A71="","",'03_Helper'!AB71)</f>
        <v/>
      </c>
      <c r="P71">
        <f>IF('03_Helper'!A71="","",'03_Helper'!AC71)</f>
        <v/>
      </c>
      <c r="Q71">
        <f>IF('03_Helper'!A71="","",'03_Helper'!AD71)</f>
        <v/>
      </c>
      <c r="R71">
        <f>IF('03_Helper'!A71="","",'03_Helper'!AI71)</f>
        <v/>
      </c>
      <c r="S71">
        <f>IF('03_Helper'!A71="","",'03_Helper'!AJ71)</f>
        <v/>
      </c>
      <c r="T71">
        <f>IF('03_Helper'!A71="","",'03_Helper'!U71)</f>
        <v/>
      </c>
      <c r="U71">
        <f>IF('03_Helper'!A71="","",'03_Helper'!W71)</f>
        <v/>
      </c>
      <c r="V71">
        <f>IF('03_Helper'!A71="","",'03_Helper'!AG71)</f>
        <v/>
      </c>
      <c r="W71">
        <f>IF('03_Helper'!A71="","",'03_Helper'!AK71)</f>
        <v/>
      </c>
      <c r="X71">
        <f>IF('03_Helper'!A71="","",'03_Helper'!K71)</f>
        <v/>
      </c>
      <c r="Y71">
        <f>IF('03_Helper'!A71="","",'03_Helper'!AN71)</f>
        <v/>
      </c>
    </row>
    <row r="72">
      <c r="A72">
        <f>IF('03_Helper'!A72="","",'03_Helper'!B72)</f>
        <v/>
      </c>
      <c r="B72">
        <f>IF('03_Helper'!A72="","",'03_Helper'!C72)</f>
        <v/>
      </c>
      <c r="C72">
        <f>IF('03_Helper'!A72="","",'03_Helper'!G72)</f>
        <v/>
      </c>
      <c r="D72">
        <f>IF('03_Helper'!A72="","",'03_Helper'!E72)</f>
        <v/>
      </c>
      <c r="E72">
        <f>IF('03_Helper'!A72="","",'03_Helper'!D72)</f>
        <v/>
      </c>
      <c r="F72">
        <f>IF('03_Helper'!A72="","",'03_Helper'!H72)</f>
        <v/>
      </c>
      <c r="G72">
        <f>IF('03_Helper'!A72="","",'03_Helper'!X72)</f>
        <v/>
      </c>
      <c r="H72">
        <f>IF('03_Helper'!A72="","",'03_Helper'!Y72)</f>
        <v/>
      </c>
      <c r="I72">
        <f>IF('03_Helper'!A72="","",'03_Helper'!Z72)</f>
        <v/>
      </c>
      <c r="J72">
        <f>IF('03_Helper'!A72="","",'03_Helper'!Q72)</f>
        <v/>
      </c>
      <c r="K72">
        <f>IF('03_Helper'!A72="","",'03_Helper'!R72)</f>
        <v/>
      </c>
      <c r="L72">
        <f>IF('03_Helper'!A72="","",'03_Helper'!S72)</f>
        <v/>
      </c>
      <c r="M72">
        <f>IF('03_Helper'!A72="","",'03_Helper'!T72)</f>
        <v/>
      </c>
      <c r="N72">
        <f>IF('03_Helper'!A72="","",'03_Helper'!AA72)</f>
        <v/>
      </c>
      <c r="O72">
        <f>IF('03_Helper'!A72="","",'03_Helper'!AB72)</f>
        <v/>
      </c>
      <c r="P72">
        <f>IF('03_Helper'!A72="","",'03_Helper'!AC72)</f>
        <v/>
      </c>
      <c r="Q72">
        <f>IF('03_Helper'!A72="","",'03_Helper'!AD72)</f>
        <v/>
      </c>
      <c r="R72">
        <f>IF('03_Helper'!A72="","",'03_Helper'!AI72)</f>
        <v/>
      </c>
      <c r="S72">
        <f>IF('03_Helper'!A72="","",'03_Helper'!AJ72)</f>
        <v/>
      </c>
      <c r="T72">
        <f>IF('03_Helper'!A72="","",'03_Helper'!U72)</f>
        <v/>
      </c>
      <c r="U72">
        <f>IF('03_Helper'!A72="","",'03_Helper'!W72)</f>
        <v/>
      </c>
      <c r="V72">
        <f>IF('03_Helper'!A72="","",'03_Helper'!AG72)</f>
        <v/>
      </c>
      <c r="W72">
        <f>IF('03_Helper'!A72="","",'03_Helper'!AK72)</f>
        <v/>
      </c>
      <c r="X72">
        <f>IF('03_Helper'!A72="","",'03_Helper'!K72)</f>
        <v/>
      </c>
      <c r="Y72">
        <f>IF('03_Helper'!A72="","",'03_Helper'!AN72)</f>
        <v/>
      </c>
    </row>
    <row r="73">
      <c r="A73">
        <f>IF('03_Helper'!A73="","",'03_Helper'!B73)</f>
        <v/>
      </c>
      <c r="B73">
        <f>IF('03_Helper'!A73="","",'03_Helper'!C73)</f>
        <v/>
      </c>
      <c r="C73">
        <f>IF('03_Helper'!A73="","",'03_Helper'!G73)</f>
        <v/>
      </c>
      <c r="D73">
        <f>IF('03_Helper'!A73="","",'03_Helper'!E73)</f>
        <v/>
      </c>
      <c r="E73">
        <f>IF('03_Helper'!A73="","",'03_Helper'!D73)</f>
        <v/>
      </c>
      <c r="F73">
        <f>IF('03_Helper'!A73="","",'03_Helper'!H73)</f>
        <v/>
      </c>
      <c r="G73">
        <f>IF('03_Helper'!A73="","",'03_Helper'!X73)</f>
        <v/>
      </c>
      <c r="H73">
        <f>IF('03_Helper'!A73="","",'03_Helper'!Y73)</f>
        <v/>
      </c>
      <c r="I73">
        <f>IF('03_Helper'!A73="","",'03_Helper'!Z73)</f>
        <v/>
      </c>
      <c r="J73">
        <f>IF('03_Helper'!A73="","",'03_Helper'!Q73)</f>
        <v/>
      </c>
      <c r="K73">
        <f>IF('03_Helper'!A73="","",'03_Helper'!R73)</f>
        <v/>
      </c>
      <c r="L73">
        <f>IF('03_Helper'!A73="","",'03_Helper'!S73)</f>
        <v/>
      </c>
      <c r="M73">
        <f>IF('03_Helper'!A73="","",'03_Helper'!T73)</f>
        <v/>
      </c>
      <c r="N73">
        <f>IF('03_Helper'!A73="","",'03_Helper'!AA73)</f>
        <v/>
      </c>
      <c r="O73">
        <f>IF('03_Helper'!A73="","",'03_Helper'!AB73)</f>
        <v/>
      </c>
      <c r="P73">
        <f>IF('03_Helper'!A73="","",'03_Helper'!AC73)</f>
        <v/>
      </c>
      <c r="Q73">
        <f>IF('03_Helper'!A73="","",'03_Helper'!AD73)</f>
        <v/>
      </c>
      <c r="R73">
        <f>IF('03_Helper'!A73="","",'03_Helper'!AI73)</f>
        <v/>
      </c>
      <c r="S73">
        <f>IF('03_Helper'!A73="","",'03_Helper'!AJ73)</f>
        <v/>
      </c>
      <c r="T73">
        <f>IF('03_Helper'!A73="","",'03_Helper'!U73)</f>
        <v/>
      </c>
      <c r="U73">
        <f>IF('03_Helper'!A73="","",'03_Helper'!W73)</f>
        <v/>
      </c>
      <c r="V73">
        <f>IF('03_Helper'!A73="","",'03_Helper'!AG73)</f>
        <v/>
      </c>
      <c r="W73">
        <f>IF('03_Helper'!A73="","",'03_Helper'!AK73)</f>
        <v/>
      </c>
      <c r="X73">
        <f>IF('03_Helper'!A73="","",'03_Helper'!K73)</f>
        <v/>
      </c>
      <c r="Y73">
        <f>IF('03_Helper'!A73="","",'03_Helper'!AN73)</f>
        <v/>
      </c>
    </row>
    <row r="74">
      <c r="A74">
        <f>IF('03_Helper'!A74="","",'03_Helper'!B74)</f>
        <v/>
      </c>
      <c r="B74">
        <f>IF('03_Helper'!A74="","",'03_Helper'!C74)</f>
        <v/>
      </c>
      <c r="C74">
        <f>IF('03_Helper'!A74="","",'03_Helper'!G74)</f>
        <v/>
      </c>
      <c r="D74">
        <f>IF('03_Helper'!A74="","",'03_Helper'!E74)</f>
        <v/>
      </c>
      <c r="E74">
        <f>IF('03_Helper'!A74="","",'03_Helper'!D74)</f>
        <v/>
      </c>
      <c r="F74">
        <f>IF('03_Helper'!A74="","",'03_Helper'!H74)</f>
        <v/>
      </c>
      <c r="G74">
        <f>IF('03_Helper'!A74="","",'03_Helper'!X74)</f>
        <v/>
      </c>
      <c r="H74">
        <f>IF('03_Helper'!A74="","",'03_Helper'!Y74)</f>
        <v/>
      </c>
      <c r="I74">
        <f>IF('03_Helper'!A74="","",'03_Helper'!Z74)</f>
        <v/>
      </c>
      <c r="J74">
        <f>IF('03_Helper'!A74="","",'03_Helper'!Q74)</f>
        <v/>
      </c>
      <c r="K74">
        <f>IF('03_Helper'!A74="","",'03_Helper'!R74)</f>
        <v/>
      </c>
      <c r="L74">
        <f>IF('03_Helper'!A74="","",'03_Helper'!S74)</f>
        <v/>
      </c>
      <c r="M74">
        <f>IF('03_Helper'!A74="","",'03_Helper'!T74)</f>
        <v/>
      </c>
      <c r="N74">
        <f>IF('03_Helper'!A74="","",'03_Helper'!AA74)</f>
        <v/>
      </c>
      <c r="O74">
        <f>IF('03_Helper'!A74="","",'03_Helper'!AB74)</f>
        <v/>
      </c>
      <c r="P74">
        <f>IF('03_Helper'!A74="","",'03_Helper'!AC74)</f>
        <v/>
      </c>
      <c r="Q74">
        <f>IF('03_Helper'!A74="","",'03_Helper'!AD74)</f>
        <v/>
      </c>
      <c r="R74">
        <f>IF('03_Helper'!A74="","",'03_Helper'!AI74)</f>
        <v/>
      </c>
      <c r="S74">
        <f>IF('03_Helper'!A74="","",'03_Helper'!AJ74)</f>
        <v/>
      </c>
      <c r="T74">
        <f>IF('03_Helper'!A74="","",'03_Helper'!U74)</f>
        <v/>
      </c>
      <c r="U74">
        <f>IF('03_Helper'!A74="","",'03_Helper'!W74)</f>
        <v/>
      </c>
      <c r="V74">
        <f>IF('03_Helper'!A74="","",'03_Helper'!AG74)</f>
        <v/>
      </c>
      <c r="W74">
        <f>IF('03_Helper'!A74="","",'03_Helper'!AK74)</f>
        <v/>
      </c>
      <c r="X74">
        <f>IF('03_Helper'!A74="","",'03_Helper'!K74)</f>
        <v/>
      </c>
      <c r="Y74">
        <f>IF('03_Helper'!A74="","",'03_Helper'!AN74)</f>
        <v/>
      </c>
    </row>
    <row r="75">
      <c r="A75">
        <f>IF('03_Helper'!A75="","",'03_Helper'!B75)</f>
        <v/>
      </c>
      <c r="B75">
        <f>IF('03_Helper'!A75="","",'03_Helper'!C75)</f>
        <v/>
      </c>
      <c r="C75">
        <f>IF('03_Helper'!A75="","",'03_Helper'!G75)</f>
        <v/>
      </c>
      <c r="D75">
        <f>IF('03_Helper'!A75="","",'03_Helper'!E75)</f>
        <v/>
      </c>
      <c r="E75">
        <f>IF('03_Helper'!A75="","",'03_Helper'!D75)</f>
        <v/>
      </c>
      <c r="F75">
        <f>IF('03_Helper'!A75="","",'03_Helper'!H75)</f>
        <v/>
      </c>
      <c r="G75">
        <f>IF('03_Helper'!A75="","",'03_Helper'!X75)</f>
        <v/>
      </c>
      <c r="H75">
        <f>IF('03_Helper'!A75="","",'03_Helper'!Y75)</f>
        <v/>
      </c>
      <c r="I75">
        <f>IF('03_Helper'!A75="","",'03_Helper'!Z75)</f>
        <v/>
      </c>
      <c r="J75">
        <f>IF('03_Helper'!A75="","",'03_Helper'!Q75)</f>
        <v/>
      </c>
      <c r="K75">
        <f>IF('03_Helper'!A75="","",'03_Helper'!R75)</f>
        <v/>
      </c>
      <c r="L75">
        <f>IF('03_Helper'!A75="","",'03_Helper'!S75)</f>
        <v/>
      </c>
      <c r="M75">
        <f>IF('03_Helper'!A75="","",'03_Helper'!T75)</f>
        <v/>
      </c>
      <c r="N75">
        <f>IF('03_Helper'!A75="","",'03_Helper'!AA75)</f>
        <v/>
      </c>
      <c r="O75">
        <f>IF('03_Helper'!A75="","",'03_Helper'!AB75)</f>
        <v/>
      </c>
      <c r="P75">
        <f>IF('03_Helper'!A75="","",'03_Helper'!AC75)</f>
        <v/>
      </c>
      <c r="Q75">
        <f>IF('03_Helper'!A75="","",'03_Helper'!AD75)</f>
        <v/>
      </c>
      <c r="R75">
        <f>IF('03_Helper'!A75="","",'03_Helper'!AI75)</f>
        <v/>
      </c>
      <c r="S75">
        <f>IF('03_Helper'!A75="","",'03_Helper'!AJ75)</f>
        <v/>
      </c>
      <c r="T75">
        <f>IF('03_Helper'!A75="","",'03_Helper'!U75)</f>
        <v/>
      </c>
      <c r="U75">
        <f>IF('03_Helper'!A75="","",'03_Helper'!W75)</f>
        <v/>
      </c>
      <c r="V75">
        <f>IF('03_Helper'!A75="","",'03_Helper'!AG75)</f>
        <v/>
      </c>
      <c r="W75">
        <f>IF('03_Helper'!A75="","",'03_Helper'!AK75)</f>
        <v/>
      </c>
      <c r="X75">
        <f>IF('03_Helper'!A75="","",'03_Helper'!K75)</f>
        <v/>
      </c>
      <c r="Y75">
        <f>IF('03_Helper'!A75="","",'03_Helper'!AN75)</f>
        <v/>
      </c>
    </row>
    <row r="76">
      <c r="A76">
        <f>IF('03_Helper'!A76="","",'03_Helper'!B76)</f>
        <v/>
      </c>
      <c r="B76">
        <f>IF('03_Helper'!A76="","",'03_Helper'!C76)</f>
        <v/>
      </c>
      <c r="C76">
        <f>IF('03_Helper'!A76="","",'03_Helper'!G76)</f>
        <v/>
      </c>
      <c r="D76">
        <f>IF('03_Helper'!A76="","",'03_Helper'!E76)</f>
        <v/>
      </c>
      <c r="E76">
        <f>IF('03_Helper'!A76="","",'03_Helper'!D76)</f>
        <v/>
      </c>
      <c r="F76">
        <f>IF('03_Helper'!A76="","",'03_Helper'!H76)</f>
        <v/>
      </c>
      <c r="G76">
        <f>IF('03_Helper'!A76="","",'03_Helper'!X76)</f>
        <v/>
      </c>
      <c r="H76">
        <f>IF('03_Helper'!A76="","",'03_Helper'!Y76)</f>
        <v/>
      </c>
      <c r="I76">
        <f>IF('03_Helper'!A76="","",'03_Helper'!Z76)</f>
        <v/>
      </c>
      <c r="J76">
        <f>IF('03_Helper'!A76="","",'03_Helper'!Q76)</f>
        <v/>
      </c>
      <c r="K76">
        <f>IF('03_Helper'!A76="","",'03_Helper'!R76)</f>
        <v/>
      </c>
      <c r="L76">
        <f>IF('03_Helper'!A76="","",'03_Helper'!S76)</f>
        <v/>
      </c>
      <c r="M76">
        <f>IF('03_Helper'!A76="","",'03_Helper'!T76)</f>
        <v/>
      </c>
      <c r="N76">
        <f>IF('03_Helper'!A76="","",'03_Helper'!AA76)</f>
        <v/>
      </c>
      <c r="O76">
        <f>IF('03_Helper'!A76="","",'03_Helper'!AB76)</f>
        <v/>
      </c>
      <c r="P76">
        <f>IF('03_Helper'!A76="","",'03_Helper'!AC76)</f>
        <v/>
      </c>
      <c r="Q76">
        <f>IF('03_Helper'!A76="","",'03_Helper'!AD76)</f>
        <v/>
      </c>
      <c r="R76">
        <f>IF('03_Helper'!A76="","",'03_Helper'!AI76)</f>
        <v/>
      </c>
      <c r="S76">
        <f>IF('03_Helper'!A76="","",'03_Helper'!AJ76)</f>
        <v/>
      </c>
      <c r="T76">
        <f>IF('03_Helper'!A76="","",'03_Helper'!U76)</f>
        <v/>
      </c>
      <c r="U76">
        <f>IF('03_Helper'!A76="","",'03_Helper'!W76)</f>
        <v/>
      </c>
      <c r="V76">
        <f>IF('03_Helper'!A76="","",'03_Helper'!AG76)</f>
        <v/>
      </c>
      <c r="W76">
        <f>IF('03_Helper'!A76="","",'03_Helper'!AK76)</f>
        <v/>
      </c>
      <c r="X76">
        <f>IF('03_Helper'!A76="","",'03_Helper'!K76)</f>
        <v/>
      </c>
      <c r="Y76">
        <f>IF('03_Helper'!A76="","",'03_Helper'!AN76)</f>
        <v/>
      </c>
    </row>
    <row r="77">
      <c r="A77">
        <f>IF('03_Helper'!A77="","",'03_Helper'!B77)</f>
        <v/>
      </c>
      <c r="B77">
        <f>IF('03_Helper'!A77="","",'03_Helper'!C77)</f>
        <v/>
      </c>
      <c r="C77">
        <f>IF('03_Helper'!A77="","",'03_Helper'!G77)</f>
        <v/>
      </c>
      <c r="D77">
        <f>IF('03_Helper'!A77="","",'03_Helper'!E77)</f>
        <v/>
      </c>
      <c r="E77">
        <f>IF('03_Helper'!A77="","",'03_Helper'!D77)</f>
        <v/>
      </c>
      <c r="F77">
        <f>IF('03_Helper'!A77="","",'03_Helper'!H77)</f>
        <v/>
      </c>
      <c r="G77">
        <f>IF('03_Helper'!A77="","",'03_Helper'!X77)</f>
        <v/>
      </c>
      <c r="H77">
        <f>IF('03_Helper'!A77="","",'03_Helper'!Y77)</f>
        <v/>
      </c>
      <c r="I77">
        <f>IF('03_Helper'!A77="","",'03_Helper'!Z77)</f>
        <v/>
      </c>
      <c r="J77">
        <f>IF('03_Helper'!A77="","",'03_Helper'!Q77)</f>
        <v/>
      </c>
      <c r="K77">
        <f>IF('03_Helper'!A77="","",'03_Helper'!R77)</f>
        <v/>
      </c>
      <c r="L77">
        <f>IF('03_Helper'!A77="","",'03_Helper'!S77)</f>
        <v/>
      </c>
      <c r="M77">
        <f>IF('03_Helper'!A77="","",'03_Helper'!T77)</f>
        <v/>
      </c>
      <c r="N77">
        <f>IF('03_Helper'!A77="","",'03_Helper'!AA77)</f>
        <v/>
      </c>
      <c r="O77">
        <f>IF('03_Helper'!A77="","",'03_Helper'!AB77)</f>
        <v/>
      </c>
      <c r="P77">
        <f>IF('03_Helper'!A77="","",'03_Helper'!AC77)</f>
        <v/>
      </c>
      <c r="Q77">
        <f>IF('03_Helper'!A77="","",'03_Helper'!AD77)</f>
        <v/>
      </c>
      <c r="R77">
        <f>IF('03_Helper'!A77="","",'03_Helper'!AI77)</f>
        <v/>
      </c>
      <c r="S77">
        <f>IF('03_Helper'!A77="","",'03_Helper'!AJ77)</f>
        <v/>
      </c>
      <c r="T77">
        <f>IF('03_Helper'!A77="","",'03_Helper'!U77)</f>
        <v/>
      </c>
      <c r="U77">
        <f>IF('03_Helper'!A77="","",'03_Helper'!W77)</f>
        <v/>
      </c>
      <c r="V77">
        <f>IF('03_Helper'!A77="","",'03_Helper'!AG77)</f>
        <v/>
      </c>
      <c r="W77">
        <f>IF('03_Helper'!A77="","",'03_Helper'!AK77)</f>
        <v/>
      </c>
      <c r="X77">
        <f>IF('03_Helper'!A77="","",'03_Helper'!K77)</f>
        <v/>
      </c>
      <c r="Y77">
        <f>IF('03_Helper'!A77="","",'03_Helper'!AN77)</f>
        <v/>
      </c>
    </row>
    <row r="78">
      <c r="A78">
        <f>IF('03_Helper'!A78="","",'03_Helper'!B78)</f>
        <v/>
      </c>
      <c r="B78">
        <f>IF('03_Helper'!A78="","",'03_Helper'!C78)</f>
        <v/>
      </c>
      <c r="C78">
        <f>IF('03_Helper'!A78="","",'03_Helper'!G78)</f>
        <v/>
      </c>
      <c r="D78">
        <f>IF('03_Helper'!A78="","",'03_Helper'!E78)</f>
        <v/>
      </c>
      <c r="E78">
        <f>IF('03_Helper'!A78="","",'03_Helper'!D78)</f>
        <v/>
      </c>
      <c r="F78">
        <f>IF('03_Helper'!A78="","",'03_Helper'!H78)</f>
        <v/>
      </c>
      <c r="G78">
        <f>IF('03_Helper'!A78="","",'03_Helper'!X78)</f>
        <v/>
      </c>
      <c r="H78">
        <f>IF('03_Helper'!A78="","",'03_Helper'!Y78)</f>
        <v/>
      </c>
      <c r="I78">
        <f>IF('03_Helper'!A78="","",'03_Helper'!Z78)</f>
        <v/>
      </c>
      <c r="J78">
        <f>IF('03_Helper'!A78="","",'03_Helper'!Q78)</f>
        <v/>
      </c>
      <c r="K78">
        <f>IF('03_Helper'!A78="","",'03_Helper'!R78)</f>
        <v/>
      </c>
      <c r="L78">
        <f>IF('03_Helper'!A78="","",'03_Helper'!S78)</f>
        <v/>
      </c>
      <c r="M78">
        <f>IF('03_Helper'!A78="","",'03_Helper'!T78)</f>
        <v/>
      </c>
      <c r="N78">
        <f>IF('03_Helper'!A78="","",'03_Helper'!AA78)</f>
        <v/>
      </c>
      <c r="O78">
        <f>IF('03_Helper'!A78="","",'03_Helper'!AB78)</f>
        <v/>
      </c>
      <c r="P78">
        <f>IF('03_Helper'!A78="","",'03_Helper'!AC78)</f>
        <v/>
      </c>
      <c r="Q78">
        <f>IF('03_Helper'!A78="","",'03_Helper'!AD78)</f>
        <v/>
      </c>
      <c r="R78">
        <f>IF('03_Helper'!A78="","",'03_Helper'!AI78)</f>
        <v/>
      </c>
      <c r="S78">
        <f>IF('03_Helper'!A78="","",'03_Helper'!AJ78)</f>
        <v/>
      </c>
      <c r="T78">
        <f>IF('03_Helper'!A78="","",'03_Helper'!U78)</f>
        <v/>
      </c>
      <c r="U78">
        <f>IF('03_Helper'!A78="","",'03_Helper'!W78)</f>
        <v/>
      </c>
      <c r="V78">
        <f>IF('03_Helper'!A78="","",'03_Helper'!AG78)</f>
        <v/>
      </c>
      <c r="W78">
        <f>IF('03_Helper'!A78="","",'03_Helper'!AK78)</f>
        <v/>
      </c>
      <c r="X78">
        <f>IF('03_Helper'!A78="","",'03_Helper'!K78)</f>
        <v/>
      </c>
      <c r="Y78">
        <f>IF('03_Helper'!A78="","",'03_Helper'!AN78)</f>
        <v/>
      </c>
    </row>
    <row r="79">
      <c r="A79">
        <f>IF('03_Helper'!A79="","",'03_Helper'!B79)</f>
        <v/>
      </c>
      <c r="B79">
        <f>IF('03_Helper'!A79="","",'03_Helper'!C79)</f>
        <v/>
      </c>
      <c r="C79">
        <f>IF('03_Helper'!A79="","",'03_Helper'!G79)</f>
        <v/>
      </c>
      <c r="D79">
        <f>IF('03_Helper'!A79="","",'03_Helper'!E79)</f>
        <v/>
      </c>
      <c r="E79">
        <f>IF('03_Helper'!A79="","",'03_Helper'!D79)</f>
        <v/>
      </c>
      <c r="F79">
        <f>IF('03_Helper'!A79="","",'03_Helper'!H79)</f>
        <v/>
      </c>
      <c r="G79">
        <f>IF('03_Helper'!A79="","",'03_Helper'!X79)</f>
        <v/>
      </c>
      <c r="H79">
        <f>IF('03_Helper'!A79="","",'03_Helper'!Y79)</f>
        <v/>
      </c>
      <c r="I79">
        <f>IF('03_Helper'!A79="","",'03_Helper'!Z79)</f>
        <v/>
      </c>
      <c r="J79">
        <f>IF('03_Helper'!A79="","",'03_Helper'!Q79)</f>
        <v/>
      </c>
      <c r="K79">
        <f>IF('03_Helper'!A79="","",'03_Helper'!R79)</f>
        <v/>
      </c>
      <c r="L79">
        <f>IF('03_Helper'!A79="","",'03_Helper'!S79)</f>
        <v/>
      </c>
      <c r="M79">
        <f>IF('03_Helper'!A79="","",'03_Helper'!T79)</f>
        <v/>
      </c>
      <c r="N79">
        <f>IF('03_Helper'!A79="","",'03_Helper'!AA79)</f>
        <v/>
      </c>
      <c r="O79">
        <f>IF('03_Helper'!A79="","",'03_Helper'!AB79)</f>
        <v/>
      </c>
      <c r="P79">
        <f>IF('03_Helper'!A79="","",'03_Helper'!AC79)</f>
        <v/>
      </c>
      <c r="Q79">
        <f>IF('03_Helper'!A79="","",'03_Helper'!AD79)</f>
        <v/>
      </c>
      <c r="R79">
        <f>IF('03_Helper'!A79="","",'03_Helper'!AI79)</f>
        <v/>
      </c>
      <c r="S79">
        <f>IF('03_Helper'!A79="","",'03_Helper'!AJ79)</f>
        <v/>
      </c>
      <c r="T79">
        <f>IF('03_Helper'!A79="","",'03_Helper'!U79)</f>
        <v/>
      </c>
      <c r="U79">
        <f>IF('03_Helper'!A79="","",'03_Helper'!W79)</f>
        <v/>
      </c>
      <c r="V79">
        <f>IF('03_Helper'!A79="","",'03_Helper'!AG79)</f>
        <v/>
      </c>
      <c r="W79">
        <f>IF('03_Helper'!A79="","",'03_Helper'!AK79)</f>
        <v/>
      </c>
      <c r="X79">
        <f>IF('03_Helper'!A79="","",'03_Helper'!K79)</f>
        <v/>
      </c>
      <c r="Y79">
        <f>IF('03_Helper'!A79="","",'03_Helper'!AN79)</f>
        <v/>
      </c>
    </row>
    <row r="80">
      <c r="A80">
        <f>IF('03_Helper'!A80="","",'03_Helper'!B80)</f>
        <v/>
      </c>
      <c r="B80">
        <f>IF('03_Helper'!A80="","",'03_Helper'!C80)</f>
        <v/>
      </c>
      <c r="C80">
        <f>IF('03_Helper'!A80="","",'03_Helper'!G80)</f>
        <v/>
      </c>
      <c r="D80">
        <f>IF('03_Helper'!A80="","",'03_Helper'!E80)</f>
        <v/>
      </c>
      <c r="E80">
        <f>IF('03_Helper'!A80="","",'03_Helper'!D80)</f>
        <v/>
      </c>
      <c r="F80">
        <f>IF('03_Helper'!A80="","",'03_Helper'!H80)</f>
        <v/>
      </c>
      <c r="G80">
        <f>IF('03_Helper'!A80="","",'03_Helper'!X80)</f>
        <v/>
      </c>
      <c r="H80">
        <f>IF('03_Helper'!A80="","",'03_Helper'!Y80)</f>
        <v/>
      </c>
      <c r="I80">
        <f>IF('03_Helper'!A80="","",'03_Helper'!Z80)</f>
        <v/>
      </c>
      <c r="J80">
        <f>IF('03_Helper'!A80="","",'03_Helper'!Q80)</f>
        <v/>
      </c>
      <c r="K80">
        <f>IF('03_Helper'!A80="","",'03_Helper'!R80)</f>
        <v/>
      </c>
      <c r="L80">
        <f>IF('03_Helper'!A80="","",'03_Helper'!S80)</f>
        <v/>
      </c>
      <c r="M80">
        <f>IF('03_Helper'!A80="","",'03_Helper'!T80)</f>
        <v/>
      </c>
      <c r="N80">
        <f>IF('03_Helper'!A80="","",'03_Helper'!AA80)</f>
        <v/>
      </c>
      <c r="O80">
        <f>IF('03_Helper'!A80="","",'03_Helper'!AB80)</f>
        <v/>
      </c>
      <c r="P80">
        <f>IF('03_Helper'!A80="","",'03_Helper'!AC80)</f>
        <v/>
      </c>
      <c r="Q80">
        <f>IF('03_Helper'!A80="","",'03_Helper'!AD80)</f>
        <v/>
      </c>
      <c r="R80">
        <f>IF('03_Helper'!A80="","",'03_Helper'!AI80)</f>
        <v/>
      </c>
      <c r="S80">
        <f>IF('03_Helper'!A80="","",'03_Helper'!AJ80)</f>
        <v/>
      </c>
      <c r="T80">
        <f>IF('03_Helper'!A80="","",'03_Helper'!U80)</f>
        <v/>
      </c>
      <c r="U80">
        <f>IF('03_Helper'!A80="","",'03_Helper'!W80)</f>
        <v/>
      </c>
      <c r="V80">
        <f>IF('03_Helper'!A80="","",'03_Helper'!AG80)</f>
        <v/>
      </c>
      <c r="W80">
        <f>IF('03_Helper'!A80="","",'03_Helper'!AK80)</f>
        <v/>
      </c>
      <c r="X80">
        <f>IF('03_Helper'!A80="","",'03_Helper'!K80)</f>
        <v/>
      </c>
      <c r="Y80">
        <f>IF('03_Helper'!A80="","",'03_Helper'!AN80)</f>
        <v/>
      </c>
    </row>
    <row r="81">
      <c r="A81">
        <f>IF('03_Helper'!A81="","",'03_Helper'!B81)</f>
        <v/>
      </c>
      <c r="B81">
        <f>IF('03_Helper'!A81="","",'03_Helper'!C81)</f>
        <v/>
      </c>
      <c r="C81">
        <f>IF('03_Helper'!A81="","",'03_Helper'!G81)</f>
        <v/>
      </c>
      <c r="D81">
        <f>IF('03_Helper'!A81="","",'03_Helper'!E81)</f>
        <v/>
      </c>
      <c r="E81">
        <f>IF('03_Helper'!A81="","",'03_Helper'!D81)</f>
        <v/>
      </c>
      <c r="F81">
        <f>IF('03_Helper'!A81="","",'03_Helper'!H81)</f>
        <v/>
      </c>
      <c r="G81">
        <f>IF('03_Helper'!A81="","",'03_Helper'!X81)</f>
        <v/>
      </c>
      <c r="H81">
        <f>IF('03_Helper'!A81="","",'03_Helper'!Y81)</f>
        <v/>
      </c>
      <c r="I81">
        <f>IF('03_Helper'!A81="","",'03_Helper'!Z81)</f>
        <v/>
      </c>
      <c r="J81">
        <f>IF('03_Helper'!A81="","",'03_Helper'!Q81)</f>
        <v/>
      </c>
      <c r="K81">
        <f>IF('03_Helper'!A81="","",'03_Helper'!R81)</f>
        <v/>
      </c>
      <c r="L81">
        <f>IF('03_Helper'!A81="","",'03_Helper'!S81)</f>
        <v/>
      </c>
      <c r="M81">
        <f>IF('03_Helper'!A81="","",'03_Helper'!T81)</f>
        <v/>
      </c>
      <c r="N81">
        <f>IF('03_Helper'!A81="","",'03_Helper'!AA81)</f>
        <v/>
      </c>
      <c r="O81">
        <f>IF('03_Helper'!A81="","",'03_Helper'!AB81)</f>
        <v/>
      </c>
      <c r="P81">
        <f>IF('03_Helper'!A81="","",'03_Helper'!AC81)</f>
        <v/>
      </c>
      <c r="Q81">
        <f>IF('03_Helper'!A81="","",'03_Helper'!AD81)</f>
        <v/>
      </c>
      <c r="R81">
        <f>IF('03_Helper'!A81="","",'03_Helper'!AI81)</f>
        <v/>
      </c>
      <c r="S81">
        <f>IF('03_Helper'!A81="","",'03_Helper'!AJ81)</f>
        <v/>
      </c>
      <c r="T81">
        <f>IF('03_Helper'!A81="","",'03_Helper'!U81)</f>
        <v/>
      </c>
      <c r="U81">
        <f>IF('03_Helper'!A81="","",'03_Helper'!W81)</f>
        <v/>
      </c>
      <c r="V81">
        <f>IF('03_Helper'!A81="","",'03_Helper'!AG81)</f>
        <v/>
      </c>
      <c r="W81">
        <f>IF('03_Helper'!A81="","",'03_Helper'!AK81)</f>
        <v/>
      </c>
      <c r="X81">
        <f>IF('03_Helper'!A81="","",'03_Helper'!K81)</f>
        <v/>
      </c>
      <c r="Y81">
        <f>IF('03_Helper'!A81="","",'03_Helper'!AN81)</f>
        <v/>
      </c>
    </row>
    <row r="82">
      <c r="A82">
        <f>IF('03_Helper'!A82="","",'03_Helper'!B82)</f>
        <v/>
      </c>
      <c r="B82">
        <f>IF('03_Helper'!A82="","",'03_Helper'!C82)</f>
        <v/>
      </c>
      <c r="C82">
        <f>IF('03_Helper'!A82="","",'03_Helper'!G82)</f>
        <v/>
      </c>
      <c r="D82">
        <f>IF('03_Helper'!A82="","",'03_Helper'!E82)</f>
        <v/>
      </c>
      <c r="E82">
        <f>IF('03_Helper'!A82="","",'03_Helper'!D82)</f>
        <v/>
      </c>
      <c r="F82">
        <f>IF('03_Helper'!A82="","",'03_Helper'!H82)</f>
        <v/>
      </c>
      <c r="G82">
        <f>IF('03_Helper'!A82="","",'03_Helper'!X82)</f>
        <v/>
      </c>
      <c r="H82">
        <f>IF('03_Helper'!A82="","",'03_Helper'!Y82)</f>
        <v/>
      </c>
      <c r="I82">
        <f>IF('03_Helper'!A82="","",'03_Helper'!Z82)</f>
        <v/>
      </c>
      <c r="J82">
        <f>IF('03_Helper'!A82="","",'03_Helper'!Q82)</f>
        <v/>
      </c>
      <c r="K82">
        <f>IF('03_Helper'!A82="","",'03_Helper'!R82)</f>
        <v/>
      </c>
      <c r="L82">
        <f>IF('03_Helper'!A82="","",'03_Helper'!S82)</f>
        <v/>
      </c>
      <c r="M82">
        <f>IF('03_Helper'!A82="","",'03_Helper'!T82)</f>
        <v/>
      </c>
      <c r="N82">
        <f>IF('03_Helper'!A82="","",'03_Helper'!AA82)</f>
        <v/>
      </c>
      <c r="O82">
        <f>IF('03_Helper'!A82="","",'03_Helper'!AB82)</f>
        <v/>
      </c>
      <c r="P82">
        <f>IF('03_Helper'!A82="","",'03_Helper'!AC82)</f>
        <v/>
      </c>
      <c r="Q82">
        <f>IF('03_Helper'!A82="","",'03_Helper'!AD82)</f>
        <v/>
      </c>
      <c r="R82">
        <f>IF('03_Helper'!A82="","",'03_Helper'!AI82)</f>
        <v/>
      </c>
      <c r="S82">
        <f>IF('03_Helper'!A82="","",'03_Helper'!AJ82)</f>
        <v/>
      </c>
      <c r="T82">
        <f>IF('03_Helper'!A82="","",'03_Helper'!U82)</f>
        <v/>
      </c>
      <c r="U82">
        <f>IF('03_Helper'!A82="","",'03_Helper'!W82)</f>
        <v/>
      </c>
      <c r="V82">
        <f>IF('03_Helper'!A82="","",'03_Helper'!AG82)</f>
        <v/>
      </c>
      <c r="W82">
        <f>IF('03_Helper'!A82="","",'03_Helper'!AK82)</f>
        <v/>
      </c>
      <c r="X82">
        <f>IF('03_Helper'!A82="","",'03_Helper'!K82)</f>
        <v/>
      </c>
      <c r="Y82">
        <f>IF('03_Helper'!A82="","",'03_Helper'!AN82)</f>
        <v/>
      </c>
    </row>
    <row r="83">
      <c r="A83">
        <f>IF('03_Helper'!A83="","",'03_Helper'!B83)</f>
        <v/>
      </c>
      <c r="B83">
        <f>IF('03_Helper'!A83="","",'03_Helper'!C83)</f>
        <v/>
      </c>
      <c r="C83">
        <f>IF('03_Helper'!A83="","",'03_Helper'!G83)</f>
        <v/>
      </c>
      <c r="D83">
        <f>IF('03_Helper'!A83="","",'03_Helper'!E83)</f>
        <v/>
      </c>
      <c r="E83">
        <f>IF('03_Helper'!A83="","",'03_Helper'!D83)</f>
        <v/>
      </c>
      <c r="F83">
        <f>IF('03_Helper'!A83="","",'03_Helper'!H83)</f>
        <v/>
      </c>
      <c r="G83">
        <f>IF('03_Helper'!A83="","",'03_Helper'!X83)</f>
        <v/>
      </c>
      <c r="H83">
        <f>IF('03_Helper'!A83="","",'03_Helper'!Y83)</f>
        <v/>
      </c>
      <c r="I83">
        <f>IF('03_Helper'!A83="","",'03_Helper'!Z83)</f>
        <v/>
      </c>
      <c r="J83">
        <f>IF('03_Helper'!A83="","",'03_Helper'!Q83)</f>
        <v/>
      </c>
      <c r="K83">
        <f>IF('03_Helper'!A83="","",'03_Helper'!R83)</f>
        <v/>
      </c>
      <c r="L83">
        <f>IF('03_Helper'!A83="","",'03_Helper'!S83)</f>
        <v/>
      </c>
      <c r="M83">
        <f>IF('03_Helper'!A83="","",'03_Helper'!T83)</f>
        <v/>
      </c>
      <c r="N83">
        <f>IF('03_Helper'!A83="","",'03_Helper'!AA83)</f>
        <v/>
      </c>
      <c r="O83">
        <f>IF('03_Helper'!A83="","",'03_Helper'!AB83)</f>
        <v/>
      </c>
      <c r="P83">
        <f>IF('03_Helper'!A83="","",'03_Helper'!AC83)</f>
        <v/>
      </c>
      <c r="Q83">
        <f>IF('03_Helper'!A83="","",'03_Helper'!AD83)</f>
        <v/>
      </c>
      <c r="R83">
        <f>IF('03_Helper'!A83="","",'03_Helper'!AI83)</f>
        <v/>
      </c>
      <c r="S83">
        <f>IF('03_Helper'!A83="","",'03_Helper'!AJ83)</f>
        <v/>
      </c>
      <c r="T83">
        <f>IF('03_Helper'!A83="","",'03_Helper'!U83)</f>
        <v/>
      </c>
      <c r="U83">
        <f>IF('03_Helper'!A83="","",'03_Helper'!W83)</f>
        <v/>
      </c>
      <c r="V83">
        <f>IF('03_Helper'!A83="","",'03_Helper'!AG83)</f>
        <v/>
      </c>
      <c r="W83">
        <f>IF('03_Helper'!A83="","",'03_Helper'!AK83)</f>
        <v/>
      </c>
      <c r="X83">
        <f>IF('03_Helper'!A83="","",'03_Helper'!K83)</f>
        <v/>
      </c>
      <c r="Y83">
        <f>IF('03_Helper'!A83="","",'03_Helper'!AN83)</f>
        <v/>
      </c>
    </row>
    <row r="84">
      <c r="A84">
        <f>IF('03_Helper'!A84="","",'03_Helper'!B84)</f>
        <v/>
      </c>
      <c r="B84">
        <f>IF('03_Helper'!A84="","",'03_Helper'!C84)</f>
        <v/>
      </c>
      <c r="C84">
        <f>IF('03_Helper'!A84="","",'03_Helper'!G84)</f>
        <v/>
      </c>
      <c r="D84">
        <f>IF('03_Helper'!A84="","",'03_Helper'!E84)</f>
        <v/>
      </c>
      <c r="E84">
        <f>IF('03_Helper'!A84="","",'03_Helper'!D84)</f>
        <v/>
      </c>
      <c r="F84">
        <f>IF('03_Helper'!A84="","",'03_Helper'!H84)</f>
        <v/>
      </c>
      <c r="G84">
        <f>IF('03_Helper'!A84="","",'03_Helper'!X84)</f>
        <v/>
      </c>
      <c r="H84">
        <f>IF('03_Helper'!A84="","",'03_Helper'!Y84)</f>
        <v/>
      </c>
      <c r="I84">
        <f>IF('03_Helper'!A84="","",'03_Helper'!Z84)</f>
        <v/>
      </c>
      <c r="J84">
        <f>IF('03_Helper'!A84="","",'03_Helper'!Q84)</f>
        <v/>
      </c>
      <c r="K84">
        <f>IF('03_Helper'!A84="","",'03_Helper'!R84)</f>
        <v/>
      </c>
      <c r="L84">
        <f>IF('03_Helper'!A84="","",'03_Helper'!S84)</f>
        <v/>
      </c>
      <c r="M84">
        <f>IF('03_Helper'!A84="","",'03_Helper'!T84)</f>
        <v/>
      </c>
      <c r="N84">
        <f>IF('03_Helper'!A84="","",'03_Helper'!AA84)</f>
        <v/>
      </c>
      <c r="O84">
        <f>IF('03_Helper'!A84="","",'03_Helper'!AB84)</f>
        <v/>
      </c>
      <c r="P84">
        <f>IF('03_Helper'!A84="","",'03_Helper'!AC84)</f>
        <v/>
      </c>
      <c r="Q84">
        <f>IF('03_Helper'!A84="","",'03_Helper'!AD84)</f>
        <v/>
      </c>
      <c r="R84">
        <f>IF('03_Helper'!A84="","",'03_Helper'!AI84)</f>
        <v/>
      </c>
      <c r="S84">
        <f>IF('03_Helper'!A84="","",'03_Helper'!AJ84)</f>
        <v/>
      </c>
      <c r="T84">
        <f>IF('03_Helper'!A84="","",'03_Helper'!U84)</f>
        <v/>
      </c>
      <c r="U84">
        <f>IF('03_Helper'!A84="","",'03_Helper'!W84)</f>
        <v/>
      </c>
      <c r="V84">
        <f>IF('03_Helper'!A84="","",'03_Helper'!AG84)</f>
        <v/>
      </c>
      <c r="W84">
        <f>IF('03_Helper'!A84="","",'03_Helper'!AK84)</f>
        <v/>
      </c>
      <c r="X84">
        <f>IF('03_Helper'!A84="","",'03_Helper'!K84)</f>
        <v/>
      </c>
      <c r="Y84">
        <f>IF('03_Helper'!A84="","",'03_Helper'!AN84)</f>
        <v/>
      </c>
    </row>
    <row r="85">
      <c r="A85">
        <f>IF('03_Helper'!A85="","",'03_Helper'!B85)</f>
        <v/>
      </c>
      <c r="B85">
        <f>IF('03_Helper'!A85="","",'03_Helper'!C85)</f>
        <v/>
      </c>
      <c r="C85">
        <f>IF('03_Helper'!A85="","",'03_Helper'!G85)</f>
        <v/>
      </c>
      <c r="D85">
        <f>IF('03_Helper'!A85="","",'03_Helper'!E85)</f>
        <v/>
      </c>
      <c r="E85">
        <f>IF('03_Helper'!A85="","",'03_Helper'!D85)</f>
        <v/>
      </c>
      <c r="F85">
        <f>IF('03_Helper'!A85="","",'03_Helper'!H85)</f>
        <v/>
      </c>
      <c r="G85">
        <f>IF('03_Helper'!A85="","",'03_Helper'!X85)</f>
        <v/>
      </c>
      <c r="H85">
        <f>IF('03_Helper'!A85="","",'03_Helper'!Y85)</f>
        <v/>
      </c>
      <c r="I85">
        <f>IF('03_Helper'!A85="","",'03_Helper'!Z85)</f>
        <v/>
      </c>
      <c r="J85">
        <f>IF('03_Helper'!A85="","",'03_Helper'!Q85)</f>
        <v/>
      </c>
      <c r="K85">
        <f>IF('03_Helper'!A85="","",'03_Helper'!R85)</f>
        <v/>
      </c>
      <c r="L85">
        <f>IF('03_Helper'!A85="","",'03_Helper'!S85)</f>
        <v/>
      </c>
      <c r="M85">
        <f>IF('03_Helper'!A85="","",'03_Helper'!T85)</f>
        <v/>
      </c>
      <c r="N85">
        <f>IF('03_Helper'!A85="","",'03_Helper'!AA85)</f>
        <v/>
      </c>
      <c r="O85">
        <f>IF('03_Helper'!A85="","",'03_Helper'!AB85)</f>
        <v/>
      </c>
      <c r="P85">
        <f>IF('03_Helper'!A85="","",'03_Helper'!AC85)</f>
        <v/>
      </c>
      <c r="Q85">
        <f>IF('03_Helper'!A85="","",'03_Helper'!AD85)</f>
        <v/>
      </c>
      <c r="R85">
        <f>IF('03_Helper'!A85="","",'03_Helper'!AI85)</f>
        <v/>
      </c>
      <c r="S85">
        <f>IF('03_Helper'!A85="","",'03_Helper'!AJ85)</f>
        <v/>
      </c>
      <c r="T85">
        <f>IF('03_Helper'!A85="","",'03_Helper'!U85)</f>
        <v/>
      </c>
      <c r="U85">
        <f>IF('03_Helper'!A85="","",'03_Helper'!W85)</f>
        <v/>
      </c>
      <c r="V85">
        <f>IF('03_Helper'!A85="","",'03_Helper'!AG85)</f>
        <v/>
      </c>
      <c r="W85">
        <f>IF('03_Helper'!A85="","",'03_Helper'!AK85)</f>
        <v/>
      </c>
      <c r="X85">
        <f>IF('03_Helper'!A85="","",'03_Helper'!K85)</f>
        <v/>
      </c>
      <c r="Y85">
        <f>IF('03_Helper'!A85="","",'03_Helper'!AN85)</f>
        <v/>
      </c>
    </row>
    <row r="86">
      <c r="A86">
        <f>IF('03_Helper'!A86="","",'03_Helper'!B86)</f>
        <v/>
      </c>
      <c r="B86">
        <f>IF('03_Helper'!A86="","",'03_Helper'!C86)</f>
        <v/>
      </c>
      <c r="C86">
        <f>IF('03_Helper'!A86="","",'03_Helper'!G86)</f>
        <v/>
      </c>
      <c r="D86">
        <f>IF('03_Helper'!A86="","",'03_Helper'!E86)</f>
        <v/>
      </c>
      <c r="E86">
        <f>IF('03_Helper'!A86="","",'03_Helper'!D86)</f>
        <v/>
      </c>
      <c r="F86">
        <f>IF('03_Helper'!A86="","",'03_Helper'!H86)</f>
        <v/>
      </c>
      <c r="G86">
        <f>IF('03_Helper'!A86="","",'03_Helper'!X86)</f>
        <v/>
      </c>
      <c r="H86">
        <f>IF('03_Helper'!A86="","",'03_Helper'!Y86)</f>
        <v/>
      </c>
      <c r="I86">
        <f>IF('03_Helper'!A86="","",'03_Helper'!Z86)</f>
        <v/>
      </c>
      <c r="J86">
        <f>IF('03_Helper'!A86="","",'03_Helper'!Q86)</f>
        <v/>
      </c>
      <c r="K86">
        <f>IF('03_Helper'!A86="","",'03_Helper'!R86)</f>
        <v/>
      </c>
      <c r="L86">
        <f>IF('03_Helper'!A86="","",'03_Helper'!S86)</f>
        <v/>
      </c>
      <c r="M86">
        <f>IF('03_Helper'!A86="","",'03_Helper'!T86)</f>
        <v/>
      </c>
      <c r="N86">
        <f>IF('03_Helper'!A86="","",'03_Helper'!AA86)</f>
        <v/>
      </c>
      <c r="O86">
        <f>IF('03_Helper'!A86="","",'03_Helper'!AB86)</f>
        <v/>
      </c>
      <c r="P86">
        <f>IF('03_Helper'!A86="","",'03_Helper'!AC86)</f>
        <v/>
      </c>
      <c r="Q86">
        <f>IF('03_Helper'!A86="","",'03_Helper'!AD86)</f>
        <v/>
      </c>
      <c r="R86">
        <f>IF('03_Helper'!A86="","",'03_Helper'!AI86)</f>
        <v/>
      </c>
      <c r="S86">
        <f>IF('03_Helper'!A86="","",'03_Helper'!AJ86)</f>
        <v/>
      </c>
      <c r="T86">
        <f>IF('03_Helper'!A86="","",'03_Helper'!U86)</f>
        <v/>
      </c>
      <c r="U86">
        <f>IF('03_Helper'!A86="","",'03_Helper'!W86)</f>
        <v/>
      </c>
      <c r="V86">
        <f>IF('03_Helper'!A86="","",'03_Helper'!AG86)</f>
        <v/>
      </c>
      <c r="W86">
        <f>IF('03_Helper'!A86="","",'03_Helper'!AK86)</f>
        <v/>
      </c>
      <c r="X86">
        <f>IF('03_Helper'!A86="","",'03_Helper'!K86)</f>
        <v/>
      </c>
      <c r="Y86">
        <f>IF('03_Helper'!A86="","",'03_Helper'!AN86)</f>
        <v/>
      </c>
    </row>
    <row r="87">
      <c r="A87">
        <f>IF('03_Helper'!A87="","",'03_Helper'!B87)</f>
        <v/>
      </c>
      <c r="B87">
        <f>IF('03_Helper'!A87="","",'03_Helper'!C87)</f>
        <v/>
      </c>
      <c r="C87">
        <f>IF('03_Helper'!A87="","",'03_Helper'!G87)</f>
        <v/>
      </c>
      <c r="D87">
        <f>IF('03_Helper'!A87="","",'03_Helper'!E87)</f>
        <v/>
      </c>
      <c r="E87">
        <f>IF('03_Helper'!A87="","",'03_Helper'!D87)</f>
        <v/>
      </c>
      <c r="F87">
        <f>IF('03_Helper'!A87="","",'03_Helper'!H87)</f>
        <v/>
      </c>
      <c r="G87">
        <f>IF('03_Helper'!A87="","",'03_Helper'!X87)</f>
        <v/>
      </c>
      <c r="H87">
        <f>IF('03_Helper'!A87="","",'03_Helper'!Y87)</f>
        <v/>
      </c>
      <c r="I87">
        <f>IF('03_Helper'!A87="","",'03_Helper'!Z87)</f>
        <v/>
      </c>
      <c r="J87">
        <f>IF('03_Helper'!A87="","",'03_Helper'!Q87)</f>
        <v/>
      </c>
      <c r="K87">
        <f>IF('03_Helper'!A87="","",'03_Helper'!R87)</f>
        <v/>
      </c>
      <c r="L87">
        <f>IF('03_Helper'!A87="","",'03_Helper'!S87)</f>
        <v/>
      </c>
      <c r="M87">
        <f>IF('03_Helper'!A87="","",'03_Helper'!T87)</f>
        <v/>
      </c>
      <c r="N87">
        <f>IF('03_Helper'!A87="","",'03_Helper'!AA87)</f>
        <v/>
      </c>
      <c r="O87">
        <f>IF('03_Helper'!A87="","",'03_Helper'!AB87)</f>
        <v/>
      </c>
      <c r="P87">
        <f>IF('03_Helper'!A87="","",'03_Helper'!AC87)</f>
        <v/>
      </c>
      <c r="Q87">
        <f>IF('03_Helper'!A87="","",'03_Helper'!AD87)</f>
        <v/>
      </c>
      <c r="R87">
        <f>IF('03_Helper'!A87="","",'03_Helper'!AI87)</f>
        <v/>
      </c>
      <c r="S87">
        <f>IF('03_Helper'!A87="","",'03_Helper'!AJ87)</f>
        <v/>
      </c>
      <c r="T87">
        <f>IF('03_Helper'!A87="","",'03_Helper'!U87)</f>
        <v/>
      </c>
      <c r="U87">
        <f>IF('03_Helper'!A87="","",'03_Helper'!W87)</f>
        <v/>
      </c>
      <c r="V87">
        <f>IF('03_Helper'!A87="","",'03_Helper'!AG87)</f>
        <v/>
      </c>
      <c r="W87">
        <f>IF('03_Helper'!A87="","",'03_Helper'!AK87)</f>
        <v/>
      </c>
      <c r="X87">
        <f>IF('03_Helper'!A87="","",'03_Helper'!K87)</f>
        <v/>
      </c>
      <c r="Y87">
        <f>IF('03_Helper'!A87="","",'03_Helper'!AN87)</f>
        <v/>
      </c>
    </row>
    <row r="88">
      <c r="A88">
        <f>IF('03_Helper'!A88="","",'03_Helper'!B88)</f>
        <v/>
      </c>
      <c r="B88">
        <f>IF('03_Helper'!A88="","",'03_Helper'!C88)</f>
        <v/>
      </c>
      <c r="C88">
        <f>IF('03_Helper'!A88="","",'03_Helper'!G88)</f>
        <v/>
      </c>
      <c r="D88">
        <f>IF('03_Helper'!A88="","",'03_Helper'!E88)</f>
        <v/>
      </c>
      <c r="E88">
        <f>IF('03_Helper'!A88="","",'03_Helper'!D88)</f>
        <v/>
      </c>
      <c r="F88">
        <f>IF('03_Helper'!A88="","",'03_Helper'!H88)</f>
        <v/>
      </c>
      <c r="G88">
        <f>IF('03_Helper'!A88="","",'03_Helper'!X88)</f>
        <v/>
      </c>
      <c r="H88">
        <f>IF('03_Helper'!A88="","",'03_Helper'!Y88)</f>
        <v/>
      </c>
      <c r="I88">
        <f>IF('03_Helper'!A88="","",'03_Helper'!Z88)</f>
        <v/>
      </c>
      <c r="J88">
        <f>IF('03_Helper'!A88="","",'03_Helper'!Q88)</f>
        <v/>
      </c>
      <c r="K88">
        <f>IF('03_Helper'!A88="","",'03_Helper'!R88)</f>
        <v/>
      </c>
      <c r="L88">
        <f>IF('03_Helper'!A88="","",'03_Helper'!S88)</f>
        <v/>
      </c>
      <c r="M88">
        <f>IF('03_Helper'!A88="","",'03_Helper'!T88)</f>
        <v/>
      </c>
      <c r="N88">
        <f>IF('03_Helper'!A88="","",'03_Helper'!AA88)</f>
        <v/>
      </c>
      <c r="O88">
        <f>IF('03_Helper'!A88="","",'03_Helper'!AB88)</f>
        <v/>
      </c>
      <c r="P88">
        <f>IF('03_Helper'!A88="","",'03_Helper'!AC88)</f>
        <v/>
      </c>
      <c r="Q88">
        <f>IF('03_Helper'!A88="","",'03_Helper'!AD88)</f>
        <v/>
      </c>
      <c r="R88">
        <f>IF('03_Helper'!A88="","",'03_Helper'!AI88)</f>
        <v/>
      </c>
      <c r="S88">
        <f>IF('03_Helper'!A88="","",'03_Helper'!AJ88)</f>
        <v/>
      </c>
      <c r="T88">
        <f>IF('03_Helper'!A88="","",'03_Helper'!U88)</f>
        <v/>
      </c>
      <c r="U88">
        <f>IF('03_Helper'!A88="","",'03_Helper'!W88)</f>
        <v/>
      </c>
      <c r="V88">
        <f>IF('03_Helper'!A88="","",'03_Helper'!AG88)</f>
        <v/>
      </c>
      <c r="W88">
        <f>IF('03_Helper'!A88="","",'03_Helper'!AK88)</f>
        <v/>
      </c>
      <c r="X88">
        <f>IF('03_Helper'!A88="","",'03_Helper'!K88)</f>
        <v/>
      </c>
      <c r="Y88">
        <f>IF('03_Helper'!A88="","",'03_Helper'!AN88)</f>
        <v/>
      </c>
    </row>
    <row r="89">
      <c r="A89">
        <f>IF('03_Helper'!A89="","",'03_Helper'!B89)</f>
        <v/>
      </c>
      <c r="B89">
        <f>IF('03_Helper'!A89="","",'03_Helper'!C89)</f>
        <v/>
      </c>
      <c r="C89">
        <f>IF('03_Helper'!A89="","",'03_Helper'!G89)</f>
        <v/>
      </c>
      <c r="D89">
        <f>IF('03_Helper'!A89="","",'03_Helper'!E89)</f>
        <v/>
      </c>
      <c r="E89">
        <f>IF('03_Helper'!A89="","",'03_Helper'!D89)</f>
        <v/>
      </c>
      <c r="F89">
        <f>IF('03_Helper'!A89="","",'03_Helper'!H89)</f>
        <v/>
      </c>
      <c r="G89">
        <f>IF('03_Helper'!A89="","",'03_Helper'!X89)</f>
        <v/>
      </c>
      <c r="H89">
        <f>IF('03_Helper'!A89="","",'03_Helper'!Y89)</f>
        <v/>
      </c>
      <c r="I89">
        <f>IF('03_Helper'!A89="","",'03_Helper'!Z89)</f>
        <v/>
      </c>
      <c r="J89">
        <f>IF('03_Helper'!A89="","",'03_Helper'!Q89)</f>
        <v/>
      </c>
      <c r="K89">
        <f>IF('03_Helper'!A89="","",'03_Helper'!R89)</f>
        <v/>
      </c>
      <c r="L89">
        <f>IF('03_Helper'!A89="","",'03_Helper'!S89)</f>
        <v/>
      </c>
      <c r="M89">
        <f>IF('03_Helper'!A89="","",'03_Helper'!T89)</f>
        <v/>
      </c>
      <c r="N89">
        <f>IF('03_Helper'!A89="","",'03_Helper'!AA89)</f>
        <v/>
      </c>
      <c r="O89">
        <f>IF('03_Helper'!A89="","",'03_Helper'!AB89)</f>
        <v/>
      </c>
      <c r="P89">
        <f>IF('03_Helper'!A89="","",'03_Helper'!AC89)</f>
        <v/>
      </c>
      <c r="Q89">
        <f>IF('03_Helper'!A89="","",'03_Helper'!AD89)</f>
        <v/>
      </c>
      <c r="R89">
        <f>IF('03_Helper'!A89="","",'03_Helper'!AI89)</f>
        <v/>
      </c>
      <c r="S89">
        <f>IF('03_Helper'!A89="","",'03_Helper'!AJ89)</f>
        <v/>
      </c>
      <c r="T89">
        <f>IF('03_Helper'!A89="","",'03_Helper'!U89)</f>
        <v/>
      </c>
      <c r="U89">
        <f>IF('03_Helper'!A89="","",'03_Helper'!W89)</f>
        <v/>
      </c>
      <c r="V89">
        <f>IF('03_Helper'!A89="","",'03_Helper'!AG89)</f>
        <v/>
      </c>
      <c r="W89">
        <f>IF('03_Helper'!A89="","",'03_Helper'!AK89)</f>
        <v/>
      </c>
      <c r="X89">
        <f>IF('03_Helper'!A89="","",'03_Helper'!K89)</f>
        <v/>
      </c>
      <c r="Y89">
        <f>IF('03_Helper'!A89="","",'03_Helper'!AN89)</f>
        <v/>
      </c>
    </row>
    <row r="90">
      <c r="A90">
        <f>IF('03_Helper'!A90="","",'03_Helper'!B90)</f>
        <v/>
      </c>
      <c r="B90">
        <f>IF('03_Helper'!A90="","",'03_Helper'!C90)</f>
        <v/>
      </c>
      <c r="C90">
        <f>IF('03_Helper'!A90="","",'03_Helper'!G90)</f>
        <v/>
      </c>
      <c r="D90">
        <f>IF('03_Helper'!A90="","",'03_Helper'!E90)</f>
        <v/>
      </c>
      <c r="E90">
        <f>IF('03_Helper'!A90="","",'03_Helper'!D90)</f>
        <v/>
      </c>
      <c r="F90">
        <f>IF('03_Helper'!A90="","",'03_Helper'!H90)</f>
        <v/>
      </c>
      <c r="G90">
        <f>IF('03_Helper'!A90="","",'03_Helper'!X90)</f>
        <v/>
      </c>
      <c r="H90">
        <f>IF('03_Helper'!A90="","",'03_Helper'!Y90)</f>
        <v/>
      </c>
      <c r="I90">
        <f>IF('03_Helper'!A90="","",'03_Helper'!Z90)</f>
        <v/>
      </c>
      <c r="J90">
        <f>IF('03_Helper'!A90="","",'03_Helper'!Q90)</f>
        <v/>
      </c>
      <c r="K90">
        <f>IF('03_Helper'!A90="","",'03_Helper'!R90)</f>
        <v/>
      </c>
      <c r="L90">
        <f>IF('03_Helper'!A90="","",'03_Helper'!S90)</f>
        <v/>
      </c>
      <c r="M90">
        <f>IF('03_Helper'!A90="","",'03_Helper'!T90)</f>
        <v/>
      </c>
      <c r="N90">
        <f>IF('03_Helper'!A90="","",'03_Helper'!AA90)</f>
        <v/>
      </c>
      <c r="O90">
        <f>IF('03_Helper'!A90="","",'03_Helper'!AB90)</f>
        <v/>
      </c>
      <c r="P90">
        <f>IF('03_Helper'!A90="","",'03_Helper'!AC90)</f>
        <v/>
      </c>
      <c r="Q90">
        <f>IF('03_Helper'!A90="","",'03_Helper'!AD90)</f>
        <v/>
      </c>
      <c r="R90">
        <f>IF('03_Helper'!A90="","",'03_Helper'!AI90)</f>
        <v/>
      </c>
      <c r="S90">
        <f>IF('03_Helper'!A90="","",'03_Helper'!AJ90)</f>
        <v/>
      </c>
      <c r="T90">
        <f>IF('03_Helper'!A90="","",'03_Helper'!U90)</f>
        <v/>
      </c>
      <c r="U90">
        <f>IF('03_Helper'!A90="","",'03_Helper'!W90)</f>
        <v/>
      </c>
      <c r="V90">
        <f>IF('03_Helper'!A90="","",'03_Helper'!AG90)</f>
        <v/>
      </c>
      <c r="W90">
        <f>IF('03_Helper'!A90="","",'03_Helper'!AK90)</f>
        <v/>
      </c>
      <c r="X90">
        <f>IF('03_Helper'!A90="","",'03_Helper'!K90)</f>
        <v/>
      </c>
      <c r="Y90">
        <f>IF('03_Helper'!A90="","",'03_Helper'!AN90)</f>
        <v/>
      </c>
    </row>
    <row r="91">
      <c r="A91">
        <f>IF('03_Helper'!A91="","",'03_Helper'!B91)</f>
        <v/>
      </c>
      <c r="B91">
        <f>IF('03_Helper'!A91="","",'03_Helper'!C91)</f>
        <v/>
      </c>
      <c r="C91">
        <f>IF('03_Helper'!A91="","",'03_Helper'!G91)</f>
        <v/>
      </c>
      <c r="D91">
        <f>IF('03_Helper'!A91="","",'03_Helper'!E91)</f>
        <v/>
      </c>
      <c r="E91">
        <f>IF('03_Helper'!A91="","",'03_Helper'!D91)</f>
        <v/>
      </c>
      <c r="F91">
        <f>IF('03_Helper'!A91="","",'03_Helper'!H91)</f>
        <v/>
      </c>
      <c r="G91">
        <f>IF('03_Helper'!A91="","",'03_Helper'!X91)</f>
        <v/>
      </c>
      <c r="H91">
        <f>IF('03_Helper'!A91="","",'03_Helper'!Y91)</f>
        <v/>
      </c>
      <c r="I91">
        <f>IF('03_Helper'!A91="","",'03_Helper'!Z91)</f>
        <v/>
      </c>
      <c r="J91">
        <f>IF('03_Helper'!A91="","",'03_Helper'!Q91)</f>
        <v/>
      </c>
      <c r="K91">
        <f>IF('03_Helper'!A91="","",'03_Helper'!R91)</f>
        <v/>
      </c>
      <c r="L91">
        <f>IF('03_Helper'!A91="","",'03_Helper'!S91)</f>
        <v/>
      </c>
      <c r="M91">
        <f>IF('03_Helper'!A91="","",'03_Helper'!T91)</f>
        <v/>
      </c>
      <c r="N91">
        <f>IF('03_Helper'!A91="","",'03_Helper'!AA91)</f>
        <v/>
      </c>
      <c r="O91">
        <f>IF('03_Helper'!A91="","",'03_Helper'!AB91)</f>
        <v/>
      </c>
      <c r="P91">
        <f>IF('03_Helper'!A91="","",'03_Helper'!AC91)</f>
        <v/>
      </c>
      <c r="Q91">
        <f>IF('03_Helper'!A91="","",'03_Helper'!AD91)</f>
        <v/>
      </c>
      <c r="R91">
        <f>IF('03_Helper'!A91="","",'03_Helper'!AI91)</f>
        <v/>
      </c>
      <c r="S91">
        <f>IF('03_Helper'!A91="","",'03_Helper'!AJ91)</f>
        <v/>
      </c>
      <c r="T91">
        <f>IF('03_Helper'!A91="","",'03_Helper'!U91)</f>
        <v/>
      </c>
      <c r="U91">
        <f>IF('03_Helper'!A91="","",'03_Helper'!W91)</f>
        <v/>
      </c>
      <c r="V91">
        <f>IF('03_Helper'!A91="","",'03_Helper'!AG91)</f>
        <v/>
      </c>
      <c r="W91">
        <f>IF('03_Helper'!A91="","",'03_Helper'!AK91)</f>
        <v/>
      </c>
      <c r="X91">
        <f>IF('03_Helper'!A91="","",'03_Helper'!K91)</f>
        <v/>
      </c>
      <c r="Y91">
        <f>IF('03_Helper'!A91="","",'03_Helper'!AN91)</f>
        <v/>
      </c>
    </row>
    <row r="92">
      <c r="A92">
        <f>IF('03_Helper'!A92="","",'03_Helper'!B92)</f>
        <v/>
      </c>
      <c r="B92">
        <f>IF('03_Helper'!A92="","",'03_Helper'!C92)</f>
        <v/>
      </c>
      <c r="C92">
        <f>IF('03_Helper'!A92="","",'03_Helper'!G92)</f>
        <v/>
      </c>
      <c r="D92">
        <f>IF('03_Helper'!A92="","",'03_Helper'!E92)</f>
        <v/>
      </c>
      <c r="E92">
        <f>IF('03_Helper'!A92="","",'03_Helper'!D92)</f>
        <v/>
      </c>
      <c r="F92">
        <f>IF('03_Helper'!A92="","",'03_Helper'!H92)</f>
        <v/>
      </c>
      <c r="G92">
        <f>IF('03_Helper'!A92="","",'03_Helper'!X92)</f>
        <v/>
      </c>
      <c r="H92">
        <f>IF('03_Helper'!A92="","",'03_Helper'!Y92)</f>
        <v/>
      </c>
      <c r="I92">
        <f>IF('03_Helper'!A92="","",'03_Helper'!Z92)</f>
        <v/>
      </c>
      <c r="J92">
        <f>IF('03_Helper'!A92="","",'03_Helper'!Q92)</f>
        <v/>
      </c>
      <c r="K92">
        <f>IF('03_Helper'!A92="","",'03_Helper'!R92)</f>
        <v/>
      </c>
      <c r="L92">
        <f>IF('03_Helper'!A92="","",'03_Helper'!S92)</f>
        <v/>
      </c>
      <c r="M92">
        <f>IF('03_Helper'!A92="","",'03_Helper'!T92)</f>
        <v/>
      </c>
      <c r="N92">
        <f>IF('03_Helper'!A92="","",'03_Helper'!AA92)</f>
        <v/>
      </c>
      <c r="O92">
        <f>IF('03_Helper'!A92="","",'03_Helper'!AB92)</f>
        <v/>
      </c>
      <c r="P92">
        <f>IF('03_Helper'!A92="","",'03_Helper'!AC92)</f>
        <v/>
      </c>
      <c r="Q92">
        <f>IF('03_Helper'!A92="","",'03_Helper'!AD92)</f>
        <v/>
      </c>
      <c r="R92">
        <f>IF('03_Helper'!A92="","",'03_Helper'!AI92)</f>
        <v/>
      </c>
      <c r="S92">
        <f>IF('03_Helper'!A92="","",'03_Helper'!AJ92)</f>
        <v/>
      </c>
      <c r="T92">
        <f>IF('03_Helper'!A92="","",'03_Helper'!U92)</f>
        <v/>
      </c>
      <c r="U92">
        <f>IF('03_Helper'!A92="","",'03_Helper'!W92)</f>
        <v/>
      </c>
      <c r="V92">
        <f>IF('03_Helper'!A92="","",'03_Helper'!AG92)</f>
        <v/>
      </c>
      <c r="W92">
        <f>IF('03_Helper'!A92="","",'03_Helper'!AK92)</f>
        <v/>
      </c>
      <c r="X92">
        <f>IF('03_Helper'!A92="","",'03_Helper'!K92)</f>
        <v/>
      </c>
      <c r="Y92">
        <f>IF('03_Helper'!A92="","",'03_Helper'!AN92)</f>
        <v/>
      </c>
    </row>
    <row r="93">
      <c r="A93">
        <f>IF('03_Helper'!A93="","",'03_Helper'!B93)</f>
        <v/>
      </c>
      <c r="B93">
        <f>IF('03_Helper'!A93="","",'03_Helper'!C93)</f>
        <v/>
      </c>
      <c r="C93">
        <f>IF('03_Helper'!A93="","",'03_Helper'!G93)</f>
        <v/>
      </c>
      <c r="D93">
        <f>IF('03_Helper'!A93="","",'03_Helper'!E93)</f>
        <v/>
      </c>
      <c r="E93">
        <f>IF('03_Helper'!A93="","",'03_Helper'!D93)</f>
        <v/>
      </c>
      <c r="F93">
        <f>IF('03_Helper'!A93="","",'03_Helper'!H93)</f>
        <v/>
      </c>
      <c r="G93">
        <f>IF('03_Helper'!A93="","",'03_Helper'!X93)</f>
        <v/>
      </c>
      <c r="H93">
        <f>IF('03_Helper'!A93="","",'03_Helper'!Y93)</f>
        <v/>
      </c>
      <c r="I93">
        <f>IF('03_Helper'!A93="","",'03_Helper'!Z93)</f>
        <v/>
      </c>
      <c r="J93">
        <f>IF('03_Helper'!A93="","",'03_Helper'!Q93)</f>
        <v/>
      </c>
      <c r="K93">
        <f>IF('03_Helper'!A93="","",'03_Helper'!R93)</f>
        <v/>
      </c>
      <c r="L93">
        <f>IF('03_Helper'!A93="","",'03_Helper'!S93)</f>
        <v/>
      </c>
      <c r="M93">
        <f>IF('03_Helper'!A93="","",'03_Helper'!T93)</f>
        <v/>
      </c>
      <c r="N93">
        <f>IF('03_Helper'!A93="","",'03_Helper'!AA93)</f>
        <v/>
      </c>
      <c r="O93">
        <f>IF('03_Helper'!A93="","",'03_Helper'!AB93)</f>
        <v/>
      </c>
      <c r="P93">
        <f>IF('03_Helper'!A93="","",'03_Helper'!AC93)</f>
        <v/>
      </c>
      <c r="Q93">
        <f>IF('03_Helper'!A93="","",'03_Helper'!AD93)</f>
        <v/>
      </c>
      <c r="R93">
        <f>IF('03_Helper'!A93="","",'03_Helper'!AI93)</f>
        <v/>
      </c>
      <c r="S93">
        <f>IF('03_Helper'!A93="","",'03_Helper'!AJ93)</f>
        <v/>
      </c>
      <c r="T93">
        <f>IF('03_Helper'!A93="","",'03_Helper'!U93)</f>
        <v/>
      </c>
      <c r="U93">
        <f>IF('03_Helper'!A93="","",'03_Helper'!W93)</f>
        <v/>
      </c>
      <c r="V93">
        <f>IF('03_Helper'!A93="","",'03_Helper'!AG93)</f>
        <v/>
      </c>
      <c r="W93">
        <f>IF('03_Helper'!A93="","",'03_Helper'!AK93)</f>
        <v/>
      </c>
      <c r="X93">
        <f>IF('03_Helper'!A93="","",'03_Helper'!K93)</f>
        <v/>
      </c>
      <c r="Y93">
        <f>IF('03_Helper'!A93="","",'03_Helper'!AN93)</f>
        <v/>
      </c>
    </row>
    <row r="94">
      <c r="A94">
        <f>IF('03_Helper'!A94="","",'03_Helper'!B94)</f>
        <v/>
      </c>
      <c r="B94">
        <f>IF('03_Helper'!A94="","",'03_Helper'!C94)</f>
        <v/>
      </c>
      <c r="C94">
        <f>IF('03_Helper'!A94="","",'03_Helper'!G94)</f>
        <v/>
      </c>
      <c r="D94">
        <f>IF('03_Helper'!A94="","",'03_Helper'!E94)</f>
        <v/>
      </c>
      <c r="E94">
        <f>IF('03_Helper'!A94="","",'03_Helper'!D94)</f>
        <v/>
      </c>
      <c r="F94">
        <f>IF('03_Helper'!A94="","",'03_Helper'!H94)</f>
        <v/>
      </c>
      <c r="G94">
        <f>IF('03_Helper'!A94="","",'03_Helper'!X94)</f>
        <v/>
      </c>
      <c r="H94">
        <f>IF('03_Helper'!A94="","",'03_Helper'!Y94)</f>
        <v/>
      </c>
      <c r="I94">
        <f>IF('03_Helper'!A94="","",'03_Helper'!Z94)</f>
        <v/>
      </c>
      <c r="J94">
        <f>IF('03_Helper'!A94="","",'03_Helper'!Q94)</f>
        <v/>
      </c>
      <c r="K94">
        <f>IF('03_Helper'!A94="","",'03_Helper'!R94)</f>
        <v/>
      </c>
      <c r="L94">
        <f>IF('03_Helper'!A94="","",'03_Helper'!S94)</f>
        <v/>
      </c>
      <c r="M94">
        <f>IF('03_Helper'!A94="","",'03_Helper'!T94)</f>
        <v/>
      </c>
      <c r="N94">
        <f>IF('03_Helper'!A94="","",'03_Helper'!AA94)</f>
        <v/>
      </c>
      <c r="O94">
        <f>IF('03_Helper'!A94="","",'03_Helper'!AB94)</f>
        <v/>
      </c>
      <c r="P94">
        <f>IF('03_Helper'!A94="","",'03_Helper'!AC94)</f>
        <v/>
      </c>
      <c r="Q94">
        <f>IF('03_Helper'!A94="","",'03_Helper'!AD94)</f>
        <v/>
      </c>
      <c r="R94">
        <f>IF('03_Helper'!A94="","",'03_Helper'!AI94)</f>
        <v/>
      </c>
      <c r="S94">
        <f>IF('03_Helper'!A94="","",'03_Helper'!AJ94)</f>
        <v/>
      </c>
      <c r="T94">
        <f>IF('03_Helper'!A94="","",'03_Helper'!U94)</f>
        <v/>
      </c>
      <c r="U94">
        <f>IF('03_Helper'!A94="","",'03_Helper'!W94)</f>
        <v/>
      </c>
      <c r="V94">
        <f>IF('03_Helper'!A94="","",'03_Helper'!AG94)</f>
        <v/>
      </c>
      <c r="W94">
        <f>IF('03_Helper'!A94="","",'03_Helper'!AK94)</f>
        <v/>
      </c>
      <c r="X94">
        <f>IF('03_Helper'!A94="","",'03_Helper'!K94)</f>
        <v/>
      </c>
      <c r="Y94">
        <f>IF('03_Helper'!A94="","",'03_Helper'!AN94)</f>
        <v/>
      </c>
    </row>
    <row r="95">
      <c r="A95">
        <f>IF('03_Helper'!A95="","",'03_Helper'!B95)</f>
        <v/>
      </c>
      <c r="B95">
        <f>IF('03_Helper'!A95="","",'03_Helper'!C95)</f>
        <v/>
      </c>
      <c r="C95">
        <f>IF('03_Helper'!A95="","",'03_Helper'!G95)</f>
        <v/>
      </c>
      <c r="D95">
        <f>IF('03_Helper'!A95="","",'03_Helper'!E95)</f>
        <v/>
      </c>
      <c r="E95">
        <f>IF('03_Helper'!A95="","",'03_Helper'!D95)</f>
        <v/>
      </c>
      <c r="F95">
        <f>IF('03_Helper'!A95="","",'03_Helper'!H95)</f>
        <v/>
      </c>
      <c r="G95">
        <f>IF('03_Helper'!A95="","",'03_Helper'!X95)</f>
        <v/>
      </c>
      <c r="H95">
        <f>IF('03_Helper'!A95="","",'03_Helper'!Y95)</f>
        <v/>
      </c>
      <c r="I95">
        <f>IF('03_Helper'!A95="","",'03_Helper'!Z95)</f>
        <v/>
      </c>
      <c r="J95">
        <f>IF('03_Helper'!A95="","",'03_Helper'!Q95)</f>
        <v/>
      </c>
      <c r="K95">
        <f>IF('03_Helper'!A95="","",'03_Helper'!R95)</f>
        <v/>
      </c>
      <c r="L95">
        <f>IF('03_Helper'!A95="","",'03_Helper'!S95)</f>
        <v/>
      </c>
      <c r="M95">
        <f>IF('03_Helper'!A95="","",'03_Helper'!T95)</f>
        <v/>
      </c>
      <c r="N95">
        <f>IF('03_Helper'!A95="","",'03_Helper'!AA95)</f>
        <v/>
      </c>
      <c r="O95">
        <f>IF('03_Helper'!A95="","",'03_Helper'!AB95)</f>
        <v/>
      </c>
      <c r="P95">
        <f>IF('03_Helper'!A95="","",'03_Helper'!AC95)</f>
        <v/>
      </c>
      <c r="Q95">
        <f>IF('03_Helper'!A95="","",'03_Helper'!AD95)</f>
        <v/>
      </c>
      <c r="R95">
        <f>IF('03_Helper'!A95="","",'03_Helper'!AI95)</f>
        <v/>
      </c>
      <c r="S95">
        <f>IF('03_Helper'!A95="","",'03_Helper'!AJ95)</f>
        <v/>
      </c>
      <c r="T95">
        <f>IF('03_Helper'!A95="","",'03_Helper'!U95)</f>
        <v/>
      </c>
      <c r="U95">
        <f>IF('03_Helper'!A95="","",'03_Helper'!W95)</f>
        <v/>
      </c>
      <c r="V95">
        <f>IF('03_Helper'!A95="","",'03_Helper'!AG95)</f>
        <v/>
      </c>
      <c r="W95">
        <f>IF('03_Helper'!A95="","",'03_Helper'!AK95)</f>
        <v/>
      </c>
      <c r="X95">
        <f>IF('03_Helper'!A95="","",'03_Helper'!K95)</f>
        <v/>
      </c>
      <c r="Y95">
        <f>IF('03_Helper'!A95="","",'03_Helper'!AN95)</f>
        <v/>
      </c>
    </row>
    <row r="96">
      <c r="A96">
        <f>IF('03_Helper'!A96="","",'03_Helper'!B96)</f>
        <v/>
      </c>
      <c r="B96">
        <f>IF('03_Helper'!A96="","",'03_Helper'!C96)</f>
        <v/>
      </c>
      <c r="C96">
        <f>IF('03_Helper'!A96="","",'03_Helper'!G96)</f>
        <v/>
      </c>
      <c r="D96">
        <f>IF('03_Helper'!A96="","",'03_Helper'!E96)</f>
        <v/>
      </c>
      <c r="E96">
        <f>IF('03_Helper'!A96="","",'03_Helper'!D96)</f>
        <v/>
      </c>
      <c r="F96">
        <f>IF('03_Helper'!A96="","",'03_Helper'!H96)</f>
        <v/>
      </c>
      <c r="G96">
        <f>IF('03_Helper'!A96="","",'03_Helper'!X96)</f>
        <v/>
      </c>
      <c r="H96">
        <f>IF('03_Helper'!A96="","",'03_Helper'!Y96)</f>
        <v/>
      </c>
      <c r="I96">
        <f>IF('03_Helper'!A96="","",'03_Helper'!Z96)</f>
        <v/>
      </c>
      <c r="J96">
        <f>IF('03_Helper'!A96="","",'03_Helper'!Q96)</f>
        <v/>
      </c>
      <c r="K96">
        <f>IF('03_Helper'!A96="","",'03_Helper'!R96)</f>
        <v/>
      </c>
      <c r="L96">
        <f>IF('03_Helper'!A96="","",'03_Helper'!S96)</f>
        <v/>
      </c>
      <c r="M96">
        <f>IF('03_Helper'!A96="","",'03_Helper'!T96)</f>
        <v/>
      </c>
      <c r="N96">
        <f>IF('03_Helper'!A96="","",'03_Helper'!AA96)</f>
        <v/>
      </c>
      <c r="O96">
        <f>IF('03_Helper'!A96="","",'03_Helper'!AB96)</f>
        <v/>
      </c>
      <c r="P96">
        <f>IF('03_Helper'!A96="","",'03_Helper'!AC96)</f>
        <v/>
      </c>
      <c r="Q96">
        <f>IF('03_Helper'!A96="","",'03_Helper'!AD96)</f>
        <v/>
      </c>
      <c r="R96">
        <f>IF('03_Helper'!A96="","",'03_Helper'!AI96)</f>
        <v/>
      </c>
      <c r="S96">
        <f>IF('03_Helper'!A96="","",'03_Helper'!AJ96)</f>
        <v/>
      </c>
      <c r="T96">
        <f>IF('03_Helper'!A96="","",'03_Helper'!U96)</f>
        <v/>
      </c>
      <c r="U96">
        <f>IF('03_Helper'!A96="","",'03_Helper'!W96)</f>
        <v/>
      </c>
      <c r="V96">
        <f>IF('03_Helper'!A96="","",'03_Helper'!AG96)</f>
        <v/>
      </c>
      <c r="W96">
        <f>IF('03_Helper'!A96="","",'03_Helper'!AK96)</f>
        <v/>
      </c>
      <c r="X96">
        <f>IF('03_Helper'!A96="","",'03_Helper'!K96)</f>
        <v/>
      </c>
      <c r="Y96">
        <f>IF('03_Helper'!A96="","",'03_Helper'!AN96)</f>
        <v/>
      </c>
    </row>
    <row r="97">
      <c r="A97">
        <f>IF('03_Helper'!A97="","",'03_Helper'!B97)</f>
        <v/>
      </c>
      <c r="B97">
        <f>IF('03_Helper'!A97="","",'03_Helper'!C97)</f>
        <v/>
      </c>
      <c r="C97">
        <f>IF('03_Helper'!A97="","",'03_Helper'!G97)</f>
        <v/>
      </c>
      <c r="D97">
        <f>IF('03_Helper'!A97="","",'03_Helper'!E97)</f>
        <v/>
      </c>
      <c r="E97">
        <f>IF('03_Helper'!A97="","",'03_Helper'!D97)</f>
        <v/>
      </c>
      <c r="F97">
        <f>IF('03_Helper'!A97="","",'03_Helper'!H97)</f>
        <v/>
      </c>
      <c r="G97">
        <f>IF('03_Helper'!A97="","",'03_Helper'!X97)</f>
        <v/>
      </c>
      <c r="H97">
        <f>IF('03_Helper'!A97="","",'03_Helper'!Y97)</f>
        <v/>
      </c>
      <c r="I97">
        <f>IF('03_Helper'!A97="","",'03_Helper'!Z97)</f>
        <v/>
      </c>
      <c r="J97">
        <f>IF('03_Helper'!A97="","",'03_Helper'!Q97)</f>
        <v/>
      </c>
      <c r="K97">
        <f>IF('03_Helper'!A97="","",'03_Helper'!R97)</f>
        <v/>
      </c>
      <c r="L97">
        <f>IF('03_Helper'!A97="","",'03_Helper'!S97)</f>
        <v/>
      </c>
      <c r="M97">
        <f>IF('03_Helper'!A97="","",'03_Helper'!T97)</f>
        <v/>
      </c>
      <c r="N97">
        <f>IF('03_Helper'!A97="","",'03_Helper'!AA97)</f>
        <v/>
      </c>
      <c r="O97">
        <f>IF('03_Helper'!A97="","",'03_Helper'!AB97)</f>
        <v/>
      </c>
      <c r="P97">
        <f>IF('03_Helper'!A97="","",'03_Helper'!AC97)</f>
        <v/>
      </c>
      <c r="Q97">
        <f>IF('03_Helper'!A97="","",'03_Helper'!AD97)</f>
        <v/>
      </c>
      <c r="R97">
        <f>IF('03_Helper'!A97="","",'03_Helper'!AI97)</f>
        <v/>
      </c>
      <c r="S97">
        <f>IF('03_Helper'!A97="","",'03_Helper'!AJ97)</f>
        <v/>
      </c>
      <c r="T97">
        <f>IF('03_Helper'!A97="","",'03_Helper'!U97)</f>
        <v/>
      </c>
      <c r="U97">
        <f>IF('03_Helper'!A97="","",'03_Helper'!W97)</f>
        <v/>
      </c>
      <c r="V97">
        <f>IF('03_Helper'!A97="","",'03_Helper'!AG97)</f>
        <v/>
      </c>
      <c r="W97">
        <f>IF('03_Helper'!A97="","",'03_Helper'!AK97)</f>
        <v/>
      </c>
      <c r="X97">
        <f>IF('03_Helper'!A97="","",'03_Helper'!K97)</f>
        <v/>
      </c>
      <c r="Y97">
        <f>IF('03_Helper'!A97="","",'03_Helper'!AN97)</f>
        <v/>
      </c>
    </row>
    <row r="98">
      <c r="A98">
        <f>IF('03_Helper'!A98="","",'03_Helper'!B98)</f>
        <v/>
      </c>
      <c r="B98">
        <f>IF('03_Helper'!A98="","",'03_Helper'!C98)</f>
        <v/>
      </c>
      <c r="C98">
        <f>IF('03_Helper'!A98="","",'03_Helper'!G98)</f>
        <v/>
      </c>
      <c r="D98">
        <f>IF('03_Helper'!A98="","",'03_Helper'!E98)</f>
        <v/>
      </c>
      <c r="E98">
        <f>IF('03_Helper'!A98="","",'03_Helper'!D98)</f>
        <v/>
      </c>
      <c r="F98">
        <f>IF('03_Helper'!A98="","",'03_Helper'!H98)</f>
        <v/>
      </c>
      <c r="G98">
        <f>IF('03_Helper'!A98="","",'03_Helper'!X98)</f>
        <v/>
      </c>
      <c r="H98">
        <f>IF('03_Helper'!A98="","",'03_Helper'!Y98)</f>
        <v/>
      </c>
      <c r="I98">
        <f>IF('03_Helper'!A98="","",'03_Helper'!Z98)</f>
        <v/>
      </c>
      <c r="J98">
        <f>IF('03_Helper'!A98="","",'03_Helper'!Q98)</f>
        <v/>
      </c>
      <c r="K98">
        <f>IF('03_Helper'!A98="","",'03_Helper'!R98)</f>
        <v/>
      </c>
      <c r="L98">
        <f>IF('03_Helper'!A98="","",'03_Helper'!S98)</f>
        <v/>
      </c>
      <c r="M98">
        <f>IF('03_Helper'!A98="","",'03_Helper'!T98)</f>
        <v/>
      </c>
      <c r="N98">
        <f>IF('03_Helper'!A98="","",'03_Helper'!AA98)</f>
        <v/>
      </c>
      <c r="O98">
        <f>IF('03_Helper'!A98="","",'03_Helper'!AB98)</f>
        <v/>
      </c>
      <c r="P98">
        <f>IF('03_Helper'!A98="","",'03_Helper'!AC98)</f>
        <v/>
      </c>
      <c r="Q98">
        <f>IF('03_Helper'!A98="","",'03_Helper'!AD98)</f>
        <v/>
      </c>
      <c r="R98">
        <f>IF('03_Helper'!A98="","",'03_Helper'!AI98)</f>
        <v/>
      </c>
      <c r="S98">
        <f>IF('03_Helper'!A98="","",'03_Helper'!AJ98)</f>
        <v/>
      </c>
      <c r="T98">
        <f>IF('03_Helper'!A98="","",'03_Helper'!U98)</f>
        <v/>
      </c>
      <c r="U98">
        <f>IF('03_Helper'!A98="","",'03_Helper'!W98)</f>
        <v/>
      </c>
      <c r="V98">
        <f>IF('03_Helper'!A98="","",'03_Helper'!AG98)</f>
        <v/>
      </c>
      <c r="W98">
        <f>IF('03_Helper'!A98="","",'03_Helper'!AK98)</f>
        <v/>
      </c>
      <c r="X98">
        <f>IF('03_Helper'!A98="","",'03_Helper'!K98)</f>
        <v/>
      </c>
      <c r="Y98">
        <f>IF('03_Helper'!A98="","",'03_Helper'!AN98)</f>
        <v/>
      </c>
    </row>
    <row r="99">
      <c r="A99">
        <f>IF('03_Helper'!A99="","",'03_Helper'!B99)</f>
        <v/>
      </c>
      <c r="B99">
        <f>IF('03_Helper'!A99="","",'03_Helper'!C99)</f>
        <v/>
      </c>
      <c r="C99">
        <f>IF('03_Helper'!A99="","",'03_Helper'!G99)</f>
        <v/>
      </c>
      <c r="D99">
        <f>IF('03_Helper'!A99="","",'03_Helper'!E99)</f>
        <v/>
      </c>
      <c r="E99">
        <f>IF('03_Helper'!A99="","",'03_Helper'!D99)</f>
        <v/>
      </c>
      <c r="F99">
        <f>IF('03_Helper'!A99="","",'03_Helper'!H99)</f>
        <v/>
      </c>
      <c r="G99">
        <f>IF('03_Helper'!A99="","",'03_Helper'!X99)</f>
        <v/>
      </c>
      <c r="H99">
        <f>IF('03_Helper'!A99="","",'03_Helper'!Y99)</f>
        <v/>
      </c>
      <c r="I99">
        <f>IF('03_Helper'!A99="","",'03_Helper'!Z99)</f>
        <v/>
      </c>
      <c r="J99">
        <f>IF('03_Helper'!A99="","",'03_Helper'!Q99)</f>
        <v/>
      </c>
      <c r="K99">
        <f>IF('03_Helper'!A99="","",'03_Helper'!R99)</f>
        <v/>
      </c>
      <c r="L99">
        <f>IF('03_Helper'!A99="","",'03_Helper'!S99)</f>
        <v/>
      </c>
      <c r="M99">
        <f>IF('03_Helper'!A99="","",'03_Helper'!T99)</f>
        <v/>
      </c>
      <c r="N99">
        <f>IF('03_Helper'!A99="","",'03_Helper'!AA99)</f>
        <v/>
      </c>
      <c r="O99">
        <f>IF('03_Helper'!A99="","",'03_Helper'!AB99)</f>
        <v/>
      </c>
      <c r="P99">
        <f>IF('03_Helper'!A99="","",'03_Helper'!AC99)</f>
        <v/>
      </c>
      <c r="Q99">
        <f>IF('03_Helper'!A99="","",'03_Helper'!AD99)</f>
        <v/>
      </c>
      <c r="R99">
        <f>IF('03_Helper'!A99="","",'03_Helper'!AI99)</f>
        <v/>
      </c>
      <c r="S99">
        <f>IF('03_Helper'!A99="","",'03_Helper'!AJ99)</f>
        <v/>
      </c>
      <c r="T99">
        <f>IF('03_Helper'!A99="","",'03_Helper'!U99)</f>
        <v/>
      </c>
      <c r="U99">
        <f>IF('03_Helper'!A99="","",'03_Helper'!W99)</f>
        <v/>
      </c>
      <c r="V99">
        <f>IF('03_Helper'!A99="","",'03_Helper'!AG99)</f>
        <v/>
      </c>
      <c r="W99">
        <f>IF('03_Helper'!A99="","",'03_Helper'!AK99)</f>
        <v/>
      </c>
      <c r="X99">
        <f>IF('03_Helper'!A99="","",'03_Helper'!K99)</f>
        <v/>
      </c>
      <c r="Y99">
        <f>IF('03_Helper'!A99="","",'03_Helper'!AN99)</f>
        <v/>
      </c>
    </row>
    <row r="100">
      <c r="A100">
        <f>IF('03_Helper'!A100="","",'03_Helper'!B100)</f>
        <v/>
      </c>
      <c r="B100">
        <f>IF('03_Helper'!A100="","",'03_Helper'!C100)</f>
        <v/>
      </c>
      <c r="C100">
        <f>IF('03_Helper'!A100="","",'03_Helper'!G100)</f>
        <v/>
      </c>
      <c r="D100">
        <f>IF('03_Helper'!A100="","",'03_Helper'!E100)</f>
        <v/>
      </c>
      <c r="E100">
        <f>IF('03_Helper'!A100="","",'03_Helper'!D100)</f>
        <v/>
      </c>
      <c r="F100">
        <f>IF('03_Helper'!A100="","",'03_Helper'!H100)</f>
        <v/>
      </c>
      <c r="G100">
        <f>IF('03_Helper'!A100="","",'03_Helper'!X100)</f>
        <v/>
      </c>
      <c r="H100">
        <f>IF('03_Helper'!A100="","",'03_Helper'!Y100)</f>
        <v/>
      </c>
      <c r="I100">
        <f>IF('03_Helper'!A100="","",'03_Helper'!Z100)</f>
        <v/>
      </c>
      <c r="J100">
        <f>IF('03_Helper'!A100="","",'03_Helper'!Q100)</f>
        <v/>
      </c>
      <c r="K100">
        <f>IF('03_Helper'!A100="","",'03_Helper'!R100)</f>
        <v/>
      </c>
      <c r="L100">
        <f>IF('03_Helper'!A100="","",'03_Helper'!S100)</f>
        <v/>
      </c>
      <c r="M100">
        <f>IF('03_Helper'!A100="","",'03_Helper'!T100)</f>
        <v/>
      </c>
      <c r="N100">
        <f>IF('03_Helper'!A100="","",'03_Helper'!AA100)</f>
        <v/>
      </c>
      <c r="O100">
        <f>IF('03_Helper'!A100="","",'03_Helper'!AB100)</f>
        <v/>
      </c>
      <c r="P100">
        <f>IF('03_Helper'!A100="","",'03_Helper'!AC100)</f>
        <v/>
      </c>
      <c r="Q100">
        <f>IF('03_Helper'!A100="","",'03_Helper'!AD100)</f>
        <v/>
      </c>
      <c r="R100">
        <f>IF('03_Helper'!A100="","",'03_Helper'!AI100)</f>
        <v/>
      </c>
      <c r="S100">
        <f>IF('03_Helper'!A100="","",'03_Helper'!AJ100)</f>
        <v/>
      </c>
      <c r="T100">
        <f>IF('03_Helper'!A100="","",'03_Helper'!U100)</f>
        <v/>
      </c>
      <c r="U100">
        <f>IF('03_Helper'!A100="","",'03_Helper'!W100)</f>
        <v/>
      </c>
      <c r="V100">
        <f>IF('03_Helper'!A100="","",'03_Helper'!AG100)</f>
        <v/>
      </c>
      <c r="W100">
        <f>IF('03_Helper'!A100="","",'03_Helper'!AK100)</f>
        <v/>
      </c>
      <c r="X100">
        <f>IF('03_Helper'!A100="","",'03_Helper'!K100)</f>
        <v/>
      </c>
      <c r="Y100">
        <f>IF('03_Helper'!A100="","",'03_Helper'!AN100)</f>
        <v/>
      </c>
    </row>
    <row r="101">
      <c r="A101">
        <f>IF('03_Helper'!A101="","",'03_Helper'!B101)</f>
        <v/>
      </c>
      <c r="B101">
        <f>IF('03_Helper'!A101="","",'03_Helper'!C101)</f>
        <v/>
      </c>
      <c r="C101">
        <f>IF('03_Helper'!A101="","",'03_Helper'!G101)</f>
        <v/>
      </c>
      <c r="D101">
        <f>IF('03_Helper'!A101="","",'03_Helper'!E101)</f>
        <v/>
      </c>
      <c r="E101">
        <f>IF('03_Helper'!A101="","",'03_Helper'!D101)</f>
        <v/>
      </c>
      <c r="F101">
        <f>IF('03_Helper'!A101="","",'03_Helper'!H101)</f>
        <v/>
      </c>
      <c r="G101">
        <f>IF('03_Helper'!A101="","",'03_Helper'!X101)</f>
        <v/>
      </c>
      <c r="H101">
        <f>IF('03_Helper'!A101="","",'03_Helper'!Y101)</f>
        <v/>
      </c>
      <c r="I101">
        <f>IF('03_Helper'!A101="","",'03_Helper'!Z101)</f>
        <v/>
      </c>
      <c r="J101">
        <f>IF('03_Helper'!A101="","",'03_Helper'!Q101)</f>
        <v/>
      </c>
      <c r="K101">
        <f>IF('03_Helper'!A101="","",'03_Helper'!R101)</f>
        <v/>
      </c>
      <c r="L101">
        <f>IF('03_Helper'!A101="","",'03_Helper'!S101)</f>
        <v/>
      </c>
      <c r="M101">
        <f>IF('03_Helper'!A101="","",'03_Helper'!T101)</f>
        <v/>
      </c>
      <c r="N101">
        <f>IF('03_Helper'!A101="","",'03_Helper'!AA101)</f>
        <v/>
      </c>
      <c r="O101">
        <f>IF('03_Helper'!A101="","",'03_Helper'!AB101)</f>
        <v/>
      </c>
      <c r="P101">
        <f>IF('03_Helper'!A101="","",'03_Helper'!AC101)</f>
        <v/>
      </c>
      <c r="Q101">
        <f>IF('03_Helper'!A101="","",'03_Helper'!AD101)</f>
        <v/>
      </c>
      <c r="R101">
        <f>IF('03_Helper'!A101="","",'03_Helper'!AI101)</f>
        <v/>
      </c>
      <c r="S101">
        <f>IF('03_Helper'!A101="","",'03_Helper'!AJ101)</f>
        <v/>
      </c>
      <c r="T101">
        <f>IF('03_Helper'!A101="","",'03_Helper'!U101)</f>
        <v/>
      </c>
      <c r="U101">
        <f>IF('03_Helper'!A101="","",'03_Helper'!W101)</f>
        <v/>
      </c>
      <c r="V101">
        <f>IF('03_Helper'!A101="","",'03_Helper'!AG101)</f>
        <v/>
      </c>
      <c r="W101">
        <f>IF('03_Helper'!A101="","",'03_Helper'!AK101)</f>
        <v/>
      </c>
      <c r="X101">
        <f>IF('03_Helper'!A101="","",'03_Helper'!K101)</f>
        <v/>
      </c>
      <c r="Y101">
        <f>IF('03_Helper'!A101="","",'03_Helper'!AN101)</f>
        <v/>
      </c>
    </row>
    <row r="102">
      <c r="A102">
        <f>IF('03_Helper'!A102="","",'03_Helper'!B102)</f>
        <v/>
      </c>
      <c r="B102">
        <f>IF('03_Helper'!A102="","",'03_Helper'!C102)</f>
        <v/>
      </c>
      <c r="C102">
        <f>IF('03_Helper'!A102="","",'03_Helper'!G102)</f>
        <v/>
      </c>
      <c r="D102">
        <f>IF('03_Helper'!A102="","",'03_Helper'!E102)</f>
        <v/>
      </c>
      <c r="E102">
        <f>IF('03_Helper'!A102="","",'03_Helper'!D102)</f>
        <v/>
      </c>
      <c r="F102">
        <f>IF('03_Helper'!A102="","",'03_Helper'!H102)</f>
        <v/>
      </c>
      <c r="G102">
        <f>IF('03_Helper'!A102="","",'03_Helper'!X102)</f>
        <v/>
      </c>
      <c r="H102">
        <f>IF('03_Helper'!A102="","",'03_Helper'!Y102)</f>
        <v/>
      </c>
      <c r="I102">
        <f>IF('03_Helper'!A102="","",'03_Helper'!Z102)</f>
        <v/>
      </c>
      <c r="J102">
        <f>IF('03_Helper'!A102="","",'03_Helper'!Q102)</f>
        <v/>
      </c>
      <c r="K102">
        <f>IF('03_Helper'!A102="","",'03_Helper'!R102)</f>
        <v/>
      </c>
      <c r="L102">
        <f>IF('03_Helper'!A102="","",'03_Helper'!S102)</f>
        <v/>
      </c>
      <c r="M102">
        <f>IF('03_Helper'!A102="","",'03_Helper'!T102)</f>
        <v/>
      </c>
      <c r="N102">
        <f>IF('03_Helper'!A102="","",'03_Helper'!AA102)</f>
        <v/>
      </c>
      <c r="O102">
        <f>IF('03_Helper'!A102="","",'03_Helper'!AB102)</f>
        <v/>
      </c>
      <c r="P102">
        <f>IF('03_Helper'!A102="","",'03_Helper'!AC102)</f>
        <v/>
      </c>
      <c r="Q102">
        <f>IF('03_Helper'!A102="","",'03_Helper'!AD102)</f>
        <v/>
      </c>
      <c r="R102">
        <f>IF('03_Helper'!A102="","",'03_Helper'!AI102)</f>
        <v/>
      </c>
      <c r="S102">
        <f>IF('03_Helper'!A102="","",'03_Helper'!AJ102)</f>
        <v/>
      </c>
      <c r="T102">
        <f>IF('03_Helper'!A102="","",'03_Helper'!U102)</f>
        <v/>
      </c>
      <c r="U102">
        <f>IF('03_Helper'!A102="","",'03_Helper'!W102)</f>
        <v/>
      </c>
      <c r="V102">
        <f>IF('03_Helper'!A102="","",'03_Helper'!AG102)</f>
        <v/>
      </c>
      <c r="W102">
        <f>IF('03_Helper'!A102="","",'03_Helper'!AK102)</f>
        <v/>
      </c>
      <c r="X102">
        <f>IF('03_Helper'!A102="","",'03_Helper'!K102)</f>
        <v/>
      </c>
      <c r="Y102">
        <f>IF('03_Helper'!A102="","",'03_Helper'!AN102)</f>
        <v/>
      </c>
    </row>
    <row r="103">
      <c r="A103">
        <f>IF('03_Helper'!A103="","",'03_Helper'!B103)</f>
        <v/>
      </c>
      <c r="B103">
        <f>IF('03_Helper'!A103="","",'03_Helper'!C103)</f>
        <v/>
      </c>
      <c r="C103">
        <f>IF('03_Helper'!A103="","",'03_Helper'!G103)</f>
        <v/>
      </c>
      <c r="D103">
        <f>IF('03_Helper'!A103="","",'03_Helper'!E103)</f>
        <v/>
      </c>
      <c r="E103">
        <f>IF('03_Helper'!A103="","",'03_Helper'!D103)</f>
        <v/>
      </c>
      <c r="F103">
        <f>IF('03_Helper'!A103="","",'03_Helper'!H103)</f>
        <v/>
      </c>
      <c r="G103">
        <f>IF('03_Helper'!A103="","",'03_Helper'!X103)</f>
        <v/>
      </c>
      <c r="H103">
        <f>IF('03_Helper'!A103="","",'03_Helper'!Y103)</f>
        <v/>
      </c>
      <c r="I103">
        <f>IF('03_Helper'!A103="","",'03_Helper'!Z103)</f>
        <v/>
      </c>
      <c r="J103">
        <f>IF('03_Helper'!A103="","",'03_Helper'!Q103)</f>
        <v/>
      </c>
      <c r="K103">
        <f>IF('03_Helper'!A103="","",'03_Helper'!R103)</f>
        <v/>
      </c>
      <c r="L103">
        <f>IF('03_Helper'!A103="","",'03_Helper'!S103)</f>
        <v/>
      </c>
      <c r="M103">
        <f>IF('03_Helper'!A103="","",'03_Helper'!T103)</f>
        <v/>
      </c>
      <c r="N103">
        <f>IF('03_Helper'!A103="","",'03_Helper'!AA103)</f>
        <v/>
      </c>
      <c r="O103">
        <f>IF('03_Helper'!A103="","",'03_Helper'!AB103)</f>
        <v/>
      </c>
      <c r="P103">
        <f>IF('03_Helper'!A103="","",'03_Helper'!AC103)</f>
        <v/>
      </c>
      <c r="Q103">
        <f>IF('03_Helper'!A103="","",'03_Helper'!AD103)</f>
        <v/>
      </c>
      <c r="R103">
        <f>IF('03_Helper'!A103="","",'03_Helper'!AI103)</f>
        <v/>
      </c>
      <c r="S103">
        <f>IF('03_Helper'!A103="","",'03_Helper'!AJ103)</f>
        <v/>
      </c>
      <c r="T103">
        <f>IF('03_Helper'!A103="","",'03_Helper'!U103)</f>
        <v/>
      </c>
      <c r="U103">
        <f>IF('03_Helper'!A103="","",'03_Helper'!W103)</f>
        <v/>
      </c>
      <c r="V103">
        <f>IF('03_Helper'!A103="","",'03_Helper'!AG103)</f>
        <v/>
      </c>
      <c r="W103">
        <f>IF('03_Helper'!A103="","",'03_Helper'!AK103)</f>
        <v/>
      </c>
      <c r="X103">
        <f>IF('03_Helper'!A103="","",'03_Helper'!K103)</f>
        <v/>
      </c>
      <c r="Y103">
        <f>IF('03_Helper'!A103="","",'03_Helper'!AN103)</f>
        <v/>
      </c>
    </row>
    <row r="104">
      <c r="A104">
        <f>IF('03_Helper'!A104="","",'03_Helper'!B104)</f>
        <v/>
      </c>
      <c r="B104">
        <f>IF('03_Helper'!A104="","",'03_Helper'!C104)</f>
        <v/>
      </c>
      <c r="C104">
        <f>IF('03_Helper'!A104="","",'03_Helper'!G104)</f>
        <v/>
      </c>
      <c r="D104">
        <f>IF('03_Helper'!A104="","",'03_Helper'!E104)</f>
        <v/>
      </c>
      <c r="E104">
        <f>IF('03_Helper'!A104="","",'03_Helper'!D104)</f>
        <v/>
      </c>
      <c r="F104">
        <f>IF('03_Helper'!A104="","",'03_Helper'!H104)</f>
        <v/>
      </c>
      <c r="G104">
        <f>IF('03_Helper'!A104="","",'03_Helper'!X104)</f>
        <v/>
      </c>
      <c r="H104">
        <f>IF('03_Helper'!A104="","",'03_Helper'!Y104)</f>
        <v/>
      </c>
      <c r="I104">
        <f>IF('03_Helper'!A104="","",'03_Helper'!Z104)</f>
        <v/>
      </c>
      <c r="J104">
        <f>IF('03_Helper'!A104="","",'03_Helper'!Q104)</f>
        <v/>
      </c>
      <c r="K104">
        <f>IF('03_Helper'!A104="","",'03_Helper'!R104)</f>
        <v/>
      </c>
      <c r="L104">
        <f>IF('03_Helper'!A104="","",'03_Helper'!S104)</f>
        <v/>
      </c>
      <c r="M104">
        <f>IF('03_Helper'!A104="","",'03_Helper'!T104)</f>
        <v/>
      </c>
      <c r="N104">
        <f>IF('03_Helper'!A104="","",'03_Helper'!AA104)</f>
        <v/>
      </c>
      <c r="O104">
        <f>IF('03_Helper'!A104="","",'03_Helper'!AB104)</f>
        <v/>
      </c>
      <c r="P104">
        <f>IF('03_Helper'!A104="","",'03_Helper'!AC104)</f>
        <v/>
      </c>
      <c r="Q104">
        <f>IF('03_Helper'!A104="","",'03_Helper'!AD104)</f>
        <v/>
      </c>
      <c r="R104">
        <f>IF('03_Helper'!A104="","",'03_Helper'!AI104)</f>
        <v/>
      </c>
      <c r="S104">
        <f>IF('03_Helper'!A104="","",'03_Helper'!AJ104)</f>
        <v/>
      </c>
      <c r="T104">
        <f>IF('03_Helper'!A104="","",'03_Helper'!U104)</f>
        <v/>
      </c>
      <c r="U104">
        <f>IF('03_Helper'!A104="","",'03_Helper'!W104)</f>
        <v/>
      </c>
      <c r="V104">
        <f>IF('03_Helper'!A104="","",'03_Helper'!AG104)</f>
        <v/>
      </c>
      <c r="W104">
        <f>IF('03_Helper'!A104="","",'03_Helper'!AK104)</f>
        <v/>
      </c>
      <c r="X104">
        <f>IF('03_Helper'!A104="","",'03_Helper'!K104)</f>
        <v/>
      </c>
      <c r="Y104">
        <f>IF('03_Helper'!A104="","",'03_Helper'!AN104)</f>
        <v/>
      </c>
    </row>
    <row r="105">
      <c r="A105">
        <f>IF('03_Helper'!A105="","",'03_Helper'!B105)</f>
        <v/>
      </c>
      <c r="B105">
        <f>IF('03_Helper'!A105="","",'03_Helper'!C105)</f>
        <v/>
      </c>
      <c r="C105">
        <f>IF('03_Helper'!A105="","",'03_Helper'!G105)</f>
        <v/>
      </c>
      <c r="D105">
        <f>IF('03_Helper'!A105="","",'03_Helper'!E105)</f>
        <v/>
      </c>
      <c r="E105">
        <f>IF('03_Helper'!A105="","",'03_Helper'!D105)</f>
        <v/>
      </c>
      <c r="F105">
        <f>IF('03_Helper'!A105="","",'03_Helper'!H105)</f>
        <v/>
      </c>
      <c r="G105">
        <f>IF('03_Helper'!A105="","",'03_Helper'!X105)</f>
        <v/>
      </c>
      <c r="H105">
        <f>IF('03_Helper'!A105="","",'03_Helper'!Y105)</f>
        <v/>
      </c>
      <c r="I105">
        <f>IF('03_Helper'!A105="","",'03_Helper'!Z105)</f>
        <v/>
      </c>
      <c r="J105">
        <f>IF('03_Helper'!A105="","",'03_Helper'!Q105)</f>
        <v/>
      </c>
      <c r="K105">
        <f>IF('03_Helper'!A105="","",'03_Helper'!R105)</f>
        <v/>
      </c>
      <c r="L105">
        <f>IF('03_Helper'!A105="","",'03_Helper'!S105)</f>
        <v/>
      </c>
      <c r="M105">
        <f>IF('03_Helper'!A105="","",'03_Helper'!T105)</f>
        <v/>
      </c>
      <c r="N105">
        <f>IF('03_Helper'!A105="","",'03_Helper'!AA105)</f>
        <v/>
      </c>
      <c r="O105">
        <f>IF('03_Helper'!A105="","",'03_Helper'!AB105)</f>
        <v/>
      </c>
      <c r="P105">
        <f>IF('03_Helper'!A105="","",'03_Helper'!AC105)</f>
        <v/>
      </c>
      <c r="Q105">
        <f>IF('03_Helper'!A105="","",'03_Helper'!AD105)</f>
        <v/>
      </c>
      <c r="R105">
        <f>IF('03_Helper'!A105="","",'03_Helper'!AI105)</f>
        <v/>
      </c>
      <c r="S105">
        <f>IF('03_Helper'!A105="","",'03_Helper'!AJ105)</f>
        <v/>
      </c>
      <c r="T105">
        <f>IF('03_Helper'!A105="","",'03_Helper'!U105)</f>
        <v/>
      </c>
      <c r="U105">
        <f>IF('03_Helper'!A105="","",'03_Helper'!W105)</f>
        <v/>
      </c>
      <c r="V105">
        <f>IF('03_Helper'!A105="","",'03_Helper'!AG105)</f>
        <v/>
      </c>
      <c r="W105">
        <f>IF('03_Helper'!A105="","",'03_Helper'!AK105)</f>
        <v/>
      </c>
      <c r="X105">
        <f>IF('03_Helper'!A105="","",'03_Helper'!K105)</f>
        <v/>
      </c>
      <c r="Y105">
        <f>IF('03_Helper'!A105="","",'03_Helper'!AN105)</f>
        <v/>
      </c>
    </row>
    <row r="106">
      <c r="A106">
        <f>IF('03_Helper'!A106="","",'03_Helper'!B106)</f>
        <v/>
      </c>
      <c r="B106">
        <f>IF('03_Helper'!A106="","",'03_Helper'!C106)</f>
        <v/>
      </c>
      <c r="C106">
        <f>IF('03_Helper'!A106="","",'03_Helper'!G106)</f>
        <v/>
      </c>
      <c r="D106">
        <f>IF('03_Helper'!A106="","",'03_Helper'!E106)</f>
        <v/>
      </c>
      <c r="E106">
        <f>IF('03_Helper'!A106="","",'03_Helper'!D106)</f>
        <v/>
      </c>
      <c r="F106">
        <f>IF('03_Helper'!A106="","",'03_Helper'!H106)</f>
        <v/>
      </c>
      <c r="G106">
        <f>IF('03_Helper'!A106="","",'03_Helper'!X106)</f>
        <v/>
      </c>
      <c r="H106">
        <f>IF('03_Helper'!A106="","",'03_Helper'!Y106)</f>
        <v/>
      </c>
      <c r="I106">
        <f>IF('03_Helper'!A106="","",'03_Helper'!Z106)</f>
        <v/>
      </c>
      <c r="J106">
        <f>IF('03_Helper'!A106="","",'03_Helper'!Q106)</f>
        <v/>
      </c>
      <c r="K106">
        <f>IF('03_Helper'!A106="","",'03_Helper'!R106)</f>
        <v/>
      </c>
      <c r="L106">
        <f>IF('03_Helper'!A106="","",'03_Helper'!S106)</f>
        <v/>
      </c>
      <c r="M106">
        <f>IF('03_Helper'!A106="","",'03_Helper'!T106)</f>
        <v/>
      </c>
      <c r="N106">
        <f>IF('03_Helper'!A106="","",'03_Helper'!AA106)</f>
        <v/>
      </c>
      <c r="O106">
        <f>IF('03_Helper'!A106="","",'03_Helper'!AB106)</f>
        <v/>
      </c>
      <c r="P106">
        <f>IF('03_Helper'!A106="","",'03_Helper'!AC106)</f>
        <v/>
      </c>
      <c r="Q106">
        <f>IF('03_Helper'!A106="","",'03_Helper'!AD106)</f>
        <v/>
      </c>
      <c r="R106">
        <f>IF('03_Helper'!A106="","",'03_Helper'!AI106)</f>
        <v/>
      </c>
      <c r="S106">
        <f>IF('03_Helper'!A106="","",'03_Helper'!AJ106)</f>
        <v/>
      </c>
      <c r="T106">
        <f>IF('03_Helper'!A106="","",'03_Helper'!U106)</f>
        <v/>
      </c>
      <c r="U106">
        <f>IF('03_Helper'!A106="","",'03_Helper'!W106)</f>
        <v/>
      </c>
      <c r="V106">
        <f>IF('03_Helper'!A106="","",'03_Helper'!AG106)</f>
        <v/>
      </c>
      <c r="W106">
        <f>IF('03_Helper'!A106="","",'03_Helper'!AK106)</f>
        <v/>
      </c>
      <c r="X106">
        <f>IF('03_Helper'!A106="","",'03_Helper'!K106)</f>
        <v/>
      </c>
      <c r="Y106">
        <f>IF('03_Helper'!A106="","",'03_Helper'!AN106)</f>
        <v/>
      </c>
    </row>
    <row r="107">
      <c r="A107">
        <f>IF('03_Helper'!A107="","",'03_Helper'!B107)</f>
        <v/>
      </c>
      <c r="B107">
        <f>IF('03_Helper'!A107="","",'03_Helper'!C107)</f>
        <v/>
      </c>
      <c r="C107">
        <f>IF('03_Helper'!A107="","",'03_Helper'!G107)</f>
        <v/>
      </c>
      <c r="D107">
        <f>IF('03_Helper'!A107="","",'03_Helper'!E107)</f>
        <v/>
      </c>
      <c r="E107">
        <f>IF('03_Helper'!A107="","",'03_Helper'!D107)</f>
        <v/>
      </c>
      <c r="F107">
        <f>IF('03_Helper'!A107="","",'03_Helper'!H107)</f>
        <v/>
      </c>
      <c r="G107">
        <f>IF('03_Helper'!A107="","",'03_Helper'!X107)</f>
        <v/>
      </c>
      <c r="H107">
        <f>IF('03_Helper'!A107="","",'03_Helper'!Y107)</f>
        <v/>
      </c>
      <c r="I107">
        <f>IF('03_Helper'!A107="","",'03_Helper'!Z107)</f>
        <v/>
      </c>
      <c r="J107">
        <f>IF('03_Helper'!A107="","",'03_Helper'!Q107)</f>
        <v/>
      </c>
      <c r="K107">
        <f>IF('03_Helper'!A107="","",'03_Helper'!R107)</f>
        <v/>
      </c>
      <c r="L107">
        <f>IF('03_Helper'!A107="","",'03_Helper'!S107)</f>
        <v/>
      </c>
      <c r="M107">
        <f>IF('03_Helper'!A107="","",'03_Helper'!T107)</f>
        <v/>
      </c>
      <c r="N107">
        <f>IF('03_Helper'!A107="","",'03_Helper'!AA107)</f>
        <v/>
      </c>
      <c r="O107">
        <f>IF('03_Helper'!A107="","",'03_Helper'!AB107)</f>
        <v/>
      </c>
      <c r="P107">
        <f>IF('03_Helper'!A107="","",'03_Helper'!AC107)</f>
        <v/>
      </c>
      <c r="Q107">
        <f>IF('03_Helper'!A107="","",'03_Helper'!AD107)</f>
        <v/>
      </c>
      <c r="R107">
        <f>IF('03_Helper'!A107="","",'03_Helper'!AI107)</f>
        <v/>
      </c>
      <c r="S107">
        <f>IF('03_Helper'!A107="","",'03_Helper'!AJ107)</f>
        <v/>
      </c>
      <c r="T107">
        <f>IF('03_Helper'!A107="","",'03_Helper'!U107)</f>
        <v/>
      </c>
      <c r="U107">
        <f>IF('03_Helper'!A107="","",'03_Helper'!W107)</f>
        <v/>
      </c>
      <c r="V107">
        <f>IF('03_Helper'!A107="","",'03_Helper'!AG107)</f>
        <v/>
      </c>
      <c r="W107">
        <f>IF('03_Helper'!A107="","",'03_Helper'!AK107)</f>
        <v/>
      </c>
      <c r="X107">
        <f>IF('03_Helper'!A107="","",'03_Helper'!K107)</f>
        <v/>
      </c>
      <c r="Y107">
        <f>IF('03_Helper'!A107="","",'03_Helper'!AN107)</f>
        <v/>
      </c>
    </row>
    <row r="108">
      <c r="A108">
        <f>IF('03_Helper'!A108="","",'03_Helper'!B108)</f>
        <v/>
      </c>
      <c r="B108">
        <f>IF('03_Helper'!A108="","",'03_Helper'!C108)</f>
        <v/>
      </c>
      <c r="C108">
        <f>IF('03_Helper'!A108="","",'03_Helper'!G108)</f>
        <v/>
      </c>
      <c r="D108">
        <f>IF('03_Helper'!A108="","",'03_Helper'!E108)</f>
        <v/>
      </c>
      <c r="E108">
        <f>IF('03_Helper'!A108="","",'03_Helper'!D108)</f>
        <v/>
      </c>
      <c r="F108">
        <f>IF('03_Helper'!A108="","",'03_Helper'!H108)</f>
        <v/>
      </c>
      <c r="G108">
        <f>IF('03_Helper'!A108="","",'03_Helper'!X108)</f>
        <v/>
      </c>
      <c r="H108">
        <f>IF('03_Helper'!A108="","",'03_Helper'!Y108)</f>
        <v/>
      </c>
      <c r="I108">
        <f>IF('03_Helper'!A108="","",'03_Helper'!Z108)</f>
        <v/>
      </c>
      <c r="J108">
        <f>IF('03_Helper'!A108="","",'03_Helper'!Q108)</f>
        <v/>
      </c>
      <c r="K108">
        <f>IF('03_Helper'!A108="","",'03_Helper'!R108)</f>
        <v/>
      </c>
      <c r="L108">
        <f>IF('03_Helper'!A108="","",'03_Helper'!S108)</f>
        <v/>
      </c>
      <c r="M108">
        <f>IF('03_Helper'!A108="","",'03_Helper'!T108)</f>
        <v/>
      </c>
      <c r="N108">
        <f>IF('03_Helper'!A108="","",'03_Helper'!AA108)</f>
        <v/>
      </c>
      <c r="O108">
        <f>IF('03_Helper'!A108="","",'03_Helper'!AB108)</f>
        <v/>
      </c>
      <c r="P108">
        <f>IF('03_Helper'!A108="","",'03_Helper'!AC108)</f>
        <v/>
      </c>
      <c r="Q108">
        <f>IF('03_Helper'!A108="","",'03_Helper'!AD108)</f>
        <v/>
      </c>
      <c r="R108">
        <f>IF('03_Helper'!A108="","",'03_Helper'!AI108)</f>
        <v/>
      </c>
      <c r="S108">
        <f>IF('03_Helper'!A108="","",'03_Helper'!AJ108)</f>
        <v/>
      </c>
      <c r="T108">
        <f>IF('03_Helper'!A108="","",'03_Helper'!U108)</f>
        <v/>
      </c>
      <c r="U108">
        <f>IF('03_Helper'!A108="","",'03_Helper'!W108)</f>
        <v/>
      </c>
      <c r="V108">
        <f>IF('03_Helper'!A108="","",'03_Helper'!AG108)</f>
        <v/>
      </c>
      <c r="W108">
        <f>IF('03_Helper'!A108="","",'03_Helper'!AK108)</f>
        <v/>
      </c>
      <c r="X108">
        <f>IF('03_Helper'!A108="","",'03_Helper'!K108)</f>
        <v/>
      </c>
      <c r="Y108">
        <f>IF('03_Helper'!A108="","",'03_Helper'!AN108)</f>
        <v/>
      </c>
    </row>
    <row r="109">
      <c r="A109">
        <f>IF('03_Helper'!A109="","",'03_Helper'!B109)</f>
        <v/>
      </c>
      <c r="B109">
        <f>IF('03_Helper'!A109="","",'03_Helper'!C109)</f>
        <v/>
      </c>
      <c r="C109">
        <f>IF('03_Helper'!A109="","",'03_Helper'!G109)</f>
        <v/>
      </c>
      <c r="D109">
        <f>IF('03_Helper'!A109="","",'03_Helper'!E109)</f>
        <v/>
      </c>
      <c r="E109">
        <f>IF('03_Helper'!A109="","",'03_Helper'!D109)</f>
        <v/>
      </c>
      <c r="F109">
        <f>IF('03_Helper'!A109="","",'03_Helper'!H109)</f>
        <v/>
      </c>
      <c r="G109">
        <f>IF('03_Helper'!A109="","",'03_Helper'!X109)</f>
        <v/>
      </c>
      <c r="H109">
        <f>IF('03_Helper'!A109="","",'03_Helper'!Y109)</f>
        <v/>
      </c>
      <c r="I109">
        <f>IF('03_Helper'!A109="","",'03_Helper'!Z109)</f>
        <v/>
      </c>
      <c r="J109">
        <f>IF('03_Helper'!A109="","",'03_Helper'!Q109)</f>
        <v/>
      </c>
      <c r="K109">
        <f>IF('03_Helper'!A109="","",'03_Helper'!R109)</f>
        <v/>
      </c>
      <c r="L109">
        <f>IF('03_Helper'!A109="","",'03_Helper'!S109)</f>
        <v/>
      </c>
      <c r="M109">
        <f>IF('03_Helper'!A109="","",'03_Helper'!T109)</f>
        <v/>
      </c>
      <c r="N109">
        <f>IF('03_Helper'!A109="","",'03_Helper'!AA109)</f>
        <v/>
      </c>
      <c r="O109">
        <f>IF('03_Helper'!A109="","",'03_Helper'!AB109)</f>
        <v/>
      </c>
      <c r="P109">
        <f>IF('03_Helper'!A109="","",'03_Helper'!AC109)</f>
        <v/>
      </c>
      <c r="Q109">
        <f>IF('03_Helper'!A109="","",'03_Helper'!AD109)</f>
        <v/>
      </c>
      <c r="R109">
        <f>IF('03_Helper'!A109="","",'03_Helper'!AI109)</f>
        <v/>
      </c>
      <c r="S109">
        <f>IF('03_Helper'!A109="","",'03_Helper'!AJ109)</f>
        <v/>
      </c>
      <c r="T109">
        <f>IF('03_Helper'!A109="","",'03_Helper'!U109)</f>
        <v/>
      </c>
      <c r="U109">
        <f>IF('03_Helper'!A109="","",'03_Helper'!W109)</f>
        <v/>
      </c>
      <c r="V109">
        <f>IF('03_Helper'!A109="","",'03_Helper'!AG109)</f>
        <v/>
      </c>
      <c r="W109">
        <f>IF('03_Helper'!A109="","",'03_Helper'!AK109)</f>
        <v/>
      </c>
      <c r="X109">
        <f>IF('03_Helper'!A109="","",'03_Helper'!K109)</f>
        <v/>
      </c>
      <c r="Y109">
        <f>IF('03_Helper'!A109="","",'03_Helper'!AN109)</f>
        <v/>
      </c>
    </row>
    <row r="110">
      <c r="A110">
        <f>IF('03_Helper'!A110="","",'03_Helper'!B110)</f>
        <v/>
      </c>
      <c r="B110">
        <f>IF('03_Helper'!A110="","",'03_Helper'!C110)</f>
        <v/>
      </c>
      <c r="C110">
        <f>IF('03_Helper'!A110="","",'03_Helper'!G110)</f>
        <v/>
      </c>
      <c r="D110">
        <f>IF('03_Helper'!A110="","",'03_Helper'!E110)</f>
        <v/>
      </c>
      <c r="E110">
        <f>IF('03_Helper'!A110="","",'03_Helper'!D110)</f>
        <v/>
      </c>
      <c r="F110">
        <f>IF('03_Helper'!A110="","",'03_Helper'!H110)</f>
        <v/>
      </c>
      <c r="G110">
        <f>IF('03_Helper'!A110="","",'03_Helper'!X110)</f>
        <v/>
      </c>
      <c r="H110">
        <f>IF('03_Helper'!A110="","",'03_Helper'!Y110)</f>
        <v/>
      </c>
      <c r="I110">
        <f>IF('03_Helper'!A110="","",'03_Helper'!Z110)</f>
        <v/>
      </c>
      <c r="J110">
        <f>IF('03_Helper'!A110="","",'03_Helper'!Q110)</f>
        <v/>
      </c>
      <c r="K110">
        <f>IF('03_Helper'!A110="","",'03_Helper'!R110)</f>
        <v/>
      </c>
      <c r="L110">
        <f>IF('03_Helper'!A110="","",'03_Helper'!S110)</f>
        <v/>
      </c>
      <c r="M110">
        <f>IF('03_Helper'!A110="","",'03_Helper'!T110)</f>
        <v/>
      </c>
      <c r="N110">
        <f>IF('03_Helper'!A110="","",'03_Helper'!AA110)</f>
        <v/>
      </c>
      <c r="O110">
        <f>IF('03_Helper'!A110="","",'03_Helper'!AB110)</f>
        <v/>
      </c>
      <c r="P110">
        <f>IF('03_Helper'!A110="","",'03_Helper'!AC110)</f>
        <v/>
      </c>
      <c r="Q110">
        <f>IF('03_Helper'!A110="","",'03_Helper'!AD110)</f>
        <v/>
      </c>
      <c r="R110">
        <f>IF('03_Helper'!A110="","",'03_Helper'!AI110)</f>
        <v/>
      </c>
      <c r="S110">
        <f>IF('03_Helper'!A110="","",'03_Helper'!AJ110)</f>
        <v/>
      </c>
      <c r="T110">
        <f>IF('03_Helper'!A110="","",'03_Helper'!U110)</f>
        <v/>
      </c>
      <c r="U110">
        <f>IF('03_Helper'!A110="","",'03_Helper'!W110)</f>
        <v/>
      </c>
      <c r="V110">
        <f>IF('03_Helper'!A110="","",'03_Helper'!AG110)</f>
        <v/>
      </c>
      <c r="W110">
        <f>IF('03_Helper'!A110="","",'03_Helper'!AK110)</f>
        <v/>
      </c>
      <c r="X110">
        <f>IF('03_Helper'!A110="","",'03_Helper'!K110)</f>
        <v/>
      </c>
      <c r="Y110">
        <f>IF('03_Helper'!A110="","",'03_Helper'!AN110)</f>
        <v/>
      </c>
    </row>
    <row r="111">
      <c r="A111">
        <f>IF('03_Helper'!A111="","",'03_Helper'!B111)</f>
        <v/>
      </c>
      <c r="B111">
        <f>IF('03_Helper'!A111="","",'03_Helper'!C111)</f>
        <v/>
      </c>
      <c r="C111">
        <f>IF('03_Helper'!A111="","",'03_Helper'!G111)</f>
        <v/>
      </c>
      <c r="D111">
        <f>IF('03_Helper'!A111="","",'03_Helper'!E111)</f>
        <v/>
      </c>
      <c r="E111">
        <f>IF('03_Helper'!A111="","",'03_Helper'!D111)</f>
        <v/>
      </c>
      <c r="F111">
        <f>IF('03_Helper'!A111="","",'03_Helper'!H111)</f>
        <v/>
      </c>
      <c r="G111">
        <f>IF('03_Helper'!A111="","",'03_Helper'!X111)</f>
        <v/>
      </c>
      <c r="H111">
        <f>IF('03_Helper'!A111="","",'03_Helper'!Y111)</f>
        <v/>
      </c>
      <c r="I111">
        <f>IF('03_Helper'!A111="","",'03_Helper'!Z111)</f>
        <v/>
      </c>
      <c r="J111">
        <f>IF('03_Helper'!A111="","",'03_Helper'!Q111)</f>
        <v/>
      </c>
      <c r="K111">
        <f>IF('03_Helper'!A111="","",'03_Helper'!R111)</f>
        <v/>
      </c>
      <c r="L111">
        <f>IF('03_Helper'!A111="","",'03_Helper'!S111)</f>
        <v/>
      </c>
      <c r="M111">
        <f>IF('03_Helper'!A111="","",'03_Helper'!T111)</f>
        <v/>
      </c>
      <c r="N111">
        <f>IF('03_Helper'!A111="","",'03_Helper'!AA111)</f>
        <v/>
      </c>
      <c r="O111">
        <f>IF('03_Helper'!A111="","",'03_Helper'!AB111)</f>
        <v/>
      </c>
      <c r="P111">
        <f>IF('03_Helper'!A111="","",'03_Helper'!AC111)</f>
        <v/>
      </c>
      <c r="Q111">
        <f>IF('03_Helper'!A111="","",'03_Helper'!AD111)</f>
        <v/>
      </c>
      <c r="R111">
        <f>IF('03_Helper'!A111="","",'03_Helper'!AI111)</f>
        <v/>
      </c>
      <c r="S111">
        <f>IF('03_Helper'!A111="","",'03_Helper'!AJ111)</f>
        <v/>
      </c>
      <c r="T111">
        <f>IF('03_Helper'!A111="","",'03_Helper'!U111)</f>
        <v/>
      </c>
      <c r="U111">
        <f>IF('03_Helper'!A111="","",'03_Helper'!W111)</f>
        <v/>
      </c>
      <c r="V111">
        <f>IF('03_Helper'!A111="","",'03_Helper'!AG111)</f>
        <v/>
      </c>
      <c r="W111">
        <f>IF('03_Helper'!A111="","",'03_Helper'!AK111)</f>
        <v/>
      </c>
      <c r="X111">
        <f>IF('03_Helper'!A111="","",'03_Helper'!K111)</f>
        <v/>
      </c>
      <c r="Y111">
        <f>IF('03_Helper'!A111="","",'03_Helper'!AN111)</f>
        <v/>
      </c>
    </row>
    <row r="112">
      <c r="A112">
        <f>IF('03_Helper'!A112="","",'03_Helper'!B112)</f>
        <v/>
      </c>
      <c r="B112">
        <f>IF('03_Helper'!A112="","",'03_Helper'!C112)</f>
        <v/>
      </c>
      <c r="C112">
        <f>IF('03_Helper'!A112="","",'03_Helper'!G112)</f>
        <v/>
      </c>
      <c r="D112">
        <f>IF('03_Helper'!A112="","",'03_Helper'!E112)</f>
        <v/>
      </c>
      <c r="E112">
        <f>IF('03_Helper'!A112="","",'03_Helper'!D112)</f>
        <v/>
      </c>
      <c r="F112">
        <f>IF('03_Helper'!A112="","",'03_Helper'!H112)</f>
        <v/>
      </c>
      <c r="G112">
        <f>IF('03_Helper'!A112="","",'03_Helper'!X112)</f>
        <v/>
      </c>
      <c r="H112">
        <f>IF('03_Helper'!A112="","",'03_Helper'!Y112)</f>
        <v/>
      </c>
      <c r="I112">
        <f>IF('03_Helper'!A112="","",'03_Helper'!Z112)</f>
        <v/>
      </c>
      <c r="J112">
        <f>IF('03_Helper'!A112="","",'03_Helper'!Q112)</f>
        <v/>
      </c>
      <c r="K112">
        <f>IF('03_Helper'!A112="","",'03_Helper'!R112)</f>
        <v/>
      </c>
      <c r="L112">
        <f>IF('03_Helper'!A112="","",'03_Helper'!S112)</f>
        <v/>
      </c>
      <c r="M112">
        <f>IF('03_Helper'!A112="","",'03_Helper'!T112)</f>
        <v/>
      </c>
      <c r="N112">
        <f>IF('03_Helper'!A112="","",'03_Helper'!AA112)</f>
        <v/>
      </c>
      <c r="O112">
        <f>IF('03_Helper'!A112="","",'03_Helper'!AB112)</f>
        <v/>
      </c>
      <c r="P112">
        <f>IF('03_Helper'!A112="","",'03_Helper'!AC112)</f>
        <v/>
      </c>
      <c r="Q112">
        <f>IF('03_Helper'!A112="","",'03_Helper'!AD112)</f>
        <v/>
      </c>
      <c r="R112">
        <f>IF('03_Helper'!A112="","",'03_Helper'!AI112)</f>
        <v/>
      </c>
      <c r="S112">
        <f>IF('03_Helper'!A112="","",'03_Helper'!AJ112)</f>
        <v/>
      </c>
      <c r="T112">
        <f>IF('03_Helper'!A112="","",'03_Helper'!U112)</f>
        <v/>
      </c>
      <c r="U112">
        <f>IF('03_Helper'!A112="","",'03_Helper'!W112)</f>
        <v/>
      </c>
      <c r="V112">
        <f>IF('03_Helper'!A112="","",'03_Helper'!AG112)</f>
        <v/>
      </c>
      <c r="W112">
        <f>IF('03_Helper'!A112="","",'03_Helper'!AK112)</f>
        <v/>
      </c>
      <c r="X112">
        <f>IF('03_Helper'!A112="","",'03_Helper'!K112)</f>
        <v/>
      </c>
      <c r="Y112">
        <f>IF('03_Helper'!A112="","",'03_Helper'!AN112)</f>
        <v/>
      </c>
    </row>
    <row r="113">
      <c r="A113">
        <f>IF('03_Helper'!A113="","",'03_Helper'!B113)</f>
        <v/>
      </c>
      <c r="B113">
        <f>IF('03_Helper'!A113="","",'03_Helper'!C113)</f>
        <v/>
      </c>
      <c r="C113">
        <f>IF('03_Helper'!A113="","",'03_Helper'!G113)</f>
        <v/>
      </c>
      <c r="D113">
        <f>IF('03_Helper'!A113="","",'03_Helper'!E113)</f>
        <v/>
      </c>
      <c r="E113">
        <f>IF('03_Helper'!A113="","",'03_Helper'!D113)</f>
        <v/>
      </c>
      <c r="F113">
        <f>IF('03_Helper'!A113="","",'03_Helper'!H113)</f>
        <v/>
      </c>
      <c r="G113">
        <f>IF('03_Helper'!A113="","",'03_Helper'!X113)</f>
        <v/>
      </c>
      <c r="H113">
        <f>IF('03_Helper'!A113="","",'03_Helper'!Y113)</f>
        <v/>
      </c>
      <c r="I113">
        <f>IF('03_Helper'!A113="","",'03_Helper'!Z113)</f>
        <v/>
      </c>
      <c r="J113">
        <f>IF('03_Helper'!A113="","",'03_Helper'!Q113)</f>
        <v/>
      </c>
      <c r="K113">
        <f>IF('03_Helper'!A113="","",'03_Helper'!R113)</f>
        <v/>
      </c>
      <c r="L113">
        <f>IF('03_Helper'!A113="","",'03_Helper'!S113)</f>
        <v/>
      </c>
      <c r="M113">
        <f>IF('03_Helper'!A113="","",'03_Helper'!T113)</f>
        <v/>
      </c>
      <c r="N113">
        <f>IF('03_Helper'!A113="","",'03_Helper'!AA113)</f>
        <v/>
      </c>
      <c r="O113">
        <f>IF('03_Helper'!A113="","",'03_Helper'!AB113)</f>
        <v/>
      </c>
      <c r="P113">
        <f>IF('03_Helper'!A113="","",'03_Helper'!AC113)</f>
        <v/>
      </c>
      <c r="Q113">
        <f>IF('03_Helper'!A113="","",'03_Helper'!AD113)</f>
        <v/>
      </c>
      <c r="R113">
        <f>IF('03_Helper'!A113="","",'03_Helper'!AI113)</f>
        <v/>
      </c>
      <c r="S113">
        <f>IF('03_Helper'!A113="","",'03_Helper'!AJ113)</f>
        <v/>
      </c>
      <c r="T113">
        <f>IF('03_Helper'!A113="","",'03_Helper'!U113)</f>
        <v/>
      </c>
      <c r="U113">
        <f>IF('03_Helper'!A113="","",'03_Helper'!W113)</f>
        <v/>
      </c>
      <c r="V113">
        <f>IF('03_Helper'!A113="","",'03_Helper'!AG113)</f>
        <v/>
      </c>
      <c r="W113">
        <f>IF('03_Helper'!A113="","",'03_Helper'!AK113)</f>
        <v/>
      </c>
      <c r="X113">
        <f>IF('03_Helper'!A113="","",'03_Helper'!K113)</f>
        <v/>
      </c>
      <c r="Y113">
        <f>IF('03_Helper'!A113="","",'03_Helper'!AN113)</f>
        <v/>
      </c>
    </row>
    <row r="114">
      <c r="A114">
        <f>IF('03_Helper'!A114="","",'03_Helper'!B114)</f>
        <v/>
      </c>
      <c r="B114">
        <f>IF('03_Helper'!A114="","",'03_Helper'!C114)</f>
        <v/>
      </c>
      <c r="C114">
        <f>IF('03_Helper'!A114="","",'03_Helper'!G114)</f>
        <v/>
      </c>
      <c r="D114">
        <f>IF('03_Helper'!A114="","",'03_Helper'!E114)</f>
        <v/>
      </c>
      <c r="E114">
        <f>IF('03_Helper'!A114="","",'03_Helper'!D114)</f>
        <v/>
      </c>
      <c r="F114">
        <f>IF('03_Helper'!A114="","",'03_Helper'!H114)</f>
        <v/>
      </c>
      <c r="G114">
        <f>IF('03_Helper'!A114="","",'03_Helper'!X114)</f>
        <v/>
      </c>
      <c r="H114">
        <f>IF('03_Helper'!A114="","",'03_Helper'!Y114)</f>
        <v/>
      </c>
      <c r="I114">
        <f>IF('03_Helper'!A114="","",'03_Helper'!Z114)</f>
        <v/>
      </c>
      <c r="J114">
        <f>IF('03_Helper'!A114="","",'03_Helper'!Q114)</f>
        <v/>
      </c>
      <c r="K114">
        <f>IF('03_Helper'!A114="","",'03_Helper'!R114)</f>
        <v/>
      </c>
      <c r="L114">
        <f>IF('03_Helper'!A114="","",'03_Helper'!S114)</f>
        <v/>
      </c>
      <c r="M114">
        <f>IF('03_Helper'!A114="","",'03_Helper'!T114)</f>
        <v/>
      </c>
      <c r="N114">
        <f>IF('03_Helper'!A114="","",'03_Helper'!AA114)</f>
        <v/>
      </c>
      <c r="O114">
        <f>IF('03_Helper'!A114="","",'03_Helper'!AB114)</f>
        <v/>
      </c>
      <c r="P114">
        <f>IF('03_Helper'!A114="","",'03_Helper'!AC114)</f>
        <v/>
      </c>
      <c r="Q114">
        <f>IF('03_Helper'!A114="","",'03_Helper'!AD114)</f>
        <v/>
      </c>
      <c r="R114">
        <f>IF('03_Helper'!A114="","",'03_Helper'!AI114)</f>
        <v/>
      </c>
      <c r="S114">
        <f>IF('03_Helper'!A114="","",'03_Helper'!AJ114)</f>
        <v/>
      </c>
      <c r="T114">
        <f>IF('03_Helper'!A114="","",'03_Helper'!U114)</f>
        <v/>
      </c>
      <c r="U114">
        <f>IF('03_Helper'!A114="","",'03_Helper'!W114)</f>
        <v/>
      </c>
      <c r="V114">
        <f>IF('03_Helper'!A114="","",'03_Helper'!AG114)</f>
        <v/>
      </c>
      <c r="W114">
        <f>IF('03_Helper'!A114="","",'03_Helper'!AK114)</f>
        <v/>
      </c>
      <c r="X114">
        <f>IF('03_Helper'!A114="","",'03_Helper'!K114)</f>
        <v/>
      </c>
      <c r="Y114">
        <f>IF('03_Helper'!A114="","",'03_Helper'!AN114)</f>
        <v/>
      </c>
    </row>
    <row r="115">
      <c r="A115">
        <f>IF('03_Helper'!A115="","",'03_Helper'!B115)</f>
        <v/>
      </c>
      <c r="B115">
        <f>IF('03_Helper'!A115="","",'03_Helper'!C115)</f>
        <v/>
      </c>
      <c r="C115">
        <f>IF('03_Helper'!A115="","",'03_Helper'!G115)</f>
        <v/>
      </c>
      <c r="D115">
        <f>IF('03_Helper'!A115="","",'03_Helper'!E115)</f>
        <v/>
      </c>
      <c r="E115">
        <f>IF('03_Helper'!A115="","",'03_Helper'!D115)</f>
        <v/>
      </c>
      <c r="F115">
        <f>IF('03_Helper'!A115="","",'03_Helper'!H115)</f>
        <v/>
      </c>
      <c r="G115">
        <f>IF('03_Helper'!A115="","",'03_Helper'!X115)</f>
        <v/>
      </c>
      <c r="H115">
        <f>IF('03_Helper'!A115="","",'03_Helper'!Y115)</f>
        <v/>
      </c>
      <c r="I115">
        <f>IF('03_Helper'!A115="","",'03_Helper'!Z115)</f>
        <v/>
      </c>
      <c r="J115">
        <f>IF('03_Helper'!A115="","",'03_Helper'!Q115)</f>
        <v/>
      </c>
      <c r="K115">
        <f>IF('03_Helper'!A115="","",'03_Helper'!R115)</f>
        <v/>
      </c>
      <c r="L115">
        <f>IF('03_Helper'!A115="","",'03_Helper'!S115)</f>
        <v/>
      </c>
      <c r="M115">
        <f>IF('03_Helper'!A115="","",'03_Helper'!T115)</f>
        <v/>
      </c>
      <c r="N115">
        <f>IF('03_Helper'!A115="","",'03_Helper'!AA115)</f>
        <v/>
      </c>
      <c r="O115">
        <f>IF('03_Helper'!A115="","",'03_Helper'!AB115)</f>
        <v/>
      </c>
      <c r="P115">
        <f>IF('03_Helper'!A115="","",'03_Helper'!AC115)</f>
        <v/>
      </c>
      <c r="Q115">
        <f>IF('03_Helper'!A115="","",'03_Helper'!AD115)</f>
        <v/>
      </c>
      <c r="R115">
        <f>IF('03_Helper'!A115="","",'03_Helper'!AI115)</f>
        <v/>
      </c>
      <c r="S115">
        <f>IF('03_Helper'!A115="","",'03_Helper'!AJ115)</f>
        <v/>
      </c>
      <c r="T115">
        <f>IF('03_Helper'!A115="","",'03_Helper'!U115)</f>
        <v/>
      </c>
      <c r="U115">
        <f>IF('03_Helper'!A115="","",'03_Helper'!W115)</f>
        <v/>
      </c>
      <c r="V115">
        <f>IF('03_Helper'!A115="","",'03_Helper'!AG115)</f>
        <v/>
      </c>
      <c r="W115">
        <f>IF('03_Helper'!A115="","",'03_Helper'!AK115)</f>
        <v/>
      </c>
      <c r="X115">
        <f>IF('03_Helper'!A115="","",'03_Helper'!K115)</f>
        <v/>
      </c>
      <c r="Y115">
        <f>IF('03_Helper'!A115="","",'03_Helper'!AN115)</f>
        <v/>
      </c>
    </row>
    <row r="116">
      <c r="A116">
        <f>IF('03_Helper'!A116="","",'03_Helper'!B116)</f>
        <v/>
      </c>
      <c r="B116">
        <f>IF('03_Helper'!A116="","",'03_Helper'!C116)</f>
        <v/>
      </c>
      <c r="C116">
        <f>IF('03_Helper'!A116="","",'03_Helper'!G116)</f>
        <v/>
      </c>
      <c r="D116">
        <f>IF('03_Helper'!A116="","",'03_Helper'!E116)</f>
        <v/>
      </c>
      <c r="E116">
        <f>IF('03_Helper'!A116="","",'03_Helper'!D116)</f>
        <v/>
      </c>
      <c r="F116">
        <f>IF('03_Helper'!A116="","",'03_Helper'!H116)</f>
        <v/>
      </c>
      <c r="G116">
        <f>IF('03_Helper'!A116="","",'03_Helper'!X116)</f>
        <v/>
      </c>
      <c r="H116">
        <f>IF('03_Helper'!A116="","",'03_Helper'!Y116)</f>
        <v/>
      </c>
      <c r="I116">
        <f>IF('03_Helper'!A116="","",'03_Helper'!Z116)</f>
        <v/>
      </c>
      <c r="J116">
        <f>IF('03_Helper'!A116="","",'03_Helper'!Q116)</f>
        <v/>
      </c>
      <c r="K116">
        <f>IF('03_Helper'!A116="","",'03_Helper'!R116)</f>
        <v/>
      </c>
      <c r="L116">
        <f>IF('03_Helper'!A116="","",'03_Helper'!S116)</f>
        <v/>
      </c>
      <c r="M116">
        <f>IF('03_Helper'!A116="","",'03_Helper'!T116)</f>
        <v/>
      </c>
      <c r="N116">
        <f>IF('03_Helper'!A116="","",'03_Helper'!AA116)</f>
        <v/>
      </c>
      <c r="O116">
        <f>IF('03_Helper'!A116="","",'03_Helper'!AB116)</f>
        <v/>
      </c>
      <c r="P116">
        <f>IF('03_Helper'!A116="","",'03_Helper'!AC116)</f>
        <v/>
      </c>
      <c r="Q116">
        <f>IF('03_Helper'!A116="","",'03_Helper'!AD116)</f>
        <v/>
      </c>
      <c r="R116">
        <f>IF('03_Helper'!A116="","",'03_Helper'!AI116)</f>
        <v/>
      </c>
      <c r="S116">
        <f>IF('03_Helper'!A116="","",'03_Helper'!AJ116)</f>
        <v/>
      </c>
      <c r="T116">
        <f>IF('03_Helper'!A116="","",'03_Helper'!U116)</f>
        <v/>
      </c>
      <c r="U116">
        <f>IF('03_Helper'!A116="","",'03_Helper'!W116)</f>
        <v/>
      </c>
      <c r="V116">
        <f>IF('03_Helper'!A116="","",'03_Helper'!AG116)</f>
        <v/>
      </c>
      <c r="W116">
        <f>IF('03_Helper'!A116="","",'03_Helper'!AK116)</f>
        <v/>
      </c>
      <c r="X116">
        <f>IF('03_Helper'!A116="","",'03_Helper'!K116)</f>
        <v/>
      </c>
      <c r="Y116">
        <f>IF('03_Helper'!A116="","",'03_Helper'!AN116)</f>
        <v/>
      </c>
    </row>
    <row r="117">
      <c r="A117">
        <f>IF('03_Helper'!A117="","",'03_Helper'!B117)</f>
        <v/>
      </c>
      <c r="B117">
        <f>IF('03_Helper'!A117="","",'03_Helper'!C117)</f>
        <v/>
      </c>
      <c r="C117">
        <f>IF('03_Helper'!A117="","",'03_Helper'!G117)</f>
        <v/>
      </c>
      <c r="D117">
        <f>IF('03_Helper'!A117="","",'03_Helper'!E117)</f>
        <v/>
      </c>
      <c r="E117">
        <f>IF('03_Helper'!A117="","",'03_Helper'!D117)</f>
        <v/>
      </c>
      <c r="F117">
        <f>IF('03_Helper'!A117="","",'03_Helper'!H117)</f>
        <v/>
      </c>
      <c r="G117">
        <f>IF('03_Helper'!A117="","",'03_Helper'!X117)</f>
        <v/>
      </c>
      <c r="H117">
        <f>IF('03_Helper'!A117="","",'03_Helper'!Y117)</f>
        <v/>
      </c>
      <c r="I117">
        <f>IF('03_Helper'!A117="","",'03_Helper'!Z117)</f>
        <v/>
      </c>
      <c r="J117">
        <f>IF('03_Helper'!A117="","",'03_Helper'!Q117)</f>
        <v/>
      </c>
      <c r="K117">
        <f>IF('03_Helper'!A117="","",'03_Helper'!R117)</f>
        <v/>
      </c>
      <c r="L117">
        <f>IF('03_Helper'!A117="","",'03_Helper'!S117)</f>
        <v/>
      </c>
      <c r="M117">
        <f>IF('03_Helper'!A117="","",'03_Helper'!T117)</f>
        <v/>
      </c>
      <c r="N117">
        <f>IF('03_Helper'!A117="","",'03_Helper'!AA117)</f>
        <v/>
      </c>
      <c r="O117">
        <f>IF('03_Helper'!A117="","",'03_Helper'!AB117)</f>
        <v/>
      </c>
      <c r="P117">
        <f>IF('03_Helper'!A117="","",'03_Helper'!AC117)</f>
        <v/>
      </c>
      <c r="Q117">
        <f>IF('03_Helper'!A117="","",'03_Helper'!AD117)</f>
        <v/>
      </c>
      <c r="R117">
        <f>IF('03_Helper'!A117="","",'03_Helper'!AI117)</f>
        <v/>
      </c>
      <c r="S117">
        <f>IF('03_Helper'!A117="","",'03_Helper'!AJ117)</f>
        <v/>
      </c>
      <c r="T117">
        <f>IF('03_Helper'!A117="","",'03_Helper'!U117)</f>
        <v/>
      </c>
      <c r="U117">
        <f>IF('03_Helper'!A117="","",'03_Helper'!W117)</f>
        <v/>
      </c>
      <c r="V117">
        <f>IF('03_Helper'!A117="","",'03_Helper'!AG117)</f>
        <v/>
      </c>
      <c r="W117">
        <f>IF('03_Helper'!A117="","",'03_Helper'!AK117)</f>
        <v/>
      </c>
      <c r="X117">
        <f>IF('03_Helper'!A117="","",'03_Helper'!K117)</f>
        <v/>
      </c>
      <c r="Y117">
        <f>IF('03_Helper'!A117="","",'03_Helper'!AN117)</f>
        <v/>
      </c>
    </row>
    <row r="118">
      <c r="A118">
        <f>IF('03_Helper'!A118="","",'03_Helper'!B118)</f>
        <v/>
      </c>
      <c r="B118">
        <f>IF('03_Helper'!A118="","",'03_Helper'!C118)</f>
        <v/>
      </c>
      <c r="C118">
        <f>IF('03_Helper'!A118="","",'03_Helper'!G118)</f>
        <v/>
      </c>
      <c r="D118">
        <f>IF('03_Helper'!A118="","",'03_Helper'!E118)</f>
        <v/>
      </c>
      <c r="E118">
        <f>IF('03_Helper'!A118="","",'03_Helper'!D118)</f>
        <v/>
      </c>
      <c r="F118">
        <f>IF('03_Helper'!A118="","",'03_Helper'!H118)</f>
        <v/>
      </c>
      <c r="G118">
        <f>IF('03_Helper'!A118="","",'03_Helper'!X118)</f>
        <v/>
      </c>
      <c r="H118">
        <f>IF('03_Helper'!A118="","",'03_Helper'!Y118)</f>
        <v/>
      </c>
      <c r="I118">
        <f>IF('03_Helper'!A118="","",'03_Helper'!Z118)</f>
        <v/>
      </c>
      <c r="J118">
        <f>IF('03_Helper'!A118="","",'03_Helper'!Q118)</f>
        <v/>
      </c>
      <c r="K118">
        <f>IF('03_Helper'!A118="","",'03_Helper'!R118)</f>
        <v/>
      </c>
      <c r="L118">
        <f>IF('03_Helper'!A118="","",'03_Helper'!S118)</f>
        <v/>
      </c>
      <c r="M118">
        <f>IF('03_Helper'!A118="","",'03_Helper'!T118)</f>
        <v/>
      </c>
      <c r="N118">
        <f>IF('03_Helper'!A118="","",'03_Helper'!AA118)</f>
        <v/>
      </c>
      <c r="O118">
        <f>IF('03_Helper'!A118="","",'03_Helper'!AB118)</f>
        <v/>
      </c>
      <c r="P118">
        <f>IF('03_Helper'!A118="","",'03_Helper'!AC118)</f>
        <v/>
      </c>
      <c r="Q118">
        <f>IF('03_Helper'!A118="","",'03_Helper'!AD118)</f>
        <v/>
      </c>
      <c r="R118">
        <f>IF('03_Helper'!A118="","",'03_Helper'!AI118)</f>
        <v/>
      </c>
      <c r="S118">
        <f>IF('03_Helper'!A118="","",'03_Helper'!AJ118)</f>
        <v/>
      </c>
      <c r="T118">
        <f>IF('03_Helper'!A118="","",'03_Helper'!U118)</f>
        <v/>
      </c>
      <c r="U118">
        <f>IF('03_Helper'!A118="","",'03_Helper'!W118)</f>
        <v/>
      </c>
      <c r="V118">
        <f>IF('03_Helper'!A118="","",'03_Helper'!AG118)</f>
        <v/>
      </c>
      <c r="W118">
        <f>IF('03_Helper'!A118="","",'03_Helper'!AK118)</f>
        <v/>
      </c>
      <c r="X118">
        <f>IF('03_Helper'!A118="","",'03_Helper'!K118)</f>
        <v/>
      </c>
      <c r="Y118">
        <f>IF('03_Helper'!A118="","",'03_Helper'!AN118)</f>
        <v/>
      </c>
    </row>
    <row r="119">
      <c r="A119">
        <f>IF('03_Helper'!A119="","",'03_Helper'!B119)</f>
        <v/>
      </c>
      <c r="B119">
        <f>IF('03_Helper'!A119="","",'03_Helper'!C119)</f>
        <v/>
      </c>
      <c r="C119">
        <f>IF('03_Helper'!A119="","",'03_Helper'!G119)</f>
        <v/>
      </c>
      <c r="D119">
        <f>IF('03_Helper'!A119="","",'03_Helper'!E119)</f>
        <v/>
      </c>
      <c r="E119">
        <f>IF('03_Helper'!A119="","",'03_Helper'!D119)</f>
        <v/>
      </c>
      <c r="F119">
        <f>IF('03_Helper'!A119="","",'03_Helper'!H119)</f>
        <v/>
      </c>
      <c r="G119">
        <f>IF('03_Helper'!A119="","",'03_Helper'!X119)</f>
        <v/>
      </c>
      <c r="H119">
        <f>IF('03_Helper'!A119="","",'03_Helper'!Y119)</f>
        <v/>
      </c>
      <c r="I119">
        <f>IF('03_Helper'!A119="","",'03_Helper'!Z119)</f>
        <v/>
      </c>
      <c r="J119">
        <f>IF('03_Helper'!A119="","",'03_Helper'!Q119)</f>
        <v/>
      </c>
      <c r="K119">
        <f>IF('03_Helper'!A119="","",'03_Helper'!R119)</f>
        <v/>
      </c>
      <c r="L119">
        <f>IF('03_Helper'!A119="","",'03_Helper'!S119)</f>
        <v/>
      </c>
      <c r="M119">
        <f>IF('03_Helper'!A119="","",'03_Helper'!T119)</f>
        <v/>
      </c>
      <c r="N119">
        <f>IF('03_Helper'!A119="","",'03_Helper'!AA119)</f>
        <v/>
      </c>
      <c r="O119">
        <f>IF('03_Helper'!A119="","",'03_Helper'!AB119)</f>
        <v/>
      </c>
      <c r="P119">
        <f>IF('03_Helper'!A119="","",'03_Helper'!AC119)</f>
        <v/>
      </c>
      <c r="Q119">
        <f>IF('03_Helper'!A119="","",'03_Helper'!AD119)</f>
        <v/>
      </c>
      <c r="R119">
        <f>IF('03_Helper'!A119="","",'03_Helper'!AI119)</f>
        <v/>
      </c>
      <c r="S119">
        <f>IF('03_Helper'!A119="","",'03_Helper'!AJ119)</f>
        <v/>
      </c>
      <c r="T119">
        <f>IF('03_Helper'!A119="","",'03_Helper'!U119)</f>
        <v/>
      </c>
      <c r="U119">
        <f>IF('03_Helper'!A119="","",'03_Helper'!W119)</f>
        <v/>
      </c>
      <c r="V119">
        <f>IF('03_Helper'!A119="","",'03_Helper'!AG119)</f>
        <v/>
      </c>
      <c r="W119">
        <f>IF('03_Helper'!A119="","",'03_Helper'!AK119)</f>
        <v/>
      </c>
      <c r="X119">
        <f>IF('03_Helper'!A119="","",'03_Helper'!K119)</f>
        <v/>
      </c>
      <c r="Y119">
        <f>IF('03_Helper'!A119="","",'03_Helper'!AN119)</f>
        <v/>
      </c>
    </row>
    <row r="120">
      <c r="A120">
        <f>IF('03_Helper'!A120="","",'03_Helper'!B120)</f>
        <v/>
      </c>
      <c r="B120">
        <f>IF('03_Helper'!A120="","",'03_Helper'!C120)</f>
        <v/>
      </c>
      <c r="C120">
        <f>IF('03_Helper'!A120="","",'03_Helper'!G120)</f>
        <v/>
      </c>
      <c r="D120">
        <f>IF('03_Helper'!A120="","",'03_Helper'!E120)</f>
        <v/>
      </c>
      <c r="E120">
        <f>IF('03_Helper'!A120="","",'03_Helper'!D120)</f>
        <v/>
      </c>
      <c r="F120">
        <f>IF('03_Helper'!A120="","",'03_Helper'!H120)</f>
        <v/>
      </c>
      <c r="G120">
        <f>IF('03_Helper'!A120="","",'03_Helper'!X120)</f>
        <v/>
      </c>
      <c r="H120">
        <f>IF('03_Helper'!A120="","",'03_Helper'!Y120)</f>
        <v/>
      </c>
      <c r="I120">
        <f>IF('03_Helper'!A120="","",'03_Helper'!Z120)</f>
        <v/>
      </c>
      <c r="J120">
        <f>IF('03_Helper'!A120="","",'03_Helper'!Q120)</f>
        <v/>
      </c>
      <c r="K120">
        <f>IF('03_Helper'!A120="","",'03_Helper'!R120)</f>
        <v/>
      </c>
      <c r="L120">
        <f>IF('03_Helper'!A120="","",'03_Helper'!S120)</f>
        <v/>
      </c>
      <c r="M120">
        <f>IF('03_Helper'!A120="","",'03_Helper'!T120)</f>
        <v/>
      </c>
      <c r="N120">
        <f>IF('03_Helper'!A120="","",'03_Helper'!AA120)</f>
        <v/>
      </c>
      <c r="O120">
        <f>IF('03_Helper'!A120="","",'03_Helper'!AB120)</f>
        <v/>
      </c>
      <c r="P120">
        <f>IF('03_Helper'!A120="","",'03_Helper'!AC120)</f>
        <v/>
      </c>
      <c r="Q120">
        <f>IF('03_Helper'!A120="","",'03_Helper'!AD120)</f>
        <v/>
      </c>
      <c r="R120">
        <f>IF('03_Helper'!A120="","",'03_Helper'!AI120)</f>
        <v/>
      </c>
      <c r="S120">
        <f>IF('03_Helper'!A120="","",'03_Helper'!AJ120)</f>
        <v/>
      </c>
      <c r="T120">
        <f>IF('03_Helper'!A120="","",'03_Helper'!U120)</f>
        <v/>
      </c>
      <c r="U120">
        <f>IF('03_Helper'!A120="","",'03_Helper'!W120)</f>
        <v/>
      </c>
      <c r="V120">
        <f>IF('03_Helper'!A120="","",'03_Helper'!AG120)</f>
        <v/>
      </c>
      <c r="W120">
        <f>IF('03_Helper'!A120="","",'03_Helper'!AK120)</f>
        <v/>
      </c>
      <c r="X120">
        <f>IF('03_Helper'!A120="","",'03_Helper'!K120)</f>
        <v/>
      </c>
      <c r="Y120">
        <f>IF('03_Helper'!A120="","",'03_Helper'!AN120)</f>
        <v/>
      </c>
    </row>
    <row r="121">
      <c r="A121">
        <f>IF('03_Helper'!A121="","",'03_Helper'!B121)</f>
        <v/>
      </c>
      <c r="B121">
        <f>IF('03_Helper'!A121="","",'03_Helper'!C121)</f>
        <v/>
      </c>
      <c r="C121">
        <f>IF('03_Helper'!A121="","",'03_Helper'!G121)</f>
        <v/>
      </c>
      <c r="D121">
        <f>IF('03_Helper'!A121="","",'03_Helper'!E121)</f>
        <v/>
      </c>
      <c r="E121">
        <f>IF('03_Helper'!A121="","",'03_Helper'!D121)</f>
        <v/>
      </c>
      <c r="F121">
        <f>IF('03_Helper'!A121="","",'03_Helper'!H121)</f>
        <v/>
      </c>
      <c r="G121">
        <f>IF('03_Helper'!A121="","",'03_Helper'!X121)</f>
        <v/>
      </c>
      <c r="H121">
        <f>IF('03_Helper'!A121="","",'03_Helper'!Y121)</f>
        <v/>
      </c>
      <c r="I121">
        <f>IF('03_Helper'!A121="","",'03_Helper'!Z121)</f>
        <v/>
      </c>
      <c r="J121">
        <f>IF('03_Helper'!A121="","",'03_Helper'!Q121)</f>
        <v/>
      </c>
      <c r="K121">
        <f>IF('03_Helper'!A121="","",'03_Helper'!R121)</f>
        <v/>
      </c>
      <c r="L121">
        <f>IF('03_Helper'!A121="","",'03_Helper'!S121)</f>
        <v/>
      </c>
      <c r="M121">
        <f>IF('03_Helper'!A121="","",'03_Helper'!T121)</f>
        <v/>
      </c>
      <c r="N121">
        <f>IF('03_Helper'!A121="","",'03_Helper'!AA121)</f>
        <v/>
      </c>
      <c r="O121">
        <f>IF('03_Helper'!A121="","",'03_Helper'!AB121)</f>
        <v/>
      </c>
      <c r="P121">
        <f>IF('03_Helper'!A121="","",'03_Helper'!AC121)</f>
        <v/>
      </c>
      <c r="Q121">
        <f>IF('03_Helper'!A121="","",'03_Helper'!AD121)</f>
        <v/>
      </c>
      <c r="R121">
        <f>IF('03_Helper'!A121="","",'03_Helper'!AI121)</f>
        <v/>
      </c>
      <c r="S121">
        <f>IF('03_Helper'!A121="","",'03_Helper'!AJ121)</f>
        <v/>
      </c>
      <c r="T121">
        <f>IF('03_Helper'!A121="","",'03_Helper'!U121)</f>
        <v/>
      </c>
      <c r="U121">
        <f>IF('03_Helper'!A121="","",'03_Helper'!W121)</f>
        <v/>
      </c>
      <c r="V121">
        <f>IF('03_Helper'!A121="","",'03_Helper'!AG121)</f>
        <v/>
      </c>
      <c r="W121">
        <f>IF('03_Helper'!A121="","",'03_Helper'!AK121)</f>
        <v/>
      </c>
      <c r="X121">
        <f>IF('03_Helper'!A121="","",'03_Helper'!K121)</f>
        <v/>
      </c>
      <c r="Y121">
        <f>IF('03_Helper'!A121="","",'03_Helper'!AN121)</f>
        <v/>
      </c>
    </row>
    <row r="122">
      <c r="A122">
        <f>IF('03_Helper'!A122="","",'03_Helper'!B122)</f>
        <v/>
      </c>
      <c r="B122">
        <f>IF('03_Helper'!A122="","",'03_Helper'!C122)</f>
        <v/>
      </c>
      <c r="C122">
        <f>IF('03_Helper'!A122="","",'03_Helper'!G122)</f>
        <v/>
      </c>
      <c r="D122">
        <f>IF('03_Helper'!A122="","",'03_Helper'!E122)</f>
        <v/>
      </c>
      <c r="E122">
        <f>IF('03_Helper'!A122="","",'03_Helper'!D122)</f>
        <v/>
      </c>
      <c r="F122">
        <f>IF('03_Helper'!A122="","",'03_Helper'!H122)</f>
        <v/>
      </c>
      <c r="G122">
        <f>IF('03_Helper'!A122="","",'03_Helper'!X122)</f>
        <v/>
      </c>
      <c r="H122">
        <f>IF('03_Helper'!A122="","",'03_Helper'!Y122)</f>
        <v/>
      </c>
      <c r="I122">
        <f>IF('03_Helper'!A122="","",'03_Helper'!Z122)</f>
        <v/>
      </c>
      <c r="J122">
        <f>IF('03_Helper'!A122="","",'03_Helper'!Q122)</f>
        <v/>
      </c>
      <c r="K122">
        <f>IF('03_Helper'!A122="","",'03_Helper'!R122)</f>
        <v/>
      </c>
      <c r="L122">
        <f>IF('03_Helper'!A122="","",'03_Helper'!S122)</f>
        <v/>
      </c>
      <c r="M122">
        <f>IF('03_Helper'!A122="","",'03_Helper'!T122)</f>
        <v/>
      </c>
      <c r="N122">
        <f>IF('03_Helper'!A122="","",'03_Helper'!AA122)</f>
        <v/>
      </c>
      <c r="O122">
        <f>IF('03_Helper'!A122="","",'03_Helper'!AB122)</f>
        <v/>
      </c>
      <c r="P122">
        <f>IF('03_Helper'!A122="","",'03_Helper'!AC122)</f>
        <v/>
      </c>
      <c r="Q122">
        <f>IF('03_Helper'!A122="","",'03_Helper'!AD122)</f>
        <v/>
      </c>
      <c r="R122">
        <f>IF('03_Helper'!A122="","",'03_Helper'!AI122)</f>
        <v/>
      </c>
      <c r="S122">
        <f>IF('03_Helper'!A122="","",'03_Helper'!AJ122)</f>
        <v/>
      </c>
      <c r="T122">
        <f>IF('03_Helper'!A122="","",'03_Helper'!U122)</f>
        <v/>
      </c>
      <c r="U122">
        <f>IF('03_Helper'!A122="","",'03_Helper'!W122)</f>
        <v/>
      </c>
      <c r="V122">
        <f>IF('03_Helper'!A122="","",'03_Helper'!AG122)</f>
        <v/>
      </c>
      <c r="W122">
        <f>IF('03_Helper'!A122="","",'03_Helper'!AK122)</f>
        <v/>
      </c>
      <c r="X122">
        <f>IF('03_Helper'!A122="","",'03_Helper'!K122)</f>
        <v/>
      </c>
      <c r="Y122">
        <f>IF('03_Helper'!A122="","",'03_Helper'!AN122)</f>
        <v/>
      </c>
    </row>
    <row r="123">
      <c r="A123">
        <f>IF('03_Helper'!A123="","",'03_Helper'!B123)</f>
        <v/>
      </c>
      <c r="B123">
        <f>IF('03_Helper'!A123="","",'03_Helper'!C123)</f>
        <v/>
      </c>
      <c r="C123">
        <f>IF('03_Helper'!A123="","",'03_Helper'!G123)</f>
        <v/>
      </c>
      <c r="D123">
        <f>IF('03_Helper'!A123="","",'03_Helper'!E123)</f>
        <v/>
      </c>
      <c r="E123">
        <f>IF('03_Helper'!A123="","",'03_Helper'!D123)</f>
        <v/>
      </c>
      <c r="F123">
        <f>IF('03_Helper'!A123="","",'03_Helper'!H123)</f>
        <v/>
      </c>
      <c r="G123">
        <f>IF('03_Helper'!A123="","",'03_Helper'!X123)</f>
        <v/>
      </c>
      <c r="H123">
        <f>IF('03_Helper'!A123="","",'03_Helper'!Y123)</f>
        <v/>
      </c>
      <c r="I123">
        <f>IF('03_Helper'!A123="","",'03_Helper'!Z123)</f>
        <v/>
      </c>
      <c r="J123">
        <f>IF('03_Helper'!A123="","",'03_Helper'!Q123)</f>
        <v/>
      </c>
      <c r="K123">
        <f>IF('03_Helper'!A123="","",'03_Helper'!R123)</f>
        <v/>
      </c>
      <c r="L123">
        <f>IF('03_Helper'!A123="","",'03_Helper'!S123)</f>
        <v/>
      </c>
      <c r="M123">
        <f>IF('03_Helper'!A123="","",'03_Helper'!T123)</f>
        <v/>
      </c>
      <c r="N123">
        <f>IF('03_Helper'!A123="","",'03_Helper'!AA123)</f>
        <v/>
      </c>
      <c r="O123">
        <f>IF('03_Helper'!A123="","",'03_Helper'!AB123)</f>
        <v/>
      </c>
      <c r="P123">
        <f>IF('03_Helper'!A123="","",'03_Helper'!AC123)</f>
        <v/>
      </c>
      <c r="Q123">
        <f>IF('03_Helper'!A123="","",'03_Helper'!AD123)</f>
        <v/>
      </c>
      <c r="R123">
        <f>IF('03_Helper'!A123="","",'03_Helper'!AI123)</f>
        <v/>
      </c>
      <c r="S123">
        <f>IF('03_Helper'!A123="","",'03_Helper'!AJ123)</f>
        <v/>
      </c>
      <c r="T123">
        <f>IF('03_Helper'!A123="","",'03_Helper'!U123)</f>
        <v/>
      </c>
      <c r="U123">
        <f>IF('03_Helper'!A123="","",'03_Helper'!W123)</f>
        <v/>
      </c>
      <c r="V123">
        <f>IF('03_Helper'!A123="","",'03_Helper'!AG123)</f>
        <v/>
      </c>
      <c r="W123">
        <f>IF('03_Helper'!A123="","",'03_Helper'!AK123)</f>
        <v/>
      </c>
      <c r="X123">
        <f>IF('03_Helper'!A123="","",'03_Helper'!K123)</f>
        <v/>
      </c>
      <c r="Y123">
        <f>IF('03_Helper'!A123="","",'03_Helper'!AN123)</f>
        <v/>
      </c>
    </row>
    <row r="124">
      <c r="A124">
        <f>IF('03_Helper'!A124="","",'03_Helper'!B124)</f>
        <v/>
      </c>
      <c r="B124">
        <f>IF('03_Helper'!A124="","",'03_Helper'!C124)</f>
        <v/>
      </c>
      <c r="C124">
        <f>IF('03_Helper'!A124="","",'03_Helper'!G124)</f>
        <v/>
      </c>
      <c r="D124">
        <f>IF('03_Helper'!A124="","",'03_Helper'!E124)</f>
        <v/>
      </c>
      <c r="E124">
        <f>IF('03_Helper'!A124="","",'03_Helper'!D124)</f>
        <v/>
      </c>
      <c r="F124">
        <f>IF('03_Helper'!A124="","",'03_Helper'!H124)</f>
        <v/>
      </c>
      <c r="G124">
        <f>IF('03_Helper'!A124="","",'03_Helper'!X124)</f>
        <v/>
      </c>
      <c r="H124">
        <f>IF('03_Helper'!A124="","",'03_Helper'!Y124)</f>
        <v/>
      </c>
      <c r="I124">
        <f>IF('03_Helper'!A124="","",'03_Helper'!Z124)</f>
        <v/>
      </c>
      <c r="J124">
        <f>IF('03_Helper'!A124="","",'03_Helper'!Q124)</f>
        <v/>
      </c>
      <c r="K124">
        <f>IF('03_Helper'!A124="","",'03_Helper'!R124)</f>
        <v/>
      </c>
      <c r="L124">
        <f>IF('03_Helper'!A124="","",'03_Helper'!S124)</f>
        <v/>
      </c>
      <c r="M124">
        <f>IF('03_Helper'!A124="","",'03_Helper'!T124)</f>
        <v/>
      </c>
      <c r="N124">
        <f>IF('03_Helper'!A124="","",'03_Helper'!AA124)</f>
        <v/>
      </c>
      <c r="O124">
        <f>IF('03_Helper'!A124="","",'03_Helper'!AB124)</f>
        <v/>
      </c>
      <c r="P124">
        <f>IF('03_Helper'!A124="","",'03_Helper'!AC124)</f>
        <v/>
      </c>
      <c r="Q124">
        <f>IF('03_Helper'!A124="","",'03_Helper'!AD124)</f>
        <v/>
      </c>
      <c r="R124">
        <f>IF('03_Helper'!A124="","",'03_Helper'!AI124)</f>
        <v/>
      </c>
      <c r="S124">
        <f>IF('03_Helper'!A124="","",'03_Helper'!AJ124)</f>
        <v/>
      </c>
      <c r="T124">
        <f>IF('03_Helper'!A124="","",'03_Helper'!U124)</f>
        <v/>
      </c>
      <c r="U124">
        <f>IF('03_Helper'!A124="","",'03_Helper'!W124)</f>
        <v/>
      </c>
      <c r="V124">
        <f>IF('03_Helper'!A124="","",'03_Helper'!AG124)</f>
        <v/>
      </c>
      <c r="W124">
        <f>IF('03_Helper'!A124="","",'03_Helper'!AK124)</f>
        <v/>
      </c>
      <c r="X124">
        <f>IF('03_Helper'!A124="","",'03_Helper'!K124)</f>
        <v/>
      </c>
      <c r="Y124">
        <f>IF('03_Helper'!A124="","",'03_Helper'!AN124)</f>
        <v/>
      </c>
    </row>
    <row r="125">
      <c r="A125">
        <f>IF('03_Helper'!A125="","",'03_Helper'!B125)</f>
        <v/>
      </c>
      <c r="B125">
        <f>IF('03_Helper'!A125="","",'03_Helper'!C125)</f>
        <v/>
      </c>
      <c r="C125">
        <f>IF('03_Helper'!A125="","",'03_Helper'!G125)</f>
        <v/>
      </c>
      <c r="D125">
        <f>IF('03_Helper'!A125="","",'03_Helper'!E125)</f>
        <v/>
      </c>
      <c r="E125">
        <f>IF('03_Helper'!A125="","",'03_Helper'!D125)</f>
        <v/>
      </c>
      <c r="F125">
        <f>IF('03_Helper'!A125="","",'03_Helper'!H125)</f>
        <v/>
      </c>
      <c r="G125">
        <f>IF('03_Helper'!A125="","",'03_Helper'!X125)</f>
        <v/>
      </c>
      <c r="H125">
        <f>IF('03_Helper'!A125="","",'03_Helper'!Y125)</f>
        <v/>
      </c>
      <c r="I125">
        <f>IF('03_Helper'!A125="","",'03_Helper'!Z125)</f>
        <v/>
      </c>
      <c r="J125">
        <f>IF('03_Helper'!A125="","",'03_Helper'!Q125)</f>
        <v/>
      </c>
      <c r="K125">
        <f>IF('03_Helper'!A125="","",'03_Helper'!R125)</f>
        <v/>
      </c>
      <c r="L125">
        <f>IF('03_Helper'!A125="","",'03_Helper'!S125)</f>
        <v/>
      </c>
      <c r="M125">
        <f>IF('03_Helper'!A125="","",'03_Helper'!T125)</f>
        <v/>
      </c>
      <c r="N125">
        <f>IF('03_Helper'!A125="","",'03_Helper'!AA125)</f>
        <v/>
      </c>
      <c r="O125">
        <f>IF('03_Helper'!A125="","",'03_Helper'!AB125)</f>
        <v/>
      </c>
      <c r="P125">
        <f>IF('03_Helper'!A125="","",'03_Helper'!AC125)</f>
        <v/>
      </c>
      <c r="Q125">
        <f>IF('03_Helper'!A125="","",'03_Helper'!AD125)</f>
        <v/>
      </c>
      <c r="R125">
        <f>IF('03_Helper'!A125="","",'03_Helper'!AI125)</f>
        <v/>
      </c>
      <c r="S125">
        <f>IF('03_Helper'!A125="","",'03_Helper'!AJ125)</f>
        <v/>
      </c>
      <c r="T125">
        <f>IF('03_Helper'!A125="","",'03_Helper'!U125)</f>
        <v/>
      </c>
      <c r="U125">
        <f>IF('03_Helper'!A125="","",'03_Helper'!W125)</f>
        <v/>
      </c>
      <c r="V125">
        <f>IF('03_Helper'!A125="","",'03_Helper'!AG125)</f>
        <v/>
      </c>
      <c r="W125">
        <f>IF('03_Helper'!A125="","",'03_Helper'!AK125)</f>
        <v/>
      </c>
      <c r="X125">
        <f>IF('03_Helper'!A125="","",'03_Helper'!K125)</f>
        <v/>
      </c>
      <c r="Y125">
        <f>IF('03_Helper'!A125="","",'03_Helper'!AN125)</f>
        <v/>
      </c>
    </row>
    <row r="126">
      <c r="A126">
        <f>IF('03_Helper'!A126="","",'03_Helper'!B126)</f>
        <v/>
      </c>
      <c r="B126">
        <f>IF('03_Helper'!A126="","",'03_Helper'!C126)</f>
        <v/>
      </c>
      <c r="C126">
        <f>IF('03_Helper'!A126="","",'03_Helper'!G126)</f>
        <v/>
      </c>
      <c r="D126">
        <f>IF('03_Helper'!A126="","",'03_Helper'!E126)</f>
        <v/>
      </c>
      <c r="E126">
        <f>IF('03_Helper'!A126="","",'03_Helper'!D126)</f>
        <v/>
      </c>
      <c r="F126">
        <f>IF('03_Helper'!A126="","",'03_Helper'!H126)</f>
        <v/>
      </c>
      <c r="G126">
        <f>IF('03_Helper'!A126="","",'03_Helper'!X126)</f>
        <v/>
      </c>
      <c r="H126">
        <f>IF('03_Helper'!A126="","",'03_Helper'!Y126)</f>
        <v/>
      </c>
      <c r="I126">
        <f>IF('03_Helper'!A126="","",'03_Helper'!Z126)</f>
        <v/>
      </c>
      <c r="J126">
        <f>IF('03_Helper'!A126="","",'03_Helper'!Q126)</f>
        <v/>
      </c>
      <c r="K126">
        <f>IF('03_Helper'!A126="","",'03_Helper'!R126)</f>
        <v/>
      </c>
      <c r="L126">
        <f>IF('03_Helper'!A126="","",'03_Helper'!S126)</f>
        <v/>
      </c>
      <c r="M126">
        <f>IF('03_Helper'!A126="","",'03_Helper'!T126)</f>
        <v/>
      </c>
      <c r="N126">
        <f>IF('03_Helper'!A126="","",'03_Helper'!AA126)</f>
        <v/>
      </c>
      <c r="O126">
        <f>IF('03_Helper'!A126="","",'03_Helper'!AB126)</f>
        <v/>
      </c>
      <c r="P126">
        <f>IF('03_Helper'!A126="","",'03_Helper'!AC126)</f>
        <v/>
      </c>
      <c r="Q126">
        <f>IF('03_Helper'!A126="","",'03_Helper'!AD126)</f>
        <v/>
      </c>
      <c r="R126">
        <f>IF('03_Helper'!A126="","",'03_Helper'!AI126)</f>
        <v/>
      </c>
      <c r="S126">
        <f>IF('03_Helper'!A126="","",'03_Helper'!AJ126)</f>
        <v/>
      </c>
      <c r="T126">
        <f>IF('03_Helper'!A126="","",'03_Helper'!U126)</f>
        <v/>
      </c>
      <c r="U126">
        <f>IF('03_Helper'!A126="","",'03_Helper'!W126)</f>
        <v/>
      </c>
      <c r="V126">
        <f>IF('03_Helper'!A126="","",'03_Helper'!AG126)</f>
        <v/>
      </c>
      <c r="W126">
        <f>IF('03_Helper'!A126="","",'03_Helper'!AK126)</f>
        <v/>
      </c>
      <c r="X126">
        <f>IF('03_Helper'!A126="","",'03_Helper'!K126)</f>
        <v/>
      </c>
      <c r="Y126">
        <f>IF('03_Helper'!A126="","",'03_Helper'!AN126)</f>
        <v/>
      </c>
    </row>
    <row r="127">
      <c r="A127">
        <f>IF('03_Helper'!A127="","",'03_Helper'!B127)</f>
        <v/>
      </c>
      <c r="B127">
        <f>IF('03_Helper'!A127="","",'03_Helper'!C127)</f>
        <v/>
      </c>
      <c r="C127">
        <f>IF('03_Helper'!A127="","",'03_Helper'!G127)</f>
        <v/>
      </c>
      <c r="D127">
        <f>IF('03_Helper'!A127="","",'03_Helper'!E127)</f>
        <v/>
      </c>
      <c r="E127">
        <f>IF('03_Helper'!A127="","",'03_Helper'!D127)</f>
        <v/>
      </c>
      <c r="F127">
        <f>IF('03_Helper'!A127="","",'03_Helper'!H127)</f>
        <v/>
      </c>
      <c r="G127">
        <f>IF('03_Helper'!A127="","",'03_Helper'!X127)</f>
        <v/>
      </c>
      <c r="H127">
        <f>IF('03_Helper'!A127="","",'03_Helper'!Y127)</f>
        <v/>
      </c>
      <c r="I127">
        <f>IF('03_Helper'!A127="","",'03_Helper'!Z127)</f>
        <v/>
      </c>
      <c r="J127">
        <f>IF('03_Helper'!A127="","",'03_Helper'!Q127)</f>
        <v/>
      </c>
      <c r="K127">
        <f>IF('03_Helper'!A127="","",'03_Helper'!R127)</f>
        <v/>
      </c>
      <c r="L127">
        <f>IF('03_Helper'!A127="","",'03_Helper'!S127)</f>
        <v/>
      </c>
      <c r="M127">
        <f>IF('03_Helper'!A127="","",'03_Helper'!T127)</f>
        <v/>
      </c>
      <c r="N127">
        <f>IF('03_Helper'!A127="","",'03_Helper'!AA127)</f>
        <v/>
      </c>
      <c r="O127">
        <f>IF('03_Helper'!A127="","",'03_Helper'!AB127)</f>
        <v/>
      </c>
      <c r="P127">
        <f>IF('03_Helper'!A127="","",'03_Helper'!AC127)</f>
        <v/>
      </c>
      <c r="Q127">
        <f>IF('03_Helper'!A127="","",'03_Helper'!AD127)</f>
        <v/>
      </c>
      <c r="R127">
        <f>IF('03_Helper'!A127="","",'03_Helper'!AI127)</f>
        <v/>
      </c>
      <c r="S127">
        <f>IF('03_Helper'!A127="","",'03_Helper'!AJ127)</f>
        <v/>
      </c>
      <c r="T127">
        <f>IF('03_Helper'!A127="","",'03_Helper'!U127)</f>
        <v/>
      </c>
      <c r="U127">
        <f>IF('03_Helper'!A127="","",'03_Helper'!W127)</f>
        <v/>
      </c>
      <c r="V127">
        <f>IF('03_Helper'!A127="","",'03_Helper'!AG127)</f>
        <v/>
      </c>
      <c r="W127">
        <f>IF('03_Helper'!A127="","",'03_Helper'!AK127)</f>
        <v/>
      </c>
      <c r="X127">
        <f>IF('03_Helper'!A127="","",'03_Helper'!K127)</f>
        <v/>
      </c>
      <c r="Y127">
        <f>IF('03_Helper'!A127="","",'03_Helper'!AN127)</f>
        <v/>
      </c>
    </row>
    <row r="128">
      <c r="A128">
        <f>IF('03_Helper'!A128="","",'03_Helper'!B128)</f>
        <v/>
      </c>
      <c r="B128">
        <f>IF('03_Helper'!A128="","",'03_Helper'!C128)</f>
        <v/>
      </c>
      <c r="C128">
        <f>IF('03_Helper'!A128="","",'03_Helper'!G128)</f>
        <v/>
      </c>
      <c r="D128">
        <f>IF('03_Helper'!A128="","",'03_Helper'!E128)</f>
        <v/>
      </c>
      <c r="E128">
        <f>IF('03_Helper'!A128="","",'03_Helper'!D128)</f>
        <v/>
      </c>
      <c r="F128">
        <f>IF('03_Helper'!A128="","",'03_Helper'!H128)</f>
        <v/>
      </c>
      <c r="G128">
        <f>IF('03_Helper'!A128="","",'03_Helper'!X128)</f>
        <v/>
      </c>
      <c r="H128">
        <f>IF('03_Helper'!A128="","",'03_Helper'!Y128)</f>
        <v/>
      </c>
      <c r="I128">
        <f>IF('03_Helper'!A128="","",'03_Helper'!Z128)</f>
        <v/>
      </c>
      <c r="J128">
        <f>IF('03_Helper'!A128="","",'03_Helper'!Q128)</f>
        <v/>
      </c>
      <c r="K128">
        <f>IF('03_Helper'!A128="","",'03_Helper'!R128)</f>
        <v/>
      </c>
      <c r="L128">
        <f>IF('03_Helper'!A128="","",'03_Helper'!S128)</f>
        <v/>
      </c>
      <c r="M128">
        <f>IF('03_Helper'!A128="","",'03_Helper'!T128)</f>
        <v/>
      </c>
      <c r="N128">
        <f>IF('03_Helper'!A128="","",'03_Helper'!AA128)</f>
        <v/>
      </c>
      <c r="O128">
        <f>IF('03_Helper'!A128="","",'03_Helper'!AB128)</f>
        <v/>
      </c>
      <c r="P128">
        <f>IF('03_Helper'!A128="","",'03_Helper'!AC128)</f>
        <v/>
      </c>
      <c r="Q128">
        <f>IF('03_Helper'!A128="","",'03_Helper'!AD128)</f>
        <v/>
      </c>
      <c r="R128">
        <f>IF('03_Helper'!A128="","",'03_Helper'!AI128)</f>
        <v/>
      </c>
      <c r="S128">
        <f>IF('03_Helper'!A128="","",'03_Helper'!AJ128)</f>
        <v/>
      </c>
      <c r="T128">
        <f>IF('03_Helper'!A128="","",'03_Helper'!U128)</f>
        <v/>
      </c>
      <c r="U128">
        <f>IF('03_Helper'!A128="","",'03_Helper'!W128)</f>
        <v/>
      </c>
      <c r="V128">
        <f>IF('03_Helper'!A128="","",'03_Helper'!AG128)</f>
        <v/>
      </c>
      <c r="W128">
        <f>IF('03_Helper'!A128="","",'03_Helper'!AK128)</f>
        <v/>
      </c>
      <c r="X128">
        <f>IF('03_Helper'!A128="","",'03_Helper'!K128)</f>
        <v/>
      </c>
      <c r="Y128">
        <f>IF('03_Helper'!A128="","",'03_Helper'!AN128)</f>
        <v/>
      </c>
    </row>
    <row r="129">
      <c r="A129">
        <f>IF('03_Helper'!A129="","",'03_Helper'!B129)</f>
        <v/>
      </c>
      <c r="B129">
        <f>IF('03_Helper'!A129="","",'03_Helper'!C129)</f>
        <v/>
      </c>
      <c r="C129">
        <f>IF('03_Helper'!A129="","",'03_Helper'!G129)</f>
        <v/>
      </c>
      <c r="D129">
        <f>IF('03_Helper'!A129="","",'03_Helper'!E129)</f>
        <v/>
      </c>
      <c r="E129">
        <f>IF('03_Helper'!A129="","",'03_Helper'!D129)</f>
        <v/>
      </c>
      <c r="F129">
        <f>IF('03_Helper'!A129="","",'03_Helper'!H129)</f>
        <v/>
      </c>
      <c r="G129">
        <f>IF('03_Helper'!A129="","",'03_Helper'!X129)</f>
        <v/>
      </c>
      <c r="H129">
        <f>IF('03_Helper'!A129="","",'03_Helper'!Y129)</f>
        <v/>
      </c>
      <c r="I129">
        <f>IF('03_Helper'!A129="","",'03_Helper'!Z129)</f>
        <v/>
      </c>
      <c r="J129">
        <f>IF('03_Helper'!A129="","",'03_Helper'!Q129)</f>
        <v/>
      </c>
      <c r="K129">
        <f>IF('03_Helper'!A129="","",'03_Helper'!R129)</f>
        <v/>
      </c>
      <c r="L129">
        <f>IF('03_Helper'!A129="","",'03_Helper'!S129)</f>
        <v/>
      </c>
      <c r="M129">
        <f>IF('03_Helper'!A129="","",'03_Helper'!T129)</f>
        <v/>
      </c>
      <c r="N129">
        <f>IF('03_Helper'!A129="","",'03_Helper'!AA129)</f>
        <v/>
      </c>
      <c r="O129">
        <f>IF('03_Helper'!A129="","",'03_Helper'!AB129)</f>
        <v/>
      </c>
      <c r="P129">
        <f>IF('03_Helper'!A129="","",'03_Helper'!AC129)</f>
        <v/>
      </c>
      <c r="Q129">
        <f>IF('03_Helper'!A129="","",'03_Helper'!AD129)</f>
        <v/>
      </c>
      <c r="R129">
        <f>IF('03_Helper'!A129="","",'03_Helper'!AI129)</f>
        <v/>
      </c>
      <c r="S129">
        <f>IF('03_Helper'!A129="","",'03_Helper'!AJ129)</f>
        <v/>
      </c>
      <c r="T129">
        <f>IF('03_Helper'!A129="","",'03_Helper'!U129)</f>
        <v/>
      </c>
      <c r="U129">
        <f>IF('03_Helper'!A129="","",'03_Helper'!W129)</f>
        <v/>
      </c>
      <c r="V129">
        <f>IF('03_Helper'!A129="","",'03_Helper'!AG129)</f>
        <v/>
      </c>
      <c r="W129">
        <f>IF('03_Helper'!A129="","",'03_Helper'!AK129)</f>
        <v/>
      </c>
      <c r="X129">
        <f>IF('03_Helper'!A129="","",'03_Helper'!K129)</f>
        <v/>
      </c>
      <c r="Y129">
        <f>IF('03_Helper'!A129="","",'03_Helper'!AN129)</f>
        <v/>
      </c>
    </row>
    <row r="130">
      <c r="A130">
        <f>IF('03_Helper'!A130="","",'03_Helper'!B130)</f>
        <v/>
      </c>
      <c r="B130">
        <f>IF('03_Helper'!A130="","",'03_Helper'!C130)</f>
        <v/>
      </c>
      <c r="C130">
        <f>IF('03_Helper'!A130="","",'03_Helper'!G130)</f>
        <v/>
      </c>
      <c r="D130">
        <f>IF('03_Helper'!A130="","",'03_Helper'!E130)</f>
        <v/>
      </c>
      <c r="E130">
        <f>IF('03_Helper'!A130="","",'03_Helper'!D130)</f>
        <v/>
      </c>
      <c r="F130">
        <f>IF('03_Helper'!A130="","",'03_Helper'!H130)</f>
        <v/>
      </c>
      <c r="G130">
        <f>IF('03_Helper'!A130="","",'03_Helper'!X130)</f>
        <v/>
      </c>
      <c r="H130">
        <f>IF('03_Helper'!A130="","",'03_Helper'!Y130)</f>
        <v/>
      </c>
      <c r="I130">
        <f>IF('03_Helper'!A130="","",'03_Helper'!Z130)</f>
        <v/>
      </c>
      <c r="J130">
        <f>IF('03_Helper'!A130="","",'03_Helper'!Q130)</f>
        <v/>
      </c>
      <c r="K130">
        <f>IF('03_Helper'!A130="","",'03_Helper'!R130)</f>
        <v/>
      </c>
      <c r="L130">
        <f>IF('03_Helper'!A130="","",'03_Helper'!S130)</f>
        <v/>
      </c>
      <c r="M130">
        <f>IF('03_Helper'!A130="","",'03_Helper'!T130)</f>
        <v/>
      </c>
      <c r="N130">
        <f>IF('03_Helper'!A130="","",'03_Helper'!AA130)</f>
        <v/>
      </c>
      <c r="O130">
        <f>IF('03_Helper'!A130="","",'03_Helper'!AB130)</f>
        <v/>
      </c>
      <c r="P130">
        <f>IF('03_Helper'!A130="","",'03_Helper'!AC130)</f>
        <v/>
      </c>
      <c r="Q130">
        <f>IF('03_Helper'!A130="","",'03_Helper'!AD130)</f>
        <v/>
      </c>
      <c r="R130">
        <f>IF('03_Helper'!A130="","",'03_Helper'!AI130)</f>
        <v/>
      </c>
      <c r="S130">
        <f>IF('03_Helper'!A130="","",'03_Helper'!AJ130)</f>
        <v/>
      </c>
      <c r="T130">
        <f>IF('03_Helper'!A130="","",'03_Helper'!U130)</f>
        <v/>
      </c>
      <c r="U130">
        <f>IF('03_Helper'!A130="","",'03_Helper'!W130)</f>
        <v/>
      </c>
      <c r="V130">
        <f>IF('03_Helper'!A130="","",'03_Helper'!AG130)</f>
        <v/>
      </c>
      <c r="W130">
        <f>IF('03_Helper'!A130="","",'03_Helper'!AK130)</f>
        <v/>
      </c>
      <c r="X130">
        <f>IF('03_Helper'!A130="","",'03_Helper'!K130)</f>
        <v/>
      </c>
      <c r="Y130">
        <f>IF('03_Helper'!A130="","",'03_Helper'!AN130)</f>
        <v/>
      </c>
    </row>
    <row r="131">
      <c r="A131">
        <f>IF('03_Helper'!A131="","",'03_Helper'!B131)</f>
        <v/>
      </c>
      <c r="B131">
        <f>IF('03_Helper'!A131="","",'03_Helper'!C131)</f>
        <v/>
      </c>
      <c r="C131">
        <f>IF('03_Helper'!A131="","",'03_Helper'!G131)</f>
        <v/>
      </c>
      <c r="D131">
        <f>IF('03_Helper'!A131="","",'03_Helper'!E131)</f>
        <v/>
      </c>
      <c r="E131">
        <f>IF('03_Helper'!A131="","",'03_Helper'!D131)</f>
        <v/>
      </c>
      <c r="F131">
        <f>IF('03_Helper'!A131="","",'03_Helper'!H131)</f>
        <v/>
      </c>
      <c r="G131">
        <f>IF('03_Helper'!A131="","",'03_Helper'!X131)</f>
        <v/>
      </c>
      <c r="H131">
        <f>IF('03_Helper'!A131="","",'03_Helper'!Y131)</f>
        <v/>
      </c>
      <c r="I131">
        <f>IF('03_Helper'!A131="","",'03_Helper'!Z131)</f>
        <v/>
      </c>
      <c r="J131">
        <f>IF('03_Helper'!A131="","",'03_Helper'!Q131)</f>
        <v/>
      </c>
      <c r="K131">
        <f>IF('03_Helper'!A131="","",'03_Helper'!R131)</f>
        <v/>
      </c>
      <c r="L131">
        <f>IF('03_Helper'!A131="","",'03_Helper'!S131)</f>
        <v/>
      </c>
      <c r="M131">
        <f>IF('03_Helper'!A131="","",'03_Helper'!T131)</f>
        <v/>
      </c>
      <c r="N131">
        <f>IF('03_Helper'!A131="","",'03_Helper'!AA131)</f>
        <v/>
      </c>
      <c r="O131">
        <f>IF('03_Helper'!A131="","",'03_Helper'!AB131)</f>
        <v/>
      </c>
      <c r="P131">
        <f>IF('03_Helper'!A131="","",'03_Helper'!AC131)</f>
        <v/>
      </c>
      <c r="Q131">
        <f>IF('03_Helper'!A131="","",'03_Helper'!AD131)</f>
        <v/>
      </c>
      <c r="R131">
        <f>IF('03_Helper'!A131="","",'03_Helper'!AI131)</f>
        <v/>
      </c>
      <c r="S131">
        <f>IF('03_Helper'!A131="","",'03_Helper'!AJ131)</f>
        <v/>
      </c>
      <c r="T131">
        <f>IF('03_Helper'!A131="","",'03_Helper'!U131)</f>
        <v/>
      </c>
      <c r="U131">
        <f>IF('03_Helper'!A131="","",'03_Helper'!W131)</f>
        <v/>
      </c>
      <c r="V131">
        <f>IF('03_Helper'!A131="","",'03_Helper'!AG131)</f>
        <v/>
      </c>
      <c r="W131">
        <f>IF('03_Helper'!A131="","",'03_Helper'!AK131)</f>
        <v/>
      </c>
      <c r="X131">
        <f>IF('03_Helper'!A131="","",'03_Helper'!K131)</f>
        <v/>
      </c>
      <c r="Y131">
        <f>IF('03_Helper'!A131="","",'03_Helper'!AN131)</f>
        <v/>
      </c>
    </row>
    <row r="132">
      <c r="A132">
        <f>IF('03_Helper'!A132="","",'03_Helper'!B132)</f>
        <v/>
      </c>
      <c r="B132">
        <f>IF('03_Helper'!A132="","",'03_Helper'!C132)</f>
        <v/>
      </c>
      <c r="C132">
        <f>IF('03_Helper'!A132="","",'03_Helper'!G132)</f>
        <v/>
      </c>
      <c r="D132">
        <f>IF('03_Helper'!A132="","",'03_Helper'!E132)</f>
        <v/>
      </c>
      <c r="E132">
        <f>IF('03_Helper'!A132="","",'03_Helper'!D132)</f>
        <v/>
      </c>
      <c r="F132">
        <f>IF('03_Helper'!A132="","",'03_Helper'!H132)</f>
        <v/>
      </c>
      <c r="G132">
        <f>IF('03_Helper'!A132="","",'03_Helper'!X132)</f>
        <v/>
      </c>
      <c r="H132">
        <f>IF('03_Helper'!A132="","",'03_Helper'!Y132)</f>
        <v/>
      </c>
      <c r="I132">
        <f>IF('03_Helper'!A132="","",'03_Helper'!Z132)</f>
        <v/>
      </c>
      <c r="J132">
        <f>IF('03_Helper'!A132="","",'03_Helper'!Q132)</f>
        <v/>
      </c>
      <c r="K132">
        <f>IF('03_Helper'!A132="","",'03_Helper'!R132)</f>
        <v/>
      </c>
      <c r="L132">
        <f>IF('03_Helper'!A132="","",'03_Helper'!S132)</f>
        <v/>
      </c>
      <c r="M132">
        <f>IF('03_Helper'!A132="","",'03_Helper'!T132)</f>
        <v/>
      </c>
      <c r="N132">
        <f>IF('03_Helper'!A132="","",'03_Helper'!AA132)</f>
        <v/>
      </c>
      <c r="O132">
        <f>IF('03_Helper'!A132="","",'03_Helper'!AB132)</f>
        <v/>
      </c>
      <c r="P132">
        <f>IF('03_Helper'!A132="","",'03_Helper'!AC132)</f>
        <v/>
      </c>
      <c r="Q132">
        <f>IF('03_Helper'!A132="","",'03_Helper'!AD132)</f>
        <v/>
      </c>
      <c r="R132">
        <f>IF('03_Helper'!A132="","",'03_Helper'!AI132)</f>
        <v/>
      </c>
      <c r="S132">
        <f>IF('03_Helper'!A132="","",'03_Helper'!AJ132)</f>
        <v/>
      </c>
      <c r="T132">
        <f>IF('03_Helper'!A132="","",'03_Helper'!U132)</f>
        <v/>
      </c>
      <c r="U132">
        <f>IF('03_Helper'!A132="","",'03_Helper'!W132)</f>
        <v/>
      </c>
      <c r="V132">
        <f>IF('03_Helper'!A132="","",'03_Helper'!AG132)</f>
        <v/>
      </c>
      <c r="W132">
        <f>IF('03_Helper'!A132="","",'03_Helper'!AK132)</f>
        <v/>
      </c>
      <c r="X132">
        <f>IF('03_Helper'!A132="","",'03_Helper'!K132)</f>
        <v/>
      </c>
      <c r="Y132">
        <f>IF('03_Helper'!A132="","",'03_Helper'!AN132)</f>
        <v/>
      </c>
    </row>
    <row r="133">
      <c r="A133">
        <f>IF('03_Helper'!A133="","",'03_Helper'!B133)</f>
        <v/>
      </c>
      <c r="B133">
        <f>IF('03_Helper'!A133="","",'03_Helper'!C133)</f>
        <v/>
      </c>
      <c r="C133">
        <f>IF('03_Helper'!A133="","",'03_Helper'!G133)</f>
        <v/>
      </c>
      <c r="D133">
        <f>IF('03_Helper'!A133="","",'03_Helper'!E133)</f>
        <v/>
      </c>
      <c r="E133">
        <f>IF('03_Helper'!A133="","",'03_Helper'!D133)</f>
        <v/>
      </c>
      <c r="F133">
        <f>IF('03_Helper'!A133="","",'03_Helper'!H133)</f>
        <v/>
      </c>
      <c r="G133">
        <f>IF('03_Helper'!A133="","",'03_Helper'!X133)</f>
        <v/>
      </c>
      <c r="H133">
        <f>IF('03_Helper'!A133="","",'03_Helper'!Y133)</f>
        <v/>
      </c>
      <c r="I133">
        <f>IF('03_Helper'!A133="","",'03_Helper'!Z133)</f>
        <v/>
      </c>
      <c r="J133">
        <f>IF('03_Helper'!A133="","",'03_Helper'!Q133)</f>
        <v/>
      </c>
      <c r="K133">
        <f>IF('03_Helper'!A133="","",'03_Helper'!R133)</f>
        <v/>
      </c>
      <c r="L133">
        <f>IF('03_Helper'!A133="","",'03_Helper'!S133)</f>
        <v/>
      </c>
      <c r="M133">
        <f>IF('03_Helper'!A133="","",'03_Helper'!T133)</f>
        <v/>
      </c>
      <c r="N133">
        <f>IF('03_Helper'!A133="","",'03_Helper'!AA133)</f>
        <v/>
      </c>
      <c r="O133">
        <f>IF('03_Helper'!A133="","",'03_Helper'!AB133)</f>
        <v/>
      </c>
      <c r="P133">
        <f>IF('03_Helper'!A133="","",'03_Helper'!AC133)</f>
        <v/>
      </c>
      <c r="Q133">
        <f>IF('03_Helper'!A133="","",'03_Helper'!AD133)</f>
        <v/>
      </c>
      <c r="R133">
        <f>IF('03_Helper'!A133="","",'03_Helper'!AI133)</f>
        <v/>
      </c>
      <c r="S133">
        <f>IF('03_Helper'!A133="","",'03_Helper'!AJ133)</f>
        <v/>
      </c>
      <c r="T133">
        <f>IF('03_Helper'!A133="","",'03_Helper'!U133)</f>
        <v/>
      </c>
      <c r="U133">
        <f>IF('03_Helper'!A133="","",'03_Helper'!W133)</f>
        <v/>
      </c>
      <c r="V133">
        <f>IF('03_Helper'!A133="","",'03_Helper'!AG133)</f>
        <v/>
      </c>
      <c r="W133">
        <f>IF('03_Helper'!A133="","",'03_Helper'!AK133)</f>
        <v/>
      </c>
      <c r="X133">
        <f>IF('03_Helper'!A133="","",'03_Helper'!K133)</f>
        <v/>
      </c>
      <c r="Y133">
        <f>IF('03_Helper'!A133="","",'03_Helper'!AN133)</f>
        <v/>
      </c>
    </row>
    <row r="134">
      <c r="A134">
        <f>IF('03_Helper'!A134="","",'03_Helper'!B134)</f>
        <v/>
      </c>
      <c r="B134">
        <f>IF('03_Helper'!A134="","",'03_Helper'!C134)</f>
        <v/>
      </c>
      <c r="C134">
        <f>IF('03_Helper'!A134="","",'03_Helper'!G134)</f>
        <v/>
      </c>
      <c r="D134">
        <f>IF('03_Helper'!A134="","",'03_Helper'!E134)</f>
        <v/>
      </c>
      <c r="E134">
        <f>IF('03_Helper'!A134="","",'03_Helper'!D134)</f>
        <v/>
      </c>
      <c r="F134">
        <f>IF('03_Helper'!A134="","",'03_Helper'!H134)</f>
        <v/>
      </c>
      <c r="G134">
        <f>IF('03_Helper'!A134="","",'03_Helper'!X134)</f>
        <v/>
      </c>
      <c r="H134">
        <f>IF('03_Helper'!A134="","",'03_Helper'!Y134)</f>
        <v/>
      </c>
      <c r="I134">
        <f>IF('03_Helper'!A134="","",'03_Helper'!Z134)</f>
        <v/>
      </c>
      <c r="J134">
        <f>IF('03_Helper'!A134="","",'03_Helper'!Q134)</f>
        <v/>
      </c>
      <c r="K134">
        <f>IF('03_Helper'!A134="","",'03_Helper'!R134)</f>
        <v/>
      </c>
      <c r="L134">
        <f>IF('03_Helper'!A134="","",'03_Helper'!S134)</f>
        <v/>
      </c>
      <c r="M134">
        <f>IF('03_Helper'!A134="","",'03_Helper'!T134)</f>
        <v/>
      </c>
      <c r="N134">
        <f>IF('03_Helper'!A134="","",'03_Helper'!AA134)</f>
        <v/>
      </c>
      <c r="O134">
        <f>IF('03_Helper'!A134="","",'03_Helper'!AB134)</f>
        <v/>
      </c>
      <c r="P134">
        <f>IF('03_Helper'!A134="","",'03_Helper'!AC134)</f>
        <v/>
      </c>
      <c r="Q134">
        <f>IF('03_Helper'!A134="","",'03_Helper'!AD134)</f>
        <v/>
      </c>
      <c r="R134">
        <f>IF('03_Helper'!A134="","",'03_Helper'!AI134)</f>
        <v/>
      </c>
      <c r="S134">
        <f>IF('03_Helper'!A134="","",'03_Helper'!AJ134)</f>
        <v/>
      </c>
      <c r="T134">
        <f>IF('03_Helper'!A134="","",'03_Helper'!U134)</f>
        <v/>
      </c>
      <c r="U134">
        <f>IF('03_Helper'!A134="","",'03_Helper'!W134)</f>
        <v/>
      </c>
      <c r="V134">
        <f>IF('03_Helper'!A134="","",'03_Helper'!AG134)</f>
        <v/>
      </c>
      <c r="W134">
        <f>IF('03_Helper'!A134="","",'03_Helper'!AK134)</f>
        <v/>
      </c>
      <c r="X134">
        <f>IF('03_Helper'!A134="","",'03_Helper'!K134)</f>
        <v/>
      </c>
      <c r="Y134">
        <f>IF('03_Helper'!A134="","",'03_Helper'!AN134)</f>
        <v/>
      </c>
    </row>
    <row r="135">
      <c r="A135">
        <f>IF('03_Helper'!A135="","",'03_Helper'!B135)</f>
        <v/>
      </c>
      <c r="B135">
        <f>IF('03_Helper'!A135="","",'03_Helper'!C135)</f>
        <v/>
      </c>
      <c r="C135">
        <f>IF('03_Helper'!A135="","",'03_Helper'!G135)</f>
        <v/>
      </c>
      <c r="D135">
        <f>IF('03_Helper'!A135="","",'03_Helper'!E135)</f>
        <v/>
      </c>
      <c r="E135">
        <f>IF('03_Helper'!A135="","",'03_Helper'!D135)</f>
        <v/>
      </c>
      <c r="F135">
        <f>IF('03_Helper'!A135="","",'03_Helper'!H135)</f>
        <v/>
      </c>
      <c r="G135">
        <f>IF('03_Helper'!A135="","",'03_Helper'!X135)</f>
        <v/>
      </c>
      <c r="H135">
        <f>IF('03_Helper'!A135="","",'03_Helper'!Y135)</f>
        <v/>
      </c>
      <c r="I135">
        <f>IF('03_Helper'!A135="","",'03_Helper'!Z135)</f>
        <v/>
      </c>
      <c r="J135">
        <f>IF('03_Helper'!A135="","",'03_Helper'!Q135)</f>
        <v/>
      </c>
      <c r="K135">
        <f>IF('03_Helper'!A135="","",'03_Helper'!R135)</f>
        <v/>
      </c>
      <c r="L135">
        <f>IF('03_Helper'!A135="","",'03_Helper'!S135)</f>
        <v/>
      </c>
      <c r="M135">
        <f>IF('03_Helper'!A135="","",'03_Helper'!T135)</f>
        <v/>
      </c>
      <c r="N135">
        <f>IF('03_Helper'!A135="","",'03_Helper'!AA135)</f>
        <v/>
      </c>
      <c r="O135">
        <f>IF('03_Helper'!A135="","",'03_Helper'!AB135)</f>
        <v/>
      </c>
      <c r="P135">
        <f>IF('03_Helper'!A135="","",'03_Helper'!AC135)</f>
        <v/>
      </c>
      <c r="Q135">
        <f>IF('03_Helper'!A135="","",'03_Helper'!AD135)</f>
        <v/>
      </c>
      <c r="R135">
        <f>IF('03_Helper'!A135="","",'03_Helper'!AI135)</f>
        <v/>
      </c>
      <c r="S135">
        <f>IF('03_Helper'!A135="","",'03_Helper'!AJ135)</f>
        <v/>
      </c>
      <c r="T135">
        <f>IF('03_Helper'!A135="","",'03_Helper'!U135)</f>
        <v/>
      </c>
      <c r="U135">
        <f>IF('03_Helper'!A135="","",'03_Helper'!W135)</f>
        <v/>
      </c>
      <c r="V135">
        <f>IF('03_Helper'!A135="","",'03_Helper'!AG135)</f>
        <v/>
      </c>
      <c r="W135">
        <f>IF('03_Helper'!A135="","",'03_Helper'!AK135)</f>
        <v/>
      </c>
      <c r="X135">
        <f>IF('03_Helper'!A135="","",'03_Helper'!K135)</f>
        <v/>
      </c>
      <c r="Y135">
        <f>IF('03_Helper'!A135="","",'03_Helper'!AN135)</f>
        <v/>
      </c>
    </row>
    <row r="136">
      <c r="A136">
        <f>IF('03_Helper'!A136="","",'03_Helper'!B136)</f>
        <v/>
      </c>
      <c r="B136">
        <f>IF('03_Helper'!A136="","",'03_Helper'!C136)</f>
        <v/>
      </c>
      <c r="C136">
        <f>IF('03_Helper'!A136="","",'03_Helper'!G136)</f>
        <v/>
      </c>
      <c r="D136">
        <f>IF('03_Helper'!A136="","",'03_Helper'!E136)</f>
        <v/>
      </c>
      <c r="E136">
        <f>IF('03_Helper'!A136="","",'03_Helper'!D136)</f>
        <v/>
      </c>
      <c r="F136">
        <f>IF('03_Helper'!A136="","",'03_Helper'!H136)</f>
        <v/>
      </c>
      <c r="G136">
        <f>IF('03_Helper'!A136="","",'03_Helper'!X136)</f>
        <v/>
      </c>
      <c r="H136">
        <f>IF('03_Helper'!A136="","",'03_Helper'!Y136)</f>
        <v/>
      </c>
      <c r="I136">
        <f>IF('03_Helper'!A136="","",'03_Helper'!Z136)</f>
        <v/>
      </c>
      <c r="J136">
        <f>IF('03_Helper'!A136="","",'03_Helper'!Q136)</f>
        <v/>
      </c>
      <c r="K136">
        <f>IF('03_Helper'!A136="","",'03_Helper'!R136)</f>
        <v/>
      </c>
      <c r="L136">
        <f>IF('03_Helper'!A136="","",'03_Helper'!S136)</f>
        <v/>
      </c>
      <c r="M136">
        <f>IF('03_Helper'!A136="","",'03_Helper'!T136)</f>
        <v/>
      </c>
      <c r="N136">
        <f>IF('03_Helper'!A136="","",'03_Helper'!AA136)</f>
        <v/>
      </c>
      <c r="O136">
        <f>IF('03_Helper'!A136="","",'03_Helper'!AB136)</f>
        <v/>
      </c>
      <c r="P136">
        <f>IF('03_Helper'!A136="","",'03_Helper'!AC136)</f>
        <v/>
      </c>
      <c r="Q136">
        <f>IF('03_Helper'!A136="","",'03_Helper'!AD136)</f>
        <v/>
      </c>
      <c r="R136">
        <f>IF('03_Helper'!A136="","",'03_Helper'!AI136)</f>
        <v/>
      </c>
      <c r="S136">
        <f>IF('03_Helper'!A136="","",'03_Helper'!AJ136)</f>
        <v/>
      </c>
      <c r="T136">
        <f>IF('03_Helper'!A136="","",'03_Helper'!U136)</f>
        <v/>
      </c>
      <c r="U136">
        <f>IF('03_Helper'!A136="","",'03_Helper'!W136)</f>
        <v/>
      </c>
      <c r="V136">
        <f>IF('03_Helper'!A136="","",'03_Helper'!AG136)</f>
        <v/>
      </c>
      <c r="W136">
        <f>IF('03_Helper'!A136="","",'03_Helper'!AK136)</f>
        <v/>
      </c>
      <c r="X136">
        <f>IF('03_Helper'!A136="","",'03_Helper'!K136)</f>
        <v/>
      </c>
      <c r="Y136">
        <f>IF('03_Helper'!A136="","",'03_Helper'!AN136)</f>
        <v/>
      </c>
    </row>
    <row r="137">
      <c r="A137">
        <f>IF('03_Helper'!A137="","",'03_Helper'!B137)</f>
        <v/>
      </c>
      <c r="B137">
        <f>IF('03_Helper'!A137="","",'03_Helper'!C137)</f>
        <v/>
      </c>
      <c r="C137">
        <f>IF('03_Helper'!A137="","",'03_Helper'!G137)</f>
        <v/>
      </c>
      <c r="D137">
        <f>IF('03_Helper'!A137="","",'03_Helper'!E137)</f>
        <v/>
      </c>
      <c r="E137">
        <f>IF('03_Helper'!A137="","",'03_Helper'!D137)</f>
        <v/>
      </c>
      <c r="F137">
        <f>IF('03_Helper'!A137="","",'03_Helper'!H137)</f>
        <v/>
      </c>
      <c r="G137">
        <f>IF('03_Helper'!A137="","",'03_Helper'!X137)</f>
        <v/>
      </c>
      <c r="H137">
        <f>IF('03_Helper'!A137="","",'03_Helper'!Y137)</f>
        <v/>
      </c>
      <c r="I137">
        <f>IF('03_Helper'!A137="","",'03_Helper'!Z137)</f>
        <v/>
      </c>
      <c r="J137">
        <f>IF('03_Helper'!A137="","",'03_Helper'!Q137)</f>
        <v/>
      </c>
      <c r="K137">
        <f>IF('03_Helper'!A137="","",'03_Helper'!R137)</f>
        <v/>
      </c>
      <c r="L137">
        <f>IF('03_Helper'!A137="","",'03_Helper'!S137)</f>
        <v/>
      </c>
      <c r="M137">
        <f>IF('03_Helper'!A137="","",'03_Helper'!T137)</f>
        <v/>
      </c>
      <c r="N137">
        <f>IF('03_Helper'!A137="","",'03_Helper'!AA137)</f>
        <v/>
      </c>
      <c r="O137">
        <f>IF('03_Helper'!A137="","",'03_Helper'!AB137)</f>
        <v/>
      </c>
      <c r="P137">
        <f>IF('03_Helper'!A137="","",'03_Helper'!AC137)</f>
        <v/>
      </c>
      <c r="Q137">
        <f>IF('03_Helper'!A137="","",'03_Helper'!AD137)</f>
        <v/>
      </c>
      <c r="R137">
        <f>IF('03_Helper'!A137="","",'03_Helper'!AI137)</f>
        <v/>
      </c>
      <c r="S137">
        <f>IF('03_Helper'!A137="","",'03_Helper'!AJ137)</f>
        <v/>
      </c>
      <c r="T137">
        <f>IF('03_Helper'!A137="","",'03_Helper'!U137)</f>
        <v/>
      </c>
      <c r="U137">
        <f>IF('03_Helper'!A137="","",'03_Helper'!W137)</f>
        <v/>
      </c>
      <c r="V137">
        <f>IF('03_Helper'!A137="","",'03_Helper'!AG137)</f>
        <v/>
      </c>
      <c r="W137">
        <f>IF('03_Helper'!A137="","",'03_Helper'!AK137)</f>
        <v/>
      </c>
      <c r="X137">
        <f>IF('03_Helper'!A137="","",'03_Helper'!K137)</f>
        <v/>
      </c>
      <c r="Y137">
        <f>IF('03_Helper'!A137="","",'03_Helper'!AN137)</f>
        <v/>
      </c>
    </row>
    <row r="138">
      <c r="A138">
        <f>IF('03_Helper'!A138="","",'03_Helper'!B138)</f>
        <v/>
      </c>
      <c r="B138">
        <f>IF('03_Helper'!A138="","",'03_Helper'!C138)</f>
        <v/>
      </c>
      <c r="C138">
        <f>IF('03_Helper'!A138="","",'03_Helper'!G138)</f>
        <v/>
      </c>
      <c r="D138">
        <f>IF('03_Helper'!A138="","",'03_Helper'!E138)</f>
        <v/>
      </c>
      <c r="E138">
        <f>IF('03_Helper'!A138="","",'03_Helper'!D138)</f>
        <v/>
      </c>
      <c r="F138">
        <f>IF('03_Helper'!A138="","",'03_Helper'!H138)</f>
        <v/>
      </c>
      <c r="G138">
        <f>IF('03_Helper'!A138="","",'03_Helper'!X138)</f>
        <v/>
      </c>
      <c r="H138">
        <f>IF('03_Helper'!A138="","",'03_Helper'!Y138)</f>
        <v/>
      </c>
      <c r="I138">
        <f>IF('03_Helper'!A138="","",'03_Helper'!Z138)</f>
        <v/>
      </c>
      <c r="J138">
        <f>IF('03_Helper'!A138="","",'03_Helper'!Q138)</f>
        <v/>
      </c>
      <c r="K138">
        <f>IF('03_Helper'!A138="","",'03_Helper'!R138)</f>
        <v/>
      </c>
      <c r="L138">
        <f>IF('03_Helper'!A138="","",'03_Helper'!S138)</f>
        <v/>
      </c>
      <c r="M138">
        <f>IF('03_Helper'!A138="","",'03_Helper'!T138)</f>
        <v/>
      </c>
      <c r="N138">
        <f>IF('03_Helper'!A138="","",'03_Helper'!AA138)</f>
        <v/>
      </c>
      <c r="O138">
        <f>IF('03_Helper'!A138="","",'03_Helper'!AB138)</f>
        <v/>
      </c>
      <c r="P138">
        <f>IF('03_Helper'!A138="","",'03_Helper'!AC138)</f>
        <v/>
      </c>
      <c r="Q138">
        <f>IF('03_Helper'!A138="","",'03_Helper'!AD138)</f>
        <v/>
      </c>
      <c r="R138">
        <f>IF('03_Helper'!A138="","",'03_Helper'!AI138)</f>
        <v/>
      </c>
      <c r="S138">
        <f>IF('03_Helper'!A138="","",'03_Helper'!AJ138)</f>
        <v/>
      </c>
      <c r="T138">
        <f>IF('03_Helper'!A138="","",'03_Helper'!U138)</f>
        <v/>
      </c>
      <c r="U138">
        <f>IF('03_Helper'!A138="","",'03_Helper'!W138)</f>
        <v/>
      </c>
      <c r="V138">
        <f>IF('03_Helper'!A138="","",'03_Helper'!AG138)</f>
        <v/>
      </c>
      <c r="W138">
        <f>IF('03_Helper'!A138="","",'03_Helper'!AK138)</f>
        <v/>
      </c>
      <c r="X138">
        <f>IF('03_Helper'!A138="","",'03_Helper'!K138)</f>
        <v/>
      </c>
      <c r="Y138">
        <f>IF('03_Helper'!A138="","",'03_Helper'!AN138)</f>
        <v/>
      </c>
    </row>
    <row r="139">
      <c r="A139">
        <f>IF('03_Helper'!A139="","",'03_Helper'!B139)</f>
        <v/>
      </c>
      <c r="B139">
        <f>IF('03_Helper'!A139="","",'03_Helper'!C139)</f>
        <v/>
      </c>
      <c r="C139">
        <f>IF('03_Helper'!A139="","",'03_Helper'!G139)</f>
        <v/>
      </c>
      <c r="D139">
        <f>IF('03_Helper'!A139="","",'03_Helper'!E139)</f>
        <v/>
      </c>
      <c r="E139">
        <f>IF('03_Helper'!A139="","",'03_Helper'!D139)</f>
        <v/>
      </c>
      <c r="F139">
        <f>IF('03_Helper'!A139="","",'03_Helper'!H139)</f>
        <v/>
      </c>
      <c r="G139">
        <f>IF('03_Helper'!A139="","",'03_Helper'!X139)</f>
        <v/>
      </c>
      <c r="H139">
        <f>IF('03_Helper'!A139="","",'03_Helper'!Y139)</f>
        <v/>
      </c>
      <c r="I139">
        <f>IF('03_Helper'!A139="","",'03_Helper'!Z139)</f>
        <v/>
      </c>
      <c r="J139">
        <f>IF('03_Helper'!A139="","",'03_Helper'!Q139)</f>
        <v/>
      </c>
      <c r="K139">
        <f>IF('03_Helper'!A139="","",'03_Helper'!R139)</f>
        <v/>
      </c>
      <c r="L139">
        <f>IF('03_Helper'!A139="","",'03_Helper'!S139)</f>
        <v/>
      </c>
      <c r="M139">
        <f>IF('03_Helper'!A139="","",'03_Helper'!T139)</f>
        <v/>
      </c>
      <c r="N139">
        <f>IF('03_Helper'!A139="","",'03_Helper'!AA139)</f>
        <v/>
      </c>
      <c r="O139">
        <f>IF('03_Helper'!A139="","",'03_Helper'!AB139)</f>
        <v/>
      </c>
      <c r="P139">
        <f>IF('03_Helper'!A139="","",'03_Helper'!AC139)</f>
        <v/>
      </c>
      <c r="Q139">
        <f>IF('03_Helper'!A139="","",'03_Helper'!AD139)</f>
        <v/>
      </c>
      <c r="R139">
        <f>IF('03_Helper'!A139="","",'03_Helper'!AI139)</f>
        <v/>
      </c>
      <c r="S139">
        <f>IF('03_Helper'!A139="","",'03_Helper'!AJ139)</f>
        <v/>
      </c>
      <c r="T139">
        <f>IF('03_Helper'!A139="","",'03_Helper'!U139)</f>
        <v/>
      </c>
      <c r="U139">
        <f>IF('03_Helper'!A139="","",'03_Helper'!W139)</f>
        <v/>
      </c>
      <c r="V139">
        <f>IF('03_Helper'!A139="","",'03_Helper'!AG139)</f>
        <v/>
      </c>
      <c r="W139">
        <f>IF('03_Helper'!A139="","",'03_Helper'!AK139)</f>
        <v/>
      </c>
      <c r="X139">
        <f>IF('03_Helper'!A139="","",'03_Helper'!K139)</f>
        <v/>
      </c>
      <c r="Y139">
        <f>IF('03_Helper'!A139="","",'03_Helper'!AN139)</f>
        <v/>
      </c>
    </row>
    <row r="140">
      <c r="A140">
        <f>IF('03_Helper'!A140="","",'03_Helper'!B140)</f>
        <v/>
      </c>
      <c r="B140">
        <f>IF('03_Helper'!A140="","",'03_Helper'!C140)</f>
        <v/>
      </c>
      <c r="C140">
        <f>IF('03_Helper'!A140="","",'03_Helper'!G140)</f>
        <v/>
      </c>
      <c r="D140">
        <f>IF('03_Helper'!A140="","",'03_Helper'!E140)</f>
        <v/>
      </c>
      <c r="E140">
        <f>IF('03_Helper'!A140="","",'03_Helper'!D140)</f>
        <v/>
      </c>
      <c r="F140">
        <f>IF('03_Helper'!A140="","",'03_Helper'!H140)</f>
        <v/>
      </c>
      <c r="G140">
        <f>IF('03_Helper'!A140="","",'03_Helper'!X140)</f>
        <v/>
      </c>
      <c r="H140">
        <f>IF('03_Helper'!A140="","",'03_Helper'!Y140)</f>
        <v/>
      </c>
      <c r="I140">
        <f>IF('03_Helper'!A140="","",'03_Helper'!Z140)</f>
        <v/>
      </c>
      <c r="J140">
        <f>IF('03_Helper'!A140="","",'03_Helper'!Q140)</f>
        <v/>
      </c>
      <c r="K140">
        <f>IF('03_Helper'!A140="","",'03_Helper'!R140)</f>
        <v/>
      </c>
      <c r="L140">
        <f>IF('03_Helper'!A140="","",'03_Helper'!S140)</f>
        <v/>
      </c>
      <c r="M140">
        <f>IF('03_Helper'!A140="","",'03_Helper'!T140)</f>
        <v/>
      </c>
      <c r="N140">
        <f>IF('03_Helper'!A140="","",'03_Helper'!AA140)</f>
        <v/>
      </c>
      <c r="O140">
        <f>IF('03_Helper'!A140="","",'03_Helper'!AB140)</f>
        <v/>
      </c>
      <c r="P140">
        <f>IF('03_Helper'!A140="","",'03_Helper'!AC140)</f>
        <v/>
      </c>
      <c r="Q140">
        <f>IF('03_Helper'!A140="","",'03_Helper'!AD140)</f>
        <v/>
      </c>
      <c r="R140">
        <f>IF('03_Helper'!A140="","",'03_Helper'!AI140)</f>
        <v/>
      </c>
      <c r="S140">
        <f>IF('03_Helper'!A140="","",'03_Helper'!AJ140)</f>
        <v/>
      </c>
      <c r="T140">
        <f>IF('03_Helper'!A140="","",'03_Helper'!U140)</f>
        <v/>
      </c>
      <c r="U140">
        <f>IF('03_Helper'!A140="","",'03_Helper'!W140)</f>
        <v/>
      </c>
      <c r="V140">
        <f>IF('03_Helper'!A140="","",'03_Helper'!AG140)</f>
        <v/>
      </c>
      <c r="W140">
        <f>IF('03_Helper'!A140="","",'03_Helper'!AK140)</f>
        <v/>
      </c>
      <c r="X140">
        <f>IF('03_Helper'!A140="","",'03_Helper'!K140)</f>
        <v/>
      </c>
      <c r="Y140">
        <f>IF('03_Helper'!A140="","",'03_Helper'!AN140)</f>
        <v/>
      </c>
    </row>
    <row r="141">
      <c r="A141">
        <f>IF('03_Helper'!A141="","",'03_Helper'!B141)</f>
        <v/>
      </c>
      <c r="B141">
        <f>IF('03_Helper'!A141="","",'03_Helper'!C141)</f>
        <v/>
      </c>
      <c r="C141">
        <f>IF('03_Helper'!A141="","",'03_Helper'!G141)</f>
        <v/>
      </c>
      <c r="D141">
        <f>IF('03_Helper'!A141="","",'03_Helper'!E141)</f>
        <v/>
      </c>
      <c r="E141">
        <f>IF('03_Helper'!A141="","",'03_Helper'!D141)</f>
        <v/>
      </c>
      <c r="F141">
        <f>IF('03_Helper'!A141="","",'03_Helper'!H141)</f>
        <v/>
      </c>
      <c r="G141">
        <f>IF('03_Helper'!A141="","",'03_Helper'!X141)</f>
        <v/>
      </c>
      <c r="H141">
        <f>IF('03_Helper'!A141="","",'03_Helper'!Y141)</f>
        <v/>
      </c>
      <c r="I141">
        <f>IF('03_Helper'!A141="","",'03_Helper'!Z141)</f>
        <v/>
      </c>
      <c r="J141">
        <f>IF('03_Helper'!A141="","",'03_Helper'!Q141)</f>
        <v/>
      </c>
      <c r="K141">
        <f>IF('03_Helper'!A141="","",'03_Helper'!R141)</f>
        <v/>
      </c>
      <c r="L141">
        <f>IF('03_Helper'!A141="","",'03_Helper'!S141)</f>
        <v/>
      </c>
      <c r="M141">
        <f>IF('03_Helper'!A141="","",'03_Helper'!T141)</f>
        <v/>
      </c>
      <c r="N141">
        <f>IF('03_Helper'!A141="","",'03_Helper'!AA141)</f>
        <v/>
      </c>
      <c r="O141">
        <f>IF('03_Helper'!A141="","",'03_Helper'!AB141)</f>
        <v/>
      </c>
      <c r="P141">
        <f>IF('03_Helper'!A141="","",'03_Helper'!AC141)</f>
        <v/>
      </c>
      <c r="Q141">
        <f>IF('03_Helper'!A141="","",'03_Helper'!AD141)</f>
        <v/>
      </c>
      <c r="R141">
        <f>IF('03_Helper'!A141="","",'03_Helper'!AI141)</f>
        <v/>
      </c>
      <c r="S141">
        <f>IF('03_Helper'!A141="","",'03_Helper'!AJ141)</f>
        <v/>
      </c>
      <c r="T141">
        <f>IF('03_Helper'!A141="","",'03_Helper'!U141)</f>
        <v/>
      </c>
      <c r="U141">
        <f>IF('03_Helper'!A141="","",'03_Helper'!W141)</f>
        <v/>
      </c>
      <c r="V141">
        <f>IF('03_Helper'!A141="","",'03_Helper'!AG141)</f>
        <v/>
      </c>
      <c r="W141">
        <f>IF('03_Helper'!A141="","",'03_Helper'!AK141)</f>
        <v/>
      </c>
      <c r="X141">
        <f>IF('03_Helper'!A141="","",'03_Helper'!K141)</f>
        <v/>
      </c>
      <c r="Y141">
        <f>IF('03_Helper'!A141="","",'03_Helper'!AN141)</f>
        <v/>
      </c>
    </row>
    <row r="142">
      <c r="A142">
        <f>IF('03_Helper'!A142="","",'03_Helper'!B142)</f>
        <v/>
      </c>
      <c r="B142">
        <f>IF('03_Helper'!A142="","",'03_Helper'!C142)</f>
        <v/>
      </c>
      <c r="C142">
        <f>IF('03_Helper'!A142="","",'03_Helper'!G142)</f>
        <v/>
      </c>
      <c r="D142">
        <f>IF('03_Helper'!A142="","",'03_Helper'!E142)</f>
        <v/>
      </c>
      <c r="E142">
        <f>IF('03_Helper'!A142="","",'03_Helper'!D142)</f>
        <v/>
      </c>
      <c r="F142">
        <f>IF('03_Helper'!A142="","",'03_Helper'!H142)</f>
        <v/>
      </c>
      <c r="G142">
        <f>IF('03_Helper'!A142="","",'03_Helper'!X142)</f>
        <v/>
      </c>
      <c r="H142">
        <f>IF('03_Helper'!A142="","",'03_Helper'!Y142)</f>
        <v/>
      </c>
      <c r="I142">
        <f>IF('03_Helper'!A142="","",'03_Helper'!Z142)</f>
        <v/>
      </c>
      <c r="J142">
        <f>IF('03_Helper'!A142="","",'03_Helper'!Q142)</f>
        <v/>
      </c>
      <c r="K142">
        <f>IF('03_Helper'!A142="","",'03_Helper'!R142)</f>
        <v/>
      </c>
      <c r="L142">
        <f>IF('03_Helper'!A142="","",'03_Helper'!S142)</f>
        <v/>
      </c>
      <c r="M142">
        <f>IF('03_Helper'!A142="","",'03_Helper'!T142)</f>
        <v/>
      </c>
      <c r="N142">
        <f>IF('03_Helper'!A142="","",'03_Helper'!AA142)</f>
        <v/>
      </c>
      <c r="O142">
        <f>IF('03_Helper'!A142="","",'03_Helper'!AB142)</f>
        <v/>
      </c>
      <c r="P142">
        <f>IF('03_Helper'!A142="","",'03_Helper'!AC142)</f>
        <v/>
      </c>
      <c r="Q142">
        <f>IF('03_Helper'!A142="","",'03_Helper'!AD142)</f>
        <v/>
      </c>
      <c r="R142">
        <f>IF('03_Helper'!A142="","",'03_Helper'!AI142)</f>
        <v/>
      </c>
      <c r="S142">
        <f>IF('03_Helper'!A142="","",'03_Helper'!AJ142)</f>
        <v/>
      </c>
      <c r="T142">
        <f>IF('03_Helper'!A142="","",'03_Helper'!U142)</f>
        <v/>
      </c>
      <c r="U142">
        <f>IF('03_Helper'!A142="","",'03_Helper'!W142)</f>
        <v/>
      </c>
      <c r="V142">
        <f>IF('03_Helper'!A142="","",'03_Helper'!AG142)</f>
        <v/>
      </c>
      <c r="W142">
        <f>IF('03_Helper'!A142="","",'03_Helper'!AK142)</f>
        <v/>
      </c>
      <c r="X142">
        <f>IF('03_Helper'!A142="","",'03_Helper'!K142)</f>
        <v/>
      </c>
      <c r="Y142">
        <f>IF('03_Helper'!A142="","",'03_Helper'!AN142)</f>
        <v/>
      </c>
    </row>
    <row r="143">
      <c r="A143">
        <f>IF('03_Helper'!A143="","",'03_Helper'!B143)</f>
        <v/>
      </c>
      <c r="B143">
        <f>IF('03_Helper'!A143="","",'03_Helper'!C143)</f>
        <v/>
      </c>
      <c r="C143">
        <f>IF('03_Helper'!A143="","",'03_Helper'!G143)</f>
        <v/>
      </c>
      <c r="D143">
        <f>IF('03_Helper'!A143="","",'03_Helper'!E143)</f>
        <v/>
      </c>
      <c r="E143">
        <f>IF('03_Helper'!A143="","",'03_Helper'!D143)</f>
        <v/>
      </c>
      <c r="F143">
        <f>IF('03_Helper'!A143="","",'03_Helper'!H143)</f>
        <v/>
      </c>
      <c r="G143">
        <f>IF('03_Helper'!A143="","",'03_Helper'!X143)</f>
        <v/>
      </c>
      <c r="H143">
        <f>IF('03_Helper'!A143="","",'03_Helper'!Y143)</f>
        <v/>
      </c>
      <c r="I143">
        <f>IF('03_Helper'!A143="","",'03_Helper'!Z143)</f>
        <v/>
      </c>
      <c r="J143">
        <f>IF('03_Helper'!A143="","",'03_Helper'!Q143)</f>
        <v/>
      </c>
      <c r="K143">
        <f>IF('03_Helper'!A143="","",'03_Helper'!R143)</f>
        <v/>
      </c>
      <c r="L143">
        <f>IF('03_Helper'!A143="","",'03_Helper'!S143)</f>
        <v/>
      </c>
      <c r="M143">
        <f>IF('03_Helper'!A143="","",'03_Helper'!T143)</f>
        <v/>
      </c>
      <c r="N143">
        <f>IF('03_Helper'!A143="","",'03_Helper'!AA143)</f>
        <v/>
      </c>
      <c r="O143">
        <f>IF('03_Helper'!A143="","",'03_Helper'!AB143)</f>
        <v/>
      </c>
      <c r="P143">
        <f>IF('03_Helper'!A143="","",'03_Helper'!AC143)</f>
        <v/>
      </c>
      <c r="Q143">
        <f>IF('03_Helper'!A143="","",'03_Helper'!AD143)</f>
        <v/>
      </c>
      <c r="R143">
        <f>IF('03_Helper'!A143="","",'03_Helper'!AI143)</f>
        <v/>
      </c>
      <c r="S143">
        <f>IF('03_Helper'!A143="","",'03_Helper'!AJ143)</f>
        <v/>
      </c>
      <c r="T143">
        <f>IF('03_Helper'!A143="","",'03_Helper'!U143)</f>
        <v/>
      </c>
      <c r="U143">
        <f>IF('03_Helper'!A143="","",'03_Helper'!W143)</f>
        <v/>
      </c>
      <c r="V143">
        <f>IF('03_Helper'!A143="","",'03_Helper'!AG143)</f>
        <v/>
      </c>
      <c r="W143">
        <f>IF('03_Helper'!A143="","",'03_Helper'!AK143)</f>
        <v/>
      </c>
      <c r="X143">
        <f>IF('03_Helper'!A143="","",'03_Helper'!K143)</f>
        <v/>
      </c>
      <c r="Y143">
        <f>IF('03_Helper'!A143="","",'03_Helper'!AN143)</f>
        <v/>
      </c>
    </row>
    <row r="144">
      <c r="A144">
        <f>IF('03_Helper'!A144="","",'03_Helper'!B144)</f>
        <v/>
      </c>
      <c r="B144">
        <f>IF('03_Helper'!A144="","",'03_Helper'!C144)</f>
        <v/>
      </c>
      <c r="C144">
        <f>IF('03_Helper'!A144="","",'03_Helper'!G144)</f>
        <v/>
      </c>
      <c r="D144">
        <f>IF('03_Helper'!A144="","",'03_Helper'!E144)</f>
        <v/>
      </c>
      <c r="E144">
        <f>IF('03_Helper'!A144="","",'03_Helper'!D144)</f>
        <v/>
      </c>
      <c r="F144">
        <f>IF('03_Helper'!A144="","",'03_Helper'!H144)</f>
        <v/>
      </c>
      <c r="G144">
        <f>IF('03_Helper'!A144="","",'03_Helper'!X144)</f>
        <v/>
      </c>
      <c r="H144">
        <f>IF('03_Helper'!A144="","",'03_Helper'!Y144)</f>
        <v/>
      </c>
      <c r="I144">
        <f>IF('03_Helper'!A144="","",'03_Helper'!Z144)</f>
        <v/>
      </c>
      <c r="J144">
        <f>IF('03_Helper'!A144="","",'03_Helper'!Q144)</f>
        <v/>
      </c>
      <c r="K144">
        <f>IF('03_Helper'!A144="","",'03_Helper'!R144)</f>
        <v/>
      </c>
      <c r="L144">
        <f>IF('03_Helper'!A144="","",'03_Helper'!S144)</f>
        <v/>
      </c>
      <c r="M144">
        <f>IF('03_Helper'!A144="","",'03_Helper'!T144)</f>
        <v/>
      </c>
      <c r="N144">
        <f>IF('03_Helper'!A144="","",'03_Helper'!AA144)</f>
        <v/>
      </c>
      <c r="O144">
        <f>IF('03_Helper'!A144="","",'03_Helper'!AB144)</f>
        <v/>
      </c>
      <c r="P144">
        <f>IF('03_Helper'!A144="","",'03_Helper'!AC144)</f>
        <v/>
      </c>
      <c r="Q144">
        <f>IF('03_Helper'!A144="","",'03_Helper'!AD144)</f>
        <v/>
      </c>
      <c r="R144">
        <f>IF('03_Helper'!A144="","",'03_Helper'!AI144)</f>
        <v/>
      </c>
      <c r="S144">
        <f>IF('03_Helper'!A144="","",'03_Helper'!AJ144)</f>
        <v/>
      </c>
      <c r="T144">
        <f>IF('03_Helper'!A144="","",'03_Helper'!U144)</f>
        <v/>
      </c>
      <c r="U144">
        <f>IF('03_Helper'!A144="","",'03_Helper'!W144)</f>
        <v/>
      </c>
      <c r="V144">
        <f>IF('03_Helper'!A144="","",'03_Helper'!AG144)</f>
        <v/>
      </c>
      <c r="W144">
        <f>IF('03_Helper'!A144="","",'03_Helper'!AK144)</f>
        <v/>
      </c>
      <c r="X144">
        <f>IF('03_Helper'!A144="","",'03_Helper'!K144)</f>
        <v/>
      </c>
      <c r="Y144">
        <f>IF('03_Helper'!A144="","",'03_Helper'!AN144)</f>
        <v/>
      </c>
    </row>
    <row r="145">
      <c r="A145">
        <f>IF('03_Helper'!A145="","",'03_Helper'!B145)</f>
        <v/>
      </c>
      <c r="B145">
        <f>IF('03_Helper'!A145="","",'03_Helper'!C145)</f>
        <v/>
      </c>
      <c r="C145">
        <f>IF('03_Helper'!A145="","",'03_Helper'!G145)</f>
        <v/>
      </c>
      <c r="D145">
        <f>IF('03_Helper'!A145="","",'03_Helper'!E145)</f>
        <v/>
      </c>
      <c r="E145">
        <f>IF('03_Helper'!A145="","",'03_Helper'!D145)</f>
        <v/>
      </c>
      <c r="F145">
        <f>IF('03_Helper'!A145="","",'03_Helper'!H145)</f>
        <v/>
      </c>
      <c r="G145">
        <f>IF('03_Helper'!A145="","",'03_Helper'!X145)</f>
        <v/>
      </c>
      <c r="H145">
        <f>IF('03_Helper'!A145="","",'03_Helper'!Y145)</f>
        <v/>
      </c>
      <c r="I145">
        <f>IF('03_Helper'!A145="","",'03_Helper'!Z145)</f>
        <v/>
      </c>
      <c r="J145">
        <f>IF('03_Helper'!A145="","",'03_Helper'!Q145)</f>
        <v/>
      </c>
      <c r="K145">
        <f>IF('03_Helper'!A145="","",'03_Helper'!R145)</f>
        <v/>
      </c>
      <c r="L145">
        <f>IF('03_Helper'!A145="","",'03_Helper'!S145)</f>
        <v/>
      </c>
      <c r="M145">
        <f>IF('03_Helper'!A145="","",'03_Helper'!T145)</f>
        <v/>
      </c>
      <c r="N145">
        <f>IF('03_Helper'!A145="","",'03_Helper'!AA145)</f>
        <v/>
      </c>
      <c r="O145">
        <f>IF('03_Helper'!A145="","",'03_Helper'!AB145)</f>
        <v/>
      </c>
      <c r="P145">
        <f>IF('03_Helper'!A145="","",'03_Helper'!AC145)</f>
        <v/>
      </c>
      <c r="Q145">
        <f>IF('03_Helper'!A145="","",'03_Helper'!AD145)</f>
        <v/>
      </c>
      <c r="R145">
        <f>IF('03_Helper'!A145="","",'03_Helper'!AI145)</f>
        <v/>
      </c>
      <c r="S145">
        <f>IF('03_Helper'!A145="","",'03_Helper'!AJ145)</f>
        <v/>
      </c>
      <c r="T145">
        <f>IF('03_Helper'!A145="","",'03_Helper'!U145)</f>
        <v/>
      </c>
      <c r="U145">
        <f>IF('03_Helper'!A145="","",'03_Helper'!W145)</f>
        <v/>
      </c>
      <c r="V145">
        <f>IF('03_Helper'!A145="","",'03_Helper'!AG145)</f>
        <v/>
      </c>
      <c r="W145">
        <f>IF('03_Helper'!A145="","",'03_Helper'!AK145)</f>
        <v/>
      </c>
      <c r="X145">
        <f>IF('03_Helper'!A145="","",'03_Helper'!K145)</f>
        <v/>
      </c>
      <c r="Y145">
        <f>IF('03_Helper'!A145="","",'03_Helper'!AN145)</f>
        <v/>
      </c>
    </row>
    <row r="146">
      <c r="A146">
        <f>IF('03_Helper'!A146="","",'03_Helper'!B146)</f>
        <v/>
      </c>
      <c r="B146">
        <f>IF('03_Helper'!A146="","",'03_Helper'!C146)</f>
        <v/>
      </c>
      <c r="C146">
        <f>IF('03_Helper'!A146="","",'03_Helper'!G146)</f>
        <v/>
      </c>
      <c r="D146">
        <f>IF('03_Helper'!A146="","",'03_Helper'!E146)</f>
        <v/>
      </c>
      <c r="E146">
        <f>IF('03_Helper'!A146="","",'03_Helper'!D146)</f>
        <v/>
      </c>
      <c r="F146">
        <f>IF('03_Helper'!A146="","",'03_Helper'!H146)</f>
        <v/>
      </c>
      <c r="G146">
        <f>IF('03_Helper'!A146="","",'03_Helper'!X146)</f>
        <v/>
      </c>
      <c r="H146">
        <f>IF('03_Helper'!A146="","",'03_Helper'!Y146)</f>
        <v/>
      </c>
      <c r="I146">
        <f>IF('03_Helper'!A146="","",'03_Helper'!Z146)</f>
        <v/>
      </c>
      <c r="J146">
        <f>IF('03_Helper'!A146="","",'03_Helper'!Q146)</f>
        <v/>
      </c>
      <c r="K146">
        <f>IF('03_Helper'!A146="","",'03_Helper'!R146)</f>
        <v/>
      </c>
      <c r="L146">
        <f>IF('03_Helper'!A146="","",'03_Helper'!S146)</f>
        <v/>
      </c>
      <c r="M146">
        <f>IF('03_Helper'!A146="","",'03_Helper'!T146)</f>
        <v/>
      </c>
      <c r="N146">
        <f>IF('03_Helper'!A146="","",'03_Helper'!AA146)</f>
        <v/>
      </c>
      <c r="O146">
        <f>IF('03_Helper'!A146="","",'03_Helper'!AB146)</f>
        <v/>
      </c>
      <c r="P146">
        <f>IF('03_Helper'!A146="","",'03_Helper'!AC146)</f>
        <v/>
      </c>
      <c r="Q146">
        <f>IF('03_Helper'!A146="","",'03_Helper'!AD146)</f>
        <v/>
      </c>
      <c r="R146">
        <f>IF('03_Helper'!A146="","",'03_Helper'!AI146)</f>
        <v/>
      </c>
      <c r="S146">
        <f>IF('03_Helper'!A146="","",'03_Helper'!AJ146)</f>
        <v/>
      </c>
      <c r="T146">
        <f>IF('03_Helper'!A146="","",'03_Helper'!U146)</f>
        <v/>
      </c>
      <c r="U146">
        <f>IF('03_Helper'!A146="","",'03_Helper'!W146)</f>
        <v/>
      </c>
      <c r="V146">
        <f>IF('03_Helper'!A146="","",'03_Helper'!AG146)</f>
        <v/>
      </c>
      <c r="W146">
        <f>IF('03_Helper'!A146="","",'03_Helper'!AK146)</f>
        <v/>
      </c>
      <c r="X146">
        <f>IF('03_Helper'!A146="","",'03_Helper'!K146)</f>
        <v/>
      </c>
      <c r="Y146">
        <f>IF('03_Helper'!A146="","",'03_Helper'!AN146)</f>
        <v/>
      </c>
    </row>
    <row r="147">
      <c r="A147">
        <f>IF('03_Helper'!A147="","",'03_Helper'!B147)</f>
        <v/>
      </c>
      <c r="B147">
        <f>IF('03_Helper'!A147="","",'03_Helper'!C147)</f>
        <v/>
      </c>
      <c r="C147">
        <f>IF('03_Helper'!A147="","",'03_Helper'!G147)</f>
        <v/>
      </c>
      <c r="D147">
        <f>IF('03_Helper'!A147="","",'03_Helper'!E147)</f>
        <v/>
      </c>
      <c r="E147">
        <f>IF('03_Helper'!A147="","",'03_Helper'!D147)</f>
        <v/>
      </c>
      <c r="F147">
        <f>IF('03_Helper'!A147="","",'03_Helper'!H147)</f>
        <v/>
      </c>
      <c r="G147">
        <f>IF('03_Helper'!A147="","",'03_Helper'!X147)</f>
        <v/>
      </c>
      <c r="H147">
        <f>IF('03_Helper'!A147="","",'03_Helper'!Y147)</f>
        <v/>
      </c>
      <c r="I147">
        <f>IF('03_Helper'!A147="","",'03_Helper'!Z147)</f>
        <v/>
      </c>
      <c r="J147">
        <f>IF('03_Helper'!A147="","",'03_Helper'!Q147)</f>
        <v/>
      </c>
      <c r="K147">
        <f>IF('03_Helper'!A147="","",'03_Helper'!R147)</f>
        <v/>
      </c>
      <c r="L147">
        <f>IF('03_Helper'!A147="","",'03_Helper'!S147)</f>
        <v/>
      </c>
      <c r="M147">
        <f>IF('03_Helper'!A147="","",'03_Helper'!T147)</f>
        <v/>
      </c>
      <c r="N147">
        <f>IF('03_Helper'!A147="","",'03_Helper'!AA147)</f>
        <v/>
      </c>
      <c r="O147">
        <f>IF('03_Helper'!A147="","",'03_Helper'!AB147)</f>
        <v/>
      </c>
      <c r="P147">
        <f>IF('03_Helper'!A147="","",'03_Helper'!AC147)</f>
        <v/>
      </c>
      <c r="Q147">
        <f>IF('03_Helper'!A147="","",'03_Helper'!AD147)</f>
        <v/>
      </c>
      <c r="R147">
        <f>IF('03_Helper'!A147="","",'03_Helper'!AI147)</f>
        <v/>
      </c>
      <c r="S147">
        <f>IF('03_Helper'!A147="","",'03_Helper'!AJ147)</f>
        <v/>
      </c>
      <c r="T147">
        <f>IF('03_Helper'!A147="","",'03_Helper'!U147)</f>
        <v/>
      </c>
      <c r="U147">
        <f>IF('03_Helper'!A147="","",'03_Helper'!W147)</f>
        <v/>
      </c>
      <c r="V147">
        <f>IF('03_Helper'!A147="","",'03_Helper'!AG147)</f>
        <v/>
      </c>
      <c r="W147">
        <f>IF('03_Helper'!A147="","",'03_Helper'!AK147)</f>
        <v/>
      </c>
      <c r="X147">
        <f>IF('03_Helper'!A147="","",'03_Helper'!K147)</f>
        <v/>
      </c>
      <c r="Y147">
        <f>IF('03_Helper'!A147="","",'03_Helper'!AN147)</f>
        <v/>
      </c>
    </row>
    <row r="148">
      <c r="A148">
        <f>IF('03_Helper'!A148="","",'03_Helper'!B148)</f>
        <v/>
      </c>
      <c r="B148">
        <f>IF('03_Helper'!A148="","",'03_Helper'!C148)</f>
        <v/>
      </c>
      <c r="C148">
        <f>IF('03_Helper'!A148="","",'03_Helper'!G148)</f>
        <v/>
      </c>
      <c r="D148">
        <f>IF('03_Helper'!A148="","",'03_Helper'!E148)</f>
        <v/>
      </c>
      <c r="E148">
        <f>IF('03_Helper'!A148="","",'03_Helper'!D148)</f>
        <v/>
      </c>
      <c r="F148">
        <f>IF('03_Helper'!A148="","",'03_Helper'!H148)</f>
        <v/>
      </c>
      <c r="G148">
        <f>IF('03_Helper'!A148="","",'03_Helper'!X148)</f>
        <v/>
      </c>
      <c r="H148">
        <f>IF('03_Helper'!A148="","",'03_Helper'!Y148)</f>
        <v/>
      </c>
      <c r="I148">
        <f>IF('03_Helper'!A148="","",'03_Helper'!Z148)</f>
        <v/>
      </c>
      <c r="J148">
        <f>IF('03_Helper'!A148="","",'03_Helper'!Q148)</f>
        <v/>
      </c>
      <c r="K148">
        <f>IF('03_Helper'!A148="","",'03_Helper'!R148)</f>
        <v/>
      </c>
      <c r="L148">
        <f>IF('03_Helper'!A148="","",'03_Helper'!S148)</f>
        <v/>
      </c>
      <c r="M148">
        <f>IF('03_Helper'!A148="","",'03_Helper'!T148)</f>
        <v/>
      </c>
      <c r="N148">
        <f>IF('03_Helper'!A148="","",'03_Helper'!AA148)</f>
        <v/>
      </c>
      <c r="O148">
        <f>IF('03_Helper'!A148="","",'03_Helper'!AB148)</f>
        <v/>
      </c>
      <c r="P148">
        <f>IF('03_Helper'!A148="","",'03_Helper'!AC148)</f>
        <v/>
      </c>
      <c r="Q148">
        <f>IF('03_Helper'!A148="","",'03_Helper'!AD148)</f>
        <v/>
      </c>
      <c r="R148">
        <f>IF('03_Helper'!A148="","",'03_Helper'!AI148)</f>
        <v/>
      </c>
      <c r="S148">
        <f>IF('03_Helper'!A148="","",'03_Helper'!AJ148)</f>
        <v/>
      </c>
      <c r="T148">
        <f>IF('03_Helper'!A148="","",'03_Helper'!U148)</f>
        <v/>
      </c>
      <c r="U148">
        <f>IF('03_Helper'!A148="","",'03_Helper'!W148)</f>
        <v/>
      </c>
      <c r="V148">
        <f>IF('03_Helper'!A148="","",'03_Helper'!AG148)</f>
        <v/>
      </c>
      <c r="W148">
        <f>IF('03_Helper'!A148="","",'03_Helper'!AK148)</f>
        <v/>
      </c>
      <c r="X148">
        <f>IF('03_Helper'!A148="","",'03_Helper'!K148)</f>
        <v/>
      </c>
      <c r="Y148">
        <f>IF('03_Helper'!A148="","",'03_Helper'!AN148)</f>
        <v/>
      </c>
    </row>
    <row r="149">
      <c r="A149">
        <f>IF('03_Helper'!A149="","",'03_Helper'!B149)</f>
        <v/>
      </c>
      <c r="B149">
        <f>IF('03_Helper'!A149="","",'03_Helper'!C149)</f>
        <v/>
      </c>
      <c r="C149">
        <f>IF('03_Helper'!A149="","",'03_Helper'!G149)</f>
        <v/>
      </c>
      <c r="D149">
        <f>IF('03_Helper'!A149="","",'03_Helper'!E149)</f>
        <v/>
      </c>
      <c r="E149">
        <f>IF('03_Helper'!A149="","",'03_Helper'!D149)</f>
        <v/>
      </c>
      <c r="F149">
        <f>IF('03_Helper'!A149="","",'03_Helper'!H149)</f>
        <v/>
      </c>
      <c r="G149">
        <f>IF('03_Helper'!A149="","",'03_Helper'!X149)</f>
        <v/>
      </c>
      <c r="H149">
        <f>IF('03_Helper'!A149="","",'03_Helper'!Y149)</f>
        <v/>
      </c>
      <c r="I149">
        <f>IF('03_Helper'!A149="","",'03_Helper'!Z149)</f>
        <v/>
      </c>
      <c r="J149">
        <f>IF('03_Helper'!A149="","",'03_Helper'!Q149)</f>
        <v/>
      </c>
      <c r="K149">
        <f>IF('03_Helper'!A149="","",'03_Helper'!R149)</f>
        <v/>
      </c>
      <c r="L149">
        <f>IF('03_Helper'!A149="","",'03_Helper'!S149)</f>
        <v/>
      </c>
      <c r="M149">
        <f>IF('03_Helper'!A149="","",'03_Helper'!T149)</f>
        <v/>
      </c>
      <c r="N149">
        <f>IF('03_Helper'!A149="","",'03_Helper'!AA149)</f>
        <v/>
      </c>
      <c r="O149">
        <f>IF('03_Helper'!A149="","",'03_Helper'!AB149)</f>
        <v/>
      </c>
      <c r="P149">
        <f>IF('03_Helper'!A149="","",'03_Helper'!AC149)</f>
        <v/>
      </c>
      <c r="Q149">
        <f>IF('03_Helper'!A149="","",'03_Helper'!AD149)</f>
        <v/>
      </c>
      <c r="R149">
        <f>IF('03_Helper'!A149="","",'03_Helper'!AI149)</f>
        <v/>
      </c>
      <c r="S149">
        <f>IF('03_Helper'!A149="","",'03_Helper'!AJ149)</f>
        <v/>
      </c>
      <c r="T149">
        <f>IF('03_Helper'!A149="","",'03_Helper'!U149)</f>
        <v/>
      </c>
      <c r="U149">
        <f>IF('03_Helper'!A149="","",'03_Helper'!W149)</f>
        <v/>
      </c>
      <c r="V149">
        <f>IF('03_Helper'!A149="","",'03_Helper'!AG149)</f>
        <v/>
      </c>
      <c r="W149">
        <f>IF('03_Helper'!A149="","",'03_Helper'!AK149)</f>
        <v/>
      </c>
      <c r="X149">
        <f>IF('03_Helper'!A149="","",'03_Helper'!K149)</f>
        <v/>
      </c>
      <c r="Y149">
        <f>IF('03_Helper'!A149="","",'03_Helper'!AN149)</f>
        <v/>
      </c>
    </row>
    <row r="150">
      <c r="A150">
        <f>IF('03_Helper'!A150="","",'03_Helper'!B150)</f>
        <v/>
      </c>
      <c r="B150">
        <f>IF('03_Helper'!A150="","",'03_Helper'!C150)</f>
        <v/>
      </c>
      <c r="C150">
        <f>IF('03_Helper'!A150="","",'03_Helper'!G150)</f>
        <v/>
      </c>
      <c r="D150">
        <f>IF('03_Helper'!A150="","",'03_Helper'!E150)</f>
        <v/>
      </c>
      <c r="E150">
        <f>IF('03_Helper'!A150="","",'03_Helper'!D150)</f>
        <v/>
      </c>
      <c r="F150">
        <f>IF('03_Helper'!A150="","",'03_Helper'!H150)</f>
        <v/>
      </c>
      <c r="G150">
        <f>IF('03_Helper'!A150="","",'03_Helper'!X150)</f>
        <v/>
      </c>
      <c r="H150">
        <f>IF('03_Helper'!A150="","",'03_Helper'!Y150)</f>
        <v/>
      </c>
      <c r="I150">
        <f>IF('03_Helper'!A150="","",'03_Helper'!Z150)</f>
        <v/>
      </c>
      <c r="J150">
        <f>IF('03_Helper'!A150="","",'03_Helper'!Q150)</f>
        <v/>
      </c>
      <c r="K150">
        <f>IF('03_Helper'!A150="","",'03_Helper'!R150)</f>
        <v/>
      </c>
      <c r="L150">
        <f>IF('03_Helper'!A150="","",'03_Helper'!S150)</f>
        <v/>
      </c>
      <c r="M150">
        <f>IF('03_Helper'!A150="","",'03_Helper'!T150)</f>
        <v/>
      </c>
      <c r="N150">
        <f>IF('03_Helper'!A150="","",'03_Helper'!AA150)</f>
        <v/>
      </c>
      <c r="O150">
        <f>IF('03_Helper'!A150="","",'03_Helper'!AB150)</f>
        <v/>
      </c>
      <c r="P150">
        <f>IF('03_Helper'!A150="","",'03_Helper'!AC150)</f>
        <v/>
      </c>
      <c r="Q150">
        <f>IF('03_Helper'!A150="","",'03_Helper'!AD150)</f>
        <v/>
      </c>
      <c r="R150">
        <f>IF('03_Helper'!A150="","",'03_Helper'!AI150)</f>
        <v/>
      </c>
      <c r="S150">
        <f>IF('03_Helper'!A150="","",'03_Helper'!AJ150)</f>
        <v/>
      </c>
      <c r="T150">
        <f>IF('03_Helper'!A150="","",'03_Helper'!U150)</f>
        <v/>
      </c>
      <c r="U150">
        <f>IF('03_Helper'!A150="","",'03_Helper'!W150)</f>
        <v/>
      </c>
      <c r="V150">
        <f>IF('03_Helper'!A150="","",'03_Helper'!AG150)</f>
        <v/>
      </c>
      <c r="W150">
        <f>IF('03_Helper'!A150="","",'03_Helper'!AK150)</f>
        <v/>
      </c>
      <c r="X150">
        <f>IF('03_Helper'!A150="","",'03_Helper'!K150)</f>
        <v/>
      </c>
      <c r="Y150">
        <f>IF('03_Helper'!A150="","",'03_Helper'!AN150)</f>
        <v/>
      </c>
    </row>
    <row r="151">
      <c r="A151">
        <f>IF('03_Helper'!A151="","",'03_Helper'!B151)</f>
        <v/>
      </c>
      <c r="B151">
        <f>IF('03_Helper'!A151="","",'03_Helper'!C151)</f>
        <v/>
      </c>
      <c r="C151">
        <f>IF('03_Helper'!A151="","",'03_Helper'!G151)</f>
        <v/>
      </c>
      <c r="D151">
        <f>IF('03_Helper'!A151="","",'03_Helper'!E151)</f>
        <v/>
      </c>
      <c r="E151">
        <f>IF('03_Helper'!A151="","",'03_Helper'!D151)</f>
        <v/>
      </c>
      <c r="F151">
        <f>IF('03_Helper'!A151="","",'03_Helper'!H151)</f>
        <v/>
      </c>
      <c r="G151">
        <f>IF('03_Helper'!A151="","",'03_Helper'!X151)</f>
        <v/>
      </c>
      <c r="H151">
        <f>IF('03_Helper'!A151="","",'03_Helper'!Y151)</f>
        <v/>
      </c>
      <c r="I151">
        <f>IF('03_Helper'!A151="","",'03_Helper'!Z151)</f>
        <v/>
      </c>
      <c r="J151">
        <f>IF('03_Helper'!A151="","",'03_Helper'!Q151)</f>
        <v/>
      </c>
      <c r="K151">
        <f>IF('03_Helper'!A151="","",'03_Helper'!R151)</f>
        <v/>
      </c>
      <c r="L151">
        <f>IF('03_Helper'!A151="","",'03_Helper'!S151)</f>
        <v/>
      </c>
      <c r="M151">
        <f>IF('03_Helper'!A151="","",'03_Helper'!T151)</f>
        <v/>
      </c>
      <c r="N151">
        <f>IF('03_Helper'!A151="","",'03_Helper'!AA151)</f>
        <v/>
      </c>
      <c r="O151">
        <f>IF('03_Helper'!A151="","",'03_Helper'!AB151)</f>
        <v/>
      </c>
      <c r="P151">
        <f>IF('03_Helper'!A151="","",'03_Helper'!AC151)</f>
        <v/>
      </c>
      <c r="Q151">
        <f>IF('03_Helper'!A151="","",'03_Helper'!AD151)</f>
        <v/>
      </c>
      <c r="R151">
        <f>IF('03_Helper'!A151="","",'03_Helper'!AI151)</f>
        <v/>
      </c>
      <c r="S151">
        <f>IF('03_Helper'!A151="","",'03_Helper'!AJ151)</f>
        <v/>
      </c>
      <c r="T151">
        <f>IF('03_Helper'!A151="","",'03_Helper'!U151)</f>
        <v/>
      </c>
      <c r="U151">
        <f>IF('03_Helper'!A151="","",'03_Helper'!W151)</f>
        <v/>
      </c>
      <c r="V151">
        <f>IF('03_Helper'!A151="","",'03_Helper'!AG151)</f>
        <v/>
      </c>
      <c r="W151">
        <f>IF('03_Helper'!A151="","",'03_Helper'!AK151)</f>
        <v/>
      </c>
      <c r="X151">
        <f>IF('03_Helper'!A151="","",'03_Helper'!K151)</f>
        <v/>
      </c>
      <c r="Y151">
        <f>IF('03_Helper'!A151="","",'03_Helper'!AN151)</f>
        <v/>
      </c>
    </row>
    <row r="152">
      <c r="A152">
        <f>IF('03_Helper'!A152="","",'03_Helper'!B152)</f>
        <v/>
      </c>
      <c r="B152">
        <f>IF('03_Helper'!A152="","",'03_Helper'!C152)</f>
        <v/>
      </c>
      <c r="C152">
        <f>IF('03_Helper'!A152="","",'03_Helper'!G152)</f>
        <v/>
      </c>
      <c r="D152">
        <f>IF('03_Helper'!A152="","",'03_Helper'!E152)</f>
        <v/>
      </c>
      <c r="E152">
        <f>IF('03_Helper'!A152="","",'03_Helper'!D152)</f>
        <v/>
      </c>
      <c r="F152">
        <f>IF('03_Helper'!A152="","",'03_Helper'!H152)</f>
        <v/>
      </c>
      <c r="G152">
        <f>IF('03_Helper'!A152="","",'03_Helper'!X152)</f>
        <v/>
      </c>
      <c r="H152">
        <f>IF('03_Helper'!A152="","",'03_Helper'!Y152)</f>
        <v/>
      </c>
      <c r="I152">
        <f>IF('03_Helper'!A152="","",'03_Helper'!Z152)</f>
        <v/>
      </c>
      <c r="J152">
        <f>IF('03_Helper'!A152="","",'03_Helper'!Q152)</f>
        <v/>
      </c>
      <c r="K152">
        <f>IF('03_Helper'!A152="","",'03_Helper'!R152)</f>
        <v/>
      </c>
      <c r="L152">
        <f>IF('03_Helper'!A152="","",'03_Helper'!S152)</f>
        <v/>
      </c>
      <c r="M152">
        <f>IF('03_Helper'!A152="","",'03_Helper'!T152)</f>
        <v/>
      </c>
      <c r="N152">
        <f>IF('03_Helper'!A152="","",'03_Helper'!AA152)</f>
        <v/>
      </c>
      <c r="O152">
        <f>IF('03_Helper'!A152="","",'03_Helper'!AB152)</f>
        <v/>
      </c>
      <c r="P152">
        <f>IF('03_Helper'!A152="","",'03_Helper'!AC152)</f>
        <v/>
      </c>
      <c r="Q152">
        <f>IF('03_Helper'!A152="","",'03_Helper'!AD152)</f>
        <v/>
      </c>
      <c r="R152">
        <f>IF('03_Helper'!A152="","",'03_Helper'!AI152)</f>
        <v/>
      </c>
      <c r="S152">
        <f>IF('03_Helper'!A152="","",'03_Helper'!AJ152)</f>
        <v/>
      </c>
      <c r="T152">
        <f>IF('03_Helper'!A152="","",'03_Helper'!U152)</f>
        <v/>
      </c>
      <c r="U152">
        <f>IF('03_Helper'!A152="","",'03_Helper'!W152)</f>
        <v/>
      </c>
      <c r="V152">
        <f>IF('03_Helper'!A152="","",'03_Helper'!AG152)</f>
        <v/>
      </c>
      <c r="W152">
        <f>IF('03_Helper'!A152="","",'03_Helper'!AK152)</f>
        <v/>
      </c>
      <c r="X152">
        <f>IF('03_Helper'!A152="","",'03_Helper'!K152)</f>
        <v/>
      </c>
      <c r="Y152">
        <f>IF('03_Helper'!A152="","",'03_Helper'!AN152)</f>
        <v/>
      </c>
    </row>
    <row r="153">
      <c r="A153">
        <f>IF('03_Helper'!A153="","",'03_Helper'!B153)</f>
        <v/>
      </c>
      <c r="B153">
        <f>IF('03_Helper'!A153="","",'03_Helper'!C153)</f>
        <v/>
      </c>
      <c r="C153">
        <f>IF('03_Helper'!A153="","",'03_Helper'!G153)</f>
        <v/>
      </c>
      <c r="D153">
        <f>IF('03_Helper'!A153="","",'03_Helper'!E153)</f>
        <v/>
      </c>
      <c r="E153">
        <f>IF('03_Helper'!A153="","",'03_Helper'!D153)</f>
        <v/>
      </c>
      <c r="F153">
        <f>IF('03_Helper'!A153="","",'03_Helper'!H153)</f>
        <v/>
      </c>
      <c r="G153">
        <f>IF('03_Helper'!A153="","",'03_Helper'!X153)</f>
        <v/>
      </c>
      <c r="H153">
        <f>IF('03_Helper'!A153="","",'03_Helper'!Y153)</f>
        <v/>
      </c>
      <c r="I153">
        <f>IF('03_Helper'!A153="","",'03_Helper'!Z153)</f>
        <v/>
      </c>
      <c r="J153">
        <f>IF('03_Helper'!A153="","",'03_Helper'!Q153)</f>
        <v/>
      </c>
      <c r="K153">
        <f>IF('03_Helper'!A153="","",'03_Helper'!R153)</f>
        <v/>
      </c>
      <c r="L153">
        <f>IF('03_Helper'!A153="","",'03_Helper'!S153)</f>
        <v/>
      </c>
      <c r="M153">
        <f>IF('03_Helper'!A153="","",'03_Helper'!T153)</f>
        <v/>
      </c>
      <c r="N153">
        <f>IF('03_Helper'!A153="","",'03_Helper'!AA153)</f>
        <v/>
      </c>
      <c r="O153">
        <f>IF('03_Helper'!A153="","",'03_Helper'!AB153)</f>
        <v/>
      </c>
      <c r="P153">
        <f>IF('03_Helper'!A153="","",'03_Helper'!AC153)</f>
        <v/>
      </c>
      <c r="Q153">
        <f>IF('03_Helper'!A153="","",'03_Helper'!AD153)</f>
        <v/>
      </c>
      <c r="R153">
        <f>IF('03_Helper'!A153="","",'03_Helper'!AI153)</f>
        <v/>
      </c>
      <c r="S153">
        <f>IF('03_Helper'!A153="","",'03_Helper'!AJ153)</f>
        <v/>
      </c>
      <c r="T153">
        <f>IF('03_Helper'!A153="","",'03_Helper'!U153)</f>
        <v/>
      </c>
      <c r="U153">
        <f>IF('03_Helper'!A153="","",'03_Helper'!W153)</f>
        <v/>
      </c>
      <c r="V153">
        <f>IF('03_Helper'!A153="","",'03_Helper'!AG153)</f>
        <v/>
      </c>
      <c r="W153">
        <f>IF('03_Helper'!A153="","",'03_Helper'!AK153)</f>
        <v/>
      </c>
      <c r="X153">
        <f>IF('03_Helper'!A153="","",'03_Helper'!K153)</f>
        <v/>
      </c>
      <c r="Y153">
        <f>IF('03_Helper'!A153="","",'03_Helper'!AN153)</f>
        <v/>
      </c>
    </row>
    <row r="154">
      <c r="A154">
        <f>IF('03_Helper'!A154="","",'03_Helper'!B154)</f>
        <v/>
      </c>
      <c r="B154">
        <f>IF('03_Helper'!A154="","",'03_Helper'!C154)</f>
        <v/>
      </c>
      <c r="C154">
        <f>IF('03_Helper'!A154="","",'03_Helper'!G154)</f>
        <v/>
      </c>
      <c r="D154">
        <f>IF('03_Helper'!A154="","",'03_Helper'!E154)</f>
        <v/>
      </c>
      <c r="E154">
        <f>IF('03_Helper'!A154="","",'03_Helper'!D154)</f>
        <v/>
      </c>
      <c r="F154">
        <f>IF('03_Helper'!A154="","",'03_Helper'!H154)</f>
        <v/>
      </c>
      <c r="G154">
        <f>IF('03_Helper'!A154="","",'03_Helper'!X154)</f>
        <v/>
      </c>
      <c r="H154">
        <f>IF('03_Helper'!A154="","",'03_Helper'!Y154)</f>
        <v/>
      </c>
      <c r="I154">
        <f>IF('03_Helper'!A154="","",'03_Helper'!Z154)</f>
        <v/>
      </c>
      <c r="J154">
        <f>IF('03_Helper'!A154="","",'03_Helper'!Q154)</f>
        <v/>
      </c>
      <c r="K154">
        <f>IF('03_Helper'!A154="","",'03_Helper'!R154)</f>
        <v/>
      </c>
      <c r="L154">
        <f>IF('03_Helper'!A154="","",'03_Helper'!S154)</f>
        <v/>
      </c>
      <c r="M154">
        <f>IF('03_Helper'!A154="","",'03_Helper'!T154)</f>
        <v/>
      </c>
      <c r="N154">
        <f>IF('03_Helper'!A154="","",'03_Helper'!AA154)</f>
        <v/>
      </c>
      <c r="O154">
        <f>IF('03_Helper'!A154="","",'03_Helper'!AB154)</f>
        <v/>
      </c>
      <c r="P154">
        <f>IF('03_Helper'!A154="","",'03_Helper'!AC154)</f>
        <v/>
      </c>
      <c r="Q154">
        <f>IF('03_Helper'!A154="","",'03_Helper'!AD154)</f>
        <v/>
      </c>
      <c r="R154">
        <f>IF('03_Helper'!A154="","",'03_Helper'!AI154)</f>
        <v/>
      </c>
      <c r="S154">
        <f>IF('03_Helper'!A154="","",'03_Helper'!AJ154)</f>
        <v/>
      </c>
      <c r="T154">
        <f>IF('03_Helper'!A154="","",'03_Helper'!U154)</f>
        <v/>
      </c>
      <c r="U154">
        <f>IF('03_Helper'!A154="","",'03_Helper'!W154)</f>
        <v/>
      </c>
      <c r="V154">
        <f>IF('03_Helper'!A154="","",'03_Helper'!AG154)</f>
        <v/>
      </c>
      <c r="W154">
        <f>IF('03_Helper'!A154="","",'03_Helper'!AK154)</f>
        <v/>
      </c>
      <c r="X154">
        <f>IF('03_Helper'!A154="","",'03_Helper'!K154)</f>
        <v/>
      </c>
      <c r="Y154">
        <f>IF('03_Helper'!A154="","",'03_Helper'!AN154)</f>
        <v/>
      </c>
    </row>
    <row r="155">
      <c r="A155">
        <f>IF('03_Helper'!A155="","",'03_Helper'!B155)</f>
        <v/>
      </c>
      <c r="B155">
        <f>IF('03_Helper'!A155="","",'03_Helper'!C155)</f>
        <v/>
      </c>
      <c r="C155">
        <f>IF('03_Helper'!A155="","",'03_Helper'!G155)</f>
        <v/>
      </c>
      <c r="D155">
        <f>IF('03_Helper'!A155="","",'03_Helper'!E155)</f>
        <v/>
      </c>
      <c r="E155">
        <f>IF('03_Helper'!A155="","",'03_Helper'!D155)</f>
        <v/>
      </c>
      <c r="F155">
        <f>IF('03_Helper'!A155="","",'03_Helper'!H155)</f>
        <v/>
      </c>
      <c r="G155">
        <f>IF('03_Helper'!A155="","",'03_Helper'!X155)</f>
        <v/>
      </c>
      <c r="H155">
        <f>IF('03_Helper'!A155="","",'03_Helper'!Y155)</f>
        <v/>
      </c>
      <c r="I155">
        <f>IF('03_Helper'!A155="","",'03_Helper'!Z155)</f>
        <v/>
      </c>
      <c r="J155">
        <f>IF('03_Helper'!A155="","",'03_Helper'!Q155)</f>
        <v/>
      </c>
      <c r="K155">
        <f>IF('03_Helper'!A155="","",'03_Helper'!R155)</f>
        <v/>
      </c>
      <c r="L155">
        <f>IF('03_Helper'!A155="","",'03_Helper'!S155)</f>
        <v/>
      </c>
      <c r="M155">
        <f>IF('03_Helper'!A155="","",'03_Helper'!T155)</f>
        <v/>
      </c>
      <c r="N155">
        <f>IF('03_Helper'!A155="","",'03_Helper'!AA155)</f>
        <v/>
      </c>
      <c r="O155">
        <f>IF('03_Helper'!A155="","",'03_Helper'!AB155)</f>
        <v/>
      </c>
      <c r="P155">
        <f>IF('03_Helper'!A155="","",'03_Helper'!AC155)</f>
        <v/>
      </c>
      <c r="Q155">
        <f>IF('03_Helper'!A155="","",'03_Helper'!AD155)</f>
        <v/>
      </c>
      <c r="R155">
        <f>IF('03_Helper'!A155="","",'03_Helper'!AI155)</f>
        <v/>
      </c>
      <c r="S155">
        <f>IF('03_Helper'!A155="","",'03_Helper'!AJ155)</f>
        <v/>
      </c>
      <c r="T155">
        <f>IF('03_Helper'!A155="","",'03_Helper'!U155)</f>
        <v/>
      </c>
      <c r="U155">
        <f>IF('03_Helper'!A155="","",'03_Helper'!W155)</f>
        <v/>
      </c>
      <c r="V155">
        <f>IF('03_Helper'!A155="","",'03_Helper'!AG155)</f>
        <v/>
      </c>
      <c r="W155">
        <f>IF('03_Helper'!A155="","",'03_Helper'!AK155)</f>
        <v/>
      </c>
      <c r="X155">
        <f>IF('03_Helper'!A155="","",'03_Helper'!K155)</f>
        <v/>
      </c>
      <c r="Y155">
        <f>IF('03_Helper'!A155="","",'03_Helper'!AN155)</f>
        <v/>
      </c>
    </row>
    <row r="156">
      <c r="A156">
        <f>IF('03_Helper'!A156="","",'03_Helper'!B156)</f>
        <v/>
      </c>
      <c r="B156">
        <f>IF('03_Helper'!A156="","",'03_Helper'!C156)</f>
        <v/>
      </c>
      <c r="C156">
        <f>IF('03_Helper'!A156="","",'03_Helper'!G156)</f>
        <v/>
      </c>
      <c r="D156">
        <f>IF('03_Helper'!A156="","",'03_Helper'!E156)</f>
        <v/>
      </c>
      <c r="E156">
        <f>IF('03_Helper'!A156="","",'03_Helper'!D156)</f>
        <v/>
      </c>
      <c r="F156">
        <f>IF('03_Helper'!A156="","",'03_Helper'!H156)</f>
        <v/>
      </c>
      <c r="G156">
        <f>IF('03_Helper'!A156="","",'03_Helper'!X156)</f>
        <v/>
      </c>
      <c r="H156">
        <f>IF('03_Helper'!A156="","",'03_Helper'!Y156)</f>
        <v/>
      </c>
      <c r="I156">
        <f>IF('03_Helper'!A156="","",'03_Helper'!Z156)</f>
        <v/>
      </c>
      <c r="J156">
        <f>IF('03_Helper'!A156="","",'03_Helper'!Q156)</f>
        <v/>
      </c>
      <c r="K156">
        <f>IF('03_Helper'!A156="","",'03_Helper'!R156)</f>
        <v/>
      </c>
      <c r="L156">
        <f>IF('03_Helper'!A156="","",'03_Helper'!S156)</f>
        <v/>
      </c>
      <c r="M156">
        <f>IF('03_Helper'!A156="","",'03_Helper'!T156)</f>
        <v/>
      </c>
      <c r="N156">
        <f>IF('03_Helper'!A156="","",'03_Helper'!AA156)</f>
        <v/>
      </c>
      <c r="O156">
        <f>IF('03_Helper'!A156="","",'03_Helper'!AB156)</f>
        <v/>
      </c>
      <c r="P156">
        <f>IF('03_Helper'!A156="","",'03_Helper'!AC156)</f>
        <v/>
      </c>
      <c r="Q156">
        <f>IF('03_Helper'!A156="","",'03_Helper'!AD156)</f>
        <v/>
      </c>
      <c r="R156">
        <f>IF('03_Helper'!A156="","",'03_Helper'!AI156)</f>
        <v/>
      </c>
      <c r="S156">
        <f>IF('03_Helper'!A156="","",'03_Helper'!AJ156)</f>
        <v/>
      </c>
      <c r="T156">
        <f>IF('03_Helper'!A156="","",'03_Helper'!U156)</f>
        <v/>
      </c>
      <c r="U156">
        <f>IF('03_Helper'!A156="","",'03_Helper'!W156)</f>
        <v/>
      </c>
      <c r="V156">
        <f>IF('03_Helper'!A156="","",'03_Helper'!AG156)</f>
        <v/>
      </c>
      <c r="W156">
        <f>IF('03_Helper'!A156="","",'03_Helper'!AK156)</f>
        <v/>
      </c>
      <c r="X156">
        <f>IF('03_Helper'!A156="","",'03_Helper'!K156)</f>
        <v/>
      </c>
      <c r="Y156">
        <f>IF('03_Helper'!A156="","",'03_Helper'!AN156)</f>
        <v/>
      </c>
    </row>
    <row r="157">
      <c r="A157">
        <f>IF('03_Helper'!A157="","",'03_Helper'!B157)</f>
        <v/>
      </c>
      <c r="B157">
        <f>IF('03_Helper'!A157="","",'03_Helper'!C157)</f>
        <v/>
      </c>
      <c r="C157">
        <f>IF('03_Helper'!A157="","",'03_Helper'!G157)</f>
        <v/>
      </c>
      <c r="D157">
        <f>IF('03_Helper'!A157="","",'03_Helper'!E157)</f>
        <v/>
      </c>
      <c r="E157">
        <f>IF('03_Helper'!A157="","",'03_Helper'!D157)</f>
        <v/>
      </c>
      <c r="F157">
        <f>IF('03_Helper'!A157="","",'03_Helper'!H157)</f>
        <v/>
      </c>
      <c r="G157">
        <f>IF('03_Helper'!A157="","",'03_Helper'!X157)</f>
        <v/>
      </c>
      <c r="H157">
        <f>IF('03_Helper'!A157="","",'03_Helper'!Y157)</f>
        <v/>
      </c>
      <c r="I157">
        <f>IF('03_Helper'!A157="","",'03_Helper'!Z157)</f>
        <v/>
      </c>
      <c r="J157">
        <f>IF('03_Helper'!A157="","",'03_Helper'!Q157)</f>
        <v/>
      </c>
      <c r="K157">
        <f>IF('03_Helper'!A157="","",'03_Helper'!R157)</f>
        <v/>
      </c>
      <c r="L157">
        <f>IF('03_Helper'!A157="","",'03_Helper'!S157)</f>
        <v/>
      </c>
      <c r="M157">
        <f>IF('03_Helper'!A157="","",'03_Helper'!T157)</f>
        <v/>
      </c>
      <c r="N157">
        <f>IF('03_Helper'!A157="","",'03_Helper'!AA157)</f>
        <v/>
      </c>
      <c r="O157">
        <f>IF('03_Helper'!A157="","",'03_Helper'!AB157)</f>
        <v/>
      </c>
      <c r="P157">
        <f>IF('03_Helper'!A157="","",'03_Helper'!AC157)</f>
        <v/>
      </c>
      <c r="Q157">
        <f>IF('03_Helper'!A157="","",'03_Helper'!AD157)</f>
        <v/>
      </c>
      <c r="R157">
        <f>IF('03_Helper'!A157="","",'03_Helper'!AI157)</f>
        <v/>
      </c>
      <c r="S157">
        <f>IF('03_Helper'!A157="","",'03_Helper'!AJ157)</f>
        <v/>
      </c>
      <c r="T157">
        <f>IF('03_Helper'!A157="","",'03_Helper'!U157)</f>
        <v/>
      </c>
      <c r="U157">
        <f>IF('03_Helper'!A157="","",'03_Helper'!W157)</f>
        <v/>
      </c>
      <c r="V157">
        <f>IF('03_Helper'!A157="","",'03_Helper'!AG157)</f>
        <v/>
      </c>
      <c r="W157">
        <f>IF('03_Helper'!A157="","",'03_Helper'!AK157)</f>
        <v/>
      </c>
      <c r="X157">
        <f>IF('03_Helper'!A157="","",'03_Helper'!K157)</f>
        <v/>
      </c>
      <c r="Y157">
        <f>IF('03_Helper'!A157="","",'03_Helper'!AN157)</f>
        <v/>
      </c>
    </row>
    <row r="158">
      <c r="A158">
        <f>IF('03_Helper'!A158="","",'03_Helper'!B158)</f>
        <v/>
      </c>
      <c r="B158">
        <f>IF('03_Helper'!A158="","",'03_Helper'!C158)</f>
        <v/>
      </c>
      <c r="C158">
        <f>IF('03_Helper'!A158="","",'03_Helper'!G158)</f>
        <v/>
      </c>
      <c r="D158">
        <f>IF('03_Helper'!A158="","",'03_Helper'!E158)</f>
        <v/>
      </c>
      <c r="E158">
        <f>IF('03_Helper'!A158="","",'03_Helper'!D158)</f>
        <v/>
      </c>
      <c r="F158">
        <f>IF('03_Helper'!A158="","",'03_Helper'!H158)</f>
        <v/>
      </c>
      <c r="G158">
        <f>IF('03_Helper'!A158="","",'03_Helper'!X158)</f>
        <v/>
      </c>
      <c r="H158">
        <f>IF('03_Helper'!A158="","",'03_Helper'!Y158)</f>
        <v/>
      </c>
      <c r="I158">
        <f>IF('03_Helper'!A158="","",'03_Helper'!Z158)</f>
        <v/>
      </c>
      <c r="J158">
        <f>IF('03_Helper'!A158="","",'03_Helper'!Q158)</f>
        <v/>
      </c>
      <c r="K158">
        <f>IF('03_Helper'!A158="","",'03_Helper'!R158)</f>
        <v/>
      </c>
      <c r="L158">
        <f>IF('03_Helper'!A158="","",'03_Helper'!S158)</f>
        <v/>
      </c>
      <c r="M158">
        <f>IF('03_Helper'!A158="","",'03_Helper'!T158)</f>
        <v/>
      </c>
      <c r="N158">
        <f>IF('03_Helper'!A158="","",'03_Helper'!AA158)</f>
        <v/>
      </c>
      <c r="O158">
        <f>IF('03_Helper'!A158="","",'03_Helper'!AB158)</f>
        <v/>
      </c>
      <c r="P158">
        <f>IF('03_Helper'!A158="","",'03_Helper'!AC158)</f>
        <v/>
      </c>
      <c r="Q158">
        <f>IF('03_Helper'!A158="","",'03_Helper'!AD158)</f>
        <v/>
      </c>
      <c r="R158">
        <f>IF('03_Helper'!A158="","",'03_Helper'!AI158)</f>
        <v/>
      </c>
      <c r="S158">
        <f>IF('03_Helper'!A158="","",'03_Helper'!AJ158)</f>
        <v/>
      </c>
      <c r="T158">
        <f>IF('03_Helper'!A158="","",'03_Helper'!U158)</f>
        <v/>
      </c>
      <c r="U158">
        <f>IF('03_Helper'!A158="","",'03_Helper'!W158)</f>
        <v/>
      </c>
      <c r="V158">
        <f>IF('03_Helper'!A158="","",'03_Helper'!AG158)</f>
        <v/>
      </c>
      <c r="W158">
        <f>IF('03_Helper'!A158="","",'03_Helper'!AK158)</f>
        <v/>
      </c>
      <c r="X158">
        <f>IF('03_Helper'!A158="","",'03_Helper'!K158)</f>
        <v/>
      </c>
      <c r="Y158">
        <f>IF('03_Helper'!A158="","",'03_Helper'!AN158)</f>
        <v/>
      </c>
    </row>
    <row r="159">
      <c r="A159">
        <f>IF('03_Helper'!A159="","",'03_Helper'!B159)</f>
        <v/>
      </c>
      <c r="B159">
        <f>IF('03_Helper'!A159="","",'03_Helper'!C159)</f>
        <v/>
      </c>
      <c r="C159">
        <f>IF('03_Helper'!A159="","",'03_Helper'!G159)</f>
        <v/>
      </c>
      <c r="D159">
        <f>IF('03_Helper'!A159="","",'03_Helper'!E159)</f>
        <v/>
      </c>
      <c r="E159">
        <f>IF('03_Helper'!A159="","",'03_Helper'!D159)</f>
        <v/>
      </c>
      <c r="F159">
        <f>IF('03_Helper'!A159="","",'03_Helper'!H159)</f>
        <v/>
      </c>
      <c r="G159">
        <f>IF('03_Helper'!A159="","",'03_Helper'!X159)</f>
        <v/>
      </c>
      <c r="H159">
        <f>IF('03_Helper'!A159="","",'03_Helper'!Y159)</f>
        <v/>
      </c>
      <c r="I159">
        <f>IF('03_Helper'!A159="","",'03_Helper'!Z159)</f>
        <v/>
      </c>
      <c r="J159">
        <f>IF('03_Helper'!A159="","",'03_Helper'!Q159)</f>
        <v/>
      </c>
      <c r="K159">
        <f>IF('03_Helper'!A159="","",'03_Helper'!R159)</f>
        <v/>
      </c>
      <c r="L159">
        <f>IF('03_Helper'!A159="","",'03_Helper'!S159)</f>
        <v/>
      </c>
      <c r="M159">
        <f>IF('03_Helper'!A159="","",'03_Helper'!T159)</f>
        <v/>
      </c>
      <c r="N159">
        <f>IF('03_Helper'!A159="","",'03_Helper'!AA159)</f>
        <v/>
      </c>
      <c r="O159">
        <f>IF('03_Helper'!A159="","",'03_Helper'!AB159)</f>
        <v/>
      </c>
      <c r="P159">
        <f>IF('03_Helper'!A159="","",'03_Helper'!AC159)</f>
        <v/>
      </c>
      <c r="Q159">
        <f>IF('03_Helper'!A159="","",'03_Helper'!AD159)</f>
        <v/>
      </c>
      <c r="R159">
        <f>IF('03_Helper'!A159="","",'03_Helper'!AI159)</f>
        <v/>
      </c>
      <c r="S159">
        <f>IF('03_Helper'!A159="","",'03_Helper'!AJ159)</f>
        <v/>
      </c>
      <c r="T159">
        <f>IF('03_Helper'!A159="","",'03_Helper'!U159)</f>
        <v/>
      </c>
      <c r="U159">
        <f>IF('03_Helper'!A159="","",'03_Helper'!W159)</f>
        <v/>
      </c>
      <c r="V159">
        <f>IF('03_Helper'!A159="","",'03_Helper'!AG159)</f>
        <v/>
      </c>
      <c r="W159">
        <f>IF('03_Helper'!A159="","",'03_Helper'!AK159)</f>
        <v/>
      </c>
      <c r="X159">
        <f>IF('03_Helper'!A159="","",'03_Helper'!K159)</f>
        <v/>
      </c>
      <c r="Y159">
        <f>IF('03_Helper'!A159="","",'03_Helper'!AN159)</f>
        <v/>
      </c>
    </row>
    <row r="160">
      <c r="A160">
        <f>IF('03_Helper'!A160="","",'03_Helper'!B160)</f>
        <v/>
      </c>
      <c r="B160">
        <f>IF('03_Helper'!A160="","",'03_Helper'!C160)</f>
        <v/>
      </c>
      <c r="C160">
        <f>IF('03_Helper'!A160="","",'03_Helper'!G160)</f>
        <v/>
      </c>
      <c r="D160">
        <f>IF('03_Helper'!A160="","",'03_Helper'!E160)</f>
        <v/>
      </c>
      <c r="E160">
        <f>IF('03_Helper'!A160="","",'03_Helper'!D160)</f>
        <v/>
      </c>
      <c r="F160">
        <f>IF('03_Helper'!A160="","",'03_Helper'!H160)</f>
        <v/>
      </c>
      <c r="G160">
        <f>IF('03_Helper'!A160="","",'03_Helper'!X160)</f>
        <v/>
      </c>
      <c r="H160">
        <f>IF('03_Helper'!A160="","",'03_Helper'!Y160)</f>
        <v/>
      </c>
      <c r="I160">
        <f>IF('03_Helper'!A160="","",'03_Helper'!Z160)</f>
        <v/>
      </c>
      <c r="J160">
        <f>IF('03_Helper'!A160="","",'03_Helper'!Q160)</f>
        <v/>
      </c>
      <c r="K160">
        <f>IF('03_Helper'!A160="","",'03_Helper'!R160)</f>
        <v/>
      </c>
      <c r="L160">
        <f>IF('03_Helper'!A160="","",'03_Helper'!S160)</f>
        <v/>
      </c>
      <c r="M160">
        <f>IF('03_Helper'!A160="","",'03_Helper'!T160)</f>
        <v/>
      </c>
      <c r="N160">
        <f>IF('03_Helper'!A160="","",'03_Helper'!AA160)</f>
        <v/>
      </c>
      <c r="O160">
        <f>IF('03_Helper'!A160="","",'03_Helper'!AB160)</f>
        <v/>
      </c>
      <c r="P160">
        <f>IF('03_Helper'!A160="","",'03_Helper'!AC160)</f>
        <v/>
      </c>
      <c r="Q160">
        <f>IF('03_Helper'!A160="","",'03_Helper'!AD160)</f>
        <v/>
      </c>
      <c r="R160">
        <f>IF('03_Helper'!A160="","",'03_Helper'!AI160)</f>
        <v/>
      </c>
      <c r="S160">
        <f>IF('03_Helper'!A160="","",'03_Helper'!AJ160)</f>
        <v/>
      </c>
      <c r="T160">
        <f>IF('03_Helper'!A160="","",'03_Helper'!U160)</f>
        <v/>
      </c>
      <c r="U160">
        <f>IF('03_Helper'!A160="","",'03_Helper'!W160)</f>
        <v/>
      </c>
      <c r="V160">
        <f>IF('03_Helper'!A160="","",'03_Helper'!AG160)</f>
        <v/>
      </c>
      <c r="W160">
        <f>IF('03_Helper'!A160="","",'03_Helper'!AK160)</f>
        <v/>
      </c>
      <c r="X160">
        <f>IF('03_Helper'!A160="","",'03_Helper'!K160)</f>
        <v/>
      </c>
      <c r="Y160">
        <f>IF('03_Helper'!A160="","",'03_Helper'!AN160)</f>
        <v/>
      </c>
    </row>
    <row r="161">
      <c r="A161">
        <f>IF('03_Helper'!A161="","",'03_Helper'!B161)</f>
        <v/>
      </c>
      <c r="B161">
        <f>IF('03_Helper'!A161="","",'03_Helper'!C161)</f>
        <v/>
      </c>
      <c r="C161">
        <f>IF('03_Helper'!A161="","",'03_Helper'!G161)</f>
        <v/>
      </c>
      <c r="D161">
        <f>IF('03_Helper'!A161="","",'03_Helper'!E161)</f>
        <v/>
      </c>
      <c r="E161">
        <f>IF('03_Helper'!A161="","",'03_Helper'!D161)</f>
        <v/>
      </c>
      <c r="F161">
        <f>IF('03_Helper'!A161="","",'03_Helper'!H161)</f>
        <v/>
      </c>
      <c r="G161">
        <f>IF('03_Helper'!A161="","",'03_Helper'!X161)</f>
        <v/>
      </c>
      <c r="H161">
        <f>IF('03_Helper'!A161="","",'03_Helper'!Y161)</f>
        <v/>
      </c>
      <c r="I161">
        <f>IF('03_Helper'!A161="","",'03_Helper'!Z161)</f>
        <v/>
      </c>
      <c r="J161">
        <f>IF('03_Helper'!A161="","",'03_Helper'!Q161)</f>
        <v/>
      </c>
      <c r="K161">
        <f>IF('03_Helper'!A161="","",'03_Helper'!R161)</f>
        <v/>
      </c>
      <c r="L161">
        <f>IF('03_Helper'!A161="","",'03_Helper'!S161)</f>
        <v/>
      </c>
      <c r="M161">
        <f>IF('03_Helper'!A161="","",'03_Helper'!T161)</f>
        <v/>
      </c>
      <c r="N161">
        <f>IF('03_Helper'!A161="","",'03_Helper'!AA161)</f>
        <v/>
      </c>
      <c r="O161">
        <f>IF('03_Helper'!A161="","",'03_Helper'!AB161)</f>
        <v/>
      </c>
      <c r="P161">
        <f>IF('03_Helper'!A161="","",'03_Helper'!AC161)</f>
        <v/>
      </c>
      <c r="Q161">
        <f>IF('03_Helper'!A161="","",'03_Helper'!AD161)</f>
        <v/>
      </c>
      <c r="R161">
        <f>IF('03_Helper'!A161="","",'03_Helper'!AI161)</f>
        <v/>
      </c>
      <c r="S161">
        <f>IF('03_Helper'!A161="","",'03_Helper'!AJ161)</f>
        <v/>
      </c>
      <c r="T161">
        <f>IF('03_Helper'!A161="","",'03_Helper'!U161)</f>
        <v/>
      </c>
      <c r="U161">
        <f>IF('03_Helper'!A161="","",'03_Helper'!W161)</f>
        <v/>
      </c>
      <c r="V161">
        <f>IF('03_Helper'!A161="","",'03_Helper'!AG161)</f>
        <v/>
      </c>
      <c r="W161">
        <f>IF('03_Helper'!A161="","",'03_Helper'!AK161)</f>
        <v/>
      </c>
      <c r="X161">
        <f>IF('03_Helper'!A161="","",'03_Helper'!K161)</f>
        <v/>
      </c>
      <c r="Y161">
        <f>IF('03_Helper'!A161="","",'03_Helper'!AN161)</f>
        <v/>
      </c>
    </row>
    <row r="162">
      <c r="A162">
        <f>IF('03_Helper'!A162="","",'03_Helper'!B162)</f>
        <v/>
      </c>
      <c r="B162">
        <f>IF('03_Helper'!A162="","",'03_Helper'!C162)</f>
        <v/>
      </c>
      <c r="C162">
        <f>IF('03_Helper'!A162="","",'03_Helper'!G162)</f>
        <v/>
      </c>
      <c r="D162">
        <f>IF('03_Helper'!A162="","",'03_Helper'!E162)</f>
        <v/>
      </c>
      <c r="E162">
        <f>IF('03_Helper'!A162="","",'03_Helper'!D162)</f>
        <v/>
      </c>
      <c r="F162">
        <f>IF('03_Helper'!A162="","",'03_Helper'!H162)</f>
        <v/>
      </c>
      <c r="G162">
        <f>IF('03_Helper'!A162="","",'03_Helper'!X162)</f>
        <v/>
      </c>
      <c r="H162">
        <f>IF('03_Helper'!A162="","",'03_Helper'!Y162)</f>
        <v/>
      </c>
      <c r="I162">
        <f>IF('03_Helper'!A162="","",'03_Helper'!Z162)</f>
        <v/>
      </c>
      <c r="J162">
        <f>IF('03_Helper'!A162="","",'03_Helper'!Q162)</f>
        <v/>
      </c>
      <c r="K162">
        <f>IF('03_Helper'!A162="","",'03_Helper'!R162)</f>
        <v/>
      </c>
      <c r="L162">
        <f>IF('03_Helper'!A162="","",'03_Helper'!S162)</f>
        <v/>
      </c>
      <c r="M162">
        <f>IF('03_Helper'!A162="","",'03_Helper'!T162)</f>
        <v/>
      </c>
      <c r="N162">
        <f>IF('03_Helper'!A162="","",'03_Helper'!AA162)</f>
        <v/>
      </c>
      <c r="O162">
        <f>IF('03_Helper'!A162="","",'03_Helper'!AB162)</f>
        <v/>
      </c>
      <c r="P162">
        <f>IF('03_Helper'!A162="","",'03_Helper'!AC162)</f>
        <v/>
      </c>
      <c r="Q162">
        <f>IF('03_Helper'!A162="","",'03_Helper'!AD162)</f>
        <v/>
      </c>
      <c r="R162">
        <f>IF('03_Helper'!A162="","",'03_Helper'!AI162)</f>
        <v/>
      </c>
      <c r="S162">
        <f>IF('03_Helper'!A162="","",'03_Helper'!AJ162)</f>
        <v/>
      </c>
      <c r="T162">
        <f>IF('03_Helper'!A162="","",'03_Helper'!U162)</f>
        <v/>
      </c>
      <c r="U162">
        <f>IF('03_Helper'!A162="","",'03_Helper'!W162)</f>
        <v/>
      </c>
      <c r="V162">
        <f>IF('03_Helper'!A162="","",'03_Helper'!AG162)</f>
        <v/>
      </c>
      <c r="W162">
        <f>IF('03_Helper'!A162="","",'03_Helper'!AK162)</f>
        <v/>
      </c>
      <c r="X162">
        <f>IF('03_Helper'!A162="","",'03_Helper'!K162)</f>
        <v/>
      </c>
      <c r="Y162">
        <f>IF('03_Helper'!A162="","",'03_Helper'!AN162)</f>
        <v/>
      </c>
    </row>
    <row r="163">
      <c r="A163">
        <f>IF('03_Helper'!A163="","",'03_Helper'!B163)</f>
        <v/>
      </c>
      <c r="B163">
        <f>IF('03_Helper'!A163="","",'03_Helper'!C163)</f>
        <v/>
      </c>
      <c r="C163">
        <f>IF('03_Helper'!A163="","",'03_Helper'!G163)</f>
        <v/>
      </c>
      <c r="D163">
        <f>IF('03_Helper'!A163="","",'03_Helper'!E163)</f>
        <v/>
      </c>
      <c r="E163">
        <f>IF('03_Helper'!A163="","",'03_Helper'!D163)</f>
        <v/>
      </c>
      <c r="F163">
        <f>IF('03_Helper'!A163="","",'03_Helper'!H163)</f>
        <v/>
      </c>
      <c r="G163">
        <f>IF('03_Helper'!A163="","",'03_Helper'!X163)</f>
        <v/>
      </c>
      <c r="H163">
        <f>IF('03_Helper'!A163="","",'03_Helper'!Y163)</f>
        <v/>
      </c>
      <c r="I163">
        <f>IF('03_Helper'!A163="","",'03_Helper'!Z163)</f>
        <v/>
      </c>
      <c r="J163">
        <f>IF('03_Helper'!A163="","",'03_Helper'!Q163)</f>
        <v/>
      </c>
      <c r="K163">
        <f>IF('03_Helper'!A163="","",'03_Helper'!R163)</f>
        <v/>
      </c>
      <c r="L163">
        <f>IF('03_Helper'!A163="","",'03_Helper'!S163)</f>
        <v/>
      </c>
      <c r="M163">
        <f>IF('03_Helper'!A163="","",'03_Helper'!T163)</f>
        <v/>
      </c>
      <c r="N163">
        <f>IF('03_Helper'!A163="","",'03_Helper'!AA163)</f>
        <v/>
      </c>
      <c r="O163">
        <f>IF('03_Helper'!A163="","",'03_Helper'!AB163)</f>
        <v/>
      </c>
      <c r="P163">
        <f>IF('03_Helper'!A163="","",'03_Helper'!AC163)</f>
        <v/>
      </c>
      <c r="Q163">
        <f>IF('03_Helper'!A163="","",'03_Helper'!AD163)</f>
        <v/>
      </c>
      <c r="R163">
        <f>IF('03_Helper'!A163="","",'03_Helper'!AI163)</f>
        <v/>
      </c>
      <c r="S163">
        <f>IF('03_Helper'!A163="","",'03_Helper'!AJ163)</f>
        <v/>
      </c>
      <c r="T163">
        <f>IF('03_Helper'!A163="","",'03_Helper'!U163)</f>
        <v/>
      </c>
      <c r="U163">
        <f>IF('03_Helper'!A163="","",'03_Helper'!W163)</f>
        <v/>
      </c>
      <c r="V163">
        <f>IF('03_Helper'!A163="","",'03_Helper'!AG163)</f>
        <v/>
      </c>
      <c r="W163">
        <f>IF('03_Helper'!A163="","",'03_Helper'!AK163)</f>
        <v/>
      </c>
      <c r="X163">
        <f>IF('03_Helper'!A163="","",'03_Helper'!K163)</f>
        <v/>
      </c>
      <c r="Y163">
        <f>IF('03_Helper'!A163="","",'03_Helper'!AN163)</f>
        <v/>
      </c>
    </row>
    <row r="164">
      <c r="A164">
        <f>IF('03_Helper'!A164="","",'03_Helper'!B164)</f>
        <v/>
      </c>
      <c r="B164">
        <f>IF('03_Helper'!A164="","",'03_Helper'!C164)</f>
        <v/>
      </c>
      <c r="C164">
        <f>IF('03_Helper'!A164="","",'03_Helper'!G164)</f>
        <v/>
      </c>
      <c r="D164">
        <f>IF('03_Helper'!A164="","",'03_Helper'!E164)</f>
        <v/>
      </c>
      <c r="E164">
        <f>IF('03_Helper'!A164="","",'03_Helper'!D164)</f>
        <v/>
      </c>
      <c r="F164">
        <f>IF('03_Helper'!A164="","",'03_Helper'!H164)</f>
        <v/>
      </c>
      <c r="G164">
        <f>IF('03_Helper'!A164="","",'03_Helper'!X164)</f>
        <v/>
      </c>
      <c r="H164">
        <f>IF('03_Helper'!A164="","",'03_Helper'!Y164)</f>
        <v/>
      </c>
      <c r="I164">
        <f>IF('03_Helper'!A164="","",'03_Helper'!Z164)</f>
        <v/>
      </c>
      <c r="J164">
        <f>IF('03_Helper'!A164="","",'03_Helper'!Q164)</f>
        <v/>
      </c>
      <c r="K164">
        <f>IF('03_Helper'!A164="","",'03_Helper'!R164)</f>
        <v/>
      </c>
      <c r="L164">
        <f>IF('03_Helper'!A164="","",'03_Helper'!S164)</f>
        <v/>
      </c>
      <c r="M164">
        <f>IF('03_Helper'!A164="","",'03_Helper'!T164)</f>
        <v/>
      </c>
      <c r="N164">
        <f>IF('03_Helper'!A164="","",'03_Helper'!AA164)</f>
        <v/>
      </c>
      <c r="O164">
        <f>IF('03_Helper'!A164="","",'03_Helper'!AB164)</f>
        <v/>
      </c>
      <c r="P164">
        <f>IF('03_Helper'!A164="","",'03_Helper'!AC164)</f>
        <v/>
      </c>
      <c r="Q164">
        <f>IF('03_Helper'!A164="","",'03_Helper'!AD164)</f>
        <v/>
      </c>
      <c r="R164">
        <f>IF('03_Helper'!A164="","",'03_Helper'!AI164)</f>
        <v/>
      </c>
      <c r="S164">
        <f>IF('03_Helper'!A164="","",'03_Helper'!AJ164)</f>
        <v/>
      </c>
      <c r="T164">
        <f>IF('03_Helper'!A164="","",'03_Helper'!U164)</f>
        <v/>
      </c>
      <c r="U164">
        <f>IF('03_Helper'!A164="","",'03_Helper'!W164)</f>
        <v/>
      </c>
      <c r="V164">
        <f>IF('03_Helper'!A164="","",'03_Helper'!AG164)</f>
        <v/>
      </c>
      <c r="W164">
        <f>IF('03_Helper'!A164="","",'03_Helper'!AK164)</f>
        <v/>
      </c>
      <c r="X164">
        <f>IF('03_Helper'!A164="","",'03_Helper'!K164)</f>
        <v/>
      </c>
      <c r="Y164">
        <f>IF('03_Helper'!A164="","",'03_Helper'!AN164)</f>
        <v/>
      </c>
    </row>
    <row r="165">
      <c r="A165">
        <f>IF('03_Helper'!A165="","",'03_Helper'!B165)</f>
        <v/>
      </c>
      <c r="B165">
        <f>IF('03_Helper'!A165="","",'03_Helper'!C165)</f>
        <v/>
      </c>
      <c r="C165">
        <f>IF('03_Helper'!A165="","",'03_Helper'!G165)</f>
        <v/>
      </c>
      <c r="D165">
        <f>IF('03_Helper'!A165="","",'03_Helper'!E165)</f>
        <v/>
      </c>
      <c r="E165">
        <f>IF('03_Helper'!A165="","",'03_Helper'!D165)</f>
        <v/>
      </c>
      <c r="F165">
        <f>IF('03_Helper'!A165="","",'03_Helper'!H165)</f>
        <v/>
      </c>
      <c r="G165">
        <f>IF('03_Helper'!A165="","",'03_Helper'!X165)</f>
        <v/>
      </c>
      <c r="H165">
        <f>IF('03_Helper'!A165="","",'03_Helper'!Y165)</f>
        <v/>
      </c>
      <c r="I165">
        <f>IF('03_Helper'!A165="","",'03_Helper'!Z165)</f>
        <v/>
      </c>
      <c r="J165">
        <f>IF('03_Helper'!A165="","",'03_Helper'!Q165)</f>
        <v/>
      </c>
      <c r="K165">
        <f>IF('03_Helper'!A165="","",'03_Helper'!R165)</f>
        <v/>
      </c>
      <c r="L165">
        <f>IF('03_Helper'!A165="","",'03_Helper'!S165)</f>
        <v/>
      </c>
      <c r="M165">
        <f>IF('03_Helper'!A165="","",'03_Helper'!T165)</f>
        <v/>
      </c>
      <c r="N165">
        <f>IF('03_Helper'!A165="","",'03_Helper'!AA165)</f>
        <v/>
      </c>
      <c r="O165">
        <f>IF('03_Helper'!A165="","",'03_Helper'!AB165)</f>
        <v/>
      </c>
      <c r="P165">
        <f>IF('03_Helper'!A165="","",'03_Helper'!AC165)</f>
        <v/>
      </c>
      <c r="Q165">
        <f>IF('03_Helper'!A165="","",'03_Helper'!AD165)</f>
        <v/>
      </c>
      <c r="R165">
        <f>IF('03_Helper'!A165="","",'03_Helper'!AI165)</f>
        <v/>
      </c>
      <c r="S165">
        <f>IF('03_Helper'!A165="","",'03_Helper'!AJ165)</f>
        <v/>
      </c>
      <c r="T165">
        <f>IF('03_Helper'!A165="","",'03_Helper'!U165)</f>
        <v/>
      </c>
      <c r="U165">
        <f>IF('03_Helper'!A165="","",'03_Helper'!W165)</f>
        <v/>
      </c>
      <c r="V165">
        <f>IF('03_Helper'!A165="","",'03_Helper'!AG165)</f>
        <v/>
      </c>
      <c r="W165">
        <f>IF('03_Helper'!A165="","",'03_Helper'!AK165)</f>
        <v/>
      </c>
      <c r="X165">
        <f>IF('03_Helper'!A165="","",'03_Helper'!K165)</f>
        <v/>
      </c>
      <c r="Y165">
        <f>IF('03_Helper'!A165="","",'03_Helper'!AN165)</f>
        <v/>
      </c>
    </row>
    <row r="166">
      <c r="A166">
        <f>IF('03_Helper'!A166="","",'03_Helper'!B166)</f>
        <v/>
      </c>
      <c r="B166">
        <f>IF('03_Helper'!A166="","",'03_Helper'!C166)</f>
        <v/>
      </c>
      <c r="C166">
        <f>IF('03_Helper'!A166="","",'03_Helper'!G166)</f>
        <v/>
      </c>
      <c r="D166">
        <f>IF('03_Helper'!A166="","",'03_Helper'!E166)</f>
        <v/>
      </c>
      <c r="E166">
        <f>IF('03_Helper'!A166="","",'03_Helper'!D166)</f>
        <v/>
      </c>
      <c r="F166">
        <f>IF('03_Helper'!A166="","",'03_Helper'!H166)</f>
        <v/>
      </c>
      <c r="G166">
        <f>IF('03_Helper'!A166="","",'03_Helper'!X166)</f>
        <v/>
      </c>
      <c r="H166">
        <f>IF('03_Helper'!A166="","",'03_Helper'!Y166)</f>
        <v/>
      </c>
      <c r="I166">
        <f>IF('03_Helper'!A166="","",'03_Helper'!Z166)</f>
        <v/>
      </c>
      <c r="J166">
        <f>IF('03_Helper'!A166="","",'03_Helper'!Q166)</f>
        <v/>
      </c>
      <c r="K166">
        <f>IF('03_Helper'!A166="","",'03_Helper'!R166)</f>
        <v/>
      </c>
      <c r="L166">
        <f>IF('03_Helper'!A166="","",'03_Helper'!S166)</f>
        <v/>
      </c>
      <c r="M166">
        <f>IF('03_Helper'!A166="","",'03_Helper'!T166)</f>
        <v/>
      </c>
      <c r="N166">
        <f>IF('03_Helper'!A166="","",'03_Helper'!AA166)</f>
        <v/>
      </c>
      <c r="O166">
        <f>IF('03_Helper'!A166="","",'03_Helper'!AB166)</f>
        <v/>
      </c>
      <c r="P166">
        <f>IF('03_Helper'!A166="","",'03_Helper'!AC166)</f>
        <v/>
      </c>
      <c r="Q166">
        <f>IF('03_Helper'!A166="","",'03_Helper'!AD166)</f>
        <v/>
      </c>
      <c r="R166">
        <f>IF('03_Helper'!A166="","",'03_Helper'!AI166)</f>
        <v/>
      </c>
      <c r="S166">
        <f>IF('03_Helper'!A166="","",'03_Helper'!AJ166)</f>
        <v/>
      </c>
      <c r="T166">
        <f>IF('03_Helper'!A166="","",'03_Helper'!U166)</f>
        <v/>
      </c>
      <c r="U166">
        <f>IF('03_Helper'!A166="","",'03_Helper'!W166)</f>
        <v/>
      </c>
      <c r="V166">
        <f>IF('03_Helper'!A166="","",'03_Helper'!AG166)</f>
        <v/>
      </c>
      <c r="W166">
        <f>IF('03_Helper'!A166="","",'03_Helper'!AK166)</f>
        <v/>
      </c>
      <c r="X166">
        <f>IF('03_Helper'!A166="","",'03_Helper'!K166)</f>
        <v/>
      </c>
      <c r="Y166">
        <f>IF('03_Helper'!A166="","",'03_Helper'!AN166)</f>
        <v/>
      </c>
    </row>
    <row r="167">
      <c r="A167">
        <f>IF('03_Helper'!A167="","",'03_Helper'!B167)</f>
        <v/>
      </c>
      <c r="B167">
        <f>IF('03_Helper'!A167="","",'03_Helper'!C167)</f>
        <v/>
      </c>
      <c r="C167">
        <f>IF('03_Helper'!A167="","",'03_Helper'!G167)</f>
        <v/>
      </c>
      <c r="D167">
        <f>IF('03_Helper'!A167="","",'03_Helper'!E167)</f>
        <v/>
      </c>
      <c r="E167">
        <f>IF('03_Helper'!A167="","",'03_Helper'!D167)</f>
        <v/>
      </c>
      <c r="F167">
        <f>IF('03_Helper'!A167="","",'03_Helper'!H167)</f>
        <v/>
      </c>
      <c r="G167">
        <f>IF('03_Helper'!A167="","",'03_Helper'!X167)</f>
        <v/>
      </c>
      <c r="H167">
        <f>IF('03_Helper'!A167="","",'03_Helper'!Y167)</f>
        <v/>
      </c>
      <c r="I167">
        <f>IF('03_Helper'!A167="","",'03_Helper'!Z167)</f>
        <v/>
      </c>
      <c r="J167">
        <f>IF('03_Helper'!A167="","",'03_Helper'!Q167)</f>
        <v/>
      </c>
      <c r="K167">
        <f>IF('03_Helper'!A167="","",'03_Helper'!R167)</f>
        <v/>
      </c>
      <c r="L167">
        <f>IF('03_Helper'!A167="","",'03_Helper'!S167)</f>
        <v/>
      </c>
      <c r="M167">
        <f>IF('03_Helper'!A167="","",'03_Helper'!T167)</f>
        <v/>
      </c>
      <c r="N167">
        <f>IF('03_Helper'!A167="","",'03_Helper'!AA167)</f>
        <v/>
      </c>
      <c r="O167">
        <f>IF('03_Helper'!A167="","",'03_Helper'!AB167)</f>
        <v/>
      </c>
      <c r="P167">
        <f>IF('03_Helper'!A167="","",'03_Helper'!AC167)</f>
        <v/>
      </c>
      <c r="Q167">
        <f>IF('03_Helper'!A167="","",'03_Helper'!AD167)</f>
        <v/>
      </c>
      <c r="R167">
        <f>IF('03_Helper'!A167="","",'03_Helper'!AI167)</f>
        <v/>
      </c>
      <c r="S167">
        <f>IF('03_Helper'!A167="","",'03_Helper'!AJ167)</f>
        <v/>
      </c>
      <c r="T167">
        <f>IF('03_Helper'!A167="","",'03_Helper'!U167)</f>
        <v/>
      </c>
      <c r="U167">
        <f>IF('03_Helper'!A167="","",'03_Helper'!W167)</f>
        <v/>
      </c>
      <c r="V167">
        <f>IF('03_Helper'!A167="","",'03_Helper'!AG167)</f>
        <v/>
      </c>
      <c r="W167">
        <f>IF('03_Helper'!A167="","",'03_Helper'!AK167)</f>
        <v/>
      </c>
      <c r="X167">
        <f>IF('03_Helper'!A167="","",'03_Helper'!K167)</f>
        <v/>
      </c>
      <c r="Y167">
        <f>IF('03_Helper'!A167="","",'03_Helper'!AN167)</f>
        <v/>
      </c>
    </row>
    <row r="168">
      <c r="A168">
        <f>IF('03_Helper'!A168="","",'03_Helper'!B168)</f>
        <v/>
      </c>
      <c r="B168">
        <f>IF('03_Helper'!A168="","",'03_Helper'!C168)</f>
        <v/>
      </c>
      <c r="C168">
        <f>IF('03_Helper'!A168="","",'03_Helper'!G168)</f>
        <v/>
      </c>
      <c r="D168">
        <f>IF('03_Helper'!A168="","",'03_Helper'!E168)</f>
        <v/>
      </c>
      <c r="E168">
        <f>IF('03_Helper'!A168="","",'03_Helper'!D168)</f>
        <v/>
      </c>
      <c r="F168">
        <f>IF('03_Helper'!A168="","",'03_Helper'!H168)</f>
        <v/>
      </c>
      <c r="G168">
        <f>IF('03_Helper'!A168="","",'03_Helper'!X168)</f>
        <v/>
      </c>
      <c r="H168">
        <f>IF('03_Helper'!A168="","",'03_Helper'!Y168)</f>
        <v/>
      </c>
      <c r="I168">
        <f>IF('03_Helper'!A168="","",'03_Helper'!Z168)</f>
        <v/>
      </c>
      <c r="J168">
        <f>IF('03_Helper'!A168="","",'03_Helper'!Q168)</f>
        <v/>
      </c>
      <c r="K168">
        <f>IF('03_Helper'!A168="","",'03_Helper'!R168)</f>
        <v/>
      </c>
      <c r="L168">
        <f>IF('03_Helper'!A168="","",'03_Helper'!S168)</f>
        <v/>
      </c>
      <c r="M168">
        <f>IF('03_Helper'!A168="","",'03_Helper'!T168)</f>
        <v/>
      </c>
      <c r="N168">
        <f>IF('03_Helper'!A168="","",'03_Helper'!AA168)</f>
        <v/>
      </c>
      <c r="O168">
        <f>IF('03_Helper'!A168="","",'03_Helper'!AB168)</f>
        <v/>
      </c>
      <c r="P168">
        <f>IF('03_Helper'!A168="","",'03_Helper'!AC168)</f>
        <v/>
      </c>
      <c r="Q168">
        <f>IF('03_Helper'!A168="","",'03_Helper'!AD168)</f>
        <v/>
      </c>
      <c r="R168">
        <f>IF('03_Helper'!A168="","",'03_Helper'!AI168)</f>
        <v/>
      </c>
      <c r="S168">
        <f>IF('03_Helper'!A168="","",'03_Helper'!AJ168)</f>
        <v/>
      </c>
      <c r="T168">
        <f>IF('03_Helper'!A168="","",'03_Helper'!U168)</f>
        <v/>
      </c>
      <c r="U168">
        <f>IF('03_Helper'!A168="","",'03_Helper'!W168)</f>
        <v/>
      </c>
      <c r="V168">
        <f>IF('03_Helper'!A168="","",'03_Helper'!AG168)</f>
        <v/>
      </c>
      <c r="W168">
        <f>IF('03_Helper'!A168="","",'03_Helper'!AK168)</f>
        <v/>
      </c>
      <c r="X168">
        <f>IF('03_Helper'!A168="","",'03_Helper'!K168)</f>
        <v/>
      </c>
      <c r="Y168">
        <f>IF('03_Helper'!A168="","",'03_Helper'!AN168)</f>
        <v/>
      </c>
    </row>
    <row r="169">
      <c r="A169">
        <f>IF('03_Helper'!A169="","",'03_Helper'!B169)</f>
        <v/>
      </c>
      <c r="B169">
        <f>IF('03_Helper'!A169="","",'03_Helper'!C169)</f>
        <v/>
      </c>
      <c r="C169">
        <f>IF('03_Helper'!A169="","",'03_Helper'!G169)</f>
        <v/>
      </c>
      <c r="D169">
        <f>IF('03_Helper'!A169="","",'03_Helper'!E169)</f>
        <v/>
      </c>
      <c r="E169">
        <f>IF('03_Helper'!A169="","",'03_Helper'!D169)</f>
        <v/>
      </c>
      <c r="F169">
        <f>IF('03_Helper'!A169="","",'03_Helper'!H169)</f>
        <v/>
      </c>
      <c r="G169">
        <f>IF('03_Helper'!A169="","",'03_Helper'!X169)</f>
        <v/>
      </c>
      <c r="H169">
        <f>IF('03_Helper'!A169="","",'03_Helper'!Y169)</f>
        <v/>
      </c>
      <c r="I169">
        <f>IF('03_Helper'!A169="","",'03_Helper'!Z169)</f>
        <v/>
      </c>
      <c r="J169">
        <f>IF('03_Helper'!A169="","",'03_Helper'!Q169)</f>
        <v/>
      </c>
      <c r="K169">
        <f>IF('03_Helper'!A169="","",'03_Helper'!R169)</f>
        <v/>
      </c>
      <c r="L169">
        <f>IF('03_Helper'!A169="","",'03_Helper'!S169)</f>
        <v/>
      </c>
      <c r="M169">
        <f>IF('03_Helper'!A169="","",'03_Helper'!T169)</f>
        <v/>
      </c>
      <c r="N169">
        <f>IF('03_Helper'!A169="","",'03_Helper'!AA169)</f>
        <v/>
      </c>
      <c r="O169">
        <f>IF('03_Helper'!A169="","",'03_Helper'!AB169)</f>
        <v/>
      </c>
      <c r="P169">
        <f>IF('03_Helper'!A169="","",'03_Helper'!AC169)</f>
        <v/>
      </c>
      <c r="Q169">
        <f>IF('03_Helper'!A169="","",'03_Helper'!AD169)</f>
        <v/>
      </c>
      <c r="R169">
        <f>IF('03_Helper'!A169="","",'03_Helper'!AI169)</f>
        <v/>
      </c>
      <c r="S169">
        <f>IF('03_Helper'!A169="","",'03_Helper'!AJ169)</f>
        <v/>
      </c>
      <c r="T169">
        <f>IF('03_Helper'!A169="","",'03_Helper'!U169)</f>
        <v/>
      </c>
      <c r="U169">
        <f>IF('03_Helper'!A169="","",'03_Helper'!W169)</f>
        <v/>
      </c>
      <c r="V169">
        <f>IF('03_Helper'!A169="","",'03_Helper'!AG169)</f>
        <v/>
      </c>
      <c r="W169">
        <f>IF('03_Helper'!A169="","",'03_Helper'!AK169)</f>
        <v/>
      </c>
      <c r="X169">
        <f>IF('03_Helper'!A169="","",'03_Helper'!K169)</f>
        <v/>
      </c>
      <c r="Y169">
        <f>IF('03_Helper'!A169="","",'03_Helper'!AN169)</f>
        <v/>
      </c>
    </row>
    <row r="170">
      <c r="A170">
        <f>IF('03_Helper'!A170="","",'03_Helper'!B170)</f>
        <v/>
      </c>
      <c r="B170">
        <f>IF('03_Helper'!A170="","",'03_Helper'!C170)</f>
        <v/>
      </c>
      <c r="C170">
        <f>IF('03_Helper'!A170="","",'03_Helper'!G170)</f>
        <v/>
      </c>
      <c r="D170">
        <f>IF('03_Helper'!A170="","",'03_Helper'!E170)</f>
        <v/>
      </c>
      <c r="E170">
        <f>IF('03_Helper'!A170="","",'03_Helper'!D170)</f>
        <v/>
      </c>
      <c r="F170">
        <f>IF('03_Helper'!A170="","",'03_Helper'!H170)</f>
        <v/>
      </c>
      <c r="G170">
        <f>IF('03_Helper'!A170="","",'03_Helper'!X170)</f>
        <v/>
      </c>
      <c r="H170">
        <f>IF('03_Helper'!A170="","",'03_Helper'!Y170)</f>
        <v/>
      </c>
      <c r="I170">
        <f>IF('03_Helper'!A170="","",'03_Helper'!Z170)</f>
        <v/>
      </c>
      <c r="J170">
        <f>IF('03_Helper'!A170="","",'03_Helper'!Q170)</f>
        <v/>
      </c>
      <c r="K170">
        <f>IF('03_Helper'!A170="","",'03_Helper'!R170)</f>
        <v/>
      </c>
      <c r="L170">
        <f>IF('03_Helper'!A170="","",'03_Helper'!S170)</f>
        <v/>
      </c>
      <c r="M170">
        <f>IF('03_Helper'!A170="","",'03_Helper'!T170)</f>
        <v/>
      </c>
      <c r="N170">
        <f>IF('03_Helper'!A170="","",'03_Helper'!AA170)</f>
        <v/>
      </c>
      <c r="O170">
        <f>IF('03_Helper'!A170="","",'03_Helper'!AB170)</f>
        <v/>
      </c>
      <c r="P170">
        <f>IF('03_Helper'!A170="","",'03_Helper'!AC170)</f>
        <v/>
      </c>
      <c r="Q170">
        <f>IF('03_Helper'!A170="","",'03_Helper'!AD170)</f>
        <v/>
      </c>
      <c r="R170">
        <f>IF('03_Helper'!A170="","",'03_Helper'!AI170)</f>
        <v/>
      </c>
      <c r="S170">
        <f>IF('03_Helper'!A170="","",'03_Helper'!AJ170)</f>
        <v/>
      </c>
      <c r="T170">
        <f>IF('03_Helper'!A170="","",'03_Helper'!U170)</f>
        <v/>
      </c>
      <c r="U170">
        <f>IF('03_Helper'!A170="","",'03_Helper'!W170)</f>
        <v/>
      </c>
      <c r="V170">
        <f>IF('03_Helper'!A170="","",'03_Helper'!AG170)</f>
        <v/>
      </c>
      <c r="W170">
        <f>IF('03_Helper'!A170="","",'03_Helper'!AK170)</f>
        <v/>
      </c>
      <c r="X170">
        <f>IF('03_Helper'!A170="","",'03_Helper'!K170)</f>
        <v/>
      </c>
      <c r="Y170">
        <f>IF('03_Helper'!A170="","",'03_Helper'!AN170)</f>
        <v/>
      </c>
    </row>
    <row r="171">
      <c r="A171">
        <f>IF('03_Helper'!A171="","",'03_Helper'!B171)</f>
        <v/>
      </c>
      <c r="B171">
        <f>IF('03_Helper'!A171="","",'03_Helper'!C171)</f>
        <v/>
      </c>
      <c r="C171">
        <f>IF('03_Helper'!A171="","",'03_Helper'!G171)</f>
        <v/>
      </c>
      <c r="D171">
        <f>IF('03_Helper'!A171="","",'03_Helper'!E171)</f>
        <v/>
      </c>
      <c r="E171">
        <f>IF('03_Helper'!A171="","",'03_Helper'!D171)</f>
        <v/>
      </c>
      <c r="F171">
        <f>IF('03_Helper'!A171="","",'03_Helper'!H171)</f>
        <v/>
      </c>
      <c r="G171">
        <f>IF('03_Helper'!A171="","",'03_Helper'!X171)</f>
        <v/>
      </c>
      <c r="H171">
        <f>IF('03_Helper'!A171="","",'03_Helper'!Y171)</f>
        <v/>
      </c>
      <c r="I171">
        <f>IF('03_Helper'!A171="","",'03_Helper'!Z171)</f>
        <v/>
      </c>
      <c r="J171">
        <f>IF('03_Helper'!A171="","",'03_Helper'!Q171)</f>
        <v/>
      </c>
      <c r="K171">
        <f>IF('03_Helper'!A171="","",'03_Helper'!R171)</f>
        <v/>
      </c>
      <c r="L171">
        <f>IF('03_Helper'!A171="","",'03_Helper'!S171)</f>
        <v/>
      </c>
      <c r="M171">
        <f>IF('03_Helper'!A171="","",'03_Helper'!T171)</f>
        <v/>
      </c>
      <c r="N171">
        <f>IF('03_Helper'!A171="","",'03_Helper'!AA171)</f>
        <v/>
      </c>
      <c r="O171">
        <f>IF('03_Helper'!A171="","",'03_Helper'!AB171)</f>
        <v/>
      </c>
      <c r="P171">
        <f>IF('03_Helper'!A171="","",'03_Helper'!AC171)</f>
        <v/>
      </c>
      <c r="Q171">
        <f>IF('03_Helper'!A171="","",'03_Helper'!AD171)</f>
        <v/>
      </c>
      <c r="R171">
        <f>IF('03_Helper'!A171="","",'03_Helper'!AI171)</f>
        <v/>
      </c>
      <c r="S171">
        <f>IF('03_Helper'!A171="","",'03_Helper'!AJ171)</f>
        <v/>
      </c>
      <c r="T171">
        <f>IF('03_Helper'!A171="","",'03_Helper'!U171)</f>
        <v/>
      </c>
      <c r="U171">
        <f>IF('03_Helper'!A171="","",'03_Helper'!W171)</f>
        <v/>
      </c>
      <c r="V171">
        <f>IF('03_Helper'!A171="","",'03_Helper'!AG171)</f>
        <v/>
      </c>
      <c r="W171">
        <f>IF('03_Helper'!A171="","",'03_Helper'!AK171)</f>
        <v/>
      </c>
      <c r="X171">
        <f>IF('03_Helper'!A171="","",'03_Helper'!K171)</f>
        <v/>
      </c>
      <c r="Y171">
        <f>IF('03_Helper'!A171="","",'03_Helper'!AN171)</f>
        <v/>
      </c>
    </row>
    <row r="172">
      <c r="A172">
        <f>IF('03_Helper'!A172="","",'03_Helper'!B172)</f>
        <v/>
      </c>
      <c r="B172">
        <f>IF('03_Helper'!A172="","",'03_Helper'!C172)</f>
        <v/>
      </c>
      <c r="C172">
        <f>IF('03_Helper'!A172="","",'03_Helper'!G172)</f>
        <v/>
      </c>
      <c r="D172">
        <f>IF('03_Helper'!A172="","",'03_Helper'!E172)</f>
        <v/>
      </c>
      <c r="E172">
        <f>IF('03_Helper'!A172="","",'03_Helper'!D172)</f>
        <v/>
      </c>
      <c r="F172">
        <f>IF('03_Helper'!A172="","",'03_Helper'!H172)</f>
        <v/>
      </c>
      <c r="G172">
        <f>IF('03_Helper'!A172="","",'03_Helper'!X172)</f>
        <v/>
      </c>
      <c r="H172">
        <f>IF('03_Helper'!A172="","",'03_Helper'!Y172)</f>
        <v/>
      </c>
      <c r="I172">
        <f>IF('03_Helper'!A172="","",'03_Helper'!Z172)</f>
        <v/>
      </c>
      <c r="J172">
        <f>IF('03_Helper'!A172="","",'03_Helper'!Q172)</f>
        <v/>
      </c>
      <c r="K172">
        <f>IF('03_Helper'!A172="","",'03_Helper'!R172)</f>
        <v/>
      </c>
      <c r="L172">
        <f>IF('03_Helper'!A172="","",'03_Helper'!S172)</f>
        <v/>
      </c>
      <c r="M172">
        <f>IF('03_Helper'!A172="","",'03_Helper'!T172)</f>
        <v/>
      </c>
      <c r="N172">
        <f>IF('03_Helper'!A172="","",'03_Helper'!AA172)</f>
        <v/>
      </c>
      <c r="O172">
        <f>IF('03_Helper'!A172="","",'03_Helper'!AB172)</f>
        <v/>
      </c>
      <c r="P172">
        <f>IF('03_Helper'!A172="","",'03_Helper'!AC172)</f>
        <v/>
      </c>
      <c r="Q172">
        <f>IF('03_Helper'!A172="","",'03_Helper'!AD172)</f>
        <v/>
      </c>
      <c r="R172">
        <f>IF('03_Helper'!A172="","",'03_Helper'!AI172)</f>
        <v/>
      </c>
      <c r="S172">
        <f>IF('03_Helper'!A172="","",'03_Helper'!AJ172)</f>
        <v/>
      </c>
      <c r="T172">
        <f>IF('03_Helper'!A172="","",'03_Helper'!U172)</f>
        <v/>
      </c>
      <c r="U172">
        <f>IF('03_Helper'!A172="","",'03_Helper'!W172)</f>
        <v/>
      </c>
      <c r="V172">
        <f>IF('03_Helper'!A172="","",'03_Helper'!AG172)</f>
        <v/>
      </c>
      <c r="W172">
        <f>IF('03_Helper'!A172="","",'03_Helper'!AK172)</f>
        <v/>
      </c>
      <c r="X172">
        <f>IF('03_Helper'!A172="","",'03_Helper'!K172)</f>
        <v/>
      </c>
      <c r="Y172">
        <f>IF('03_Helper'!A172="","",'03_Helper'!AN172)</f>
        <v/>
      </c>
    </row>
    <row r="173">
      <c r="A173">
        <f>IF('03_Helper'!A173="","",'03_Helper'!B173)</f>
        <v/>
      </c>
      <c r="B173">
        <f>IF('03_Helper'!A173="","",'03_Helper'!C173)</f>
        <v/>
      </c>
      <c r="C173">
        <f>IF('03_Helper'!A173="","",'03_Helper'!G173)</f>
        <v/>
      </c>
      <c r="D173">
        <f>IF('03_Helper'!A173="","",'03_Helper'!E173)</f>
        <v/>
      </c>
      <c r="E173">
        <f>IF('03_Helper'!A173="","",'03_Helper'!D173)</f>
        <v/>
      </c>
      <c r="F173">
        <f>IF('03_Helper'!A173="","",'03_Helper'!H173)</f>
        <v/>
      </c>
      <c r="G173">
        <f>IF('03_Helper'!A173="","",'03_Helper'!X173)</f>
        <v/>
      </c>
      <c r="H173">
        <f>IF('03_Helper'!A173="","",'03_Helper'!Y173)</f>
        <v/>
      </c>
      <c r="I173">
        <f>IF('03_Helper'!A173="","",'03_Helper'!Z173)</f>
        <v/>
      </c>
      <c r="J173">
        <f>IF('03_Helper'!A173="","",'03_Helper'!Q173)</f>
        <v/>
      </c>
      <c r="K173">
        <f>IF('03_Helper'!A173="","",'03_Helper'!R173)</f>
        <v/>
      </c>
      <c r="L173">
        <f>IF('03_Helper'!A173="","",'03_Helper'!S173)</f>
        <v/>
      </c>
      <c r="M173">
        <f>IF('03_Helper'!A173="","",'03_Helper'!T173)</f>
        <v/>
      </c>
      <c r="N173">
        <f>IF('03_Helper'!A173="","",'03_Helper'!AA173)</f>
        <v/>
      </c>
      <c r="O173">
        <f>IF('03_Helper'!A173="","",'03_Helper'!AB173)</f>
        <v/>
      </c>
      <c r="P173">
        <f>IF('03_Helper'!A173="","",'03_Helper'!AC173)</f>
        <v/>
      </c>
      <c r="Q173">
        <f>IF('03_Helper'!A173="","",'03_Helper'!AD173)</f>
        <v/>
      </c>
      <c r="R173">
        <f>IF('03_Helper'!A173="","",'03_Helper'!AI173)</f>
        <v/>
      </c>
      <c r="S173">
        <f>IF('03_Helper'!A173="","",'03_Helper'!AJ173)</f>
        <v/>
      </c>
      <c r="T173">
        <f>IF('03_Helper'!A173="","",'03_Helper'!U173)</f>
        <v/>
      </c>
      <c r="U173">
        <f>IF('03_Helper'!A173="","",'03_Helper'!W173)</f>
        <v/>
      </c>
      <c r="V173">
        <f>IF('03_Helper'!A173="","",'03_Helper'!AG173)</f>
        <v/>
      </c>
      <c r="W173">
        <f>IF('03_Helper'!A173="","",'03_Helper'!AK173)</f>
        <v/>
      </c>
      <c r="X173">
        <f>IF('03_Helper'!A173="","",'03_Helper'!K173)</f>
        <v/>
      </c>
      <c r="Y173">
        <f>IF('03_Helper'!A173="","",'03_Helper'!AN173)</f>
        <v/>
      </c>
    </row>
    <row r="174">
      <c r="A174">
        <f>IF('03_Helper'!A174="","",'03_Helper'!B174)</f>
        <v/>
      </c>
      <c r="B174">
        <f>IF('03_Helper'!A174="","",'03_Helper'!C174)</f>
        <v/>
      </c>
      <c r="C174">
        <f>IF('03_Helper'!A174="","",'03_Helper'!G174)</f>
        <v/>
      </c>
      <c r="D174">
        <f>IF('03_Helper'!A174="","",'03_Helper'!E174)</f>
        <v/>
      </c>
      <c r="E174">
        <f>IF('03_Helper'!A174="","",'03_Helper'!D174)</f>
        <v/>
      </c>
      <c r="F174">
        <f>IF('03_Helper'!A174="","",'03_Helper'!H174)</f>
        <v/>
      </c>
      <c r="G174">
        <f>IF('03_Helper'!A174="","",'03_Helper'!X174)</f>
        <v/>
      </c>
      <c r="H174">
        <f>IF('03_Helper'!A174="","",'03_Helper'!Y174)</f>
        <v/>
      </c>
      <c r="I174">
        <f>IF('03_Helper'!A174="","",'03_Helper'!Z174)</f>
        <v/>
      </c>
      <c r="J174">
        <f>IF('03_Helper'!A174="","",'03_Helper'!Q174)</f>
        <v/>
      </c>
      <c r="K174">
        <f>IF('03_Helper'!A174="","",'03_Helper'!R174)</f>
        <v/>
      </c>
      <c r="L174">
        <f>IF('03_Helper'!A174="","",'03_Helper'!S174)</f>
        <v/>
      </c>
      <c r="M174">
        <f>IF('03_Helper'!A174="","",'03_Helper'!T174)</f>
        <v/>
      </c>
      <c r="N174">
        <f>IF('03_Helper'!A174="","",'03_Helper'!AA174)</f>
        <v/>
      </c>
      <c r="O174">
        <f>IF('03_Helper'!A174="","",'03_Helper'!AB174)</f>
        <v/>
      </c>
      <c r="P174">
        <f>IF('03_Helper'!A174="","",'03_Helper'!AC174)</f>
        <v/>
      </c>
      <c r="Q174">
        <f>IF('03_Helper'!A174="","",'03_Helper'!AD174)</f>
        <v/>
      </c>
      <c r="R174">
        <f>IF('03_Helper'!A174="","",'03_Helper'!AI174)</f>
        <v/>
      </c>
      <c r="S174">
        <f>IF('03_Helper'!A174="","",'03_Helper'!AJ174)</f>
        <v/>
      </c>
      <c r="T174">
        <f>IF('03_Helper'!A174="","",'03_Helper'!U174)</f>
        <v/>
      </c>
      <c r="U174">
        <f>IF('03_Helper'!A174="","",'03_Helper'!W174)</f>
        <v/>
      </c>
      <c r="V174">
        <f>IF('03_Helper'!A174="","",'03_Helper'!AG174)</f>
        <v/>
      </c>
      <c r="W174">
        <f>IF('03_Helper'!A174="","",'03_Helper'!AK174)</f>
        <v/>
      </c>
      <c r="X174">
        <f>IF('03_Helper'!A174="","",'03_Helper'!K174)</f>
        <v/>
      </c>
      <c r="Y174">
        <f>IF('03_Helper'!A174="","",'03_Helper'!AN174)</f>
        <v/>
      </c>
    </row>
    <row r="175">
      <c r="A175">
        <f>IF('03_Helper'!A175="","",'03_Helper'!B175)</f>
        <v/>
      </c>
      <c r="B175">
        <f>IF('03_Helper'!A175="","",'03_Helper'!C175)</f>
        <v/>
      </c>
      <c r="C175">
        <f>IF('03_Helper'!A175="","",'03_Helper'!G175)</f>
        <v/>
      </c>
      <c r="D175">
        <f>IF('03_Helper'!A175="","",'03_Helper'!E175)</f>
        <v/>
      </c>
      <c r="E175">
        <f>IF('03_Helper'!A175="","",'03_Helper'!D175)</f>
        <v/>
      </c>
      <c r="F175">
        <f>IF('03_Helper'!A175="","",'03_Helper'!H175)</f>
        <v/>
      </c>
      <c r="G175">
        <f>IF('03_Helper'!A175="","",'03_Helper'!X175)</f>
        <v/>
      </c>
      <c r="H175">
        <f>IF('03_Helper'!A175="","",'03_Helper'!Y175)</f>
        <v/>
      </c>
      <c r="I175">
        <f>IF('03_Helper'!A175="","",'03_Helper'!Z175)</f>
        <v/>
      </c>
      <c r="J175">
        <f>IF('03_Helper'!A175="","",'03_Helper'!Q175)</f>
        <v/>
      </c>
      <c r="K175">
        <f>IF('03_Helper'!A175="","",'03_Helper'!R175)</f>
        <v/>
      </c>
      <c r="L175">
        <f>IF('03_Helper'!A175="","",'03_Helper'!S175)</f>
        <v/>
      </c>
      <c r="M175">
        <f>IF('03_Helper'!A175="","",'03_Helper'!T175)</f>
        <v/>
      </c>
      <c r="N175">
        <f>IF('03_Helper'!A175="","",'03_Helper'!AA175)</f>
        <v/>
      </c>
      <c r="O175">
        <f>IF('03_Helper'!A175="","",'03_Helper'!AB175)</f>
        <v/>
      </c>
      <c r="P175">
        <f>IF('03_Helper'!A175="","",'03_Helper'!AC175)</f>
        <v/>
      </c>
      <c r="Q175">
        <f>IF('03_Helper'!A175="","",'03_Helper'!AD175)</f>
        <v/>
      </c>
      <c r="R175">
        <f>IF('03_Helper'!A175="","",'03_Helper'!AI175)</f>
        <v/>
      </c>
      <c r="S175">
        <f>IF('03_Helper'!A175="","",'03_Helper'!AJ175)</f>
        <v/>
      </c>
      <c r="T175">
        <f>IF('03_Helper'!A175="","",'03_Helper'!U175)</f>
        <v/>
      </c>
      <c r="U175">
        <f>IF('03_Helper'!A175="","",'03_Helper'!W175)</f>
        <v/>
      </c>
      <c r="V175">
        <f>IF('03_Helper'!A175="","",'03_Helper'!AG175)</f>
        <v/>
      </c>
      <c r="W175">
        <f>IF('03_Helper'!A175="","",'03_Helper'!AK175)</f>
        <v/>
      </c>
      <c r="X175">
        <f>IF('03_Helper'!A175="","",'03_Helper'!K175)</f>
        <v/>
      </c>
      <c r="Y175">
        <f>IF('03_Helper'!A175="","",'03_Helper'!AN175)</f>
        <v/>
      </c>
    </row>
    <row r="176">
      <c r="A176">
        <f>IF('03_Helper'!A176="","",'03_Helper'!B176)</f>
        <v/>
      </c>
      <c r="B176">
        <f>IF('03_Helper'!A176="","",'03_Helper'!C176)</f>
        <v/>
      </c>
      <c r="C176">
        <f>IF('03_Helper'!A176="","",'03_Helper'!G176)</f>
        <v/>
      </c>
      <c r="D176">
        <f>IF('03_Helper'!A176="","",'03_Helper'!E176)</f>
        <v/>
      </c>
      <c r="E176">
        <f>IF('03_Helper'!A176="","",'03_Helper'!D176)</f>
        <v/>
      </c>
      <c r="F176">
        <f>IF('03_Helper'!A176="","",'03_Helper'!H176)</f>
        <v/>
      </c>
      <c r="G176">
        <f>IF('03_Helper'!A176="","",'03_Helper'!X176)</f>
        <v/>
      </c>
      <c r="H176">
        <f>IF('03_Helper'!A176="","",'03_Helper'!Y176)</f>
        <v/>
      </c>
      <c r="I176">
        <f>IF('03_Helper'!A176="","",'03_Helper'!Z176)</f>
        <v/>
      </c>
      <c r="J176">
        <f>IF('03_Helper'!A176="","",'03_Helper'!Q176)</f>
        <v/>
      </c>
      <c r="K176">
        <f>IF('03_Helper'!A176="","",'03_Helper'!R176)</f>
        <v/>
      </c>
      <c r="L176">
        <f>IF('03_Helper'!A176="","",'03_Helper'!S176)</f>
        <v/>
      </c>
      <c r="M176">
        <f>IF('03_Helper'!A176="","",'03_Helper'!T176)</f>
        <v/>
      </c>
      <c r="N176">
        <f>IF('03_Helper'!A176="","",'03_Helper'!AA176)</f>
        <v/>
      </c>
      <c r="O176">
        <f>IF('03_Helper'!A176="","",'03_Helper'!AB176)</f>
        <v/>
      </c>
      <c r="P176">
        <f>IF('03_Helper'!A176="","",'03_Helper'!AC176)</f>
        <v/>
      </c>
      <c r="Q176">
        <f>IF('03_Helper'!A176="","",'03_Helper'!AD176)</f>
        <v/>
      </c>
      <c r="R176">
        <f>IF('03_Helper'!A176="","",'03_Helper'!AI176)</f>
        <v/>
      </c>
      <c r="S176">
        <f>IF('03_Helper'!A176="","",'03_Helper'!AJ176)</f>
        <v/>
      </c>
      <c r="T176">
        <f>IF('03_Helper'!A176="","",'03_Helper'!U176)</f>
        <v/>
      </c>
      <c r="U176">
        <f>IF('03_Helper'!A176="","",'03_Helper'!W176)</f>
        <v/>
      </c>
      <c r="V176">
        <f>IF('03_Helper'!A176="","",'03_Helper'!AG176)</f>
        <v/>
      </c>
      <c r="W176">
        <f>IF('03_Helper'!A176="","",'03_Helper'!AK176)</f>
        <v/>
      </c>
      <c r="X176">
        <f>IF('03_Helper'!A176="","",'03_Helper'!K176)</f>
        <v/>
      </c>
      <c r="Y176">
        <f>IF('03_Helper'!A176="","",'03_Helper'!AN176)</f>
        <v/>
      </c>
    </row>
    <row r="177">
      <c r="A177">
        <f>IF('03_Helper'!A177="","",'03_Helper'!B177)</f>
        <v/>
      </c>
      <c r="B177">
        <f>IF('03_Helper'!A177="","",'03_Helper'!C177)</f>
        <v/>
      </c>
      <c r="C177">
        <f>IF('03_Helper'!A177="","",'03_Helper'!G177)</f>
        <v/>
      </c>
      <c r="D177">
        <f>IF('03_Helper'!A177="","",'03_Helper'!E177)</f>
        <v/>
      </c>
      <c r="E177">
        <f>IF('03_Helper'!A177="","",'03_Helper'!D177)</f>
        <v/>
      </c>
      <c r="F177">
        <f>IF('03_Helper'!A177="","",'03_Helper'!H177)</f>
        <v/>
      </c>
      <c r="G177">
        <f>IF('03_Helper'!A177="","",'03_Helper'!X177)</f>
        <v/>
      </c>
      <c r="H177">
        <f>IF('03_Helper'!A177="","",'03_Helper'!Y177)</f>
        <v/>
      </c>
      <c r="I177">
        <f>IF('03_Helper'!A177="","",'03_Helper'!Z177)</f>
        <v/>
      </c>
      <c r="J177">
        <f>IF('03_Helper'!A177="","",'03_Helper'!Q177)</f>
        <v/>
      </c>
      <c r="K177">
        <f>IF('03_Helper'!A177="","",'03_Helper'!R177)</f>
        <v/>
      </c>
      <c r="L177">
        <f>IF('03_Helper'!A177="","",'03_Helper'!S177)</f>
        <v/>
      </c>
      <c r="M177">
        <f>IF('03_Helper'!A177="","",'03_Helper'!T177)</f>
        <v/>
      </c>
      <c r="N177">
        <f>IF('03_Helper'!A177="","",'03_Helper'!AA177)</f>
        <v/>
      </c>
      <c r="O177">
        <f>IF('03_Helper'!A177="","",'03_Helper'!AB177)</f>
        <v/>
      </c>
      <c r="P177">
        <f>IF('03_Helper'!A177="","",'03_Helper'!AC177)</f>
        <v/>
      </c>
      <c r="Q177">
        <f>IF('03_Helper'!A177="","",'03_Helper'!AD177)</f>
        <v/>
      </c>
      <c r="R177">
        <f>IF('03_Helper'!A177="","",'03_Helper'!AI177)</f>
        <v/>
      </c>
      <c r="S177">
        <f>IF('03_Helper'!A177="","",'03_Helper'!AJ177)</f>
        <v/>
      </c>
      <c r="T177">
        <f>IF('03_Helper'!A177="","",'03_Helper'!U177)</f>
        <v/>
      </c>
      <c r="U177">
        <f>IF('03_Helper'!A177="","",'03_Helper'!W177)</f>
        <v/>
      </c>
      <c r="V177">
        <f>IF('03_Helper'!A177="","",'03_Helper'!AG177)</f>
        <v/>
      </c>
      <c r="W177">
        <f>IF('03_Helper'!A177="","",'03_Helper'!AK177)</f>
        <v/>
      </c>
      <c r="X177">
        <f>IF('03_Helper'!A177="","",'03_Helper'!K177)</f>
        <v/>
      </c>
      <c r="Y177">
        <f>IF('03_Helper'!A177="","",'03_Helper'!AN177)</f>
        <v/>
      </c>
    </row>
    <row r="178">
      <c r="A178">
        <f>IF('03_Helper'!A178="","",'03_Helper'!B178)</f>
        <v/>
      </c>
      <c r="B178">
        <f>IF('03_Helper'!A178="","",'03_Helper'!C178)</f>
        <v/>
      </c>
      <c r="C178">
        <f>IF('03_Helper'!A178="","",'03_Helper'!G178)</f>
        <v/>
      </c>
      <c r="D178">
        <f>IF('03_Helper'!A178="","",'03_Helper'!E178)</f>
        <v/>
      </c>
      <c r="E178">
        <f>IF('03_Helper'!A178="","",'03_Helper'!D178)</f>
        <v/>
      </c>
      <c r="F178">
        <f>IF('03_Helper'!A178="","",'03_Helper'!H178)</f>
        <v/>
      </c>
      <c r="G178">
        <f>IF('03_Helper'!A178="","",'03_Helper'!X178)</f>
        <v/>
      </c>
      <c r="H178">
        <f>IF('03_Helper'!A178="","",'03_Helper'!Y178)</f>
        <v/>
      </c>
      <c r="I178">
        <f>IF('03_Helper'!A178="","",'03_Helper'!Z178)</f>
        <v/>
      </c>
      <c r="J178">
        <f>IF('03_Helper'!A178="","",'03_Helper'!Q178)</f>
        <v/>
      </c>
      <c r="K178">
        <f>IF('03_Helper'!A178="","",'03_Helper'!R178)</f>
        <v/>
      </c>
      <c r="L178">
        <f>IF('03_Helper'!A178="","",'03_Helper'!S178)</f>
        <v/>
      </c>
      <c r="M178">
        <f>IF('03_Helper'!A178="","",'03_Helper'!T178)</f>
        <v/>
      </c>
      <c r="N178">
        <f>IF('03_Helper'!A178="","",'03_Helper'!AA178)</f>
        <v/>
      </c>
      <c r="O178">
        <f>IF('03_Helper'!A178="","",'03_Helper'!AB178)</f>
        <v/>
      </c>
      <c r="P178">
        <f>IF('03_Helper'!A178="","",'03_Helper'!AC178)</f>
        <v/>
      </c>
      <c r="Q178">
        <f>IF('03_Helper'!A178="","",'03_Helper'!AD178)</f>
        <v/>
      </c>
      <c r="R178">
        <f>IF('03_Helper'!A178="","",'03_Helper'!AI178)</f>
        <v/>
      </c>
      <c r="S178">
        <f>IF('03_Helper'!A178="","",'03_Helper'!AJ178)</f>
        <v/>
      </c>
      <c r="T178">
        <f>IF('03_Helper'!A178="","",'03_Helper'!U178)</f>
        <v/>
      </c>
      <c r="U178">
        <f>IF('03_Helper'!A178="","",'03_Helper'!W178)</f>
        <v/>
      </c>
      <c r="V178">
        <f>IF('03_Helper'!A178="","",'03_Helper'!AG178)</f>
        <v/>
      </c>
      <c r="W178">
        <f>IF('03_Helper'!A178="","",'03_Helper'!AK178)</f>
        <v/>
      </c>
      <c r="X178">
        <f>IF('03_Helper'!A178="","",'03_Helper'!K178)</f>
        <v/>
      </c>
      <c r="Y178">
        <f>IF('03_Helper'!A178="","",'03_Helper'!AN178)</f>
        <v/>
      </c>
    </row>
    <row r="179">
      <c r="A179">
        <f>IF('03_Helper'!A179="","",'03_Helper'!B179)</f>
        <v/>
      </c>
      <c r="B179">
        <f>IF('03_Helper'!A179="","",'03_Helper'!C179)</f>
        <v/>
      </c>
      <c r="C179">
        <f>IF('03_Helper'!A179="","",'03_Helper'!G179)</f>
        <v/>
      </c>
      <c r="D179">
        <f>IF('03_Helper'!A179="","",'03_Helper'!E179)</f>
        <v/>
      </c>
      <c r="E179">
        <f>IF('03_Helper'!A179="","",'03_Helper'!D179)</f>
        <v/>
      </c>
      <c r="F179">
        <f>IF('03_Helper'!A179="","",'03_Helper'!H179)</f>
        <v/>
      </c>
      <c r="G179">
        <f>IF('03_Helper'!A179="","",'03_Helper'!X179)</f>
        <v/>
      </c>
      <c r="H179">
        <f>IF('03_Helper'!A179="","",'03_Helper'!Y179)</f>
        <v/>
      </c>
      <c r="I179">
        <f>IF('03_Helper'!A179="","",'03_Helper'!Z179)</f>
        <v/>
      </c>
      <c r="J179">
        <f>IF('03_Helper'!A179="","",'03_Helper'!Q179)</f>
        <v/>
      </c>
      <c r="K179">
        <f>IF('03_Helper'!A179="","",'03_Helper'!R179)</f>
        <v/>
      </c>
      <c r="L179">
        <f>IF('03_Helper'!A179="","",'03_Helper'!S179)</f>
        <v/>
      </c>
      <c r="M179">
        <f>IF('03_Helper'!A179="","",'03_Helper'!T179)</f>
        <v/>
      </c>
      <c r="N179">
        <f>IF('03_Helper'!A179="","",'03_Helper'!AA179)</f>
        <v/>
      </c>
      <c r="O179">
        <f>IF('03_Helper'!A179="","",'03_Helper'!AB179)</f>
        <v/>
      </c>
      <c r="P179">
        <f>IF('03_Helper'!A179="","",'03_Helper'!AC179)</f>
        <v/>
      </c>
      <c r="Q179">
        <f>IF('03_Helper'!A179="","",'03_Helper'!AD179)</f>
        <v/>
      </c>
      <c r="R179">
        <f>IF('03_Helper'!A179="","",'03_Helper'!AI179)</f>
        <v/>
      </c>
      <c r="S179">
        <f>IF('03_Helper'!A179="","",'03_Helper'!AJ179)</f>
        <v/>
      </c>
      <c r="T179">
        <f>IF('03_Helper'!A179="","",'03_Helper'!U179)</f>
        <v/>
      </c>
      <c r="U179">
        <f>IF('03_Helper'!A179="","",'03_Helper'!W179)</f>
        <v/>
      </c>
      <c r="V179">
        <f>IF('03_Helper'!A179="","",'03_Helper'!AG179)</f>
        <v/>
      </c>
      <c r="W179">
        <f>IF('03_Helper'!A179="","",'03_Helper'!AK179)</f>
        <v/>
      </c>
      <c r="X179">
        <f>IF('03_Helper'!A179="","",'03_Helper'!K179)</f>
        <v/>
      </c>
      <c r="Y179">
        <f>IF('03_Helper'!A179="","",'03_Helper'!AN179)</f>
        <v/>
      </c>
    </row>
    <row r="180">
      <c r="A180">
        <f>IF('03_Helper'!A180="","",'03_Helper'!B180)</f>
        <v/>
      </c>
      <c r="B180">
        <f>IF('03_Helper'!A180="","",'03_Helper'!C180)</f>
        <v/>
      </c>
      <c r="C180">
        <f>IF('03_Helper'!A180="","",'03_Helper'!G180)</f>
        <v/>
      </c>
      <c r="D180">
        <f>IF('03_Helper'!A180="","",'03_Helper'!E180)</f>
        <v/>
      </c>
      <c r="E180">
        <f>IF('03_Helper'!A180="","",'03_Helper'!D180)</f>
        <v/>
      </c>
      <c r="F180">
        <f>IF('03_Helper'!A180="","",'03_Helper'!H180)</f>
        <v/>
      </c>
      <c r="G180">
        <f>IF('03_Helper'!A180="","",'03_Helper'!X180)</f>
        <v/>
      </c>
      <c r="H180">
        <f>IF('03_Helper'!A180="","",'03_Helper'!Y180)</f>
        <v/>
      </c>
      <c r="I180">
        <f>IF('03_Helper'!A180="","",'03_Helper'!Z180)</f>
        <v/>
      </c>
      <c r="J180">
        <f>IF('03_Helper'!A180="","",'03_Helper'!Q180)</f>
        <v/>
      </c>
      <c r="K180">
        <f>IF('03_Helper'!A180="","",'03_Helper'!R180)</f>
        <v/>
      </c>
      <c r="L180">
        <f>IF('03_Helper'!A180="","",'03_Helper'!S180)</f>
        <v/>
      </c>
      <c r="M180">
        <f>IF('03_Helper'!A180="","",'03_Helper'!T180)</f>
        <v/>
      </c>
      <c r="N180">
        <f>IF('03_Helper'!A180="","",'03_Helper'!AA180)</f>
        <v/>
      </c>
      <c r="O180">
        <f>IF('03_Helper'!A180="","",'03_Helper'!AB180)</f>
        <v/>
      </c>
      <c r="P180">
        <f>IF('03_Helper'!A180="","",'03_Helper'!AC180)</f>
        <v/>
      </c>
      <c r="Q180">
        <f>IF('03_Helper'!A180="","",'03_Helper'!AD180)</f>
        <v/>
      </c>
      <c r="R180">
        <f>IF('03_Helper'!A180="","",'03_Helper'!AI180)</f>
        <v/>
      </c>
      <c r="S180">
        <f>IF('03_Helper'!A180="","",'03_Helper'!AJ180)</f>
        <v/>
      </c>
      <c r="T180">
        <f>IF('03_Helper'!A180="","",'03_Helper'!U180)</f>
        <v/>
      </c>
      <c r="U180">
        <f>IF('03_Helper'!A180="","",'03_Helper'!W180)</f>
        <v/>
      </c>
      <c r="V180">
        <f>IF('03_Helper'!A180="","",'03_Helper'!AG180)</f>
        <v/>
      </c>
      <c r="W180">
        <f>IF('03_Helper'!A180="","",'03_Helper'!AK180)</f>
        <v/>
      </c>
      <c r="X180">
        <f>IF('03_Helper'!A180="","",'03_Helper'!K180)</f>
        <v/>
      </c>
      <c r="Y180">
        <f>IF('03_Helper'!A180="","",'03_Helper'!AN180)</f>
        <v/>
      </c>
    </row>
    <row r="181">
      <c r="A181">
        <f>IF('03_Helper'!A181="","",'03_Helper'!B181)</f>
        <v/>
      </c>
      <c r="B181">
        <f>IF('03_Helper'!A181="","",'03_Helper'!C181)</f>
        <v/>
      </c>
      <c r="C181">
        <f>IF('03_Helper'!A181="","",'03_Helper'!G181)</f>
        <v/>
      </c>
      <c r="D181">
        <f>IF('03_Helper'!A181="","",'03_Helper'!E181)</f>
        <v/>
      </c>
      <c r="E181">
        <f>IF('03_Helper'!A181="","",'03_Helper'!D181)</f>
        <v/>
      </c>
      <c r="F181">
        <f>IF('03_Helper'!A181="","",'03_Helper'!H181)</f>
        <v/>
      </c>
      <c r="G181">
        <f>IF('03_Helper'!A181="","",'03_Helper'!X181)</f>
        <v/>
      </c>
      <c r="H181">
        <f>IF('03_Helper'!A181="","",'03_Helper'!Y181)</f>
        <v/>
      </c>
      <c r="I181">
        <f>IF('03_Helper'!A181="","",'03_Helper'!Z181)</f>
        <v/>
      </c>
      <c r="J181">
        <f>IF('03_Helper'!A181="","",'03_Helper'!Q181)</f>
        <v/>
      </c>
      <c r="K181">
        <f>IF('03_Helper'!A181="","",'03_Helper'!R181)</f>
        <v/>
      </c>
      <c r="L181">
        <f>IF('03_Helper'!A181="","",'03_Helper'!S181)</f>
        <v/>
      </c>
      <c r="M181">
        <f>IF('03_Helper'!A181="","",'03_Helper'!T181)</f>
        <v/>
      </c>
      <c r="N181">
        <f>IF('03_Helper'!A181="","",'03_Helper'!AA181)</f>
        <v/>
      </c>
      <c r="O181">
        <f>IF('03_Helper'!A181="","",'03_Helper'!AB181)</f>
        <v/>
      </c>
      <c r="P181">
        <f>IF('03_Helper'!A181="","",'03_Helper'!AC181)</f>
        <v/>
      </c>
      <c r="Q181">
        <f>IF('03_Helper'!A181="","",'03_Helper'!AD181)</f>
        <v/>
      </c>
      <c r="R181">
        <f>IF('03_Helper'!A181="","",'03_Helper'!AI181)</f>
        <v/>
      </c>
      <c r="S181">
        <f>IF('03_Helper'!A181="","",'03_Helper'!AJ181)</f>
        <v/>
      </c>
      <c r="T181">
        <f>IF('03_Helper'!A181="","",'03_Helper'!U181)</f>
        <v/>
      </c>
      <c r="U181">
        <f>IF('03_Helper'!A181="","",'03_Helper'!W181)</f>
        <v/>
      </c>
      <c r="V181">
        <f>IF('03_Helper'!A181="","",'03_Helper'!AG181)</f>
        <v/>
      </c>
      <c r="W181">
        <f>IF('03_Helper'!A181="","",'03_Helper'!AK181)</f>
        <v/>
      </c>
      <c r="X181">
        <f>IF('03_Helper'!A181="","",'03_Helper'!K181)</f>
        <v/>
      </c>
      <c r="Y181">
        <f>IF('03_Helper'!A181="","",'03_Helper'!AN181)</f>
        <v/>
      </c>
    </row>
    <row r="182">
      <c r="A182">
        <f>IF('03_Helper'!A182="","",'03_Helper'!B182)</f>
        <v/>
      </c>
      <c r="B182">
        <f>IF('03_Helper'!A182="","",'03_Helper'!C182)</f>
        <v/>
      </c>
      <c r="C182">
        <f>IF('03_Helper'!A182="","",'03_Helper'!G182)</f>
        <v/>
      </c>
      <c r="D182">
        <f>IF('03_Helper'!A182="","",'03_Helper'!E182)</f>
        <v/>
      </c>
      <c r="E182">
        <f>IF('03_Helper'!A182="","",'03_Helper'!D182)</f>
        <v/>
      </c>
      <c r="F182">
        <f>IF('03_Helper'!A182="","",'03_Helper'!H182)</f>
        <v/>
      </c>
      <c r="G182">
        <f>IF('03_Helper'!A182="","",'03_Helper'!X182)</f>
        <v/>
      </c>
      <c r="H182">
        <f>IF('03_Helper'!A182="","",'03_Helper'!Y182)</f>
        <v/>
      </c>
      <c r="I182">
        <f>IF('03_Helper'!A182="","",'03_Helper'!Z182)</f>
        <v/>
      </c>
      <c r="J182">
        <f>IF('03_Helper'!A182="","",'03_Helper'!Q182)</f>
        <v/>
      </c>
      <c r="K182">
        <f>IF('03_Helper'!A182="","",'03_Helper'!R182)</f>
        <v/>
      </c>
      <c r="L182">
        <f>IF('03_Helper'!A182="","",'03_Helper'!S182)</f>
        <v/>
      </c>
      <c r="M182">
        <f>IF('03_Helper'!A182="","",'03_Helper'!T182)</f>
        <v/>
      </c>
      <c r="N182">
        <f>IF('03_Helper'!A182="","",'03_Helper'!AA182)</f>
        <v/>
      </c>
      <c r="O182">
        <f>IF('03_Helper'!A182="","",'03_Helper'!AB182)</f>
        <v/>
      </c>
      <c r="P182">
        <f>IF('03_Helper'!A182="","",'03_Helper'!AC182)</f>
        <v/>
      </c>
      <c r="Q182">
        <f>IF('03_Helper'!A182="","",'03_Helper'!AD182)</f>
        <v/>
      </c>
      <c r="R182">
        <f>IF('03_Helper'!A182="","",'03_Helper'!AI182)</f>
        <v/>
      </c>
      <c r="S182">
        <f>IF('03_Helper'!A182="","",'03_Helper'!AJ182)</f>
        <v/>
      </c>
      <c r="T182">
        <f>IF('03_Helper'!A182="","",'03_Helper'!U182)</f>
        <v/>
      </c>
      <c r="U182">
        <f>IF('03_Helper'!A182="","",'03_Helper'!W182)</f>
        <v/>
      </c>
      <c r="V182">
        <f>IF('03_Helper'!A182="","",'03_Helper'!AG182)</f>
        <v/>
      </c>
      <c r="W182">
        <f>IF('03_Helper'!A182="","",'03_Helper'!AK182)</f>
        <v/>
      </c>
      <c r="X182">
        <f>IF('03_Helper'!A182="","",'03_Helper'!K182)</f>
        <v/>
      </c>
      <c r="Y182">
        <f>IF('03_Helper'!A182="","",'03_Helper'!AN182)</f>
        <v/>
      </c>
    </row>
    <row r="183">
      <c r="A183">
        <f>IF('03_Helper'!A183="","",'03_Helper'!B183)</f>
        <v/>
      </c>
      <c r="B183">
        <f>IF('03_Helper'!A183="","",'03_Helper'!C183)</f>
        <v/>
      </c>
      <c r="C183">
        <f>IF('03_Helper'!A183="","",'03_Helper'!G183)</f>
        <v/>
      </c>
      <c r="D183">
        <f>IF('03_Helper'!A183="","",'03_Helper'!E183)</f>
        <v/>
      </c>
      <c r="E183">
        <f>IF('03_Helper'!A183="","",'03_Helper'!D183)</f>
        <v/>
      </c>
      <c r="F183">
        <f>IF('03_Helper'!A183="","",'03_Helper'!H183)</f>
        <v/>
      </c>
      <c r="G183">
        <f>IF('03_Helper'!A183="","",'03_Helper'!X183)</f>
        <v/>
      </c>
      <c r="H183">
        <f>IF('03_Helper'!A183="","",'03_Helper'!Y183)</f>
        <v/>
      </c>
      <c r="I183">
        <f>IF('03_Helper'!A183="","",'03_Helper'!Z183)</f>
        <v/>
      </c>
      <c r="J183">
        <f>IF('03_Helper'!A183="","",'03_Helper'!Q183)</f>
        <v/>
      </c>
      <c r="K183">
        <f>IF('03_Helper'!A183="","",'03_Helper'!R183)</f>
        <v/>
      </c>
      <c r="L183">
        <f>IF('03_Helper'!A183="","",'03_Helper'!S183)</f>
        <v/>
      </c>
      <c r="M183">
        <f>IF('03_Helper'!A183="","",'03_Helper'!T183)</f>
        <v/>
      </c>
      <c r="N183">
        <f>IF('03_Helper'!A183="","",'03_Helper'!AA183)</f>
        <v/>
      </c>
      <c r="O183">
        <f>IF('03_Helper'!A183="","",'03_Helper'!AB183)</f>
        <v/>
      </c>
      <c r="P183">
        <f>IF('03_Helper'!A183="","",'03_Helper'!AC183)</f>
        <v/>
      </c>
      <c r="Q183">
        <f>IF('03_Helper'!A183="","",'03_Helper'!AD183)</f>
        <v/>
      </c>
      <c r="R183">
        <f>IF('03_Helper'!A183="","",'03_Helper'!AI183)</f>
        <v/>
      </c>
      <c r="S183">
        <f>IF('03_Helper'!A183="","",'03_Helper'!AJ183)</f>
        <v/>
      </c>
      <c r="T183">
        <f>IF('03_Helper'!A183="","",'03_Helper'!U183)</f>
        <v/>
      </c>
      <c r="U183">
        <f>IF('03_Helper'!A183="","",'03_Helper'!W183)</f>
        <v/>
      </c>
      <c r="V183">
        <f>IF('03_Helper'!A183="","",'03_Helper'!AG183)</f>
        <v/>
      </c>
      <c r="W183">
        <f>IF('03_Helper'!A183="","",'03_Helper'!AK183)</f>
        <v/>
      </c>
      <c r="X183">
        <f>IF('03_Helper'!A183="","",'03_Helper'!K183)</f>
        <v/>
      </c>
      <c r="Y183">
        <f>IF('03_Helper'!A183="","",'03_Helper'!AN183)</f>
        <v/>
      </c>
    </row>
    <row r="184">
      <c r="A184">
        <f>IF('03_Helper'!A184="","",'03_Helper'!B184)</f>
        <v/>
      </c>
      <c r="B184">
        <f>IF('03_Helper'!A184="","",'03_Helper'!C184)</f>
        <v/>
      </c>
      <c r="C184">
        <f>IF('03_Helper'!A184="","",'03_Helper'!G184)</f>
        <v/>
      </c>
      <c r="D184">
        <f>IF('03_Helper'!A184="","",'03_Helper'!E184)</f>
        <v/>
      </c>
      <c r="E184">
        <f>IF('03_Helper'!A184="","",'03_Helper'!D184)</f>
        <v/>
      </c>
      <c r="F184">
        <f>IF('03_Helper'!A184="","",'03_Helper'!H184)</f>
        <v/>
      </c>
      <c r="G184">
        <f>IF('03_Helper'!A184="","",'03_Helper'!X184)</f>
        <v/>
      </c>
      <c r="H184">
        <f>IF('03_Helper'!A184="","",'03_Helper'!Y184)</f>
        <v/>
      </c>
      <c r="I184">
        <f>IF('03_Helper'!A184="","",'03_Helper'!Z184)</f>
        <v/>
      </c>
      <c r="J184">
        <f>IF('03_Helper'!A184="","",'03_Helper'!Q184)</f>
        <v/>
      </c>
      <c r="K184">
        <f>IF('03_Helper'!A184="","",'03_Helper'!R184)</f>
        <v/>
      </c>
      <c r="L184">
        <f>IF('03_Helper'!A184="","",'03_Helper'!S184)</f>
        <v/>
      </c>
      <c r="M184">
        <f>IF('03_Helper'!A184="","",'03_Helper'!T184)</f>
        <v/>
      </c>
      <c r="N184">
        <f>IF('03_Helper'!A184="","",'03_Helper'!AA184)</f>
        <v/>
      </c>
      <c r="O184">
        <f>IF('03_Helper'!A184="","",'03_Helper'!AB184)</f>
        <v/>
      </c>
      <c r="P184">
        <f>IF('03_Helper'!A184="","",'03_Helper'!AC184)</f>
        <v/>
      </c>
      <c r="Q184">
        <f>IF('03_Helper'!A184="","",'03_Helper'!AD184)</f>
        <v/>
      </c>
      <c r="R184">
        <f>IF('03_Helper'!A184="","",'03_Helper'!AI184)</f>
        <v/>
      </c>
      <c r="S184">
        <f>IF('03_Helper'!A184="","",'03_Helper'!AJ184)</f>
        <v/>
      </c>
      <c r="T184">
        <f>IF('03_Helper'!A184="","",'03_Helper'!U184)</f>
        <v/>
      </c>
      <c r="U184">
        <f>IF('03_Helper'!A184="","",'03_Helper'!W184)</f>
        <v/>
      </c>
      <c r="V184">
        <f>IF('03_Helper'!A184="","",'03_Helper'!AG184)</f>
        <v/>
      </c>
      <c r="W184">
        <f>IF('03_Helper'!A184="","",'03_Helper'!AK184)</f>
        <v/>
      </c>
      <c r="X184">
        <f>IF('03_Helper'!A184="","",'03_Helper'!K184)</f>
        <v/>
      </c>
      <c r="Y184">
        <f>IF('03_Helper'!A184="","",'03_Helper'!AN184)</f>
        <v/>
      </c>
    </row>
    <row r="185">
      <c r="A185">
        <f>IF('03_Helper'!A185="","",'03_Helper'!B185)</f>
        <v/>
      </c>
      <c r="B185">
        <f>IF('03_Helper'!A185="","",'03_Helper'!C185)</f>
        <v/>
      </c>
      <c r="C185">
        <f>IF('03_Helper'!A185="","",'03_Helper'!G185)</f>
        <v/>
      </c>
      <c r="D185">
        <f>IF('03_Helper'!A185="","",'03_Helper'!E185)</f>
        <v/>
      </c>
      <c r="E185">
        <f>IF('03_Helper'!A185="","",'03_Helper'!D185)</f>
        <v/>
      </c>
      <c r="F185">
        <f>IF('03_Helper'!A185="","",'03_Helper'!H185)</f>
        <v/>
      </c>
      <c r="G185">
        <f>IF('03_Helper'!A185="","",'03_Helper'!X185)</f>
        <v/>
      </c>
      <c r="H185">
        <f>IF('03_Helper'!A185="","",'03_Helper'!Y185)</f>
        <v/>
      </c>
      <c r="I185">
        <f>IF('03_Helper'!A185="","",'03_Helper'!Z185)</f>
        <v/>
      </c>
      <c r="J185">
        <f>IF('03_Helper'!A185="","",'03_Helper'!Q185)</f>
        <v/>
      </c>
      <c r="K185">
        <f>IF('03_Helper'!A185="","",'03_Helper'!R185)</f>
        <v/>
      </c>
      <c r="L185">
        <f>IF('03_Helper'!A185="","",'03_Helper'!S185)</f>
        <v/>
      </c>
      <c r="M185">
        <f>IF('03_Helper'!A185="","",'03_Helper'!T185)</f>
        <v/>
      </c>
      <c r="N185">
        <f>IF('03_Helper'!A185="","",'03_Helper'!AA185)</f>
        <v/>
      </c>
      <c r="O185">
        <f>IF('03_Helper'!A185="","",'03_Helper'!AB185)</f>
        <v/>
      </c>
      <c r="P185">
        <f>IF('03_Helper'!A185="","",'03_Helper'!AC185)</f>
        <v/>
      </c>
      <c r="Q185">
        <f>IF('03_Helper'!A185="","",'03_Helper'!AD185)</f>
        <v/>
      </c>
      <c r="R185">
        <f>IF('03_Helper'!A185="","",'03_Helper'!AI185)</f>
        <v/>
      </c>
      <c r="S185">
        <f>IF('03_Helper'!A185="","",'03_Helper'!AJ185)</f>
        <v/>
      </c>
      <c r="T185">
        <f>IF('03_Helper'!A185="","",'03_Helper'!U185)</f>
        <v/>
      </c>
      <c r="U185">
        <f>IF('03_Helper'!A185="","",'03_Helper'!W185)</f>
        <v/>
      </c>
      <c r="V185">
        <f>IF('03_Helper'!A185="","",'03_Helper'!AG185)</f>
        <v/>
      </c>
      <c r="W185">
        <f>IF('03_Helper'!A185="","",'03_Helper'!AK185)</f>
        <v/>
      </c>
      <c r="X185">
        <f>IF('03_Helper'!A185="","",'03_Helper'!K185)</f>
        <v/>
      </c>
      <c r="Y185">
        <f>IF('03_Helper'!A185="","",'03_Helper'!AN185)</f>
        <v/>
      </c>
    </row>
    <row r="186">
      <c r="A186">
        <f>IF('03_Helper'!A186="","",'03_Helper'!B186)</f>
        <v/>
      </c>
      <c r="B186">
        <f>IF('03_Helper'!A186="","",'03_Helper'!C186)</f>
        <v/>
      </c>
      <c r="C186">
        <f>IF('03_Helper'!A186="","",'03_Helper'!G186)</f>
        <v/>
      </c>
      <c r="D186">
        <f>IF('03_Helper'!A186="","",'03_Helper'!E186)</f>
        <v/>
      </c>
      <c r="E186">
        <f>IF('03_Helper'!A186="","",'03_Helper'!D186)</f>
        <v/>
      </c>
      <c r="F186">
        <f>IF('03_Helper'!A186="","",'03_Helper'!H186)</f>
        <v/>
      </c>
      <c r="G186">
        <f>IF('03_Helper'!A186="","",'03_Helper'!X186)</f>
        <v/>
      </c>
      <c r="H186">
        <f>IF('03_Helper'!A186="","",'03_Helper'!Y186)</f>
        <v/>
      </c>
      <c r="I186">
        <f>IF('03_Helper'!A186="","",'03_Helper'!Z186)</f>
        <v/>
      </c>
      <c r="J186">
        <f>IF('03_Helper'!A186="","",'03_Helper'!Q186)</f>
        <v/>
      </c>
      <c r="K186">
        <f>IF('03_Helper'!A186="","",'03_Helper'!R186)</f>
        <v/>
      </c>
      <c r="L186">
        <f>IF('03_Helper'!A186="","",'03_Helper'!S186)</f>
        <v/>
      </c>
      <c r="M186">
        <f>IF('03_Helper'!A186="","",'03_Helper'!T186)</f>
        <v/>
      </c>
      <c r="N186">
        <f>IF('03_Helper'!A186="","",'03_Helper'!AA186)</f>
        <v/>
      </c>
      <c r="O186">
        <f>IF('03_Helper'!A186="","",'03_Helper'!AB186)</f>
        <v/>
      </c>
      <c r="P186">
        <f>IF('03_Helper'!A186="","",'03_Helper'!AC186)</f>
        <v/>
      </c>
      <c r="Q186">
        <f>IF('03_Helper'!A186="","",'03_Helper'!AD186)</f>
        <v/>
      </c>
      <c r="R186">
        <f>IF('03_Helper'!A186="","",'03_Helper'!AI186)</f>
        <v/>
      </c>
      <c r="S186">
        <f>IF('03_Helper'!A186="","",'03_Helper'!AJ186)</f>
        <v/>
      </c>
      <c r="T186">
        <f>IF('03_Helper'!A186="","",'03_Helper'!U186)</f>
        <v/>
      </c>
      <c r="U186">
        <f>IF('03_Helper'!A186="","",'03_Helper'!W186)</f>
        <v/>
      </c>
      <c r="V186">
        <f>IF('03_Helper'!A186="","",'03_Helper'!AG186)</f>
        <v/>
      </c>
      <c r="W186">
        <f>IF('03_Helper'!A186="","",'03_Helper'!AK186)</f>
        <v/>
      </c>
      <c r="X186">
        <f>IF('03_Helper'!A186="","",'03_Helper'!K186)</f>
        <v/>
      </c>
      <c r="Y186">
        <f>IF('03_Helper'!A186="","",'03_Helper'!AN186)</f>
        <v/>
      </c>
    </row>
    <row r="187">
      <c r="A187">
        <f>IF('03_Helper'!A187="","",'03_Helper'!B187)</f>
        <v/>
      </c>
      <c r="B187">
        <f>IF('03_Helper'!A187="","",'03_Helper'!C187)</f>
        <v/>
      </c>
      <c r="C187">
        <f>IF('03_Helper'!A187="","",'03_Helper'!G187)</f>
        <v/>
      </c>
      <c r="D187">
        <f>IF('03_Helper'!A187="","",'03_Helper'!E187)</f>
        <v/>
      </c>
      <c r="E187">
        <f>IF('03_Helper'!A187="","",'03_Helper'!D187)</f>
        <v/>
      </c>
      <c r="F187">
        <f>IF('03_Helper'!A187="","",'03_Helper'!H187)</f>
        <v/>
      </c>
      <c r="G187">
        <f>IF('03_Helper'!A187="","",'03_Helper'!X187)</f>
        <v/>
      </c>
      <c r="H187">
        <f>IF('03_Helper'!A187="","",'03_Helper'!Y187)</f>
        <v/>
      </c>
      <c r="I187">
        <f>IF('03_Helper'!A187="","",'03_Helper'!Z187)</f>
        <v/>
      </c>
      <c r="J187">
        <f>IF('03_Helper'!A187="","",'03_Helper'!Q187)</f>
        <v/>
      </c>
      <c r="K187">
        <f>IF('03_Helper'!A187="","",'03_Helper'!R187)</f>
        <v/>
      </c>
      <c r="L187">
        <f>IF('03_Helper'!A187="","",'03_Helper'!S187)</f>
        <v/>
      </c>
      <c r="M187">
        <f>IF('03_Helper'!A187="","",'03_Helper'!T187)</f>
        <v/>
      </c>
      <c r="N187">
        <f>IF('03_Helper'!A187="","",'03_Helper'!AA187)</f>
        <v/>
      </c>
      <c r="O187">
        <f>IF('03_Helper'!A187="","",'03_Helper'!AB187)</f>
        <v/>
      </c>
      <c r="P187">
        <f>IF('03_Helper'!A187="","",'03_Helper'!AC187)</f>
        <v/>
      </c>
      <c r="Q187">
        <f>IF('03_Helper'!A187="","",'03_Helper'!AD187)</f>
        <v/>
      </c>
      <c r="R187">
        <f>IF('03_Helper'!A187="","",'03_Helper'!AI187)</f>
        <v/>
      </c>
      <c r="S187">
        <f>IF('03_Helper'!A187="","",'03_Helper'!AJ187)</f>
        <v/>
      </c>
      <c r="T187">
        <f>IF('03_Helper'!A187="","",'03_Helper'!U187)</f>
        <v/>
      </c>
      <c r="U187">
        <f>IF('03_Helper'!A187="","",'03_Helper'!W187)</f>
        <v/>
      </c>
      <c r="V187">
        <f>IF('03_Helper'!A187="","",'03_Helper'!AG187)</f>
        <v/>
      </c>
      <c r="W187">
        <f>IF('03_Helper'!A187="","",'03_Helper'!AK187)</f>
        <v/>
      </c>
      <c r="X187">
        <f>IF('03_Helper'!A187="","",'03_Helper'!K187)</f>
        <v/>
      </c>
      <c r="Y187">
        <f>IF('03_Helper'!A187="","",'03_Helper'!AN187)</f>
        <v/>
      </c>
    </row>
    <row r="188">
      <c r="A188">
        <f>IF('03_Helper'!A188="","",'03_Helper'!B188)</f>
        <v/>
      </c>
      <c r="B188">
        <f>IF('03_Helper'!A188="","",'03_Helper'!C188)</f>
        <v/>
      </c>
      <c r="C188">
        <f>IF('03_Helper'!A188="","",'03_Helper'!G188)</f>
        <v/>
      </c>
      <c r="D188">
        <f>IF('03_Helper'!A188="","",'03_Helper'!E188)</f>
        <v/>
      </c>
      <c r="E188">
        <f>IF('03_Helper'!A188="","",'03_Helper'!D188)</f>
        <v/>
      </c>
      <c r="F188">
        <f>IF('03_Helper'!A188="","",'03_Helper'!H188)</f>
        <v/>
      </c>
      <c r="G188">
        <f>IF('03_Helper'!A188="","",'03_Helper'!X188)</f>
        <v/>
      </c>
      <c r="H188">
        <f>IF('03_Helper'!A188="","",'03_Helper'!Y188)</f>
        <v/>
      </c>
      <c r="I188">
        <f>IF('03_Helper'!A188="","",'03_Helper'!Z188)</f>
        <v/>
      </c>
      <c r="J188">
        <f>IF('03_Helper'!A188="","",'03_Helper'!Q188)</f>
        <v/>
      </c>
      <c r="K188">
        <f>IF('03_Helper'!A188="","",'03_Helper'!R188)</f>
        <v/>
      </c>
      <c r="L188">
        <f>IF('03_Helper'!A188="","",'03_Helper'!S188)</f>
        <v/>
      </c>
      <c r="M188">
        <f>IF('03_Helper'!A188="","",'03_Helper'!T188)</f>
        <v/>
      </c>
      <c r="N188">
        <f>IF('03_Helper'!A188="","",'03_Helper'!AA188)</f>
        <v/>
      </c>
      <c r="O188">
        <f>IF('03_Helper'!A188="","",'03_Helper'!AB188)</f>
        <v/>
      </c>
      <c r="P188">
        <f>IF('03_Helper'!A188="","",'03_Helper'!AC188)</f>
        <v/>
      </c>
      <c r="Q188">
        <f>IF('03_Helper'!A188="","",'03_Helper'!AD188)</f>
        <v/>
      </c>
      <c r="R188">
        <f>IF('03_Helper'!A188="","",'03_Helper'!AI188)</f>
        <v/>
      </c>
      <c r="S188">
        <f>IF('03_Helper'!A188="","",'03_Helper'!AJ188)</f>
        <v/>
      </c>
      <c r="T188">
        <f>IF('03_Helper'!A188="","",'03_Helper'!U188)</f>
        <v/>
      </c>
      <c r="U188">
        <f>IF('03_Helper'!A188="","",'03_Helper'!W188)</f>
        <v/>
      </c>
      <c r="V188">
        <f>IF('03_Helper'!A188="","",'03_Helper'!AG188)</f>
        <v/>
      </c>
      <c r="W188">
        <f>IF('03_Helper'!A188="","",'03_Helper'!AK188)</f>
        <v/>
      </c>
      <c r="X188">
        <f>IF('03_Helper'!A188="","",'03_Helper'!K188)</f>
        <v/>
      </c>
      <c r="Y188">
        <f>IF('03_Helper'!A188="","",'03_Helper'!AN188)</f>
        <v/>
      </c>
    </row>
    <row r="189">
      <c r="A189">
        <f>IF('03_Helper'!A189="","",'03_Helper'!B189)</f>
        <v/>
      </c>
      <c r="B189">
        <f>IF('03_Helper'!A189="","",'03_Helper'!C189)</f>
        <v/>
      </c>
      <c r="C189">
        <f>IF('03_Helper'!A189="","",'03_Helper'!G189)</f>
        <v/>
      </c>
      <c r="D189">
        <f>IF('03_Helper'!A189="","",'03_Helper'!E189)</f>
        <v/>
      </c>
      <c r="E189">
        <f>IF('03_Helper'!A189="","",'03_Helper'!D189)</f>
        <v/>
      </c>
      <c r="F189">
        <f>IF('03_Helper'!A189="","",'03_Helper'!H189)</f>
        <v/>
      </c>
      <c r="G189">
        <f>IF('03_Helper'!A189="","",'03_Helper'!X189)</f>
        <v/>
      </c>
      <c r="H189">
        <f>IF('03_Helper'!A189="","",'03_Helper'!Y189)</f>
        <v/>
      </c>
      <c r="I189">
        <f>IF('03_Helper'!A189="","",'03_Helper'!Z189)</f>
        <v/>
      </c>
      <c r="J189">
        <f>IF('03_Helper'!A189="","",'03_Helper'!Q189)</f>
        <v/>
      </c>
      <c r="K189">
        <f>IF('03_Helper'!A189="","",'03_Helper'!R189)</f>
        <v/>
      </c>
      <c r="L189">
        <f>IF('03_Helper'!A189="","",'03_Helper'!S189)</f>
        <v/>
      </c>
      <c r="M189">
        <f>IF('03_Helper'!A189="","",'03_Helper'!T189)</f>
        <v/>
      </c>
      <c r="N189">
        <f>IF('03_Helper'!A189="","",'03_Helper'!AA189)</f>
        <v/>
      </c>
      <c r="O189">
        <f>IF('03_Helper'!A189="","",'03_Helper'!AB189)</f>
        <v/>
      </c>
      <c r="P189">
        <f>IF('03_Helper'!A189="","",'03_Helper'!AC189)</f>
        <v/>
      </c>
      <c r="Q189">
        <f>IF('03_Helper'!A189="","",'03_Helper'!AD189)</f>
        <v/>
      </c>
      <c r="R189">
        <f>IF('03_Helper'!A189="","",'03_Helper'!AI189)</f>
        <v/>
      </c>
      <c r="S189">
        <f>IF('03_Helper'!A189="","",'03_Helper'!AJ189)</f>
        <v/>
      </c>
      <c r="T189">
        <f>IF('03_Helper'!A189="","",'03_Helper'!U189)</f>
        <v/>
      </c>
      <c r="U189">
        <f>IF('03_Helper'!A189="","",'03_Helper'!W189)</f>
        <v/>
      </c>
      <c r="V189">
        <f>IF('03_Helper'!A189="","",'03_Helper'!AG189)</f>
        <v/>
      </c>
      <c r="W189">
        <f>IF('03_Helper'!A189="","",'03_Helper'!AK189)</f>
        <v/>
      </c>
      <c r="X189">
        <f>IF('03_Helper'!A189="","",'03_Helper'!K189)</f>
        <v/>
      </c>
      <c r="Y189">
        <f>IF('03_Helper'!A189="","",'03_Helper'!AN189)</f>
        <v/>
      </c>
    </row>
    <row r="190">
      <c r="A190">
        <f>IF('03_Helper'!A190="","",'03_Helper'!B190)</f>
        <v/>
      </c>
      <c r="B190">
        <f>IF('03_Helper'!A190="","",'03_Helper'!C190)</f>
        <v/>
      </c>
      <c r="C190">
        <f>IF('03_Helper'!A190="","",'03_Helper'!G190)</f>
        <v/>
      </c>
      <c r="D190">
        <f>IF('03_Helper'!A190="","",'03_Helper'!E190)</f>
        <v/>
      </c>
      <c r="E190">
        <f>IF('03_Helper'!A190="","",'03_Helper'!D190)</f>
        <v/>
      </c>
      <c r="F190">
        <f>IF('03_Helper'!A190="","",'03_Helper'!H190)</f>
        <v/>
      </c>
      <c r="G190">
        <f>IF('03_Helper'!A190="","",'03_Helper'!X190)</f>
        <v/>
      </c>
      <c r="H190">
        <f>IF('03_Helper'!A190="","",'03_Helper'!Y190)</f>
        <v/>
      </c>
      <c r="I190">
        <f>IF('03_Helper'!A190="","",'03_Helper'!Z190)</f>
        <v/>
      </c>
      <c r="J190">
        <f>IF('03_Helper'!A190="","",'03_Helper'!Q190)</f>
        <v/>
      </c>
      <c r="K190">
        <f>IF('03_Helper'!A190="","",'03_Helper'!R190)</f>
        <v/>
      </c>
      <c r="L190">
        <f>IF('03_Helper'!A190="","",'03_Helper'!S190)</f>
        <v/>
      </c>
      <c r="M190">
        <f>IF('03_Helper'!A190="","",'03_Helper'!T190)</f>
        <v/>
      </c>
      <c r="N190">
        <f>IF('03_Helper'!A190="","",'03_Helper'!AA190)</f>
        <v/>
      </c>
      <c r="O190">
        <f>IF('03_Helper'!A190="","",'03_Helper'!AB190)</f>
        <v/>
      </c>
      <c r="P190">
        <f>IF('03_Helper'!A190="","",'03_Helper'!AC190)</f>
        <v/>
      </c>
      <c r="Q190">
        <f>IF('03_Helper'!A190="","",'03_Helper'!AD190)</f>
        <v/>
      </c>
      <c r="R190">
        <f>IF('03_Helper'!A190="","",'03_Helper'!AI190)</f>
        <v/>
      </c>
      <c r="S190">
        <f>IF('03_Helper'!A190="","",'03_Helper'!AJ190)</f>
        <v/>
      </c>
      <c r="T190">
        <f>IF('03_Helper'!A190="","",'03_Helper'!U190)</f>
        <v/>
      </c>
      <c r="U190">
        <f>IF('03_Helper'!A190="","",'03_Helper'!W190)</f>
        <v/>
      </c>
      <c r="V190">
        <f>IF('03_Helper'!A190="","",'03_Helper'!AG190)</f>
        <v/>
      </c>
      <c r="W190">
        <f>IF('03_Helper'!A190="","",'03_Helper'!AK190)</f>
        <v/>
      </c>
      <c r="X190">
        <f>IF('03_Helper'!A190="","",'03_Helper'!K190)</f>
        <v/>
      </c>
      <c r="Y190">
        <f>IF('03_Helper'!A190="","",'03_Helper'!AN190)</f>
        <v/>
      </c>
    </row>
    <row r="191">
      <c r="A191">
        <f>IF('03_Helper'!A191="","",'03_Helper'!B191)</f>
        <v/>
      </c>
      <c r="B191">
        <f>IF('03_Helper'!A191="","",'03_Helper'!C191)</f>
        <v/>
      </c>
      <c r="C191">
        <f>IF('03_Helper'!A191="","",'03_Helper'!G191)</f>
        <v/>
      </c>
      <c r="D191">
        <f>IF('03_Helper'!A191="","",'03_Helper'!E191)</f>
        <v/>
      </c>
      <c r="E191">
        <f>IF('03_Helper'!A191="","",'03_Helper'!D191)</f>
        <v/>
      </c>
      <c r="F191">
        <f>IF('03_Helper'!A191="","",'03_Helper'!H191)</f>
        <v/>
      </c>
      <c r="G191">
        <f>IF('03_Helper'!A191="","",'03_Helper'!X191)</f>
        <v/>
      </c>
      <c r="H191">
        <f>IF('03_Helper'!A191="","",'03_Helper'!Y191)</f>
        <v/>
      </c>
      <c r="I191">
        <f>IF('03_Helper'!A191="","",'03_Helper'!Z191)</f>
        <v/>
      </c>
      <c r="J191">
        <f>IF('03_Helper'!A191="","",'03_Helper'!Q191)</f>
        <v/>
      </c>
      <c r="K191">
        <f>IF('03_Helper'!A191="","",'03_Helper'!R191)</f>
        <v/>
      </c>
      <c r="L191">
        <f>IF('03_Helper'!A191="","",'03_Helper'!S191)</f>
        <v/>
      </c>
      <c r="M191">
        <f>IF('03_Helper'!A191="","",'03_Helper'!T191)</f>
        <v/>
      </c>
      <c r="N191">
        <f>IF('03_Helper'!A191="","",'03_Helper'!AA191)</f>
        <v/>
      </c>
      <c r="O191">
        <f>IF('03_Helper'!A191="","",'03_Helper'!AB191)</f>
        <v/>
      </c>
      <c r="P191">
        <f>IF('03_Helper'!A191="","",'03_Helper'!AC191)</f>
        <v/>
      </c>
      <c r="Q191">
        <f>IF('03_Helper'!A191="","",'03_Helper'!AD191)</f>
        <v/>
      </c>
      <c r="R191">
        <f>IF('03_Helper'!A191="","",'03_Helper'!AI191)</f>
        <v/>
      </c>
      <c r="S191">
        <f>IF('03_Helper'!A191="","",'03_Helper'!AJ191)</f>
        <v/>
      </c>
      <c r="T191">
        <f>IF('03_Helper'!A191="","",'03_Helper'!U191)</f>
        <v/>
      </c>
      <c r="U191">
        <f>IF('03_Helper'!A191="","",'03_Helper'!W191)</f>
        <v/>
      </c>
      <c r="V191">
        <f>IF('03_Helper'!A191="","",'03_Helper'!AG191)</f>
        <v/>
      </c>
      <c r="W191">
        <f>IF('03_Helper'!A191="","",'03_Helper'!AK191)</f>
        <v/>
      </c>
      <c r="X191">
        <f>IF('03_Helper'!A191="","",'03_Helper'!K191)</f>
        <v/>
      </c>
      <c r="Y191">
        <f>IF('03_Helper'!A191="","",'03_Helper'!AN191)</f>
        <v/>
      </c>
    </row>
    <row r="192">
      <c r="A192">
        <f>IF('03_Helper'!A192="","",'03_Helper'!B192)</f>
        <v/>
      </c>
      <c r="B192">
        <f>IF('03_Helper'!A192="","",'03_Helper'!C192)</f>
        <v/>
      </c>
      <c r="C192">
        <f>IF('03_Helper'!A192="","",'03_Helper'!G192)</f>
        <v/>
      </c>
      <c r="D192">
        <f>IF('03_Helper'!A192="","",'03_Helper'!E192)</f>
        <v/>
      </c>
      <c r="E192">
        <f>IF('03_Helper'!A192="","",'03_Helper'!D192)</f>
        <v/>
      </c>
      <c r="F192">
        <f>IF('03_Helper'!A192="","",'03_Helper'!H192)</f>
        <v/>
      </c>
      <c r="G192">
        <f>IF('03_Helper'!A192="","",'03_Helper'!X192)</f>
        <v/>
      </c>
      <c r="H192">
        <f>IF('03_Helper'!A192="","",'03_Helper'!Y192)</f>
        <v/>
      </c>
      <c r="I192">
        <f>IF('03_Helper'!A192="","",'03_Helper'!Z192)</f>
        <v/>
      </c>
      <c r="J192">
        <f>IF('03_Helper'!A192="","",'03_Helper'!Q192)</f>
        <v/>
      </c>
      <c r="K192">
        <f>IF('03_Helper'!A192="","",'03_Helper'!R192)</f>
        <v/>
      </c>
      <c r="L192">
        <f>IF('03_Helper'!A192="","",'03_Helper'!S192)</f>
        <v/>
      </c>
      <c r="M192">
        <f>IF('03_Helper'!A192="","",'03_Helper'!T192)</f>
        <v/>
      </c>
      <c r="N192">
        <f>IF('03_Helper'!A192="","",'03_Helper'!AA192)</f>
        <v/>
      </c>
      <c r="O192">
        <f>IF('03_Helper'!A192="","",'03_Helper'!AB192)</f>
        <v/>
      </c>
      <c r="P192">
        <f>IF('03_Helper'!A192="","",'03_Helper'!AC192)</f>
        <v/>
      </c>
      <c r="Q192">
        <f>IF('03_Helper'!A192="","",'03_Helper'!AD192)</f>
        <v/>
      </c>
      <c r="R192">
        <f>IF('03_Helper'!A192="","",'03_Helper'!AI192)</f>
        <v/>
      </c>
      <c r="S192">
        <f>IF('03_Helper'!A192="","",'03_Helper'!AJ192)</f>
        <v/>
      </c>
      <c r="T192">
        <f>IF('03_Helper'!A192="","",'03_Helper'!U192)</f>
        <v/>
      </c>
      <c r="U192">
        <f>IF('03_Helper'!A192="","",'03_Helper'!W192)</f>
        <v/>
      </c>
      <c r="V192">
        <f>IF('03_Helper'!A192="","",'03_Helper'!AG192)</f>
        <v/>
      </c>
      <c r="W192">
        <f>IF('03_Helper'!A192="","",'03_Helper'!AK192)</f>
        <v/>
      </c>
      <c r="X192">
        <f>IF('03_Helper'!A192="","",'03_Helper'!K192)</f>
        <v/>
      </c>
      <c r="Y192">
        <f>IF('03_Helper'!A192="","",'03_Helper'!AN192)</f>
        <v/>
      </c>
    </row>
    <row r="193">
      <c r="A193">
        <f>IF('03_Helper'!A193="","",'03_Helper'!B193)</f>
        <v/>
      </c>
      <c r="B193">
        <f>IF('03_Helper'!A193="","",'03_Helper'!C193)</f>
        <v/>
      </c>
      <c r="C193">
        <f>IF('03_Helper'!A193="","",'03_Helper'!G193)</f>
        <v/>
      </c>
      <c r="D193">
        <f>IF('03_Helper'!A193="","",'03_Helper'!E193)</f>
        <v/>
      </c>
      <c r="E193">
        <f>IF('03_Helper'!A193="","",'03_Helper'!D193)</f>
        <v/>
      </c>
      <c r="F193">
        <f>IF('03_Helper'!A193="","",'03_Helper'!H193)</f>
        <v/>
      </c>
      <c r="G193">
        <f>IF('03_Helper'!A193="","",'03_Helper'!X193)</f>
        <v/>
      </c>
      <c r="H193">
        <f>IF('03_Helper'!A193="","",'03_Helper'!Y193)</f>
        <v/>
      </c>
      <c r="I193">
        <f>IF('03_Helper'!A193="","",'03_Helper'!Z193)</f>
        <v/>
      </c>
      <c r="J193">
        <f>IF('03_Helper'!A193="","",'03_Helper'!Q193)</f>
        <v/>
      </c>
      <c r="K193">
        <f>IF('03_Helper'!A193="","",'03_Helper'!R193)</f>
        <v/>
      </c>
      <c r="L193">
        <f>IF('03_Helper'!A193="","",'03_Helper'!S193)</f>
        <v/>
      </c>
      <c r="M193">
        <f>IF('03_Helper'!A193="","",'03_Helper'!T193)</f>
        <v/>
      </c>
      <c r="N193">
        <f>IF('03_Helper'!A193="","",'03_Helper'!AA193)</f>
        <v/>
      </c>
      <c r="O193">
        <f>IF('03_Helper'!A193="","",'03_Helper'!AB193)</f>
        <v/>
      </c>
      <c r="P193">
        <f>IF('03_Helper'!A193="","",'03_Helper'!AC193)</f>
        <v/>
      </c>
      <c r="Q193">
        <f>IF('03_Helper'!A193="","",'03_Helper'!AD193)</f>
        <v/>
      </c>
      <c r="R193">
        <f>IF('03_Helper'!A193="","",'03_Helper'!AI193)</f>
        <v/>
      </c>
      <c r="S193">
        <f>IF('03_Helper'!A193="","",'03_Helper'!AJ193)</f>
        <v/>
      </c>
      <c r="T193">
        <f>IF('03_Helper'!A193="","",'03_Helper'!U193)</f>
        <v/>
      </c>
      <c r="U193">
        <f>IF('03_Helper'!A193="","",'03_Helper'!W193)</f>
        <v/>
      </c>
      <c r="V193">
        <f>IF('03_Helper'!A193="","",'03_Helper'!AG193)</f>
        <v/>
      </c>
      <c r="W193">
        <f>IF('03_Helper'!A193="","",'03_Helper'!AK193)</f>
        <v/>
      </c>
      <c r="X193">
        <f>IF('03_Helper'!A193="","",'03_Helper'!K193)</f>
        <v/>
      </c>
      <c r="Y193">
        <f>IF('03_Helper'!A193="","",'03_Helper'!AN193)</f>
        <v/>
      </c>
    </row>
    <row r="194">
      <c r="A194">
        <f>IF('03_Helper'!A194="","",'03_Helper'!B194)</f>
        <v/>
      </c>
      <c r="B194">
        <f>IF('03_Helper'!A194="","",'03_Helper'!C194)</f>
        <v/>
      </c>
      <c r="C194">
        <f>IF('03_Helper'!A194="","",'03_Helper'!G194)</f>
        <v/>
      </c>
      <c r="D194">
        <f>IF('03_Helper'!A194="","",'03_Helper'!E194)</f>
        <v/>
      </c>
      <c r="E194">
        <f>IF('03_Helper'!A194="","",'03_Helper'!D194)</f>
        <v/>
      </c>
      <c r="F194">
        <f>IF('03_Helper'!A194="","",'03_Helper'!H194)</f>
        <v/>
      </c>
      <c r="G194">
        <f>IF('03_Helper'!A194="","",'03_Helper'!X194)</f>
        <v/>
      </c>
      <c r="H194">
        <f>IF('03_Helper'!A194="","",'03_Helper'!Y194)</f>
        <v/>
      </c>
      <c r="I194">
        <f>IF('03_Helper'!A194="","",'03_Helper'!Z194)</f>
        <v/>
      </c>
      <c r="J194">
        <f>IF('03_Helper'!A194="","",'03_Helper'!Q194)</f>
        <v/>
      </c>
      <c r="K194">
        <f>IF('03_Helper'!A194="","",'03_Helper'!R194)</f>
        <v/>
      </c>
      <c r="L194">
        <f>IF('03_Helper'!A194="","",'03_Helper'!S194)</f>
        <v/>
      </c>
      <c r="M194">
        <f>IF('03_Helper'!A194="","",'03_Helper'!T194)</f>
        <v/>
      </c>
      <c r="N194">
        <f>IF('03_Helper'!A194="","",'03_Helper'!AA194)</f>
        <v/>
      </c>
      <c r="O194">
        <f>IF('03_Helper'!A194="","",'03_Helper'!AB194)</f>
        <v/>
      </c>
      <c r="P194">
        <f>IF('03_Helper'!A194="","",'03_Helper'!AC194)</f>
        <v/>
      </c>
      <c r="Q194">
        <f>IF('03_Helper'!A194="","",'03_Helper'!AD194)</f>
        <v/>
      </c>
      <c r="R194">
        <f>IF('03_Helper'!A194="","",'03_Helper'!AI194)</f>
        <v/>
      </c>
      <c r="S194">
        <f>IF('03_Helper'!A194="","",'03_Helper'!AJ194)</f>
        <v/>
      </c>
      <c r="T194">
        <f>IF('03_Helper'!A194="","",'03_Helper'!U194)</f>
        <v/>
      </c>
      <c r="U194">
        <f>IF('03_Helper'!A194="","",'03_Helper'!W194)</f>
        <v/>
      </c>
      <c r="V194">
        <f>IF('03_Helper'!A194="","",'03_Helper'!AG194)</f>
        <v/>
      </c>
      <c r="W194">
        <f>IF('03_Helper'!A194="","",'03_Helper'!AK194)</f>
        <v/>
      </c>
      <c r="X194">
        <f>IF('03_Helper'!A194="","",'03_Helper'!K194)</f>
        <v/>
      </c>
      <c r="Y194">
        <f>IF('03_Helper'!A194="","",'03_Helper'!AN194)</f>
        <v/>
      </c>
    </row>
    <row r="195">
      <c r="A195">
        <f>IF('03_Helper'!A195="","",'03_Helper'!B195)</f>
        <v/>
      </c>
      <c r="B195">
        <f>IF('03_Helper'!A195="","",'03_Helper'!C195)</f>
        <v/>
      </c>
      <c r="C195">
        <f>IF('03_Helper'!A195="","",'03_Helper'!G195)</f>
        <v/>
      </c>
      <c r="D195">
        <f>IF('03_Helper'!A195="","",'03_Helper'!E195)</f>
        <v/>
      </c>
      <c r="E195">
        <f>IF('03_Helper'!A195="","",'03_Helper'!D195)</f>
        <v/>
      </c>
      <c r="F195">
        <f>IF('03_Helper'!A195="","",'03_Helper'!H195)</f>
        <v/>
      </c>
      <c r="G195">
        <f>IF('03_Helper'!A195="","",'03_Helper'!X195)</f>
        <v/>
      </c>
      <c r="H195">
        <f>IF('03_Helper'!A195="","",'03_Helper'!Y195)</f>
        <v/>
      </c>
      <c r="I195">
        <f>IF('03_Helper'!A195="","",'03_Helper'!Z195)</f>
        <v/>
      </c>
      <c r="J195">
        <f>IF('03_Helper'!A195="","",'03_Helper'!Q195)</f>
        <v/>
      </c>
      <c r="K195">
        <f>IF('03_Helper'!A195="","",'03_Helper'!R195)</f>
        <v/>
      </c>
      <c r="L195">
        <f>IF('03_Helper'!A195="","",'03_Helper'!S195)</f>
        <v/>
      </c>
      <c r="M195">
        <f>IF('03_Helper'!A195="","",'03_Helper'!T195)</f>
        <v/>
      </c>
      <c r="N195">
        <f>IF('03_Helper'!A195="","",'03_Helper'!AA195)</f>
        <v/>
      </c>
      <c r="O195">
        <f>IF('03_Helper'!A195="","",'03_Helper'!AB195)</f>
        <v/>
      </c>
      <c r="P195">
        <f>IF('03_Helper'!A195="","",'03_Helper'!AC195)</f>
        <v/>
      </c>
      <c r="Q195">
        <f>IF('03_Helper'!A195="","",'03_Helper'!AD195)</f>
        <v/>
      </c>
      <c r="R195">
        <f>IF('03_Helper'!A195="","",'03_Helper'!AI195)</f>
        <v/>
      </c>
      <c r="S195">
        <f>IF('03_Helper'!A195="","",'03_Helper'!AJ195)</f>
        <v/>
      </c>
      <c r="T195">
        <f>IF('03_Helper'!A195="","",'03_Helper'!U195)</f>
        <v/>
      </c>
      <c r="U195">
        <f>IF('03_Helper'!A195="","",'03_Helper'!W195)</f>
        <v/>
      </c>
      <c r="V195">
        <f>IF('03_Helper'!A195="","",'03_Helper'!AG195)</f>
        <v/>
      </c>
      <c r="W195">
        <f>IF('03_Helper'!A195="","",'03_Helper'!AK195)</f>
        <v/>
      </c>
      <c r="X195">
        <f>IF('03_Helper'!A195="","",'03_Helper'!K195)</f>
        <v/>
      </c>
      <c r="Y195">
        <f>IF('03_Helper'!A195="","",'03_Helper'!AN195)</f>
        <v/>
      </c>
    </row>
    <row r="196">
      <c r="A196">
        <f>IF('03_Helper'!A196="","",'03_Helper'!B196)</f>
        <v/>
      </c>
      <c r="B196">
        <f>IF('03_Helper'!A196="","",'03_Helper'!C196)</f>
        <v/>
      </c>
      <c r="C196">
        <f>IF('03_Helper'!A196="","",'03_Helper'!G196)</f>
        <v/>
      </c>
      <c r="D196">
        <f>IF('03_Helper'!A196="","",'03_Helper'!E196)</f>
        <v/>
      </c>
      <c r="E196">
        <f>IF('03_Helper'!A196="","",'03_Helper'!D196)</f>
        <v/>
      </c>
      <c r="F196">
        <f>IF('03_Helper'!A196="","",'03_Helper'!H196)</f>
        <v/>
      </c>
      <c r="G196">
        <f>IF('03_Helper'!A196="","",'03_Helper'!X196)</f>
        <v/>
      </c>
      <c r="H196">
        <f>IF('03_Helper'!A196="","",'03_Helper'!Y196)</f>
        <v/>
      </c>
      <c r="I196">
        <f>IF('03_Helper'!A196="","",'03_Helper'!Z196)</f>
        <v/>
      </c>
      <c r="J196">
        <f>IF('03_Helper'!A196="","",'03_Helper'!Q196)</f>
        <v/>
      </c>
      <c r="K196">
        <f>IF('03_Helper'!A196="","",'03_Helper'!R196)</f>
        <v/>
      </c>
      <c r="L196">
        <f>IF('03_Helper'!A196="","",'03_Helper'!S196)</f>
        <v/>
      </c>
      <c r="M196">
        <f>IF('03_Helper'!A196="","",'03_Helper'!T196)</f>
        <v/>
      </c>
      <c r="N196">
        <f>IF('03_Helper'!A196="","",'03_Helper'!AA196)</f>
        <v/>
      </c>
      <c r="O196">
        <f>IF('03_Helper'!A196="","",'03_Helper'!AB196)</f>
        <v/>
      </c>
      <c r="P196">
        <f>IF('03_Helper'!A196="","",'03_Helper'!AC196)</f>
        <v/>
      </c>
      <c r="Q196">
        <f>IF('03_Helper'!A196="","",'03_Helper'!AD196)</f>
        <v/>
      </c>
      <c r="R196">
        <f>IF('03_Helper'!A196="","",'03_Helper'!AI196)</f>
        <v/>
      </c>
      <c r="S196">
        <f>IF('03_Helper'!A196="","",'03_Helper'!AJ196)</f>
        <v/>
      </c>
      <c r="T196">
        <f>IF('03_Helper'!A196="","",'03_Helper'!U196)</f>
        <v/>
      </c>
      <c r="U196">
        <f>IF('03_Helper'!A196="","",'03_Helper'!W196)</f>
        <v/>
      </c>
      <c r="V196">
        <f>IF('03_Helper'!A196="","",'03_Helper'!AG196)</f>
        <v/>
      </c>
      <c r="W196">
        <f>IF('03_Helper'!A196="","",'03_Helper'!AK196)</f>
        <v/>
      </c>
      <c r="X196">
        <f>IF('03_Helper'!A196="","",'03_Helper'!K196)</f>
        <v/>
      </c>
      <c r="Y196">
        <f>IF('03_Helper'!A196="","",'03_Helper'!AN196)</f>
        <v/>
      </c>
    </row>
    <row r="197">
      <c r="A197">
        <f>IF('03_Helper'!A197="","",'03_Helper'!B197)</f>
        <v/>
      </c>
      <c r="B197">
        <f>IF('03_Helper'!A197="","",'03_Helper'!C197)</f>
        <v/>
      </c>
      <c r="C197">
        <f>IF('03_Helper'!A197="","",'03_Helper'!G197)</f>
        <v/>
      </c>
      <c r="D197">
        <f>IF('03_Helper'!A197="","",'03_Helper'!E197)</f>
        <v/>
      </c>
      <c r="E197">
        <f>IF('03_Helper'!A197="","",'03_Helper'!D197)</f>
        <v/>
      </c>
      <c r="F197">
        <f>IF('03_Helper'!A197="","",'03_Helper'!H197)</f>
        <v/>
      </c>
      <c r="G197">
        <f>IF('03_Helper'!A197="","",'03_Helper'!X197)</f>
        <v/>
      </c>
      <c r="H197">
        <f>IF('03_Helper'!A197="","",'03_Helper'!Y197)</f>
        <v/>
      </c>
      <c r="I197">
        <f>IF('03_Helper'!A197="","",'03_Helper'!Z197)</f>
        <v/>
      </c>
      <c r="J197">
        <f>IF('03_Helper'!A197="","",'03_Helper'!Q197)</f>
        <v/>
      </c>
      <c r="K197">
        <f>IF('03_Helper'!A197="","",'03_Helper'!R197)</f>
        <v/>
      </c>
      <c r="L197">
        <f>IF('03_Helper'!A197="","",'03_Helper'!S197)</f>
        <v/>
      </c>
      <c r="M197">
        <f>IF('03_Helper'!A197="","",'03_Helper'!T197)</f>
        <v/>
      </c>
      <c r="N197">
        <f>IF('03_Helper'!A197="","",'03_Helper'!AA197)</f>
        <v/>
      </c>
      <c r="O197">
        <f>IF('03_Helper'!A197="","",'03_Helper'!AB197)</f>
        <v/>
      </c>
      <c r="P197">
        <f>IF('03_Helper'!A197="","",'03_Helper'!AC197)</f>
        <v/>
      </c>
      <c r="Q197">
        <f>IF('03_Helper'!A197="","",'03_Helper'!AD197)</f>
        <v/>
      </c>
      <c r="R197">
        <f>IF('03_Helper'!A197="","",'03_Helper'!AI197)</f>
        <v/>
      </c>
      <c r="S197">
        <f>IF('03_Helper'!A197="","",'03_Helper'!AJ197)</f>
        <v/>
      </c>
      <c r="T197">
        <f>IF('03_Helper'!A197="","",'03_Helper'!U197)</f>
        <v/>
      </c>
      <c r="U197">
        <f>IF('03_Helper'!A197="","",'03_Helper'!W197)</f>
        <v/>
      </c>
      <c r="V197">
        <f>IF('03_Helper'!A197="","",'03_Helper'!AG197)</f>
        <v/>
      </c>
      <c r="W197">
        <f>IF('03_Helper'!A197="","",'03_Helper'!AK197)</f>
        <v/>
      </c>
      <c r="X197">
        <f>IF('03_Helper'!A197="","",'03_Helper'!K197)</f>
        <v/>
      </c>
      <c r="Y197">
        <f>IF('03_Helper'!A197="","",'03_Helper'!AN197)</f>
        <v/>
      </c>
    </row>
    <row r="198">
      <c r="A198">
        <f>IF('03_Helper'!A198="","",'03_Helper'!B198)</f>
        <v/>
      </c>
      <c r="B198">
        <f>IF('03_Helper'!A198="","",'03_Helper'!C198)</f>
        <v/>
      </c>
      <c r="C198">
        <f>IF('03_Helper'!A198="","",'03_Helper'!G198)</f>
        <v/>
      </c>
      <c r="D198">
        <f>IF('03_Helper'!A198="","",'03_Helper'!E198)</f>
        <v/>
      </c>
      <c r="E198">
        <f>IF('03_Helper'!A198="","",'03_Helper'!D198)</f>
        <v/>
      </c>
      <c r="F198">
        <f>IF('03_Helper'!A198="","",'03_Helper'!H198)</f>
        <v/>
      </c>
      <c r="G198">
        <f>IF('03_Helper'!A198="","",'03_Helper'!X198)</f>
        <v/>
      </c>
      <c r="H198">
        <f>IF('03_Helper'!A198="","",'03_Helper'!Y198)</f>
        <v/>
      </c>
      <c r="I198">
        <f>IF('03_Helper'!A198="","",'03_Helper'!Z198)</f>
        <v/>
      </c>
      <c r="J198">
        <f>IF('03_Helper'!A198="","",'03_Helper'!Q198)</f>
        <v/>
      </c>
      <c r="K198">
        <f>IF('03_Helper'!A198="","",'03_Helper'!R198)</f>
        <v/>
      </c>
      <c r="L198">
        <f>IF('03_Helper'!A198="","",'03_Helper'!S198)</f>
        <v/>
      </c>
      <c r="M198">
        <f>IF('03_Helper'!A198="","",'03_Helper'!T198)</f>
        <v/>
      </c>
      <c r="N198">
        <f>IF('03_Helper'!A198="","",'03_Helper'!AA198)</f>
        <v/>
      </c>
      <c r="O198">
        <f>IF('03_Helper'!A198="","",'03_Helper'!AB198)</f>
        <v/>
      </c>
      <c r="P198">
        <f>IF('03_Helper'!A198="","",'03_Helper'!AC198)</f>
        <v/>
      </c>
      <c r="Q198">
        <f>IF('03_Helper'!A198="","",'03_Helper'!AD198)</f>
        <v/>
      </c>
      <c r="R198">
        <f>IF('03_Helper'!A198="","",'03_Helper'!AI198)</f>
        <v/>
      </c>
      <c r="S198">
        <f>IF('03_Helper'!A198="","",'03_Helper'!AJ198)</f>
        <v/>
      </c>
      <c r="T198">
        <f>IF('03_Helper'!A198="","",'03_Helper'!U198)</f>
        <v/>
      </c>
      <c r="U198">
        <f>IF('03_Helper'!A198="","",'03_Helper'!W198)</f>
        <v/>
      </c>
      <c r="V198">
        <f>IF('03_Helper'!A198="","",'03_Helper'!AG198)</f>
        <v/>
      </c>
      <c r="W198">
        <f>IF('03_Helper'!A198="","",'03_Helper'!AK198)</f>
        <v/>
      </c>
      <c r="X198">
        <f>IF('03_Helper'!A198="","",'03_Helper'!K198)</f>
        <v/>
      </c>
      <c r="Y198">
        <f>IF('03_Helper'!A198="","",'03_Helper'!AN198)</f>
        <v/>
      </c>
    </row>
    <row r="199">
      <c r="A199">
        <f>IF('03_Helper'!A199="","",'03_Helper'!B199)</f>
        <v/>
      </c>
      <c r="B199">
        <f>IF('03_Helper'!A199="","",'03_Helper'!C199)</f>
        <v/>
      </c>
      <c r="C199">
        <f>IF('03_Helper'!A199="","",'03_Helper'!G199)</f>
        <v/>
      </c>
      <c r="D199">
        <f>IF('03_Helper'!A199="","",'03_Helper'!E199)</f>
        <v/>
      </c>
      <c r="E199">
        <f>IF('03_Helper'!A199="","",'03_Helper'!D199)</f>
        <v/>
      </c>
      <c r="F199">
        <f>IF('03_Helper'!A199="","",'03_Helper'!H199)</f>
        <v/>
      </c>
      <c r="G199">
        <f>IF('03_Helper'!A199="","",'03_Helper'!X199)</f>
        <v/>
      </c>
      <c r="H199">
        <f>IF('03_Helper'!A199="","",'03_Helper'!Y199)</f>
        <v/>
      </c>
      <c r="I199">
        <f>IF('03_Helper'!A199="","",'03_Helper'!Z199)</f>
        <v/>
      </c>
      <c r="J199">
        <f>IF('03_Helper'!A199="","",'03_Helper'!Q199)</f>
        <v/>
      </c>
      <c r="K199">
        <f>IF('03_Helper'!A199="","",'03_Helper'!R199)</f>
        <v/>
      </c>
      <c r="L199">
        <f>IF('03_Helper'!A199="","",'03_Helper'!S199)</f>
        <v/>
      </c>
      <c r="M199">
        <f>IF('03_Helper'!A199="","",'03_Helper'!T199)</f>
        <v/>
      </c>
      <c r="N199">
        <f>IF('03_Helper'!A199="","",'03_Helper'!AA199)</f>
        <v/>
      </c>
      <c r="O199">
        <f>IF('03_Helper'!A199="","",'03_Helper'!AB199)</f>
        <v/>
      </c>
      <c r="P199">
        <f>IF('03_Helper'!A199="","",'03_Helper'!AC199)</f>
        <v/>
      </c>
      <c r="Q199">
        <f>IF('03_Helper'!A199="","",'03_Helper'!AD199)</f>
        <v/>
      </c>
      <c r="R199">
        <f>IF('03_Helper'!A199="","",'03_Helper'!AI199)</f>
        <v/>
      </c>
      <c r="S199">
        <f>IF('03_Helper'!A199="","",'03_Helper'!AJ199)</f>
        <v/>
      </c>
      <c r="T199">
        <f>IF('03_Helper'!A199="","",'03_Helper'!U199)</f>
        <v/>
      </c>
      <c r="U199">
        <f>IF('03_Helper'!A199="","",'03_Helper'!W199)</f>
        <v/>
      </c>
      <c r="V199">
        <f>IF('03_Helper'!A199="","",'03_Helper'!AG199)</f>
        <v/>
      </c>
      <c r="W199">
        <f>IF('03_Helper'!A199="","",'03_Helper'!AK199)</f>
        <v/>
      </c>
      <c r="X199">
        <f>IF('03_Helper'!A199="","",'03_Helper'!K199)</f>
        <v/>
      </c>
      <c r="Y199">
        <f>IF('03_Helper'!A199="","",'03_Helper'!AN199)</f>
        <v/>
      </c>
    </row>
    <row r="200">
      <c r="A200">
        <f>IF('03_Helper'!A200="","",'03_Helper'!B200)</f>
        <v/>
      </c>
      <c r="B200">
        <f>IF('03_Helper'!A200="","",'03_Helper'!C200)</f>
        <v/>
      </c>
      <c r="C200">
        <f>IF('03_Helper'!A200="","",'03_Helper'!G200)</f>
        <v/>
      </c>
      <c r="D200">
        <f>IF('03_Helper'!A200="","",'03_Helper'!E200)</f>
        <v/>
      </c>
      <c r="E200">
        <f>IF('03_Helper'!A200="","",'03_Helper'!D200)</f>
        <v/>
      </c>
      <c r="F200">
        <f>IF('03_Helper'!A200="","",'03_Helper'!H200)</f>
        <v/>
      </c>
      <c r="G200">
        <f>IF('03_Helper'!A200="","",'03_Helper'!X200)</f>
        <v/>
      </c>
      <c r="H200">
        <f>IF('03_Helper'!A200="","",'03_Helper'!Y200)</f>
        <v/>
      </c>
      <c r="I200">
        <f>IF('03_Helper'!A200="","",'03_Helper'!Z200)</f>
        <v/>
      </c>
      <c r="J200">
        <f>IF('03_Helper'!A200="","",'03_Helper'!Q200)</f>
        <v/>
      </c>
      <c r="K200">
        <f>IF('03_Helper'!A200="","",'03_Helper'!R200)</f>
        <v/>
      </c>
      <c r="L200">
        <f>IF('03_Helper'!A200="","",'03_Helper'!S200)</f>
        <v/>
      </c>
      <c r="M200">
        <f>IF('03_Helper'!A200="","",'03_Helper'!T200)</f>
        <v/>
      </c>
      <c r="N200">
        <f>IF('03_Helper'!A200="","",'03_Helper'!AA200)</f>
        <v/>
      </c>
      <c r="O200">
        <f>IF('03_Helper'!A200="","",'03_Helper'!AB200)</f>
        <v/>
      </c>
      <c r="P200">
        <f>IF('03_Helper'!A200="","",'03_Helper'!AC200)</f>
        <v/>
      </c>
      <c r="Q200">
        <f>IF('03_Helper'!A200="","",'03_Helper'!AD200)</f>
        <v/>
      </c>
      <c r="R200">
        <f>IF('03_Helper'!A200="","",'03_Helper'!AI200)</f>
        <v/>
      </c>
      <c r="S200">
        <f>IF('03_Helper'!A200="","",'03_Helper'!AJ200)</f>
        <v/>
      </c>
      <c r="T200">
        <f>IF('03_Helper'!A200="","",'03_Helper'!U200)</f>
        <v/>
      </c>
      <c r="U200">
        <f>IF('03_Helper'!A200="","",'03_Helper'!W200)</f>
        <v/>
      </c>
      <c r="V200">
        <f>IF('03_Helper'!A200="","",'03_Helper'!AG200)</f>
        <v/>
      </c>
      <c r="W200">
        <f>IF('03_Helper'!A200="","",'03_Helper'!AK200)</f>
        <v/>
      </c>
      <c r="X200">
        <f>IF('03_Helper'!A200="","",'03_Helper'!K200)</f>
        <v/>
      </c>
      <c r="Y200">
        <f>IF('03_Helper'!A200="","",'03_Helper'!AN200)</f>
        <v/>
      </c>
    </row>
    <row r="201">
      <c r="A201">
        <f>IF('03_Helper'!A201="","",'03_Helper'!B201)</f>
        <v/>
      </c>
      <c r="B201">
        <f>IF('03_Helper'!A201="","",'03_Helper'!C201)</f>
        <v/>
      </c>
      <c r="C201">
        <f>IF('03_Helper'!A201="","",'03_Helper'!G201)</f>
        <v/>
      </c>
      <c r="D201">
        <f>IF('03_Helper'!A201="","",'03_Helper'!E201)</f>
        <v/>
      </c>
      <c r="E201">
        <f>IF('03_Helper'!A201="","",'03_Helper'!D201)</f>
        <v/>
      </c>
      <c r="F201">
        <f>IF('03_Helper'!A201="","",'03_Helper'!H201)</f>
        <v/>
      </c>
      <c r="G201">
        <f>IF('03_Helper'!A201="","",'03_Helper'!X201)</f>
        <v/>
      </c>
      <c r="H201">
        <f>IF('03_Helper'!A201="","",'03_Helper'!Y201)</f>
        <v/>
      </c>
      <c r="I201">
        <f>IF('03_Helper'!A201="","",'03_Helper'!Z201)</f>
        <v/>
      </c>
      <c r="J201">
        <f>IF('03_Helper'!A201="","",'03_Helper'!Q201)</f>
        <v/>
      </c>
      <c r="K201">
        <f>IF('03_Helper'!A201="","",'03_Helper'!R201)</f>
        <v/>
      </c>
      <c r="L201">
        <f>IF('03_Helper'!A201="","",'03_Helper'!S201)</f>
        <v/>
      </c>
      <c r="M201">
        <f>IF('03_Helper'!A201="","",'03_Helper'!T201)</f>
        <v/>
      </c>
      <c r="N201">
        <f>IF('03_Helper'!A201="","",'03_Helper'!AA201)</f>
        <v/>
      </c>
      <c r="O201">
        <f>IF('03_Helper'!A201="","",'03_Helper'!AB201)</f>
        <v/>
      </c>
      <c r="P201">
        <f>IF('03_Helper'!A201="","",'03_Helper'!AC201)</f>
        <v/>
      </c>
      <c r="Q201">
        <f>IF('03_Helper'!A201="","",'03_Helper'!AD201)</f>
        <v/>
      </c>
      <c r="R201">
        <f>IF('03_Helper'!A201="","",'03_Helper'!AI201)</f>
        <v/>
      </c>
      <c r="S201">
        <f>IF('03_Helper'!A201="","",'03_Helper'!AJ201)</f>
        <v/>
      </c>
      <c r="T201">
        <f>IF('03_Helper'!A201="","",'03_Helper'!U201)</f>
        <v/>
      </c>
      <c r="U201">
        <f>IF('03_Helper'!A201="","",'03_Helper'!W201)</f>
        <v/>
      </c>
      <c r="V201">
        <f>IF('03_Helper'!A201="","",'03_Helper'!AG201)</f>
        <v/>
      </c>
      <c r="W201">
        <f>IF('03_Helper'!A201="","",'03_Helper'!AK201)</f>
        <v/>
      </c>
      <c r="X201">
        <f>IF('03_Helper'!A201="","",'03_Helper'!K201)</f>
        <v/>
      </c>
      <c r="Y201">
        <f>IF('03_Helper'!A201="","",'03_Helper'!AN201)</f>
        <v/>
      </c>
    </row>
    <row r="202">
      <c r="A202">
        <f>IF('03_Helper'!A202="","",'03_Helper'!B202)</f>
        <v/>
      </c>
      <c r="B202">
        <f>IF('03_Helper'!A202="","",'03_Helper'!C202)</f>
        <v/>
      </c>
      <c r="C202">
        <f>IF('03_Helper'!A202="","",'03_Helper'!G202)</f>
        <v/>
      </c>
      <c r="D202">
        <f>IF('03_Helper'!A202="","",'03_Helper'!E202)</f>
        <v/>
      </c>
      <c r="E202">
        <f>IF('03_Helper'!A202="","",'03_Helper'!D202)</f>
        <v/>
      </c>
      <c r="F202">
        <f>IF('03_Helper'!A202="","",'03_Helper'!H202)</f>
        <v/>
      </c>
      <c r="G202">
        <f>IF('03_Helper'!A202="","",'03_Helper'!X202)</f>
        <v/>
      </c>
      <c r="H202">
        <f>IF('03_Helper'!A202="","",'03_Helper'!Y202)</f>
        <v/>
      </c>
      <c r="I202">
        <f>IF('03_Helper'!A202="","",'03_Helper'!Z202)</f>
        <v/>
      </c>
      <c r="J202">
        <f>IF('03_Helper'!A202="","",'03_Helper'!Q202)</f>
        <v/>
      </c>
      <c r="K202">
        <f>IF('03_Helper'!A202="","",'03_Helper'!R202)</f>
        <v/>
      </c>
      <c r="L202">
        <f>IF('03_Helper'!A202="","",'03_Helper'!S202)</f>
        <v/>
      </c>
      <c r="M202">
        <f>IF('03_Helper'!A202="","",'03_Helper'!T202)</f>
        <v/>
      </c>
      <c r="N202">
        <f>IF('03_Helper'!A202="","",'03_Helper'!AA202)</f>
        <v/>
      </c>
      <c r="O202">
        <f>IF('03_Helper'!A202="","",'03_Helper'!AB202)</f>
        <v/>
      </c>
      <c r="P202">
        <f>IF('03_Helper'!A202="","",'03_Helper'!AC202)</f>
        <v/>
      </c>
      <c r="Q202">
        <f>IF('03_Helper'!A202="","",'03_Helper'!AD202)</f>
        <v/>
      </c>
      <c r="R202">
        <f>IF('03_Helper'!A202="","",'03_Helper'!AI202)</f>
        <v/>
      </c>
      <c r="S202">
        <f>IF('03_Helper'!A202="","",'03_Helper'!AJ202)</f>
        <v/>
      </c>
      <c r="T202">
        <f>IF('03_Helper'!A202="","",'03_Helper'!U202)</f>
        <v/>
      </c>
      <c r="U202">
        <f>IF('03_Helper'!A202="","",'03_Helper'!W202)</f>
        <v/>
      </c>
      <c r="V202">
        <f>IF('03_Helper'!A202="","",'03_Helper'!AG202)</f>
        <v/>
      </c>
      <c r="W202">
        <f>IF('03_Helper'!A202="","",'03_Helper'!AK202)</f>
        <v/>
      </c>
      <c r="X202">
        <f>IF('03_Helper'!A202="","",'03_Helper'!K202)</f>
        <v/>
      </c>
      <c r="Y202">
        <f>IF('03_Helper'!A202="","",'03_Helper'!AN202)</f>
        <v/>
      </c>
    </row>
    <row r="203">
      <c r="A203">
        <f>IF('03_Helper'!A203="","",'03_Helper'!B203)</f>
        <v/>
      </c>
      <c r="B203">
        <f>IF('03_Helper'!A203="","",'03_Helper'!C203)</f>
        <v/>
      </c>
      <c r="C203">
        <f>IF('03_Helper'!A203="","",'03_Helper'!G203)</f>
        <v/>
      </c>
      <c r="D203">
        <f>IF('03_Helper'!A203="","",'03_Helper'!E203)</f>
        <v/>
      </c>
      <c r="E203">
        <f>IF('03_Helper'!A203="","",'03_Helper'!D203)</f>
        <v/>
      </c>
      <c r="F203">
        <f>IF('03_Helper'!A203="","",'03_Helper'!H203)</f>
        <v/>
      </c>
      <c r="G203">
        <f>IF('03_Helper'!A203="","",'03_Helper'!X203)</f>
        <v/>
      </c>
      <c r="H203">
        <f>IF('03_Helper'!A203="","",'03_Helper'!Y203)</f>
        <v/>
      </c>
      <c r="I203">
        <f>IF('03_Helper'!A203="","",'03_Helper'!Z203)</f>
        <v/>
      </c>
      <c r="J203">
        <f>IF('03_Helper'!A203="","",'03_Helper'!Q203)</f>
        <v/>
      </c>
      <c r="K203">
        <f>IF('03_Helper'!A203="","",'03_Helper'!R203)</f>
        <v/>
      </c>
      <c r="L203">
        <f>IF('03_Helper'!A203="","",'03_Helper'!S203)</f>
        <v/>
      </c>
      <c r="M203">
        <f>IF('03_Helper'!A203="","",'03_Helper'!T203)</f>
        <v/>
      </c>
      <c r="N203">
        <f>IF('03_Helper'!A203="","",'03_Helper'!AA203)</f>
        <v/>
      </c>
      <c r="O203">
        <f>IF('03_Helper'!A203="","",'03_Helper'!AB203)</f>
        <v/>
      </c>
      <c r="P203">
        <f>IF('03_Helper'!A203="","",'03_Helper'!AC203)</f>
        <v/>
      </c>
      <c r="Q203">
        <f>IF('03_Helper'!A203="","",'03_Helper'!AD203)</f>
        <v/>
      </c>
      <c r="R203">
        <f>IF('03_Helper'!A203="","",'03_Helper'!AI203)</f>
        <v/>
      </c>
      <c r="S203">
        <f>IF('03_Helper'!A203="","",'03_Helper'!AJ203)</f>
        <v/>
      </c>
      <c r="T203">
        <f>IF('03_Helper'!A203="","",'03_Helper'!U203)</f>
        <v/>
      </c>
      <c r="U203">
        <f>IF('03_Helper'!A203="","",'03_Helper'!W203)</f>
        <v/>
      </c>
      <c r="V203">
        <f>IF('03_Helper'!A203="","",'03_Helper'!AG203)</f>
        <v/>
      </c>
      <c r="W203">
        <f>IF('03_Helper'!A203="","",'03_Helper'!AK203)</f>
        <v/>
      </c>
      <c r="X203">
        <f>IF('03_Helper'!A203="","",'03_Helper'!K203)</f>
        <v/>
      </c>
      <c r="Y203">
        <f>IF('03_Helper'!A203="","",'03_Helper'!AN203)</f>
        <v/>
      </c>
    </row>
    <row r="204">
      <c r="A204">
        <f>IF('03_Helper'!A204="","",'03_Helper'!B204)</f>
        <v/>
      </c>
      <c r="B204">
        <f>IF('03_Helper'!A204="","",'03_Helper'!C204)</f>
        <v/>
      </c>
      <c r="C204">
        <f>IF('03_Helper'!A204="","",'03_Helper'!G204)</f>
        <v/>
      </c>
      <c r="D204">
        <f>IF('03_Helper'!A204="","",'03_Helper'!E204)</f>
        <v/>
      </c>
      <c r="E204">
        <f>IF('03_Helper'!A204="","",'03_Helper'!D204)</f>
        <v/>
      </c>
      <c r="F204">
        <f>IF('03_Helper'!A204="","",'03_Helper'!H204)</f>
        <v/>
      </c>
      <c r="G204">
        <f>IF('03_Helper'!A204="","",'03_Helper'!X204)</f>
        <v/>
      </c>
      <c r="H204">
        <f>IF('03_Helper'!A204="","",'03_Helper'!Y204)</f>
        <v/>
      </c>
      <c r="I204">
        <f>IF('03_Helper'!A204="","",'03_Helper'!Z204)</f>
        <v/>
      </c>
      <c r="J204">
        <f>IF('03_Helper'!A204="","",'03_Helper'!Q204)</f>
        <v/>
      </c>
      <c r="K204">
        <f>IF('03_Helper'!A204="","",'03_Helper'!R204)</f>
        <v/>
      </c>
      <c r="L204">
        <f>IF('03_Helper'!A204="","",'03_Helper'!S204)</f>
        <v/>
      </c>
      <c r="M204">
        <f>IF('03_Helper'!A204="","",'03_Helper'!T204)</f>
        <v/>
      </c>
      <c r="N204">
        <f>IF('03_Helper'!A204="","",'03_Helper'!AA204)</f>
        <v/>
      </c>
      <c r="O204">
        <f>IF('03_Helper'!A204="","",'03_Helper'!AB204)</f>
        <v/>
      </c>
      <c r="P204">
        <f>IF('03_Helper'!A204="","",'03_Helper'!AC204)</f>
        <v/>
      </c>
      <c r="Q204">
        <f>IF('03_Helper'!A204="","",'03_Helper'!AD204)</f>
        <v/>
      </c>
      <c r="R204">
        <f>IF('03_Helper'!A204="","",'03_Helper'!AI204)</f>
        <v/>
      </c>
      <c r="S204">
        <f>IF('03_Helper'!A204="","",'03_Helper'!AJ204)</f>
        <v/>
      </c>
      <c r="T204">
        <f>IF('03_Helper'!A204="","",'03_Helper'!U204)</f>
        <v/>
      </c>
      <c r="U204">
        <f>IF('03_Helper'!A204="","",'03_Helper'!W204)</f>
        <v/>
      </c>
      <c r="V204">
        <f>IF('03_Helper'!A204="","",'03_Helper'!AG204)</f>
        <v/>
      </c>
      <c r="W204">
        <f>IF('03_Helper'!A204="","",'03_Helper'!AK204)</f>
        <v/>
      </c>
      <c r="X204">
        <f>IF('03_Helper'!A204="","",'03_Helper'!K204)</f>
        <v/>
      </c>
      <c r="Y204">
        <f>IF('03_Helper'!A204="","",'03_Helper'!AN204)</f>
        <v/>
      </c>
    </row>
    <row r="205">
      <c r="A205">
        <f>IF('03_Helper'!A205="","",'03_Helper'!B205)</f>
        <v/>
      </c>
      <c r="B205">
        <f>IF('03_Helper'!A205="","",'03_Helper'!C205)</f>
        <v/>
      </c>
      <c r="C205">
        <f>IF('03_Helper'!A205="","",'03_Helper'!G205)</f>
        <v/>
      </c>
      <c r="D205">
        <f>IF('03_Helper'!A205="","",'03_Helper'!E205)</f>
        <v/>
      </c>
      <c r="E205">
        <f>IF('03_Helper'!A205="","",'03_Helper'!D205)</f>
        <v/>
      </c>
      <c r="F205">
        <f>IF('03_Helper'!A205="","",'03_Helper'!H205)</f>
        <v/>
      </c>
      <c r="G205">
        <f>IF('03_Helper'!A205="","",'03_Helper'!X205)</f>
        <v/>
      </c>
      <c r="H205">
        <f>IF('03_Helper'!A205="","",'03_Helper'!Y205)</f>
        <v/>
      </c>
      <c r="I205">
        <f>IF('03_Helper'!A205="","",'03_Helper'!Z205)</f>
        <v/>
      </c>
      <c r="J205">
        <f>IF('03_Helper'!A205="","",'03_Helper'!Q205)</f>
        <v/>
      </c>
      <c r="K205">
        <f>IF('03_Helper'!A205="","",'03_Helper'!R205)</f>
        <v/>
      </c>
      <c r="L205">
        <f>IF('03_Helper'!A205="","",'03_Helper'!S205)</f>
        <v/>
      </c>
      <c r="M205">
        <f>IF('03_Helper'!A205="","",'03_Helper'!T205)</f>
        <v/>
      </c>
      <c r="N205">
        <f>IF('03_Helper'!A205="","",'03_Helper'!AA205)</f>
        <v/>
      </c>
      <c r="O205">
        <f>IF('03_Helper'!A205="","",'03_Helper'!AB205)</f>
        <v/>
      </c>
      <c r="P205">
        <f>IF('03_Helper'!A205="","",'03_Helper'!AC205)</f>
        <v/>
      </c>
      <c r="Q205">
        <f>IF('03_Helper'!A205="","",'03_Helper'!AD205)</f>
        <v/>
      </c>
      <c r="R205">
        <f>IF('03_Helper'!A205="","",'03_Helper'!AI205)</f>
        <v/>
      </c>
      <c r="S205">
        <f>IF('03_Helper'!A205="","",'03_Helper'!AJ205)</f>
        <v/>
      </c>
      <c r="T205">
        <f>IF('03_Helper'!A205="","",'03_Helper'!U205)</f>
        <v/>
      </c>
      <c r="U205">
        <f>IF('03_Helper'!A205="","",'03_Helper'!W205)</f>
        <v/>
      </c>
      <c r="V205">
        <f>IF('03_Helper'!A205="","",'03_Helper'!AG205)</f>
        <v/>
      </c>
      <c r="W205">
        <f>IF('03_Helper'!A205="","",'03_Helper'!AK205)</f>
        <v/>
      </c>
      <c r="X205">
        <f>IF('03_Helper'!A205="","",'03_Helper'!K205)</f>
        <v/>
      </c>
      <c r="Y205">
        <f>IF('03_Helper'!A205="","",'03_Helper'!AN205)</f>
        <v/>
      </c>
    </row>
    <row r="206">
      <c r="A206">
        <f>IF('03_Helper'!A206="","",'03_Helper'!B206)</f>
        <v/>
      </c>
      <c r="B206">
        <f>IF('03_Helper'!A206="","",'03_Helper'!C206)</f>
        <v/>
      </c>
      <c r="C206">
        <f>IF('03_Helper'!A206="","",'03_Helper'!G206)</f>
        <v/>
      </c>
      <c r="D206">
        <f>IF('03_Helper'!A206="","",'03_Helper'!E206)</f>
        <v/>
      </c>
      <c r="E206">
        <f>IF('03_Helper'!A206="","",'03_Helper'!D206)</f>
        <v/>
      </c>
      <c r="F206">
        <f>IF('03_Helper'!A206="","",'03_Helper'!H206)</f>
        <v/>
      </c>
      <c r="G206">
        <f>IF('03_Helper'!A206="","",'03_Helper'!X206)</f>
        <v/>
      </c>
      <c r="H206">
        <f>IF('03_Helper'!A206="","",'03_Helper'!Y206)</f>
        <v/>
      </c>
      <c r="I206">
        <f>IF('03_Helper'!A206="","",'03_Helper'!Z206)</f>
        <v/>
      </c>
      <c r="J206">
        <f>IF('03_Helper'!A206="","",'03_Helper'!Q206)</f>
        <v/>
      </c>
      <c r="K206">
        <f>IF('03_Helper'!A206="","",'03_Helper'!R206)</f>
        <v/>
      </c>
      <c r="L206">
        <f>IF('03_Helper'!A206="","",'03_Helper'!S206)</f>
        <v/>
      </c>
      <c r="M206">
        <f>IF('03_Helper'!A206="","",'03_Helper'!T206)</f>
        <v/>
      </c>
      <c r="N206">
        <f>IF('03_Helper'!A206="","",'03_Helper'!AA206)</f>
        <v/>
      </c>
      <c r="O206">
        <f>IF('03_Helper'!A206="","",'03_Helper'!AB206)</f>
        <v/>
      </c>
      <c r="P206">
        <f>IF('03_Helper'!A206="","",'03_Helper'!AC206)</f>
        <v/>
      </c>
      <c r="Q206">
        <f>IF('03_Helper'!A206="","",'03_Helper'!AD206)</f>
        <v/>
      </c>
      <c r="R206">
        <f>IF('03_Helper'!A206="","",'03_Helper'!AI206)</f>
        <v/>
      </c>
      <c r="S206">
        <f>IF('03_Helper'!A206="","",'03_Helper'!AJ206)</f>
        <v/>
      </c>
      <c r="T206">
        <f>IF('03_Helper'!A206="","",'03_Helper'!U206)</f>
        <v/>
      </c>
      <c r="U206">
        <f>IF('03_Helper'!A206="","",'03_Helper'!W206)</f>
        <v/>
      </c>
      <c r="V206">
        <f>IF('03_Helper'!A206="","",'03_Helper'!AG206)</f>
        <v/>
      </c>
      <c r="W206">
        <f>IF('03_Helper'!A206="","",'03_Helper'!AK206)</f>
        <v/>
      </c>
      <c r="X206">
        <f>IF('03_Helper'!A206="","",'03_Helper'!K206)</f>
        <v/>
      </c>
      <c r="Y206">
        <f>IF('03_Helper'!A206="","",'03_Helper'!AN206)</f>
        <v/>
      </c>
    </row>
    <row r="207">
      <c r="A207">
        <f>IF('03_Helper'!A207="","",'03_Helper'!B207)</f>
        <v/>
      </c>
      <c r="B207">
        <f>IF('03_Helper'!A207="","",'03_Helper'!C207)</f>
        <v/>
      </c>
      <c r="C207">
        <f>IF('03_Helper'!A207="","",'03_Helper'!G207)</f>
        <v/>
      </c>
      <c r="D207">
        <f>IF('03_Helper'!A207="","",'03_Helper'!E207)</f>
        <v/>
      </c>
      <c r="E207">
        <f>IF('03_Helper'!A207="","",'03_Helper'!D207)</f>
        <v/>
      </c>
      <c r="F207">
        <f>IF('03_Helper'!A207="","",'03_Helper'!H207)</f>
        <v/>
      </c>
      <c r="G207">
        <f>IF('03_Helper'!A207="","",'03_Helper'!X207)</f>
        <v/>
      </c>
      <c r="H207">
        <f>IF('03_Helper'!A207="","",'03_Helper'!Y207)</f>
        <v/>
      </c>
      <c r="I207">
        <f>IF('03_Helper'!A207="","",'03_Helper'!Z207)</f>
        <v/>
      </c>
      <c r="J207">
        <f>IF('03_Helper'!A207="","",'03_Helper'!Q207)</f>
        <v/>
      </c>
      <c r="K207">
        <f>IF('03_Helper'!A207="","",'03_Helper'!R207)</f>
        <v/>
      </c>
      <c r="L207">
        <f>IF('03_Helper'!A207="","",'03_Helper'!S207)</f>
        <v/>
      </c>
      <c r="M207">
        <f>IF('03_Helper'!A207="","",'03_Helper'!T207)</f>
        <v/>
      </c>
      <c r="N207">
        <f>IF('03_Helper'!A207="","",'03_Helper'!AA207)</f>
        <v/>
      </c>
      <c r="O207">
        <f>IF('03_Helper'!A207="","",'03_Helper'!AB207)</f>
        <v/>
      </c>
      <c r="P207">
        <f>IF('03_Helper'!A207="","",'03_Helper'!AC207)</f>
        <v/>
      </c>
      <c r="Q207">
        <f>IF('03_Helper'!A207="","",'03_Helper'!AD207)</f>
        <v/>
      </c>
      <c r="R207">
        <f>IF('03_Helper'!A207="","",'03_Helper'!AI207)</f>
        <v/>
      </c>
      <c r="S207">
        <f>IF('03_Helper'!A207="","",'03_Helper'!AJ207)</f>
        <v/>
      </c>
      <c r="T207">
        <f>IF('03_Helper'!A207="","",'03_Helper'!U207)</f>
        <v/>
      </c>
      <c r="U207">
        <f>IF('03_Helper'!A207="","",'03_Helper'!W207)</f>
        <v/>
      </c>
      <c r="V207">
        <f>IF('03_Helper'!A207="","",'03_Helper'!AG207)</f>
        <v/>
      </c>
      <c r="W207">
        <f>IF('03_Helper'!A207="","",'03_Helper'!AK207)</f>
        <v/>
      </c>
      <c r="X207">
        <f>IF('03_Helper'!A207="","",'03_Helper'!K207)</f>
        <v/>
      </c>
      <c r="Y207">
        <f>IF('03_Helper'!A207="","",'03_Helper'!AN207)</f>
        <v/>
      </c>
    </row>
    <row r="208">
      <c r="A208">
        <f>IF('03_Helper'!A208="","",'03_Helper'!B208)</f>
        <v/>
      </c>
      <c r="B208">
        <f>IF('03_Helper'!A208="","",'03_Helper'!C208)</f>
        <v/>
      </c>
      <c r="C208">
        <f>IF('03_Helper'!A208="","",'03_Helper'!G208)</f>
        <v/>
      </c>
      <c r="D208">
        <f>IF('03_Helper'!A208="","",'03_Helper'!E208)</f>
        <v/>
      </c>
      <c r="E208">
        <f>IF('03_Helper'!A208="","",'03_Helper'!D208)</f>
        <v/>
      </c>
      <c r="F208">
        <f>IF('03_Helper'!A208="","",'03_Helper'!H208)</f>
        <v/>
      </c>
      <c r="G208">
        <f>IF('03_Helper'!A208="","",'03_Helper'!X208)</f>
        <v/>
      </c>
      <c r="H208">
        <f>IF('03_Helper'!A208="","",'03_Helper'!Y208)</f>
        <v/>
      </c>
      <c r="I208">
        <f>IF('03_Helper'!A208="","",'03_Helper'!Z208)</f>
        <v/>
      </c>
      <c r="J208">
        <f>IF('03_Helper'!A208="","",'03_Helper'!Q208)</f>
        <v/>
      </c>
      <c r="K208">
        <f>IF('03_Helper'!A208="","",'03_Helper'!R208)</f>
        <v/>
      </c>
      <c r="L208">
        <f>IF('03_Helper'!A208="","",'03_Helper'!S208)</f>
        <v/>
      </c>
      <c r="M208">
        <f>IF('03_Helper'!A208="","",'03_Helper'!T208)</f>
        <v/>
      </c>
      <c r="N208">
        <f>IF('03_Helper'!A208="","",'03_Helper'!AA208)</f>
        <v/>
      </c>
      <c r="O208">
        <f>IF('03_Helper'!A208="","",'03_Helper'!AB208)</f>
        <v/>
      </c>
      <c r="P208">
        <f>IF('03_Helper'!A208="","",'03_Helper'!AC208)</f>
        <v/>
      </c>
      <c r="Q208">
        <f>IF('03_Helper'!A208="","",'03_Helper'!AD208)</f>
        <v/>
      </c>
      <c r="R208">
        <f>IF('03_Helper'!A208="","",'03_Helper'!AI208)</f>
        <v/>
      </c>
      <c r="S208">
        <f>IF('03_Helper'!A208="","",'03_Helper'!AJ208)</f>
        <v/>
      </c>
      <c r="T208">
        <f>IF('03_Helper'!A208="","",'03_Helper'!U208)</f>
        <v/>
      </c>
      <c r="U208">
        <f>IF('03_Helper'!A208="","",'03_Helper'!W208)</f>
        <v/>
      </c>
      <c r="V208">
        <f>IF('03_Helper'!A208="","",'03_Helper'!AG208)</f>
        <v/>
      </c>
      <c r="W208">
        <f>IF('03_Helper'!A208="","",'03_Helper'!AK208)</f>
        <v/>
      </c>
      <c r="X208">
        <f>IF('03_Helper'!A208="","",'03_Helper'!K208)</f>
        <v/>
      </c>
      <c r="Y208">
        <f>IF('03_Helper'!A208="","",'03_Helper'!AN208)</f>
        <v/>
      </c>
    </row>
    <row r="209">
      <c r="A209">
        <f>IF('03_Helper'!A209="","",'03_Helper'!B209)</f>
        <v/>
      </c>
      <c r="B209">
        <f>IF('03_Helper'!A209="","",'03_Helper'!C209)</f>
        <v/>
      </c>
      <c r="C209">
        <f>IF('03_Helper'!A209="","",'03_Helper'!G209)</f>
        <v/>
      </c>
      <c r="D209">
        <f>IF('03_Helper'!A209="","",'03_Helper'!E209)</f>
        <v/>
      </c>
      <c r="E209">
        <f>IF('03_Helper'!A209="","",'03_Helper'!D209)</f>
        <v/>
      </c>
      <c r="F209">
        <f>IF('03_Helper'!A209="","",'03_Helper'!H209)</f>
        <v/>
      </c>
      <c r="G209">
        <f>IF('03_Helper'!A209="","",'03_Helper'!X209)</f>
        <v/>
      </c>
      <c r="H209">
        <f>IF('03_Helper'!A209="","",'03_Helper'!Y209)</f>
        <v/>
      </c>
      <c r="I209">
        <f>IF('03_Helper'!A209="","",'03_Helper'!Z209)</f>
        <v/>
      </c>
      <c r="J209">
        <f>IF('03_Helper'!A209="","",'03_Helper'!Q209)</f>
        <v/>
      </c>
      <c r="K209">
        <f>IF('03_Helper'!A209="","",'03_Helper'!R209)</f>
        <v/>
      </c>
      <c r="L209">
        <f>IF('03_Helper'!A209="","",'03_Helper'!S209)</f>
        <v/>
      </c>
      <c r="M209">
        <f>IF('03_Helper'!A209="","",'03_Helper'!T209)</f>
        <v/>
      </c>
      <c r="N209">
        <f>IF('03_Helper'!A209="","",'03_Helper'!AA209)</f>
        <v/>
      </c>
      <c r="O209">
        <f>IF('03_Helper'!A209="","",'03_Helper'!AB209)</f>
        <v/>
      </c>
      <c r="P209">
        <f>IF('03_Helper'!A209="","",'03_Helper'!AC209)</f>
        <v/>
      </c>
      <c r="Q209">
        <f>IF('03_Helper'!A209="","",'03_Helper'!AD209)</f>
        <v/>
      </c>
      <c r="R209">
        <f>IF('03_Helper'!A209="","",'03_Helper'!AI209)</f>
        <v/>
      </c>
      <c r="S209">
        <f>IF('03_Helper'!A209="","",'03_Helper'!AJ209)</f>
        <v/>
      </c>
      <c r="T209">
        <f>IF('03_Helper'!A209="","",'03_Helper'!U209)</f>
        <v/>
      </c>
      <c r="U209">
        <f>IF('03_Helper'!A209="","",'03_Helper'!W209)</f>
        <v/>
      </c>
      <c r="V209">
        <f>IF('03_Helper'!A209="","",'03_Helper'!AG209)</f>
        <v/>
      </c>
      <c r="W209">
        <f>IF('03_Helper'!A209="","",'03_Helper'!AK209)</f>
        <v/>
      </c>
      <c r="X209">
        <f>IF('03_Helper'!A209="","",'03_Helper'!K209)</f>
        <v/>
      </c>
      <c r="Y209">
        <f>IF('03_Helper'!A209="","",'03_Helper'!AN209)</f>
        <v/>
      </c>
    </row>
    <row r="210">
      <c r="A210">
        <f>IF('03_Helper'!A210="","",'03_Helper'!B210)</f>
        <v/>
      </c>
      <c r="B210">
        <f>IF('03_Helper'!A210="","",'03_Helper'!C210)</f>
        <v/>
      </c>
      <c r="C210">
        <f>IF('03_Helper'!A210="","",'03_Helper'!G210)</f>
        <v/>
      </c>
      <c r="D210">
        <f>IF('03_Helper'!A210="","",'03_Helper'!E210)</f>
        <v/>
      </c>
      <c r="E210">
        <f>IF('03_Helper'!A210="","",'03_Helper'!D210)</f>
        <v/>
      </c>
      <c r="F210">
        <f>IF('03_Helper'!A210="","",'03_Helper'!H210)</f>
        <v/>
      </c>
      <c r="G210">
        <f>IF('03_Helper'!A210="","",'03_Helper'!X210)</f>
        <v/>
      </c>
      <c r="H210">
        <f>IF('03_Helper'!A210="","",'03_Helper'!Y210)</f>
        <v/>
      </c>
      <c r="I210">
        <f>IF('03_Helper'!A210="","",'03_Helper'!Z210)</f>
        <v/>
      </c>
      <c r="J210">
        <f>IF('03_Helper'!A210="","",'03_Helper'!Q210)</f>
        <v/>
      </c>
      <c r="K210">
        <f>IF('03_Helper'!A210="","",'03_Helper'!R210)</f>
        <v/>
      </c>
      <c r="L210">
        <f>IF('03_Helper'!A210="","",'03_Helper'!S210)</f>
        <v/>
      </c>
      <c r="M210">
        <f>IF('03_Helper'!A210="","",'03_Helper'!T210)</f>
        <v/>
      </c>
      <c r="N210">
        <f>IF('03_Helper'!A210="","",'03_Helper'!AA210)</f>
        <v/>
      </c>
      <c r="O210">
        <f>IF('03_Helper'!A210="","",'03_Helper'!AB210)</f>
        <v/>
      </c>
      <c r="P210">
        <f>IF('03_Helper'!A210="","",'03_Helper'!AC210)</f>
        <v/>
      </c>
      <c r="Q210">
        <f>IF('03_Helper'!A210="","",'03_Helper'!AD210)</f>
        <v/>
      </c>
      <c r="R210">
        <f>IF('03_Helper'!A210="","",'03_Helper'!AI210)</f>
        <v/>
      </c>
      <c r="S210">
        <f>IF('03_Helper'!A210="","",'03_Helper'!AJ210)</f>
        <v/>
      </c>
      <c r="T210">
        <f>IF('03_Helper'!A210="","",'03_Helper'!U210)</f>
        <v/>
      </c>
      <c r="U210">
        <f>IF('03_Helper'!A210="","",'03_Helper'!W210)</f>
        <v/>
      </c>
      <c r="V210">
        <f>IF('03_Helper'!A210="","",'03_Helper'!AG210)</f>
        <v/>
      </c>
      <c r="W210">
        <f>IF('03_Helper'!A210="","",'03_Helper'!AK210)</f>
        <v/>
      </c>
      <c r="X210">
        <f>IF('03_Helper'!A210="","",'03_Helper'!K210)</f>
        <v/>
      </c>
      <c r="Y210">
        <f>IF('03_Helper'!A210="","",'03_Helper'!AN210)</f>
        <v/>
      </c>
    </row>
    <row r="211">
      <c r="A211">
        <f>IF('03_Helper'!A211="","",'03_Helper'!B211)</f>
        <v/>
      </c>
      <c r="B211">
        <f>IF('03_Helper'!A211="","",'03_Helper'!C211)</f>
        <v/>
      </c>
      <c r="C211">
        <f>IF('03_Helper'!A211="","",'03_Helper'!G211)</f>
        <v/>
      </c>
      <c r="D211">
        <f>IF('03_Helper'!A211="","",'03_Helper'!E211)</f>
        <v/>
      </c>
      <c r="E211">
        <f>IF('03_Helper'!A211="","",'03_Helper'!D211)</f>
        <v/>
      </c>
      <c r="F211">
        <f>IF('03_Helper'!A211="","",'03_Helper'!H211)</f>
        <v/>
      </c>
      <c r="G211">
        <f>IF('03_Helper'!A211="","",'03_Helper'!X211)</f>
        <v/>
      </c>
      <c r="H211">
        <f>IF('03_Helper'!A211="","",'03_Helper'!Y211)</f>
        <v/>
      </c>
      <c r="I211">
        <f>IF('03_Helper'!A211="","",'03_Helper'!Z211)</f>
        <v/>
      </c>
      <c r="J211">
        <f>IF('03_Helper'!A211="","",'03_Helper'!Q211)</f>
        <v/>
      </c>
      <c r="K211">
        <f>IF('03_Helper'!A211="","",'03_Helper'!R211)</f>
        <v/>
      </c>
      <c r="L211">
        <f>IF('03_Helper'!A211="","",'03_Helper'!S211)</f>
        <v/>
      </c>
      <c r="M211">
        <f>IF('03_Helper'!A211="","",'03_Helper'!T211)</f>
        <v/>
      </c>
      <c r="N211">
        <f>IF('03_Helper'!A211="","",'03_Helper'!AA211)</f>
        <v/>
      </c>
      <c r="O211">
        <f>IF('03_Helper'!A211="","",'03_Helper'!AB211)</f>
        <v/>
      </c>
      <c r="P211">
        <f>IF('03_Helper'!A211="","",'03_Helper'!AC211)</f>
        <v/>
      </c>
      <c r="Q211">
        <f>IF('03_Helper'!A211="","",'03_Helper'!AD211)</f>
        <v/>
      </c>
      <c r="R211">
        <f>IF('03_Helper'!A211="","",'03_Helper'!AI211)</f>
        <v/>
      </c>
      <c r="S211">
        <f>IF('03_Helper'!A211="","",'03_Helper'!AJ211)</f>
        <v/>
      </c>
      <c r="T211">
        <f>IF('03_Helper'!A211="","",'03_Helper'!U211)</f>
        <v/>
      </c>
      <c r="U211">
        <f>IF('03_Helper'!A211="","",'03_Helper'!W211)</f>
        <v/>
      </c>
      <c r="V211">
        <f>IF('03_Helper'!A211="","",'03_Helper'!AG211)</f>
        <v/>
      </c>
      <c r="W211">
        <f>IF('03_Helper'!A211="","",'03_Helper'!AK211)</f>
        <v/>
      </c>
      <c r="X211">
        <f>IF('03_Helper'!A211="","",'03_Helper'!K211)</f>
        <v/>
      </c>
      <c r="Y211">
        <f>IF('03_Helper'!A211="","",'03_Helper'!AN211)</f>
        <v/>
      </c>
    </row>
    <row r="212">
      <c r="A212">
        <f>IF('03_Helper'!A212="","",'03_Helper'!B212)</f>
        <v/>
      </c>
      <c r="B212">
        <f>IF('03_Helper'!A212="","",'03_Helper'!C212)</f>
        <v/>
      </c>
      <c r="C212">
        <f>IF('03_Helper'!A212="","",'03_Helper'!G212)</f>
        <v/>
      </c>
      <c r="D212">
        <f>IF('03_Helper'!A212="","",'03_Helper'!E212)</f>
        <v/>
      </c>
      <c r="E212">
        <f>IF('03_Helper'!A212="","",'03_Helper'!D212)</f>
        <v/>
      </c>
      <c r="F212">
        <f>IF('03_Helper'!A212="","",'03_Helper'!H212)</f>
        <v/>
      </c>
      <c r="G212">
        <f>IF('03_Helper'!A212="","",'03_Helper'!X212)</f>
        <v/>
      </c>
      <c r="H212">
        <f>IF('03_Helper'!A212="","",'03_Helper'!Y212)</f>
        <v/>
      </c>
      <c r="I212">
        <f>IF('03_Helper'!A212="","",'03_Helper'!Z212)</f>
        <v/>
      </c>
      <c r="J212">
        <f>IF('03_Helper'!A212="","",'03_Helper'!Q212)</f>
        <v/>
      </c>
      <c r="K212">
        <f>IF('03_Helper'!A212="","",'03_Helper'!R212)</f>
        <v/>
      </c>
      <c r="L212">
        <f>IF('03_Helper'!A212="","",'03_Helper'!S212)</f>
        <v/>
      </c>
      <c r="M212">
        <f>IF('03_Helper'!A212="","",'03_Helper'!T212)</f>
        <v/>
      </c>
      <c r="N212">
        <f>IF('03_Helper'!A212="","",'03_Helper'!AA212)</f>
        <v/>
      </c>
      <c r="O212">
        <f>IF('03_Helper'!A212="","",'03_Helper'!AB212)</f>
        <v/>
      </c>
      <c r="P212">
        <f>IF('03_Helper'!A212="","",'03_Helper'!AC212)</f>
        <v/>
      </c>
      <c r="Q212">
        <f>IF('03_Helper'!A212="","",'03_Helper'!AD212)</f>
        <v/>
      </c>
      <c r="R212">
        <f>IF('03_Helper'!A212="","",'03_Helper'!AI212)</f>
        <v/>
      </c>
      <c r="S212">
        <f>IF('03_Helper'!A212="","",'03_Helper'!AJ212)</f>
        <v/>
      </c>
      <c r="T212">
        <f>IF('03_Helper'!A212="","",'03_Helper'!U212)</f>
        <v/>
      </c>
      <c r="U212">
        <f>IF('03_Helper'!A212="","",'03_Helper'!W212)</f>
        <v/>
      </c>
      <c r="V212">
        <f>IF('03_Helper'!A212="","",'03_Helper'!AG212)</f>
        <v/>
      </c>
      <c r="W212">
        <f>IF('03_Helper'!A212="","",'03_Helper'!AK212)</f>
        <v/>
      </c>
      <c r="X212">
        <f>IF('03_Helper'!A212="","",'03_Helper'!K212)</f>
        <v/>
      </c>
      <c r="Y212">
        <f>IF('03_Helper'!A212="","",'03_Helper'!AN212)</f>
        <v/>
      </c>
    </row>
    <row r="213">
      <c r="A213">
        <f>IF('03_Helper'!A213="","",'03_Helper'!B213)</f>
        <v/>
      </c>
      <c r="B213">
        <f>IF('03_Helper'!A213="","",'03_Helper'!C213)</f>
        <v/>
      </c>
      <c r="C213">
        <f>IF('03_Helper'!A213="","",'03_Helper'!G213)</f>
        <v/>
      </c>
      <c r="D213">
        <f>IF('03_Helper'!A213="","",'03_Helper'!E213)</f>
        <v/>
      </c>
      <c r="E213">
        <f>IF('03_Helper'!A213="","",'03_Helper'!D213)</f>
        <v/>
      </c>
      <c r="F213">
        <f>IF('03_Helper'!A213="","",'03_Helper'!H213)</f>
        <v/>
      </c>
      <c r="G213">
        <f>IF('03_Helper'!A213="","",'03_Helper'!X213)</f>
        <v/>
      </c>
      <c r="H213">
        <f>IF('03_Helper'!A213="","",'03_Helper'!Y213)</f>
        <v/>
      </c>
      <c r="I213">
        <f>IF('03_Helper'!A213="","",'03_Helper'!Z213)</f>
        <v/>
      </c>
      <c r="J213">
        <f>IF('03_Helper'!A213="","",'03_Helper'!Q213)</f>
        <v/>
      </c>
      <c r="K213">
        <f>IF('03_Helper'!A213="","",'03_Helper'!R213)</f>
        <v/>
      </c>
      <c r="L213">
        <f>IF('03_Helper'!A213="","",'03_Helper'!S213)</f>
        <v/>
      </c>
      <c r="M213">
        <f>IF('03_Helper'!A213="","",'03_Helper'!T213)</f>
        <v/>
      </c>
      <c r="N213">
        <f>IF('03_Helper'!A213="","",'03_Helper'!AA213)</f>
        <v/>
      </c>
      <c r="O213">
        <f>IF('03_Helper'!A213="","",'03_Helper'!AB213)</f>
        <v/>
      </c>
      <c r="P213">
        <f>IF('03_Helper'!A213="","",'03_Helper'!AC213)</f>
        <v/>
      </c>
      <c r="Q213">
        <f>IF('03_Helper'!A213="","",'03_Helper'!AD213)</f>
        <v/>
      </c>
      <c r="R213">
        <f>IF('03_Helper'!A213="","",'03_Helper'!AI213)</f>
        <v/>
      </c>
      <c r="S213">
        <f>IF('03_Helper'!A213="","",'03_Helper'!AJ213)</f>
        <v/>
      </c>
      <c r="T213">
        <f>IF('03_Helper'!A213="","",'03_Helper'!U213)</f>
        <v/>
      </c>
      <c r="U213">
        <f>IF('03_Helper'!A213="","",'03_Helper'!W213)</f>
        <v/>
      </c>
      <c r="V213">
        <f>IF('03_Helper'!A213="","",'03_Helper'!AG213)</f>
        <v/>
      </c>
      <c r="W213">
        <f>IF('03_Helper'!A213="","",'03_Helper'!AK213)</f>
        <v/>
      </c>
      <c r="X213">
        <f>IF('03_Helper'!A213="","",'03_Helper'!K213)</f>
        <v/>
      </c>
      <c r="Y213">
        <f>IF('03_Helper'!A213="","",'03_Helper'!AN213)</f>
        <v/>
      </c>
    </row>
    <row r="214">
      <c r="A214">
        <f>IF('03_Helper'!A214="","",'03_Helper'!B214)</f>
        <v/>
      </c>
      <c r="B214">
        <f>IF('03_Helper'!A214="","",'03_Helper'!C214)</f>
        <v/>
      </c>
      <c r="C214">
        <f>IF('03_Helper'!A214="","",'03_Helper'!G214)</f>
        <v/>
      </c>
      <c r="D214">
        <f>IF('03_Helper'!A214="","",'03_Helper'!E214)</f>
        <v/>
      </c>
      <c r="E214">
        <f>IF('03_Helper'!A214="","",'03_Helper'!D214)</f>
        <v/>
      </c>
      <c r="F214">
        <f>IF('03_Helper'!A214="","",'03_Helper'!H214)</f>
        <v/>
      </c>
      <c r="G214">
        <f>IF('03_Helper'!A214="","",'03_Helper'!X214)</f>
        <v/>
      </c>
      <c r="H214">
        <f>IF('03_Helper'!A214="","",'03_Helper'!Y214)</f>
        <v/>
      </c>
      <c r="I214">
        <f>IF('03_Helper'!A214="","",'03_Helper'!Z214)</f>
        <v/>
      </c>
      <c r="J214">
        <f>IF('03_Helper'!A214="","",'03_Helper'!Q214)</f>
        <v/>
      </c>
      <c r="K214">
        <f>IF('03_Helper'!A214="","",'03_Helper'!R214)</f>
        <v/>
      </c>
      <c r="L214">
        <f>IF('03_Helper'!A214="","",'03_Helper'!S214)</f>
        <v/>
      </c>
      <c r="M214">
        <f>IF('03_Helper'!A214="","",'03_Helper'!T214)</f>
        <v/>
      </c>
      <c r="N214">
        <f>IF('03_Helper'!A214="","",'03_Helper'!AA214)</f>
        <v/>
      </c>
      <c r="O214">
        <f>IF('03_Helper'!A214="","",'03_Helper'!AB214)</f>
        <v/>
      </c>
      <c r="P214">
        <f>IF('03_Helper'!A214="","",'03_Helper'!AC214)</f>
        <v/>
      </c>
      <c r="Q214">
        <f>IF('03_Helper'!A214="","",'03_Helper'!AD214)</f>
        <v/>
      </c>
      <c r="R214">
        <f>IF('03_Helper'!A214="","",'03_Helper'!AI214)</f>
        <v/>
      </c>
      <c r="S214">
        <f>IF('03_Helper'!A214="","",'03_Helper'!AJ214)</f>
        <v/>
      </c>
      <c r="T214">
        <f>IF('03_Helper'!A214="","",'03_Helper'!U214)</f>
        <v/>
      </c>
      <c r="U214">
        <f>IF('03_Helper'!A214="","",'03_Helper'!W214)</f>
        <v/>
      </c>
      <c r="V214">
        <f>IF('03_Helper'!A214="","",'03_Helper'!AG214)</f>
        <v/>
      </c>
      <c r="W214">
        <f>IF('03_Helper'!A214="","",'03_Helper'!AK214)</f>
        <v/>
      </c>
      <c r="X214">
        <f>IF('03_Helper'!A214="","",'03_Helper'!K214)</f>
        <v/>
      </c>
      <c r="Y214">
        <f>IF('03_Helper'!A214="","",'03_Helper'!AN214)</f>
        <v/>
      </c>
    </row>
    <row r="215">
      <c r="A215">
        <f>IF('03_Helper'!A215="","",'03_Helper'!B215)</f>
        <v/>
      </c>
      <c r="B215">
        <f>IF('03_Helper'!A215="","",'03_Helper'!C215)</f>
        <v/>
      </c>
      <c r="C215">
        <f>IF('03_Helper'!A215="","",'03_Helper'!G215)</f>
        <v/>
      </c>
      <c r="D215">
        <f>IF('03_Helper'!A215="","",'03_Helper'!E215)</f>
        <v/>
      </c>
      <c r="E215">
        <f>IF('03_Helper'!A215="","",'03_Helper'!D215)</f>
        <v/>
      </c>
      <c r="F215">
        <f>IF('03_Helper'!A215="","",'03_Helper'!H215)</f>
        <v/>
      </c>
      <c r="G215">
        <f>IF('03_Helper'!A215="","",'03_Helper'!X215)</f>
        <v/>
      </c>
      <c r="H215">
        <f>IF('03_Helper'!A215="","",'03_Helper'!Y215)</f>
        <v/>
      </c>
      <c r="I215">
        <f>IF('03_Helper'!A215="","",'03_Helper'!Z215)</f>
        <v/>
      </c>
      <c r="J215">
        <f>IF('03_Helper'!A215="","",'03_Helper'!Q215)</f>
        <v/>
      </c>
      <c r="K215">
        <f>IF('03_Helper'!A215="","",'03_Helper'!R215)</f>
        <v/>
      </c>
      <c r="L215">
        <f>IF('03_Helper'!A215="","",'03_Helper'!S215)</f>
        <v/>
      </c>
      <c r="M215">
        <f>IF('03_Helper'!A215="","",'03_Helper'!T215)</f>
        <v/>
      </c>
      <c r="N215">
        <f>IF('03_Helper'!A215="","",'03_Helper'!AA215)</f>
        <v/>
      </c>
      <c r="O215">
        <f>IF('03_Helper'!A215="","",'03_Helper'!AB215)</f>
        <v/>
      </c>
      <c r="P215">
        <f>IF('03_Helper'!A215="","",'03_Helper'!AC215)</f>
        <v/>
      </c>
      <c r="Q215">
        <f>IF('03_Helper'!A215="","",'03_Helper'!AD215)</f>
        <v/>
      </c>
      <c r="R215">
        <f>IF('03_Helper'!A215="","",'03_Helper'!AI215)</f>
        <v/>
      </c>
      <c r="S215">
        <f>IF('03_Helper'!A215="","",'03_Helper'!AJ215)</f>
        <v/>
      </c>
      <c r="T215">
        <f>IF('03_Helper'!A215="","",'03_Helper'!U215)</f>
        <v/>
      </c>
      <c r="U215">
        <f>IF('03_Helper'!A215="","",'03_Helper'!W215)</f>
        <v/>
      </c>
      <c r="V215">
        <f>IF('03_Helper'!A215="","",'03_Helper'!AG215)</f>
        <v/>
      </c>
      <c r="W215">
        <f>IF('03_Helper'!A215="","",'03_Helper'!AK215)</f>
        <v/>
      </c>
      <c r="X215">
        <f>IF('03_Helper'!A215="","",'03_Helper'!K215)</f>
        <v/>
      </c>
      <c r="Y215">
        <f>IF('03_Helper'!A215="","",'03_Helper'!AN215)</f>
        <v/>
      </c>
    </row>
    <row r="216">
      <c r="A216">
        <f>IF('03_Helper'!A216="","",'03_Helper'!B216)</f>
        <v/>
      </c>
      <c r="B216">
        <f>IF('03_Helper'!A216="","",'03_Helper'!C216)</f>
        <v/>
      </c>
      <c r="C216">
        <f>IF('03_Helper'!A216="","",'03_Helper'!G216)</f>
        <v/>
      </c>
      <c r="D216">
        <f>IF('03_Helper'!A216="","",'03_Helper'!E216)</f>
        <v/>
      </c>
      <c r="E216">
        <f>IF('03_Helper'!A216="","",'03_Helper'!D216)</f>
        <v/>
      </c>
      <c r="F216">
        <f>IF('03_Helper'!A216="","",'03_Helper'!H216)</f>
        <v/>
      </c>
      <c r="G216">
        <f>IF('03_Helper'!A216="","",'03_Helper'!X216)</f>
        <v/>
      </c>
      <c r="H216">
        <f>IF('03_Helper'!A216="","",'03_Helper'!Y216)</f>
        <v/>
      </c>
      <c r="I216">
        <f>IF('03_Helper'!A216="","",'03_Helper'!Z216)</f>
        <v/>
      </c>
      <c r="J216">
        <f>IF('03_Helper'!A216="","",'03_Helper'!Q216)</f>
        <v/>
      </c>
      <c r="K216">
        <f>IF('03_Helper'!A216="","",'03_Helper'!R216)</f>
        <v/>
      </c>
      <c r="L216">
        <f>IF('03_Helper'!A216="","",'03_Helper'!S216)</f>
        <v/>
      </c>
      <c r="M216">
        <f>IF('03_Helper'!A216="","",'03_Helper'!T216)</f>
        <v/>
      </c>
      <c r="N216">
        <f>IF('03_Helper'!A216="","",'03_Helper'!AA216)</f>
        <v/>
      </c>
      <c r="O216">
        <f>IF('03_Helper'!A216="","",'03_Helper'!AB216)</f>
        <v/>
      </c>
      <c r="P216">
        <f>IF('03_Helper'!A216="","",'03_Helper'!AC216)</f>
        <v/>
      </c>
      <c r="Q216">
        <f>IF('03_Helper'!A216="","",'03_Helper'!AD216)</f>
        <v/>
      </c>
      <c r="R216">
        <f>IF('03_Helper'!A216="","",'03_Helper'!AI216)</f>
        <v/>
      </c>
      <c r="S216">
        <f>IF('03_Helper'!A216="","",'03_Helper'!AJ216)</f>
        <v/>
      </c>
      <c r="T216">
        <f>IF('03_Helper'!A216="","",'03_Helper'!U216)</f>
        <v/>
      </c>
      <c r="U216">
        <f>IF('03_Helper'!A216="","",'03_Helper'!W216)</f>
        <v/>
      </c>
      <c r="V216">
        <f>IF('03_Helper'!A216="","",'03_Helper'!AG216)</f>
        <v/>
      </c>
      <c r="W216">
        <f>IF('03_Helper'!A216="","",'03_Helper'!AK216)</f>
        <v/>
      </c>
      <c r="X216">
        <f>IF('03_Helper'!A216="","",'03_Helper'!K216)</f>
        <v/>
      </c>
      <c r="Y216">
        <f>IF('03_Helper'!A216="","",'03_Helper'!AN216)</f>
        <v/>
      </c>
    </row>
    <row r="217">
      <c r="A217">
        <f>IF('03_Helper'!A217="","",'03_Helper'!B217)</f>
        <v/>
      </c>
      <c r="B217">
        <f>IF('03_Helper'!A217="","",'03_Helper'!C217)</f>
        <v/>
      </c>
      <c r="C217">
        <f>IF('03_Helper'!A217="","",'03_Helper'!G217)</f>
        <v/>
      </c>
      <c r="D217">
        <f>IF('03_Helper'!A217="","",'03_Helper'!E217)</f>
        <v/>
      </c>
      <c r="E217">
        <f>IF('03_Helper'!A217="","",'03_Helper'!D217)</f>
        <v/>
      </c>
      <c r="F217">
        <f>IF('03_Helper'!A217="","",'03_Helper'!H217)</f>
        <v/>
      </c>
      <c r="G217">
        <f>IF('03_Helper'!A217="","",'03_Helper'!X217)</f>
        <v/>
      </c>
      <c r="H217">
        <f>IF('03_Helper'!A217="","",'03_Helper'!Y217)</f>
        <v/>
      </c>
      <c r="I217">
        <f>IF('03_Helper'!A217="","",'03_Helper'!Z217)</f>
        <v/>
      </c>
      <c r="J217">
        <f>IF('03_Helper'!A217="","",'03_Helper'!Q217)</f>
        <v/>
      </c>
      <c r="K217">
        <f>IF('03_Helper'!A217="","",'03_Helper'!R217)</f>
        <v/>
      </c>
      <c r="L217">
        <f>IF('03_Helper'!A217="","",'03_Helper'!S217)</f>
        <v/>
      </c>
      <c r="M217">
        <f>IF('03_Helper'!A217="","",'03_Helper'!T217)</f>
        <v/>
      </c>
      <c r="N217">
        <f>IF('03_Helper'!A217="","",'03_Helper'!AA217)</f>
        <v/>
      </c>
      <c r="O217">
        <f>IF('03_Helper'!A217="","",'03_Helper'!AB217)</f>
        <v/>
      </c>
      <c r="P217">
        <f>IF('03_Helper'!A217="","",'03_Helper'!AC217)</f>
        <v/>
      </c>
      <c r="Q217">
        <f>IF('03_Helper'!A217="","",'03_Helper'!AD217)</f>
        <v/>
      </c>
      <c r="R217">
        <f>IF('03_Helper'!A217="","",'03_Helper'!AI217)</f>
        <v/>
      </c>
      <c r="S217">
        <f>IF('03_Helper'!A217="","",'03_Helper'!AJ217)</f>
        <v/>
      </c>
      <c r="T217">
        <f>IF('03_Helper'!A217="","",'03_Helper'!U217)</f>
        <v/>
      </c>
      <c r="U217">
        <f>IF('03_Helper'!A217="","",'03_Helper'!W217)</f>
        <v/>
      </c>
      <c r="V217">
        <f>IF('03_Helper'!A217="","",'03_Helper'!AG217)</f>
        <v/>
      </c>
      <c r="W217">
        <f>IF('03_Helper'!A217="","",'03_Helper'!AK217)</f>
        <v/>
      </c>
      <c r="X217">
        <f>IF('03_Helper'!A217="","",'03_Helper'!K217)</f>
        <v/>
      </c>
      <c r="Y217">
        <f>IF('03_Helper'!A217="","",'03_Helper'!AN217)</f>
        <v/>
      </c>
    </row>
    <row r="218">
      <c r="A218">
        <f>IF('03_Helper'!A218="","",'03_Helper'!B218)</f>
        <v/>
      </c>
      <c r="B218">
        <f>IF('03_Helper'!A218="","",'03_Helper'!C218)</f>
        <v/>
      </c>
      <c r="C218">
        <f>IF('03_Helper'!A218="","",'03_Helper'!G218)</f>
        <v/>
      </c>
      <c r="D218">
        <f>IF('03_Helper'!A218="","",'03_Helper'!E218)</f>
        <v/>
      </c>
      <c r="E218">
        <f>IF('03_Helper'!A218="","",'03_Helper'!D218)</f>
        <v/>
      </c>
      <c r="F218">
        <f>IF('03_Helper'!A218="","",'03_Helper'!H218)</f>
        <v/>
      </c>
      <c r="G218">
        <f>IF('03_Helper'!A218="","",'03_Helper'!X218)</f>
        <v/>
      </c>
      <c r="H218">
        <f>IF('03_Helper'!A218="","",'03_Helper'!Y218)</f>
        <v/>
      </c>
      <c r="I218">
        <f>IF('03_Helper'!A218="","",'03_Helper'!Z218)</f>
        <v/>
      </c>
      <c r="J218">
        <f>IF('03_Helper'!A218="","",'03_Helper'!Q218)</f>
        <v/>
      </c>
      <c r="K218">
        <f>IF('03_Helper'!A218="","",'03_Helper'!R218)</f>
        <v/>
      </c>
      <c r="L218">
        <f>IF('03_Helper'!A218="","",'03_Helper'!S218)</f>
        <v/>
      </c>
      <c r="M218">
        <f>IF('03_Helper'!A218="","",'03_Helper'!T218)</f>
        <v/>
      </c>
      <c r="N218">
        <f>IF('03_Helper'!A218="","",'03_Helper'!AA218)</f>
        <v/>
      </c>
      <c r="O218">
        <f>IF('03_Helper'!A218="","",'03_Helper'!AB218)</f>
        <v/>
      </c>
      <c r="P218">
        <f>IF('03_Helper'!A218="","",'03_Helper'!AC218)</f>
        <v/>
      </c>
      <c r="Q218">
        <f>IF('03_Helper'!A218="","",'03_Helper'!AD218)</f>
        <v/>
      </c>
      <c r="R218">
        <f>IF('03_Helper'!A218="","",'03_Helper'!AI218)</f>
        <v/>
      </c>
      <c r="S218">
        <f>IF('03_Helper'!A218="","",'03_Helper'!AJ218)</f>
        <v/>
      </c>
      <c r="T218">
        <f>IF('03_Helper'!A218="","",'03_Helper'!U218)</f>
        <v/>
      </c>
      <c r="U218">
        <f>IF('03_Helper'!A218="","",'03_Helper'!W218)</f>
        <v/>
      </c>
      <c r="V218">
        <f>IF('03_Helper'!A218="","",'03_Helper'!AG218)</f>
        <v/>
      </c>
      <c r="W218">
        <f>IF('03_Helper'!A218="","",'03_Helper'!AK218)</f>
        <v/>
      </c>
      <c r="X218">
        <f>IF('03_Helper'!A218="","",'03_Helper'!K218)</f>
        <v/>
      </c>
      <c r="Y218">
        <f>IF('03_Helper'!A218="","",'03_Helper'!AN218)</f>
        <v/>
      </c>
    </row>
    <row r="219">
      <c r="A219">
        <f>IF('03_Helper'!A219="","",'03_Helper'!B219)</f>
        <v/>
      </c>
      <c r="B219">
        <f>IF('03_Helper'!A219="","",'03_Helper'!C219)</f>
        <v/>
      </c>
      <c r="C219">
        <f>IF('03_Helper'!A219="","",'03_Helper'!G219)</f>
        <v/>
      </c>
      <c r="D219">
        <f>IF('03_Helper'!A219="","",'03_Helper'!E219)</f>
        <v/>
      </c>
      <c r="E219">
        <f>IF('03_Helper'!A219="","",'03_Helper'!D219)</f>
        <v/>
      </c>
      <c r="F219">
        <f>IF('03_Helper'!A219="","",'03_Helper'!H219)</f>
        <v/>
      </c>
      <c r="G219">
        <f>IF('03_Helper'!A219="","",'03_Helper'!X219)</f>
        <v/>
      </c>
      <c r="H219">
        <f>IF('03_Helper'!A219="","",'03_Helper'!Y219)</f>
        <v/>
      </c>
      <c r="I219">
        <f>IF('03_Helper'!A219="","",'03_Helper'!Z219)</f>
        <v/>
      </c>
      <c r="J219">
        <f>IF('03_Helper'!A219="","",'03_Helper'!Q219)</f>
        <v/>
      </c>
      <c r="K219">
        <f>IF('03_Helper'!A219="","",'03_Helper'!R219)</f>
        <v/>
      </c>
      <c r="L219">
        <f>IF('03_Helper'!A219="","",'03_Helper'!S219)</f>
        <v/>
      </c>
      <c r="M219">
        <f>IF('03_Helper'!A219="","",'03_Helper'!T219)</f>
        <v/>
      </c>
      <c r="N219">
        <f>IF('03_Helper'!A219="","",'03_Helper'!AA219)</f>
        <v/>
      </c>
      <c r="O219">
        <f>IF('03_Helper'!A219="","",'03_Helper'!AB219)</f>
        <v/>
      </c>
      <c r="P219">
        <f>IF('03_Helper'!A219="","",'03_Helper'!AC219)</f>
        <v/>
      </c>
      <c r="Q219">
        <f>IF('03_Helper'!A219="","",'03_Helper'!AD219)</f>
        <v/>
      </c>
      <c r="R219">
        <f>IF('03_Helper'!A219="","",'03_Helper'!AI219)</f>
        <v/>
      </c>
      <c r="S219">
        <f>IF('03_Helper'!A219="","",'03_Helper'!AJ219)</f>
        <v/>
      </c>
      <c r="T219">
        <f>IF('03_Helper'!A219="","",'03_Helper'!U219)</f>
        <v/>
      </c>
      <c r="U219">
        <f>IF('03_Helper'!A219="","",'03_Helper'!W219)</f>
        <v/>
      </c>
      <c r="V219">
        <f>IF('03_Helper'!A219="","",'03_Helper'!AG219)</f>
        <v/>
      </c>
      <c r="W219">
        <f>IF('03_Helper'!A219="","",'03_Helper'!AK219)</f>
        <v/>
      </c>
      <c r="X219">
        <f>IF('03_Helper'!A219="","",'03_Helper'!K219)</f>
        <v/>
      </c>
      <c r="Y219">
        <f>IF('03_Helper'!A219="","",'03_Helper'!AN219)</f>
        <v/>
      </c>
    </row>
    <row r="220">
      <c r="A220">
        <f>IF('03_Helper'!A220="","",'03_Helper'!B220)</f>
        <v/>
      </c>
      <c r="B220">
        <f>IF('03_Helper'!A220="","",'03_Helper'!C220)</f>
        <v/>
      </c>
      <c r="C220">
        <f>IF('03_Helper'!A220="","",'03_Helper'!G220)</f>
        <v/>
      </c>
      <c r="D220">
        <f>IF('03_Helper'!A220="","",'03_Helper'!E220)</f>
        <v/>
      </c>
      <c r="E220">
        <f>IF('03_Helper'!A220="","",'03_Helper'!D220)</f>
        <v/>
      </c>
      <c r="F220">
        <f>IF('03_Helper'!A220="","",'03_Helper'!H220)</f>
        <v/>
      </c>
      <c r="G220">
        <f>IF('03_Helper'!A220="","",'03_Helper'!X220)</f>
        <v/>
      </c>
      <c r="H220">
        <f>IF('03_Helper'!A220="","",'03_Helper'!Y220)</f>
        <v/>
      </c>
      <c r="I220">
        <f>IF('03_Helper'!A220="","",'03_Helper'!Z220)</f>
        <v/>
      </c>
      <c r="J220">
        <f>IF('03_Helper'!A220="","",'03_Helper'!Q220)</f>
        <v/>
      </c>
      <c r="K220">
        <f>IF('03_Helper'!A220="","",'03_Helper'!R220)</f>
        <v/>
      </c>
      <c r="L220">
        <f>IF('03_Helper'!A220="","",'03_Helper'!S220)</f>
        <v/>
      </c>
      <c r="M220">
        <f>IF('03_Helper'!A220="","",'03_Helper'!T220)</f>
        <v/>
      </c>
      <c r="N220">
        <f>IF('03_Helper'!A220="","",'03_Helper'!AA220)</f>
        <v/>
      </c>
      <c r="O220">
        <f>IF('03_Helper'!A220="","",'03_Helper'!AB220)</f>
        <v/>
      </c>
      <c r="P220">
        <f>IF('03_Helper'!A220="","",'03_Helper'!AC220)</f>
        <v/>
      </c>
      <c r="Q220">
        <f>IF('03_Helper'!A220="","",'03_Helper'!AD220)</f>
        <v/>
      </c>
      <c r="R220">
        <f>IF('03_Helper'!A220="","",'03_Helper'!AI220)</f>
        <v/>
      </c>
      <c r="S220">
        <f>IF('03_Helper'!A220="","",'03_Helper'!AJ220)</f>
        <v/>
      </c>
      <c r="T220">
        <f>IF('03_Helper'!A220="","",'03_Helper'!U220)</f>
        <v/>
      </c>
      <c r="U220">
        <f>IF('03_Helper'!A220="","",'03_Helper'!W220)</f>
        <v/>
      </c>
      <c r="V220">
        <f>IF('03_Helper'!A220="","",'03_Helper'!AG220)</f>
        <v/>
      </c>
      <c r="W220">
        <f>IF('03_Helper'!A220="","",'03_Helper'!AK220)</f>
        <v/>
      </c>
      <c r="X220">
        <f>IF('03_Helper'!A220="","",'03_Helper'!K220)</f>
        <v/>
      </c>
      <c r="Y220">
        <f>IF('03_Helper'!A220="","",'03_Helper'!AN220)</f>
        <v/>
      </c>
    </row>
    <row r="221">
      <c r="A221">
        <f>IF('03_Helper'!A221="","",'03_Helper'!B221)</f>
        <v/>
      </c>
      <c r="B221">
        <f>IF('03_Helper'!A221="","",'03_Helper'!C221)</f>
        <v/>
      </c>
      <c r="C221">
        <f>IF('03_Helper'!A221="","",'03_Helper'!G221)</f>
        <v/>
      </c>
      <c r="D221">
        <f>IF('03_Helper'!A221="","",'03_Helper'!E221)</f>
        <v/>
      </c>
      <c r="E221">
        <f>IF('03_Helper'!A221="","",'03_Helper'!D221)</f>
        <v/>
      </c>
      <c r="F221">
        <f>IF('03_Helper'!A221="","",'03_Helper'!H221)</f>
        <v/>
      </c>
      <c r="G221">
        <f>IF('03_Helper'!A221="","",'03_Helper'!X221)</f>
        <v/>
      </c>
      <c r="H221">
        <f>IF('03_Helper'!A221="","",'03_Helper'!Y221)</f>
        <v/>
      </c>
      <c r="I221">
        <f>IF('03_Helper'!A221="","",'03_Helper'!Z221)</f>
        <v/>
      </c>
      <c r="J221">
        <f>IF('03_Helper'!A221="","",'03_Helper'!Q221)</f>
        <v/>
      </c>
      <c r="K221">
        <f>IF('03_Helper'!A221="","",'03_Helper'!R221)</f>
        <v/>
      </c>
      <c r="L221">
        <f>IF('03_Helper'!A221="","",'03_Helper'!S221)</f>
        <v/>
      </c>
      <c r="M221">
        <f>IF('03_Helper'!A221="","",'03_Helper'!T221)</f>
        <v/>
      </c>
      <c r="N221">
        <f>IF('03_Helper'!A221="","",'03_Helper'!AA221)</f>
        <v/>
      </c>
      <c r="O221">
        <f>IF('03_Helper'!A221="","",'03_Helper'!AB221)</f>
        <v/>
      </c>
      <c r="P221">
        <f>IF('03_Helper'!A221="","",'03_Helper'!AC221)</f>
        <v/>
      </c>
      <c r="Q221">
        <f>IF('03_Helper'!A221="","",'03_Helper'!AD221)</f>
        <v/>
      </c>
      <c r="R221">
        <f>IF('03_Helper'!A221="","",'03_Helper'!AI221)</f>
        <v/>
      </c>
      <c r="S221">
        <f>IF('03_Helper'!A221="","",'03_Helper'!AJ221)</f>
        <v/>
      </c>
      <c r="T221">
        <f>IF('03_Helper'!A221="","",'03_Helper'!U221)</f>
        <v/>
      </c>
      <c r="U221">
        <f>IF('03_Helper'!A221="","",'03_Helper'!W221)</f>
        <v/>
      </c>
      <c r="V221">
        <f>IF('03_Helper'!A221="","",'03_Helper'!AG221)</f>
        <v/>
      </c>
      <c r="W221">
        <f>IF('03_Helper'!A221="","",'03_Helper'!AK221)</f>
        <v/>
      </c>
      <c r="X221">
        <f>IF('03_Helper'!A221="","",'03_Helper'!K221)</f>
        <v/>
      </c>
      <c r="Y221">
        <f>IF('03_Helper'!A221="","",'03_Helper'!AN221)</f>
        <v/>
      </c>
    </row>
    <row r="222">
      <c r="A222">
        <f>IF('03_Helper'!A222="","",'03_Helper'!B222)</f>
        <v/>
      </c>
      <c r="B222">
        <f>IF('03_Helper'!A222="","",'03_Helper'!C222)</f>
        <v/>
      </c>
      <c r="C222">
        <f>IF('03_Helper'!A222="","",'03_Helper'!G222)</f>
        <v/>
      </c>
      <c r="D222">
        <f>IF('03_Helper'!A222="","",'03_Helper'!E222)</f>
        <v/>
      </c>
      <c r="E222">
        <f>IF('03_Helper'!A222="","",'03_Helper'!D222)</f>
        <v/>
      </c>
      <c r="F222">
        <f>IF('03_Helper'!A222="","",'03_Helper'!H222)</f>
        <v/>
      </c>
      <c r="G222">
        <f>IF('03_Helper'!A222="","",'03_Helper'!X222)</f>
        <v/>
      </c>
      <c r="H222">
        <f>IF('03_Helper'!A222="","",'03_Helper'!Y222)</f>
        <v/>
      </c>
      <c r="I222">
        <f>IF('03_Helper'!A222="","",'03_Helper'!Z222)</f>
        <v/>
      </c>
      <c r="J222">
        <f>IF('03_Helper'!A222="","",'03_Helper'!Q222)</f>
        <v/>
      </c>
      <c r="K222">
        <f>IF('03_Helper'!A222="","",'03_Helper'!R222)</f>
        <v/>
      </c>
      <c r="L222">
        <f>IF('03_Helper'!A222="","",'03_Helper'!S222)</f>
        <v/>
      </c>
      <c r="M222">
        <f>IF('03_Helper'!A222="","",'03_Helper'!T222)</f>
        <v/>
      </c>
      <c r="N222">
        <f>IF('03_Helper'!A222="","",'03_Helper'!AA222)</f>
        <v/>
      </c>
      <c r="O222">
        <f>IF('03_Helper'!A222="","",'03_Helper'!AB222)</f>
        <v/>
      </c>
      <c r="P222">
        <f>IF('03_Helper'!A222="","",'03_Helper'!AC222)</f>
        <v/>
      </c>
      <c r="Q222">
        <f>IF('03_Helper'!A222="","",'03_Helper'!AD222)</f>
        <v/>
      </c>
      <c r="R222">
        <f>IF('03_Helper'!A222="","",'03_Helper'!AI222)</f>
        <v/>
      </c>
      <c r="S222">
        <f>IF('03_Helper'!A222="","",'03_Helper'!AJ222)</f>
        <v/>
      </c>
      <c r="T222">
        <f>IF('03_Helper'!A222="","",'03_Helper'!U222)</f>
        <v/>
      </c>
      <c r="U222">
        <f>IF('03_Helper'!A222="","",'03_Helper'!W222)</f>
        <v/>
      </c>
      <c r="V222">
        <f>IF('03_Helper'!A222="","",'03_Helper'!AG222)</f>
        <v/>
      </c>
      <c r="W222">
        <f>IF('03_Helper'!A222="","",'03_Helper'!AK222)</f>
        <v/>
      </c>
      <c r="X222">
        <f>IF('03_Helper'!A222="","",'03_Helper'!K222)</f>
        <v/>
      </c>
      <c r="Y222">
        <f>IF('03_Helper'!A222="","",'03_Helper'!AN222)</f>
        <v/>
      </c>
    </row>
    <row r="223">
      <c r="A223">
        <f>IF('03_Helper'!A223="","",'03_Helper'!B223)</f>
        <v/>
      </c>
      <c r="B223">
        <f>IF('03_Helper'!A223="","",'03_Helper'!C223)</f>
        <v/>
      </c>
      <c r="C223">
        <f>IF('03_Helper'!A223="","",'03_Helper'!G223)</f>
        <v/>
      </c>
      <c r="D223">
        <f>IF('03_Helper'!A223="","",'03_Helper'!E223)</f>
        <v/>
      </c>
      <c r="E223">
        <f>IF('03_Helper'!A223="","",'03_Helper'!D223)</f>
        <v/>
      </c>
      <c r="F223">
        <f>IF('03_Helper'!A223="","",'03_Helper'!H223)</f>
        <v/>
      </c>
      <c r="G223">
        <f>IF('03_Helper'!A223="","",'03_Helper'!X223)</f>
        <v/>
      </c>
      <c r="H223">
        <f>IF('03_Helper'!A223="","",'03_Helper'!Y223)</f>
        <v/>
      </c>
      <c r="I223">
        <f>IF('03_Helper'!A223="","",'03_Helper'!Z223)</f>
        <v/>
      </c>
      <c r="J223">
        <f>IF('03_Helper'!A223="","",'03_Helper'!Q223)</f>
        <v/>
      </c>
      <c r="K223">
        <f>IF('03_Helper'!A223="","",'03_Helper'!R223)</f>
        <v/>
      </c>
      <c r="L223">
        <f>IF('03_Helper'!A223="","",'03_Helper'!S223)</f>
        <v/>
      </c>
      <c r="M223">
        <f>IF('03_Helper'!A223="","",'03_Helper'!T223)</f>
        <v/>
      </c>
      <c r="N223">
        <f>IF('03_Helper'!A223="","",'03_Helper'!AA223)</f>
        <v/>
      </c>
      <c r="O223">
        <f>IF('03_Helper'!A223="","",'03_Helper'!AB223)</f>
        <v/>
      </c>
      <c r="P223">
        <f>IF('03_Helper'!A223="","",'03_Helper'!AC223)</f>
        <v/>
      </c>
      <c r="Q223">
        <f>IF('03_Helper'!A223="","",'03_Helper'!AD223)</f>
        <v/>
      </c>
      <c r="R223">
        <f>IF('03_Helper'!A223="","",'03_Helper'!AI223)</f>
        <v/>
      </c>
      <c r="S223">
        <f>IF('03_Helper'!A223="","",'03_Helper'!AJ223)</f>
        <v/>
      </c>
      <c r="T223">
        <f>IF('03_Helper'!A223="","",'03_Helper'!U223)</f>
        <v/>
      </c>
      <c r="U223">
        <f>IF('03_Helper'!A223="","",'03_Helper'!W223)</f>
        <v/>
      </c>
      <c r="V223">
        <f>IF('03_Helper'!A223="","",'03_Helper'!AG223)</f>
        <v/>
      </c>
      <c r="W223">
        <f>IF('03_Helper'!A223="","",'03_Helper'!AK223)</f>
        <v/>
      </c>
      <c r="X223">
        <f>IF('03_Helper'!A223="","",'03_Helper'!K223)</f>
        <v/>
      </c>
      <c r="Y223">
        <f>IF('03_Helper'!A223="","",'03_Helper'!AN223)</f>
        <v/>
      </c>
    </row>
    <row r="224">
      <c r="A224">
        <f>IF('03_Helper'!A224="","",'03_Helper'!B224)</f>
        <v/>
      </c>
      <c r="B224">
        <f>IF('03_Helper'!A224="","",'03_Helper'!C224)</f>
        <v/>
      </c>
      <c r="C224">
        <f>IF('03_Helper'!A224="","",'03_Helper'!G224)</f>
        <v/>
      </c>
      <c r="D224">
        <f>IF('03_Helper'!A224="","",'03_Helper'!E224)</f>
        <v/>
      </c>
      <c r="E224">
        <f>IF('03_Helper'!A224="","",'03_Helper'!D224)</f>
        <v/>
      </c>
      <c r="F224">
        <f>IF('03_Helper'!A224="","",'03_Helper'!H224)</f>
        <v/>
      </c>
      <c r="G224">
        <f>IF('03_Helper'!A224="","",'03_Helper'!X224)</f>
        <v/>
      </c>
      <c r="H224">
        <f>IF('03_Helper'!A224="","",'03_Helper'!Y224)</f>
        <v/>
      </c>
      <c r="I224">
        <f>IF('03_Helper'!A224="","",'03_Helper'!Z224)</f>
        <v/>
      </c>
      <c r="J224">
        <f>IF('03_Helper'!A224="","",'03_Helper'!Q224)</f>
        <v/>
      </c>
      <c r="K224">
        <f>IF('03_Helper'!A224="","",'03_Helper'!R224)</f>
        <v/>
      </c>
      <c r="L224">
        <f>IF('03_Helper'!A224="","",'03_Helper'!S224)</f>
        <v/>
      </c>
      <c r="M224">
        <f>IF('03_Helper'!A224="","",'03_Helper'!T224)</f>
        <v/>
      </c>
      <c r="N224">
        <f>IF('03_Helper'!A224="","",'03_Helper'!AA224)</f>
        <v/>
      </c>
      <c r="O224">
        <f>IF('03_Helper'!A224="","",'03_Helper'!AB224)</f>
        <v/>
      </c>
      <c r="P224">
        <f>IF('03_Helper'!A224="","",'03_Helper'!AC224)</f>
        <v/>
      </c>
      <c r="Q224">
        <f>IF('03_Helper'!A224="","",'03_Helper'!AD224)</f>
        <v/>
      </c>
      <c r="R224">
        <f>IF('03_Helper'!A224="","",'03_Helper'!AI224)</f>
        <v/>
      </c>
      <c r="S224">
        <f>IF('03_Helper'!A224="","",'03_Helper'!AJ224)</f>
        <v/>
      </c>
      <c r="T224">
        <f>IF('03_Helper'!A224="","",'03_Helper'!U224)</f>
        <v/>
      </c>
      <c r="U224">
        <f>IF('03_Helper'!A224="","",'03_Helper'!W224)</f>
        <v/>
      </c>
      <c r="V224">
        <f>IF('03_Helper'!A224="","",'03_Helper'!AG224)</f>
        <v/>
      </c>
      <c r="W224">
        <f>IF('03_Helper'!A224="","",'03_Helper'!AK224)</f>
        <v/>
      </c>
      <c r="X224">
        <f>IF('03_Helper'!A224="","",'03_Helper'!K224)</f>
        <v/>
      </c>
      <c r="Y224">
        <f>IF('03_Helper'!A224="","",'03_Helper'!AN224)</f>
        <v/>
      </c>
    </row>
    <row r="225">
      <c r="A225">
        <f>IF('03_Helper'!A225="","",'03_Helper'!B225)</f>
        <v/>
      </c>
      <c r="B225">
        <f>IF('03_Helper'!A225="","",'03_Helper'!C225)</f>
        <v/>
      </c>
      <c r="C225">
        <f>IF('03_Helper'!A225="","",'03_Helper'!G225)</f>
        <v/>
      </c>
      <c r="D225">
        <f>IF('03_Helper'!A225="","",'03_Helper'!E225)</f>
        <v/>
      </c>
      <c r="E225">
        <f>IF('03_Helper'!A225="","",'03_Helper'!D225)</f>
        <v/>
      </c>
      <c r="F225">
        <f>IF('03_Helper'!A225="","",'03_Helper'!H225)</f>
        <v/>
      </c>
      <c r="G225">
        <f>IF('03_Helper'!A225="","",'03_Helper'!X225)</f>
        <v/>
      </c>
      <c r="H225">
        <f>IF('03_Helper'!A225="","",'03_Helper'!Y225)</f>
        <v/>
      </c>
      <c r="I225">
        <f>IF('03_Helper'!A225="","",'03_Helper'!Z225)</f>
        <v/>
      </c>
      <c r="J225">
        <f>IF('03_Helper'!A225="","",'03_Helper'!Q225)</f>
        <v/>
      </c>
      <c r="K225">
        <f>IF('03_Helper'!A225="","",'03_Helper'!R225)</f>
        <v/>
      </c>
      <c r="L225">
        <f>IF('03_Helper'!A225="","",'03_Helper'!S225)</f>
        <v/>
      </c>
      <c r="M225">
        <f>IF('03_Helper'!A225="","",'03_Helper'!T225)</f>
        <v/>
      </c>
      <c r="N225">
        <f>IF('03_Helper'!A225="","",'03_Helper'!AA225)</f>
        <v/>
      </c>
      <c r="O225">
        <f>IF('03_Helper'!A225="","",'03_Helper'!AB225)</f>
        <v/>
      </c>
      <c r="P225">
        <f>IF('03_Helper'!A225="","",'03_Helper'!AC225)</f>
        <v/>
      </c>
      <c r="Q225">
        <f>IF('03_Helper'!A225="","",'03_Helper'!AD225)</f>
        <v/>
      </c>
      <c r="R225">
        <f>IF('03_Helper'!A225="","",'03_Helper'!AI225)</f>
        <v/>
      </c>
      <c r="S225">
        <f>IF('03_Helper'!A225="","",'03_Helper'!AJ225)</f>
        <v/>
      </c>
      <c r="T225">
        <f>IF('03_Helper'!A225="","",'03_Helper'!U225)</f>
        <v/>
      </c>
      <c r="U225">
        <f>IF('03_Helper'!A225="","",'03_Helper'!W225)</f>
        <v/>
      </c>
      <c r="V225">
        <f>IF('03_Helper'!A225="","",'03_Helper'!AG225)</f>
        <v/>
      </c>
      <c r="W225">
        <f>IF('03_Helper'!A225="","",'03_Helper'!AK225)</f>
        <v/>
      </c>
      <c r="X225">
        <f>IF('03_Helper'!A225="","",'03_Helper'!K225)</f>
        <v/>
      </c>
      <c r="Y225">
        <f>IF('03_Helper'!A225="","",'03_Helper'!AN225)</f>
        <v/>
      </c>
    </row>
    <row r="226">
      <c r="A226">
        <f>IF('03_Helper'!A226="","",'03_Helper'!B226)</f>
        <v/>
      </c>
      <c r="B226">
        <f>IF('03_Helper'!A226="","",'03_Helper'!C226)</f>
        <v/>
      </c>
      <c r="C226">
        <f>IF('03_Helper'!A226="","",'03_Helper'!G226)</f>
        <v/>
      </c>
      <c r="D226">
        <f>IF('03_Helper'!A226="","",'03_Helper'!E226)</f>
        <v/>
      </c>
      <c r="E226">
        <f>IF('03_Helper'!A226="","",'03_Helper'!D226)</f>
        <v/>
      </c>
      <c r="F226">
        <f>IF('03_Helper'!A226="","",'03_Helper'!H226)</f>
        <v/>
      </c>
      <c r="G226">
        <f>IF('03_Helper'!A226="","",'03_Helper'!X226)</f>
        <v/>
      </c>
      <c r="H226">
        <f>IF('03_Helper'!A226="","",'03_Helper'!Y226)</f>
        <v/>
      </c>
      <c r="I226">
        <f>IF('03_Helper'!A226="","",'03_Helper'!Z226)</f>
        <v/>
      </c>
      <c r="J226">
        <f>IF('03_Helper'!A226="","",'03_Helper'!Q226)</f>
        <v/>
      </c>
      <c r="K226">
        <f>IF('03_Helper'!A226="","",'03_Helper'!R226)</f>
        <v/>
      </c>
      <c r="L226">
        <f>IF('03_Helper'!A226="","",'03_Helper'!S226)</f>
        <v/>
      </c>
      <c r="M226">
        <f>IF('03_Helper'!A226="","",'03_Helper'!T226)</f>
        <v/>
      </c>
      <c r="N226">
        <f>IF('03_Helper'!A226="","",'03_Helper'!AA226)</f>
        <v/>
      </c>
      <c r="O226">
        <f>IF('03_Helper'!A226="","",'03_Helper'!AB226)</f>
        <v/>
      </c>
      <c r="P226">
        <f>IF('03_Helper'!A226="","",'03_Helper'!AC226)</f>
        <v/>
      </c>
      <c r="Q226">
        <f>IF('03_Helper'!A226="","",'03_Helper'!AD226)</f>
        <v/>
      </c>
      <c r="R226">
        <f>IF('03_Helper'!A226="","",'03_Helper'!AI226)</f>
        <v/>
      </c>
      <c r="S226">
        <f>IF('03_Helper'!A226="","",'03_Helper'!AJ226)</f>
        <v/>
      </c>
      <c r="T226">
        <f>IF('03_Helper'!A226="","",'03_Helper'!U226)</f>
        <v/>
      </c>
      <c r="U226">
        <f>IF('03_Helper'!A226="","",'03_Helper'!W226)</f>
        <v/>
      </c>
      <c r="V226">
        <f>IF('03_Helper'!A226="","",'03_Helper'!AG226)</f>
        <v/>
      </c>
      <c r="W226">
        <f>IF('03_Helper'!A226="","",'03_Helper'!AK226)</f>
        <v/>
      </c>
      <c r="X226">
        <f>IF('03_Helper'!A226="","",'03_Helper'!K226)</f>
        <v/>
      </c>
      <c r="Y226">
        <f>IF('03_Helper'!A226="","",'03_Helper'!AN226)</f>
        <v/>
      </c>
    </row>
    <row r="227">
      <c r="A227">
        <f>IF('03_Helper'!A227="","",'03_Helper'!B227)</f>
        <v/>
      </c>
      <c r="B227">
        <f>IF('03_Helper'!A227="","",'03_Helper'!C227)</f>
        <v/>
      </c>
      <c r="C227">
        <f>IF('03_Helper'!A227="","",'03_Helper'!G227)</f>
        <v/>
      </c>
      <c r="D227">
        <f>IF('03_Helper'!A227="","",'03_Helper'!E227)</f>
        <v/>
      </c>
      <c r="E227">
        <f>IF('03_Helper'!A227="","",'03_Helper'!D227)</f>
        <v/>
      </c>
      <c r="F227">
        <f>IF('03_Helper'!A227="","",'03_Helper'!H227)</f>
        <v/>
      </c>
      <c r="G227">
        <f>IF('03_Helper'!A227="","",'03_Helper'!X227)</f>
        <v/>
      </c>
      <c r="H227">
        <f>IF('03_Helper'!A227="","",'03_Helper'!Y227)</f>
        <v/>
      </c>
      <c r="I227">
        <f>IF('03_Helper'!A227="","",'03_Helper'!Z227)</f>
        <v/>
      </c>
      <c r="J227">
        <f>IF('03_Helper'!A227="","",'03_Helper'!Q227)</f>
        <v/>
      </c>
      <c r="K227">
        <f>IF('03_Helper'!A227="","",'03_Helper'!R227)</f>
        <v/>
      </c>
      <c r="L227">
        <f>IF('03_Helper'!A227="","",'03_Helper'!S227)</f>
        <v/>
      </c>
      <c r="M227">
        <f>IF('03_Helper'!A227="","",'03_Helper'!T227)</f>
        <v/>
      </c>
      <c r="N227">
        <f>IF('03_Helper'!A227="","",'03_Helper'!AA227)</f>
        <v/>
      </c>
      <c r="O227">
        <f>IF('03_Helper'!A227="","",'03_Helper'!AB227)</f>
        <v/>
      </c>
      <c r="P227">
        <f>IF('03_Helper'!A227="","",'03_Helper'!AC227)</f>
        <v/>
      </c>
      <c r="Q227">
        <f>IF('03_Helper'!A227="","",'03_Helper'!AD227)</f>
        <v/>
      </c>
      <c r="R227">
        <f>IF('03_Helper'!A227="","",'03_Helper'!AI227)</f>
        <v/>
      </c>
      <c r="S227">
        <f>IF('03_Helper'!A227="","",'03_Helper'!AJ227)</f>
        <v/>
      </c>
      <c r="T227">
        <f>IF('03_Helper'!A227="","",'03_Helper'!U227)</f>
        <v/>
      </c>
      <c r="U227">
        <f>IF('03_Helper'!A227="","",'03_Helper'!W227)</f>
        <v/>
      </c>
      <c r="V227">
        <f>IF('03_Helper'!A227="","",'03_Helper'!AG227)</f>
        <v/>
      </c>
      <c r="W227">
        <f>IF('03_Helper'!A227="","",'03_Helper'!AK227)</f>
        <v/>
      </c>
      <c r="X227">
        <f>IF('03_Helper'!A227="","",'03_Helper'!K227)</f>
        <v/>
      </c>
      <c r="Y227">
        <f>IF('03_Helper'!A227="","",'03_Helper'!AN227)</f>
        <v/>
      </c>
    </row>
    <row r="228">
      <c r="A228">
        <f>IF('03_Helper'!A228="","",'03_Helper'!B228)</f>
        <v/>
      </c>
      <c r="B228">
        <f>IF('03_Helper'!A228="","",'03_Helper'!C228)</f>
        <v/>
      </c>
      <c r="C228">
        <f>IF('03_Helper'!A228="","",'03_Helper'!G228)</f>
        <v/>
      </c>
      <c r="D228">
        <f>IF('03_Helper'!A228="","",'03_Helper'!E228)</f>
        <v/>
      </c>
      <c r="E228">
        <f>IF('03_Helper'!A228="","",'03_Helper'!D228)</f>
        <v/>
      </c>
      <c r="F228">
        <f>IF('03_Helper'!A228="","",'03_Helper'!H228)</f>
        <v/>
      </c>
      <c r="G228">
        <f>IF('03_Helper'!A228="","",'03_Helper'!X228)</f>
        <v/>
      </c>
      <c r="H228">
        <f>IF('03_Helper'!A228="","",'03_Helper'!Y228)</f>
        <v/>
      </c>
      <c r="I228">
        <f>IF('03_Helper'!A228="","",'03_Helper'!Z228)</f>
        <v/>
      </c>
      <c r="J228">
        <f>IF('03_Helper'!A228="","",'03_Helper'!Q228)</f>
        <v/>
      </c>
      <c r="K228">
        <f>IF('03_Helper'!A228="","",'03_Helper'!R228)</f>
        <v/>
      </c>
      <c r="L228">
        <f>IF('03_Helper'!A228="","",'03_Helper'!S228)</f>
        <v/>
      </c>
      <c r="M228">
        <f>IF('03_Helper'!A228="","",'03_Helper'!T228)</f>
        <v/>
      </c>
      <c r="N228">
        <f>IF('03_Helper'!A228="","",'03_Helper'!AA228)</f>
        <v/>
      </c>
      <c r="O228">
        <f>IF('03_Helper'!A228="","",'03_Helper'!AB228)</f>
        <v/>
      </c>
      <c r="P228">
        <f>IF('03_Helper'!A228="","",'03_Helper'!AC228)</f>
        <v/>
      </c>
      <c r="Q228">
        <f>IF('03_Helper'!A228="","",'03_Helper'!AD228)</f>
        <v/>
      </c>
      <c r="R228">
        <f>IF('03_Helper'!A228="","",'03_Helper'!AI228)</f>
        <v/>
      </c>
      <c r="S228">
        <f>IF('03_Helper'!A228="","",'03_Helper'!AJ228)</f>
        <v/>
      </c>
      <c r="T228">
        <f>IF('03_Helper'!A228="","",'03_Helper'!U228)</f>
        <v/>
      </c>
      <c r="U228">
        <f>IF('03_Helper'!A228="","",'03_Helper'!W228)</f>
        <v/>
      </c>
      <c r="V228">
        <f>IF('03_Helper'!A228="","",'03_Helper'!AG228)</f>
        <v/>
      </c>
      <c r="W228">
        <f>IF('03_Helper'!A228="","",'03_Helper'!AK228)</f>
        <v/>
      </c>
      <c r="X228">
        <f>IF('03_Helper'!A228="","",'03_Helper'!K228)</f>
        <v/>
      </c>
      <c r="Y228">
        <f>IF('03_Helper'!A228="","",'03_Helper'!AN228)</f>
        <v/>
      </c>
    </row>
    <row r="229">
      <c r="A229">
        <f>IF('03_Helper'!A229="","",'03_Helper'!B229)</f>
        <v/>
      </c>
      <c r="B229">
        <f>IF('03_Helper'!A229="","",'03_Helper'!C229)</f>
        <v/>
      </c>
      <c r="C229">
        <f>IF('03_Helper'!A229="","",'03_Helper'!G229)</f>
        <v/>
      </c>
      <c r="D229">
        <f>IF('03_Helper'!A229="","",'03_Helper'!E229)</f>
        <v/>
      </c>
      <c r="E229">
        <f>IF('03_Helper'!A229="","",'03_Helper'!D229)</f>
        <v/>
      </c>
      <c r="F229">
        <f>IF('03_Helper'!A229="","",'03_Helper'!H229)</f>
        <v/>
      </c>
      <c r="G229">
        <f>IF('03_Helper'!A229="","",'03_Helper'!X229)</f>
        <v/>
      </c>
      <c r="H229">
        <f>IF('03_Helper'!A229="","",'03_Helper'!Y229)</f>
        <v/>
      </c>
      <c r="I229">
        <f>IF('03_Helper'!A229="","",'03_Helper'!Z229)</f>
        <v/>
      </c>
      <c r="J229">
        <f>IF('03_Helper'!A229="","",'03_Helper'!Q229)</f>
        <v/>
      </c>
      <c r="K229">
        <f>IF('03_Helper'!A229="","",'03_Helper'!R229)</f>
        <v/>
      </c>
      <c r="L229">
        <f>IF('03_Helper'!A229="","",'03_Helper'!S229)</f>
        <v/>
      </c>
      <c r="M229">
        <f>IF('03_Helper'!A229="","",'03_Helper'!T229)</f>
        <v/>
      </c>
      <c r="N229">
        <f>IF('03_Helper'!A229="","",'03_Helper'!AA229)</f>
        <v/>
      </c>
      <c r="O229">
        <f>IF('03_Helper'!A229="","",'03_Helper'!AB229)</f>
        <v/>
      </c>
      <c r="P229">
        <f>IF('03_Helper'!A229="","",'03_Helper'!AC229)</f>
        <v/>
      </c>
      <c r="Q229">
        <f>IF('03_Helper'!A229="","",'03_Helper'!AD229)</f>
        <v/>
      </c>
      <c r="R229">
        <f>IF('03_Helper'!A229="","",'03_Helper'!AI229)</f>
        <v/>
      </c>
      <c r="S229">
        <f>IF('03_Helper'!A229="","",'03_Helper'!AJ229)</f>
        <v/>
      </c>
      <c r="T229">
        <f>IF('03_Helper'!A229="","",'03_Helper'!U229)</f>
        <v/>
      </c>
      <c r="U229">
        <f>IF('03_Helper'!A229="","",'03_Helper'!W229)</f>
        <v/>
      </c>
      <c r="V229">
        <f>IF('03_Helper'!A229="","",'03_Helper'!AG229)</f>
        <v/>
      </c>
      <c r="W229">
        <f>IF('03_Helper'!A229="","",'03_Helper'!AK229)</f>
        <v/>
      </c>
      <c r="X229">
        <f>IF('03_Helper'!A229="","",'03_Helper'!K229)</f>
        <v/>
      </c>
      <c r="Y229">
        <f>IF('03_Helper'!A229="","",'03_Helper'!AN229)</f>
        <v/>
      </c>
    </row>
    <row r="230">
      <c r="A230">
        <f>IF('03_Helper'!A230="","",'03_Helper'!B230)</f>
        <v/>
      </c>
      <c r="B230">
        <f>IF('03_Helper'!A230="","",'03_Helper'!C230)</f>
        <v/>
      </c>
      <c r="C230">
        <f>IF('03_Helper'!A230="","",'03_Helper'!G230)</f>
        <v/>
      </c>
      <c r="D230">
        <f>IF('03_Helper'!A230="","",'03_Helper'!E230)</f>
        <v/>
      </c>
      <c r="E230">
        <f>IF('03_Helper'!A230="","",'03_Helper'!D230)</f>
        <v/>
      </c>
      <c r="F230">
        <f>IF('03_Helper'!A230="","",'03_Helper'!H230)</f>
        <v/>
      </c>
      <c r="G230">
        <f>IF('03_Helper'!A230="","",'03_Helper'!X230)</f>
        <v/>
      </c>
      <c r="H230">
        <f>IF('03_Helper'!A230="","",'03_Helper'!Y230)</f>
        <v/>
      </c>
      <c r="I230">
        <f>IF('03_Helper'!A230="","",'03_Helper'!Z230)</f>
        <v/>
      </c>
      <c r="J230">
        <f>IF('03_Helper'!A230="","",'03_Helper'!Q230)</f>
        <v/>
      </c>
      <c r="K230">
        <f>IF('03_Helper'!A230="","",'03_Helper'!R230)</f>
        <v/>
      </c>
      <c r="L230">
        <f>IF('03_Helper'!A230="","",'03_Helper'!S230)</f>
        <v/>
      </c>
      <c r="M230">
        <f>IF('03_Helper'!A230="","",'03_Helper'!T230)</f>
        <v/>
      </c>
      <c r="N230">
        <f>IF('03_Helper'!A230="","",'03_Helper'!AA230)</f>
        <v/>
      </c>
      <c r="O230">
        <f>IF('03_Helper'!A230="","",'03_Helper'!AB230)</f>
        <v/>
      </c>
      <c r="P230">
        <f>IF('03_Helper'!A230="","",'03_Helper'!AC230)</f>
        <v/>
      </c>
      <c r="Q230">
        <f>IF('03_Helper'!A230="","",'03_Helper'!AD230)</f>
        <v/>
      </c>
      <c r="R230">
        <f>IF('03_Helper'!A230="","",'03_Helper'!AI230)</f>
        <v/>
      </c>
      <c r="S230">
        <f>IF('03_Helper'!A230="","",'03_Helper'!AJ230)</f>
        <v/>
      </c>
      <c r="T230">
        <f>IF('03_Helper'!A230="","",'03_Helper'!U230)</f>
        <v/>
      </c>
      <c r="U230">
        <f>IF('03_Helper'!A230="","",'03_Helper'!W230)</f>
        <v/>
      </c>
      <c r="V230">
        <f>IF('03_Helper'!A230="","",'03_Helper'!AG230)</f>
        <v/>
      </c>
      <c r="W230">
        <f>IF('03_Helper'!A230="","",'03_Helper'!AK230)</f>
        <v/>
      </c>
      <c r="X230">
        <f>IF('03_Helper'!A230="","",'03_Helper'!K230)</f>
        <v/>
      </c>
      <c r="Y230">
        <f>IF('03_Helper'!A230="","",'03_Helper'!AN230)</f>
        <v/>
      </c>
    </row>
    <row r="231">
      <c r="A231">
        <f>IF('03_Helper'!A231="","",'03_Helper'!B231)</f>
        <v/>
      </c>
      <c r="B231">
        <f>IF('03_Helper'!A231="","",'03_Helper'!C231)</f>
        <v/>
      </c>
      <c r="C231">
        <f>IF('03_Helper'!A231="","",'03_Helper'!G231)</f>
        <v/>
      </c>
      <c r="D231">
        <f>IF('03_Helper'!A231="","",'03_Helper'!E231)</f>
        <v/>
      </c>
      <c r="E231">
        <f>IF('03_Helper'!A231="","",'03_Helper'!D231)</f>
        <v/>
      </c>
      <c r="F231">
        <f>IF('03_Helper'!A231="","",'03_Helper'!H231)</f>
        <v/>
      </c>
      <c r="G231">
        <f>IF('03_Helper'!A231="","",'03_Helper'!X231)</f>
        <v/>
      </c>
      <c r="H231">
        <f>IF('03_Helper'!A231="","",'03_Helper'!Y231)</f>
        <v/>
      </c>
      <c r="I231">
        <f>IF('03_Helper'!A231="","",'03_Helper'!Z231)</f>
        <v/>
      </c>
      <c r="J231">
        <f>IF('03_Helper'!A231="","",'03_Helper'!Q231)</f>
        <v/>
      </c>
      <c r="K231">
        <f>IF('03_Helper'!A231="","",'03_Helper'!R231)</f>
        <v/>
      </c>
      <c r="L231">
        <f>IF('03_Helper'!A231="","",'03_Helper'!S231)</f>
        <v/>
      </c>
      <c r="M231">
        <f>IF('03_Helper'!A231="","",'03_Helper'!T231)</f>
        <v/>
      </c>
      <c r="N231">
        <f>IF('03_Helper'!A231="","",'03_Helper'!AA231)</f>
        <v/>
      </c>
      <c r="O231">
        <f>IF('03_Helper'!A231="","",'03_Helper'!AB231)</f>
        <v/>
      </c>
      <c r="P231">
        <f>IF('03_Helper'!A231="","",'03_Helper'!AC231)</f>
        <v/>
      </c>
      <c r="Q231">
        <f>IF('03_Helper'!A231="","",'03_Helper'!AD231)</f>
        <v/>
      </c>
      <c r="R231">
        <f>IF('03_Helper'!A231="","",'03_Helper'!AI231)</f>
        <v/>
      </c>
      <c r="S231">
        <f>IF('03_Helper'!A231="","",'03_Helper'!AJ231)</f>
        <v/>
      </c>
      <c r="T231">
        <f>IF('03_Helper'!A231="","",'03_Helper'!U231)</f>
        <v/>
      </c>
      <c r="U231">
        <f>IF('03_Helper'!A231="","",'03_Helper'!W231)</f>
        <v/>
      </c>
      <c r="V231">
        <f>IF('03_Helper'!A231="","",'03_Helper'!AG231)</f>
        <v/>
      </c>
      <c r="W231">
        <f>IF('03_Helper'!A231="","",'03_Helper'!AK231)</f>
        <v/>
      </c>
      <c r="X231">
        <f>IF('03_Helper'!A231="","",'03_Helper'!K231)</f>
        <v/>
      </c>
      <c r="Y231">
        <f>IF('03_Helper'!A231="","",'03_Helper'!AN231)</f>
        <v/>
      </c>
    </row>
    <row r="232">
      <c r="A232">
        <f>IF('03_Helper'!A232="","",'03_Helper'!B232)</f>
        <v/>
      </c>
      <c r="B232">
        <f>IF('03_Helper'!A232="","",'03_Helper'!C232)</f>
        <v/>
      </c>
      <c r="C232">
        <f>IF('03_Helper'!A232="","",'03_Helper'!G232)</f>
        <v/>
      </c>
      <c r="D232">
        <f>IF('03_Helper'!A232="","",'03_Helper'!E232)</f>
        <v/>
      </c>
      <c r="E232">
        <f>IF('03_Helper'!A232="","",'03_Helper'!D232)</f>
        <v/>
      </c>
      <c r="F232">
        <f>IF('03_Helper'!A232="","",'03_Helper'!H232)</f>
        <v/>
      </c>
      <c r="G232">
        <f>IF('03_Helper'!A232="","",'03_Helper'!X232)</f>
        <v/>
      </c>
      <c r="H232">
        <f>IF('03_Helper'!A232="","",'03_Helper'!Y232)</f>
        <v/>
      </c>
      <c r="I232">
        <f>IF('03_Helper'!A232="","",'03_Helper'!Z232)</f>
        <v/>
      </c>
      <c r="J232">
        <f>IF('03_Helper'!A232="","",'03_Helper'!Q232)</f>
        <v/>
      </c>
      <c r="K232">
        <f>IF('03_Helper'!A232="","",'03_Helper'!R232)</f>
        <v/>
      </c>
      <c r="L232">
        <f>IF('03_Helper'!A232="","",'03_Helper'!S232)</f>
        <v/>
      </c>
      <c r="M232">
        <f>IF('03_Helper'!A232="","",'03_Helper'!T232)</f>
        <v/>
      </c>
      <c r="N232">
        <f>IF('03_Helper'!A232="","",'03_Helper'!AA232)</f>
        <v/>
      </c>
      <c r="O232">
        <f>IF('03_Helper'!A232="","",'03_Helper'!AB232)</f>
        <v/>
      </c>
      <c r="P232">
        <f>IF('03_Helper'!A232="","",'03_Helper'!AC232)</f>
        <v/>
      </c>
      <c r="Q232">
        <f>IF('03_Helper'!A232="","",'03_Helper'!AD232)</f>
        <v/>
      </c>
      <c r="R232">
        <f>IF('03_Helper'!A232="","",'03_Helper'!AI232)</f>
        <v/>
      </c>
      <c r="S232">
        <f>IF('03_Helper'!A232="","",'03_Helper'!AJ232)</f>
        <v/>
      </c>
      <c r="T232">
        <f>IF('03_Helper'!A232="","",'03_Helper'!U232)</f>
        <v/>
      </c>
      <c r="U232">
        <f>IF('03_Helper'!A232="","",'03_Helper'!W232)</f>
        <v/>
      </c>
      <c r="V232">
        <f>IF('03_Helper'!A232="","",'03_Helper'!AG232)</f>
        <v/>
      </c>
      <c r="W232">
        <f>IF('03_Helper'!A232="","",'03_Helper'!AK232)</f>
        <v/>
      </c>
      <c r="X232">
        <f>IF('03_Helper'!A232="","",'03_Helper'!K232)</f>
        <v/>
      </c>
      <c r="Y232">
        <f>IF('03_Helper'!A232="","",'03_Helper'!AN232)</f>
        <v/>
      </c>
    </row>
    <row r="233">
      <c r="A233">
        <f>IF('03_Helper'!A233="","",'03_Helper'!B233)</f>
        <v/>
      </c>
      <c r="B233">
        <f>IF('03_Helper'!A233="","",'03_Helper'!C233)</f>
        <v/>
      </c>
      <c r="C233">
        <f>IF('03_Helper'!A233="","",'03_Helper'!G233)</f>
        <v/>
      </c>
      <c r="D233">
        <f>IF('03_Helper'!A233="","",'03_Helper'!E233)</f>
        <v/>
      </c>
      <c r="E233">
        <f>IF('03_Helper'!A233="","",'03_Helper'!D233)</f>
        <v/>
      </c>
      <c r="F233">
        <f>IF('03_Helper'!A233="","",'03_Helper'!H233)</f>
        <v/>
      </c>
      <c r="G233">
        <f>IF('03_Helper'!A233="","",'03_Helper'!X233)</f>
        <v/>
      </c>
      <c r="H233">
        <f>IF('03_Helper'!A233="","",'03_Helper'!Y233)</f>
        <v/>
      </c>
      <c r="I233">
        <f>IF('03_Helper'!A233="","",'03_Helper'!Z233)</f>
        <v/>
      </c>
      <c r="J233">
        <f>IF('03_Helper'!A233="","",'03_Helper'!Q233)</f>
        <v/>
      </c>
      <c r="K233">
        <f>IF('03_Helper'!A233="","",'03_Helper'!R233)</f>
        <v/>
      </c>
      <c r="L233">
        <f>IF('03_Helper'!A233="","",'03_Helper'!S233)</f>
        <v/>
      </c>
      <c r="M233">
        <f>IF('03_Helper'!A233="","",'03_Helper'!T233)</f>
        <v/>
      </c>
      <c r="N233">
        <f>IF('03_Helper'!A233="","",'03_Helper'!AA233)</f>
        <v/>
      </c>
      <c r="O233">
        <f>IF('03_Helper'!A233="","",'03_Helper'!AB233)</f>
        <v/>
      </c>
      <c r="P233">
        <f>IF('03_Helper'!A233="","",'03_Helper'!AC233)</f>
        <v/>
      </c>
      <c r="Q233">
        <f>IF('03_Helper'!A233="","",'03_Helper'!AD233)</f>
        <v/>
      </c>
      <c r="R233">
        <f>IF('03_Helper'!A233="","",'03_Helper'!AI233)</f>
        <v/>
      </c>
      <c r="S233">
        <f>IF('03_Helper'!A233="","",'03_Helper'!AJ233)</f>
        <v/>
      </c>
      <c r="T233">
        <f>IF('03_Helper'!A233="","",'03_Helper'!U233)</f>
        <v/>
      </c>
      <c r="U233">
        <f>IF('03_Helper'!A233="","",'03_Helper'!W233)</f>
        <v/>
      </c>
      <c r="V233">
        <f>IF('03_Helper'!A233="","",'03_Helper'!AG233)</f>
        <v/>
      </c>
      <c r="W233">
        <f>IF('03_Helper'!A233="","",'03_Helper'!AK233)</f>
        <v/>
      </c>
      <c r="X233">
        <f>IF('03_Helper'!A233="","",'03_Helper'!K233)</f>
        <v/>
      </c>
      <c r="Y233">
        <f>IF('03_Helper'!A233="","",'03_Helper'!AN233)</f>
        <v/>
      </c>
    </row>
    <row r="234">
      <c r="A234">
        <f>IF('03_Helper'!A234="","",'03_Helper'!B234)</f>
        <v/>
      </c>
      <c r="B234">
        <f>IF('03_Helper'!A234="","",'03_Helper'!C234)</f>
        <v/>
      </c>
      <c r="C234">
        <f>IF('03_Helper'!A234="","",'03_Helper'!G234)</f>
        <v/>
      </c>
      <c r="D234">
        <f>IF('03_Helper'!A234="","",'03_Helper'!E234)</f>
        <v/>
      </c>
      <c r="E234">
        <f>IF('03_Helper'!A234="","",'03_Helper'!D234)</f>
        <v/>
      </c>
      <c r="F234">
        <f>IF('03_Helper'!A234="","",'03_Helper'!H234)</f>
        <v/>
      </c>
      <c r="G234">
        <f>IF('03_Helper'!A234="","",'03_Helper'!X234)</f>
        <v/>
      </c>
      <c r="H234">
        <f>IF('03_Helper'!A234="","",'03_Helper'!Y234)</f>
        <v/>
      </c>
      <c r="I234">
        <f>IF('03_Helper'!A234="","",'03_Helper'!Z234)</f>
        <v/>
      </c>
      <c r="J234">
        <f>IF('03_Helper'!A234="","",'03_Helper'!Q234)</f>
        <v/>
      </c>
      <c r="K234">
        <f>IF('03_Helper'!A234="","",'03_Helper'!R234)</f>
        <v/>
      </c>
      <c r="L234">
        <f>IF('03_Helper'!A234="","",'03_Helper'!S234)</f>
        <v/>
      </c>
      <c r="M234">
        <f>IF('03_Helper'!A234="","",'03_Helper'!T234)</f>
        <v/>
      </c>
      <c r="N234">
        <f>IF('03_Helper'!A234="","",'03_Helper'!AA234)</f>
        <v/>
      </c>
      <c r="O234">
        <f>IF('03_Helper'!A234="","",'03_Helper'!AB234)</f>
        <v/>
      </c>
      <c r="P234">
        <f>IF('03_Helper'!A234="","",'03_Helper'!AC234)</f>
        <v/>
      </c>
      <c r="Q234">
        <f>IF('03_Helper'!A234="","",'03_Helper'!AD234)</f>
        <v/>
      </c>
      <c r="R234">
        <f>IF('03_Helper'!A234="","",'03_Helper'!AI234)</f>
        <v/>
      </c>
      <c r="S234">
        <f>IF('03_Helper'!A234="","",'03_Helper'!AJ234)</f>
        <v/>
      </c>
      <c r="T234">
        <f>IF('03_Helper'!A234="","",'03_Helper'!U234)</f>
        <v/>
      </c>
      <c r="U234">
        <f>IF('03_Helper'!A234="","",'03_Helper'!W234)</f>
        <v/>
      </c>
      <c r="V234">
        <f>IF('03_Helper'!A234="","",'03_Helper'!AG234)</f>
        <v/>
      </c>
      <c r="W234">
        <f>IF('03_Helper'!A234="","",'03_Helper'!AK234)</f>
        <v/>
      </c>
      <c r="X234">
        <f>IF('03_Helper'!A234="","",'03_Helper'!K234)</f>
        <v/>
      </c>
      <c r="Y234">
        <f>IF('03_Helper'!A234="","",'03_Helper'!AN234)</f>
        <v/>
      </c>
    </row>
    <row r="235">
      <c r="A235">
        <f>IF('03_Helper'!A235="","",'03_Helper'!B235)</f>
        <v/>
      </c>
      <c r="B235">
        <f>IF('03_Helper'!A235="","",'03_Helper'!C235)</f>
        <v/>
      </c>
      <c r="C235">
        <f>IF('03_Helper'!A235="","",'03_Helper'!G235)</f>
        <v/>
      </c>
      <c r="D235">
        <f>IF('03_Helper'!A235="","",'03_Helper'!E235)</f>
        <v/>
      </c>
      <c r="E235">
        <f>IF('03_Helper'!A235="","",'03_Helper'!D235)</f>
        <v/>
      </c>
      <c r="F235">
        <f>IF('03_Helper'!A235="","",'03_Helper'!H235)</f>
        <v/>
      </c>
      <c r="G235">
        <f>IF('03_Helper'!A235="","",'03_Helper'!X235)</f>
        <v/>
      </c>
      <c r="H235">
        <f>IF('03_Helper'!A235="","",'03_Helper'!Y235)</f>
        <v/>
      </c>
      <c r="I235">
        <f>IF('03_Helper'!A235="","",'03_Helper'!Z235)</f>
        <v/>
      </c>
      <c r="J235">
        <f>IF('03_Helper'!A235="","",'03_Helper'!Q235)</f>
        <v/>
      </c>
      <c r="K235">
        <f>IF('03_Helper'!A235="","",'03_Helper'!R235)</f>
        <v/>
      </c>
      <c r="L235">
        <f>IF('03_Helper'!A235="","",'03_Helper'!S235)</f>
        <v/>
      </c>
      <c r="M235">
        <f>IF('03_Helper'!A235="","",'03_Helper'!T235)</f>
        <v/>
      </c>
      <c r="N235">
        <f>IF('03_Helper'!A235="","",'03_Helper'!AA235)</f>
        <v/>
      </c>
      <c r="O235">
        <f>IF('03_Helper'!A235="","",'03_Helper'!AB235)</f>
        <v/>
      </c>
      <c r="P235">
        <f>IF('03_Helper'!A235="","",'03_Helper'!AC235)</f>
        <v/>
      </c>
      <c r="Q235">
        <f>IF('03_Helper'!A235="","",'03_Helper'!AD235)</f>
        <v/>
      </c>
      <c r="R235">
        <f>IF('03_Helper'!A235="","",'03_Helper'!AI235)</f>
        <v/>
      </c>
      <c r="S235">
        <f>IF('03_Helper'!A235="","",'03_Helper'!AJ235)</f>
        <v/>
      </c>
      <c r="T235">
        <f>IF('03_Helper'!A235="","",'03_Helper'!U235)</f>
        <v/>
      </c>
      <c r="U235">
        <f>IF('03_Helper'!A235="","",'03_Helper'!W235)</f>
        <v/>
      </c>
      <c r="V235">
        <f>IF('03_Helper'!A235="","",'03_Helper'!AG235)</f>
        <v/>
      </c>
      <c r="W235">
        <f>IF('03_Helper'!A235="","",'03_Helper'!AK235)</f>
        <v/>
      </c>
      <c r="X235">
        <f>IF('03_Helper'!A235="","",'03_Helper'!K235)</f>
        <v/>
      </c>
      <c r="Y235">
        <f>IF('03_Helper'!A235="","",'03_Helper'!AN235)</f>
        <v/>
      </c>
    </row>
    <row r="236">
      <c r="A236">
        <f>IF('03_Helper'!A236="","",'03_Helper'!B236)</f>
        <v/>
      </c>
      <c r="B236">
        <f>IF('03_Helper'!A236="","",'03_Helper'!C236)</f>
        <v/>
      </c>
      <c r="C236">
        <f>IF('03_Helper'!A236="","",'03_Helper'!G236)</f>
        <v/>
      </c>
      <c r="D236">
        <f>IF('03_Helper'!A236="","",'03_Helper'!E236)</f>
        <v/>
      </c>
      <c r="E236">
        <f>IF('03_Helper'!A236="","",'03_Helper'!D236)</f>
        <v/>
      </c>
      <c r="F236">
        <f>IF('03_Helper'!A236="","",'03_Helper'!H236)</f>
        <v/>
      </c>
      <c r="G236">
        <f>IF('03_Helper'!A236="","",'03_Helper'!X236)</f>
        <v/>
      </c>
      <c r="H236">
        <f>IF('03_Helper'!A236="","",'03_Helper'!Y236)</f>
        <v/>
      </c>
      <c r="I236">
        <f>IF('03_Helper'!A236="","",'03_Helper'!Z236)</f>
        <v/>
      </c>
      <c r="J236">
        <f>IF('03_Helper'!A236="","",'03_Helper'!Q236)</f>
        <v/>
      </c>
      <c r="K236">
        <f>IF('03_Helper'!A236="","",'03_Helper'!R236)</f>
        <v/>
      </c>
      <c r="L236">
        <f>IF('03_Helper'!A236="","",'03_Helper'!S236)</f>
        <v/>
      </c>
      <c r="M236">
        <f>IF('03_Helper'!A236="","",'03_Helper'!T236)</f>
        <v/>
      </c>
      <c r="N236">
        <f>IF('03_Helper'!A236="","",'03_Helper'!AA236)</f>
        <v/>
      </c>
      <c r="O236">
        <f>IF('03_Helper'!A236="","",'03_Helper'!AB236)</f>
        <v/>
      </c>
      <c r="P236">
        <f>IF('03_Helper'!A236="","",'03_Helper'!AC236)</f>
        <v/>
      </c>
      <c r="Q236">
        <f>IF('03_Helper'!A236="","",'03_Helper'!AD236)</f>
        <v/>
      </c>
      <c r="R236">
        <f>IF('03_Helper'!A236="","",'03_Helper'!AI236)</f>
        <v/>
      </c>
      <c r="S236">
        <f>IF('03_Helper'!A236="","",'03_Helper'!AJ236)</f>
        <v/>
      </c>
      <c r="T236">
        <f>IF('03_Helper'!A236="","",'03_Helper'!U236)</f>
        <v/>
      </c>
      <c r="U236">
        <f>IF('03_Helper'!A236="","",'03_Helper'!W236)</f>
        <v/>
      </c>
      <c r="V236">
        <f>IF('03_Helper'!A236="","",'03_Helper'!AG236)</f>
        <v/>
      </c>
      <c r="W236">
        <f>IF('03_Helper'!A236="","",'03_Helper'!AK236)</f>
        <v/>
      </c>
      <c r="X236">
        <f>IF('03_Helper'!A236="","",'03_Helper'!K236)</f>
        <v/>
      </c>
      <c r="Y236">
        <f>IF('03_Helper'!A236="","",'03_Helper'!AN236)</f>
        <v/>
      </c>
    </row>
    <row r="237">
      <c r="A237">
        <f>IF('03_Helper'!A237="","",'03_Helper'!B237)</f>
        <v/>
      </c>
      <c r="B237">
        <f>IF('03_Helper'!A237="","",'03_Helper'!C237)</f>
        <v/>
      </c>
      <c r="C237">
        <f>IF('03_Helper'!A237="","",'03_Helper'!G237)</f>
        <v/>
      </c>
      <c r="D237">
        <f>IF('03_Helper'!A237="","",'03_Helper'!E237)</f>
        <v/>
      </c>
      <c r="E237">
        <f>IF('03_Helper'!A237="","",'03_Helper'!D237)</f>
        <v/>
      </c>
      <c r="F237">
        <f>IF('03_Helper'!A237="","",'03_Helper'!H237)</f>
        <v/>
      </c>
      <c r="G237">
        <f>IF('03_Helper'!A237="","",'03_Helper'!X237)</f>
        <v/>
      </c>
      <c r="H237">
        <f>IF('03_Helper'!A237="","",'03_Helper'!Y237)</f>
        <v/>
      </c>
      <c r="I237">
        <f>IF('03_Helper'!A237="","",'03_Helper'!Z237)</f>
        <v/>
      </c>
      <c r="J237">
        <f>IF('03_Helper'!A237="","",'03_Helper'!Q237)</f>
        <v/>
      </c>
      <c r="K237">
        <f>IF('03_Helper'!A237="","",'03_Helper'!R237)</f>
        <v/>
      </c>
      <c r="L237">
        <f>IF('03_Helper'!A237="","",'03_Helper'!S237)</f>
        <v/>
      </c>
      <c r="M237">
        <f>IF('03_Helper'!A237="","",'03_Helper'!T237)</f>
        <v/>
      </c>
      <c r="N237">
        <f>IF('03_Helper'!A237="","",'03_Helper'!AA237)</f>
        <v/>
      </c>
      <c r="O237">
        <f>IF('03_Helper'!A237="","",'03_Helper'!AB237)</f>
        <v/>
      </c>
      <c r="P237">
        <f>IF('03_Helper'!A237="","",'03_Helper'!AC237)</f>
        <v/>
      </c>
      <c r="Q237">
        <f>IF('03_Helper'!A237="","",'03_Helper'!AD237)</f>
        <v/>
      </c>
      <c r="R237">
        <f>IF('03_Helper'!A237="","",'03_Helper'!AI237)</f>
        <v/>
      </c>
      <c r="S237">
        <f>IF('03_Helper'!A237="","",'03_Helper'!AJ237)</f>
        <v/>
      </c>
      <c r="T237">
        <f>IF('03_Helper'!A237="","",'03_Helper'!U237)</f>
        <v/>
      </c>
      <c r="U237">
        <f>IF('03_Helper'!A237="","",'03_Helper'!W237)</f>
        <v/>
      </c>
      <c r="V237">
        <f>IF('03_Helper'!A237="","",'03_Helper'!AG237)</f>
        <v/>
      </c>
      <c r="W237">
        <f>IF('03_Helper'!A237="","",'03_Helper'!AK237)</f>
        <v/>
      </c>
      <c r="X237">
        <f>IF('03_Helper'!A237="","",'03_Helper'!K237)</f>
        <v/>
      </c>
      <c r="Y237">
        <f>IF('03_Helper'!A237="","",'03_Helper'!AN237)</f>
        <v/>
      </c>
    </row>
    <row r="238">
      <c r="A238">
        <f>IF('03_Helper'!A238="","",'03_Helper'!B238)</f>
        <v/>
      </c>
      <c r="B238">
        <f>IF('03_Helper'!A238="","",'03_Helper'!C238)</f>
        <v/>
      </c>
      <c r="C238">
        <f>IF('03_Helper'!A238="","",'03_Helper'!G238)</f>
        <v/>
      </c>
      <c r="D238">
        <f>IF('03_Helper'!A238="","",'03_Helper'!E238)</f>
        <v/>
      </c>
      <c r="E238">
        <f>IF('03_Helper'!A238="","",'03_Helper'!D238)</f>
        <v/>
      </c>
      <c r="F238">
        <f>IF('03_Helper'!A238="","",'03_Helper'!H238)</f>
        <v/>
      </c>
      <c r="G238">
        <f>IF('03_Helper'!A238="","",'03_Helper'!X238)</f>
        <v/>
      </c>
      <c r="H238">
        <f>IF('03_Helper'!A238="","",'03_Helper'!Y238)</f>
        <v/>
      </c>
      <c r="I238">
        <f>IF('03_Helper'!A238="","",'03_Helper'!Z238)</f>
        <v/>
      </c>
      <c r="J238">
        <f>IF('03_Helper'!A238="","",'03_Helper'!Q238)</f>
        <v/>
      </c>
      <c r="K238">
        <f>IF('03_Helper'!A238="","",'03_Helper'!R238)</f>
        <v/>
      </c>
      <c r="L238">
        <f>IF('03_Helper'!A238="","",'03_Helper'!S238)</f>
        <v/>
      </c>
      <c r="M238">
        <f>IF('03_Helper'!A238="","",'03_Helper'!T238)</f>
        <v/>
      </c>
      <c r="N238">
        <f>IF('03_Helper'!A238="","",'03_Helper'!AA238)</f>
        <v/>
      </c>
      <c r="O238">
        <f>IF('03_Helper'!A238="","",'03_Helper'!AB238)</f>
        <v/>
      </c>
      <c r="P238">
        <f>IF('03_Helper'!A238="","",'03_Helper'!AC238)</f>
        <v/>
      </c>
      <c r="Q238">
        <f>IF('03_Helper'!A238="","",'03_Helper'!AD238)</f>
        <v/>
      </c>
      <c r="R238">
        <f>IF('03_Helper'!A238="","",'03_Helper'!AI238)</f>
        <v/>
      </c>
      <c r="S238">
        <f>IF('03_Helper'!A238="","",'03_Helper'!AJ238)</f>
        <v/>
      </c>
      <c r="T238">
        <f>IF('03_Helper'!A238="","",'03_Helper'!U238)</f>
        <v/>
      </c>
      <c r="U238">
        <f>IF('03_Helper'!A238="","",'03_Helper'!W238)</f>
        <v/>
      </c>
      <c r="V238">
        <f>IF('03_Helper'!A238="","",'03_Helper'!AG238)</f>
        <v/>
      </c>
      <c r="W238">
        <f>IF('03_Helper'!A238="","",'03_Helper'!AK238)</f>
        <v/>
      </c>
      <c r="X238">
        <f>IF('03_Helper'!A238="","",'03_Helper'!K238)</f>
        <v/>
      </c>
      <c r="Y238">
        <f>IF('03_Helper'!A238="","",'03_Helper'!AN238)</f>
        <v/>
      </c>
    </row>
    <row r="239">
      <c r="A239">
        <f>IF('03_Helper'!A239="","",'03_Helper'!B239)</f>
        <v/>
      </c>
      <c r="B239">
        <f>IF('03_Helper'!A239="","",'03_Helper'!C239)</f>
        <v/>
      </c>
      <c r="C239">
        <f>IF('03_Helper'!A239="","",'03_Helper'!G239)</f>
        <v/>
      </c>
      <c r="D239">
        <f>IF('03_Helper'!A239="","",'03_Helper'!E239)</f>
        <v/>
      </c>
      <c r="E239">
        <f>IF('03_Helper'!A239="","",'03_Helper'!D239)</f>
        <v/>
      </c>
      <c r="F239">
        <f>IF('03_Helper'!A239="","",'03_Helper'!H239)</f>
        <v/>
      </c>
      <c r="G239">
        <f>IF('03_Helper'!A239="","",'03_Helper'!X239)</f>
        <v/>
      </c>
      <c r="H239">
        <f>IF('03_Helper'!A239="","",'03_Helper'!Y239)</f>
        <v/>
      </c>
      <c r="I239">
        <f>IF('03_Helper'!A239="","",'03_Helper'!Z239)</f>
        <v/>
      </c>
      <c r="J239">
        <f>IF('03_Helper'!A239="","",'03_Helper'!Q239)</f>
        <v/>
      </c>
      <c r="K239">
        <f>IF('03_Helper'!A239="","",'03_Helper'!R239)</f>
        <v/>
      </c>
      <c r="L239">
        <f>IF('03_Helper'!A239="","",'03_Helper'!S239)</f>
        <v/>
      </c>
      <c r="M239">
        <f>IF('03_Helper'!A239="","",'03_Helper'!T239)</f>
        <v/>
      </c>
      <c r="N239">
        <f>IF('03_Helper'!A239="","",'03_Helper'!AA239)</f>
        <v/>
      </c>
      <c r="O239">
        <f>IF('03_Helper'!A239="","",'03_Helper'!AB239)</f>
        <v/>
      </c>
      <c r="P239">
        <f>IF('03_Helper'!A239="","",'03_Helper'!AC239)</f>
        <v/>
      </c>
      <c r="Q239">
        <f>IF('03_Helper'!A239="","",'03_Helper'!AD239)</f>
        <v/>
      </c>
      <c r="R239">
        <f>IF('03_Helper'!A239="","",'03_Helper'!AI239)</f>
        <v/>
      </c>
      <c r="S239">
        <f>IF('03_Helper'!A239="","",'03_Helper'!AJ239)</f>
        <v/>
      </c>
      <c r="T239">
        <f>IF('03_Helper'!A239="","",'03_Helper'!U239)</f>
        <v/>
      </c>
      <c r="U239">
        <f>IF('03_Helper'!A239="","",'03_Helper'!W239)</f>
        <v/>
      </c>
      <c r="V239">
        <f>IF('03_Helper'!A239="","",'03_Helper'!AG239)</f>
        <v/>
      </c>
      <c r="W239">
        <f>IF('03_Helper'!A239="","",'03_Helper'!AK239)</f>
        <v/>
      </c>
      <c r="X239">
        <f>IF('03_Helper'!A239="","",'03_Helper'!K239)</f>
        <v/>
      </c>
      <c r="Y239">
        <f>IF('03_Helper'!A239="","",'03_Helper'!AN239)</f>
        <v/>
      </c>
    </row>
    <row r="240">
      <c r="A240">
        <f>IF('03_Helper'!A240="","",'03_Helper'!B240)</f>
        <v/>
      </c>
      <c r="B240">
        <f>IF('03_Helper'!A240="","",'03_Helper'!C240)</f>
        <v/>
      </c>
      <c r="C240">
        <f>IF('03_Helper'!A240="","",'03_Helper'!G240)</f>
        <v/>
      </c>
      <c r="D240">
        <f>IF('03_Helper'!A240="","",'03_Helper'!E240)</f>
        <v/>
      </c>
      <c r="E240">
        <f>IF('03_Helper'!A240="","",'03_Helper'!D240)</f>
        <v/>
      </c>
      <c r="F240">
        <f>IF('03_Helper'!A240="","",'03_Helper'!H240)</f>
        <v/>
      </c>
      <c r="G240">
        <f>IF('03_Helper'!A240="","",'03_Helper'!X240)</f>
        <v/>
      </c>
      <c r="H240">
        <f>IF('03_Helper'!A240="","",'03_Helper'!Y240)</f>
        <v/>
      </c>
      <c r="I240">
        <f>IF('03_Helper'!A240="","",'03_Helper'!Z240)</f>
        <v/>
      </c>
      <c r="J240">
        <f>IF('03_Helper'!A240="","",'03_Helper'!Q240)</f>
        <v/>
      </c>
      <c r="K240">
        <f>IF('03_Helper'!A240="","",'03_Helper'!R240)</f>
        <v/>
      </c>
      <c r="L240">
        <f>IF('03_Helper'!A240="","",'03_Helper'!S240)</f>
        <v/>
      </c>
      <c r="M240">
        <f>IF('03_Helper'!A240="","",'03_Helper'!T240)</f>
        <v/>
      </c>
      <c r="N240">
        <f>IF('03_Helper'!A240="","",'03_Helper'!AA240)</f>
        <v/>
      </c>
      <c r="O240">
        <f>IF('03_Helper'!A240="","",'03_Helper'!AB240)</f>
        <v/>
      </c>
      <c r="P240">
        <f>IF('03_Helper'!A240="","",'03_Helper'!AC240)</f>
        <v/>
      </c>
      <c r="Q240">
        <f>IF('03_Helper'!A240="","",'03_Helper'!AD240)</f>
        <v/>
      </c>
      <c r="R240">
        <f>IF('03_Helper'!A240="","",'03_Helper'!AI240)</f>
        <v/>
      </c>
      <c r="S240">
        <f>IF('03_Helper'!A240="","",'03_Helper'!AJ240)</f>
        <v/>
      </c>
      <c r="T240">
        <f>IF('03_Helper'!A240="","",'03_Helper'!U240)</f>
        <v/>
      </c>
      <c r="U240">
        <f>IF('03_Helper'!A240="","",'03_Helper'!W240)</f>
        <v/>
      </c>
      <c r="V240">
        <f>IF('03_Helper'!A240="","",'03_Helper'!AG240)</f>
        <v/>
      </c>
      <c r="W240">
        <f>IF('03_Helper'!A240="","",'03_Helper'!AK240)</f>
        <v/>
      </c>
      <c r="X240">
        <f>IF('03_Helper'!A240="","",'03_Helper'!K240)</f>
        <v/>
      </c>
      <c r="Y240">
        <f>IF('03_Helper'!A240="","",'03_Helper'!AN240)</f>
        <v/>
      </c>
    </row>
    <row r="241">
      <c r="A241">
        <f>IF('03_Helper'!A241="","",'03_Helper'!B241)</f>
        <v/>
      </c>
      <c r="B241">
        <f>IF('03_Helper'!A241="","",'03_Helper'!C241)</f>
        <v/>
      </c>
      <c r="C241">
        <f>IF('03_Helper'!A241="","",'03_Helper'!G241)</f>
        <v/>
      </c>
      <c r="D241">
        <f>IF('03_Helper'!A241="","",'03_Helper'!E241)</f>
        <v/>
      </c>
      <c r="E241">
        <f>IF('03_Helper'!A241="","",'03_Helper'!D241)</f>
        <v/>
      </c>
      <c r="F241">
        <f>IF('03_Helper'!A241="","",'03_Helper'!H241)</f>
        <v/>
      </c>
      <c r="G241">
        <f>IF('03_Helper'!A241="","",'03_Helper'!X241)</f>
        <v/>
      </c>
      <c r="H241">
        <f>IF('03_Helper'!A241="","",'03_Helper'!Y241)</f>
        <v/>
      </c>
      <c r="I241">
        <f>IF('03_Helper'!A241="","",'03_Helper'!Z241)</f>
        <v/>
      </c>
      <c r="J241">
        <f>IF('03_Helper'!A241="","",'03_Helper'!Q241)</f>
        <v/>
      </c>
      <c r="K241">
        <f>IF('03_Helper'!A241="","",'03_Helper'!R241)</f>
        <v/>
      </c>
      <c r="L241">
        <f>IF('03_Helper'!A241="","",'03_Helper'!S241)</f>
        <v/>
      </c>
      <c r="M241">
        <f>IF('03_Helper'!A241="","",'03_Helper'!T241)</f>
        <v/>
      </c>
      <c r="N241">
        <f>IF('03_Helper'!A241="","",'03_Helper'!AA241)</f>
        <v/>
      </c>
      <c r="O241">
        <f>IF('03_Helper'!A241="","",'03_Helper'!AB241)</f>
        <v/>
      </c>
      <c r="P241">
        <f>IF('03_Helper'!A241="","",'03_Helper'!AC241)</f>
        <v/>
      </c>
      <c r="Q241">
        <f>IF('03_Helper'!A241="","",'03_Helper'!AD241)</f>
        <v/>
      </c>
      <c r="R241">
        <f>IF('03_Helper'!A241="","",'03_Helper'!AI241)</f>
        <v/>
      </c>
      <c r="S241">
        <f>IF('03_Helper'!A241="","",'03_Helper'!AJ241)</f>
        <v/>
      </c>
      <c r="T241">
        <f>IF('03_Helper'!A241="","",'03_Helper'!U241)</f>
        <v/>
      </c>
      <c r="U241">
        <f>IF('03_Helper'!A241="","",'03_Helper'!W241)</f>
        <v/>
      </c>
      <c r="V241">
        <f>IF('03_Helper'!A241="","",'03_Helper'!AG241)</f>
        <v/>
      </c>
      <c r="W241">
        <f>IF('03_Helper'!A241="","",'03_Helper'!AK241)</f>
        <v/>
      </c>
      <c r="X241">
        <f>IF('03_Helper'!A241="","",'03_Helper'!K241)</f>
        <v/>
      </c>
      <c r="Y241">
        <f>IF('03_Helper'!A241="","",'03_Helper'!AN241)</f>
        <v/>
      </c>
    </row>
    <row r="242">
      <c r="A242">
        <f>IF('03_Helper'!A242="","",'03_Helper'!B242)</f>
        <v/>
      </c>
      <c r="B242">
        <f>IF('03_Helper'!A242="","",'03_Helper'!C242)</f>
        <v/>
      </c>
      <c r="C242">
        <f>IF('03_Helper'!A242="","",'03_Helper'!G242)</f>
        <v/>
      </c>
      <c r="D242">
        <f>IF('03_Helper'!A242="","",'03_Helper'!E242)</f>
        <v/>
      </c>
      <c r="E242">
        <f>IF('03_Helper'!A242="","",'03_Helper'!D242)</f>
        <v/>
      </c>
      <c r="F242">
        <f>IF('03_Helper'!A242="","",'03_Helper'!H242)</f>
        <v/>
      </c>
      <c r="G242">
        <f>IF('03_Helper'!A242="","",'03_Helper'!X242)</f>
        <v/>
      </c>
      <c r="H242">
        <f>IF('03_Helper'!A242="","",'03_Helper'!Y242)</f>
        <v/>
      </c>
      <c r="I242">
        <f>IF('03_Helper'!A242="","",'03_Helper'!Z242)</f>
        <v/>
      </c>
      <c r="J242">
        <f>IF('03_Helper'!A242="","",'03_Helper'!Q242)</f>
        <v/>
      </c>
      <c r="K242">
        <f>IF('03_Helper'!A242="","",'03_Helper'!R242)</f>
        <v/>
      </c>
      <c r="L242">
        <f>IF('03_Helper'!A242="","",'03_Helper'!S242)</f>
        <v/>
      </c>
      <c r="M242">
        <f>IF('03_Helper'!A242="","",'03_Helper'!T242)</f>
        <v/>
      </c>
      <c r="N242">
        <f>IF('03_Helper'!A242="","",'03_Helper'!AA242)</f>
        <v/>
      </c>
      <c r="O242">
        <f>IF('03_Helper'!A242="","",'03_Helper'!AB242)</f>
        <v/>
      </c>
      <c r="P242">
        <f>IF('03_Helper'!A242="","",'03_Helper'!AC242)</f>
        <v/>
      </c>
      <c r="Q242">
        <f>IF('03_Helper'!A242="","",'03_Helper'!AD242)</f>
        <v/>
      </c>
      <c r="R242">
        <f>IF('03_Helper'!A242="","",'03_Helper'!AI242)</f>
        <v/>
      </c>
      <c r="S242">
        <f>IF('03_Helper'!A242="","",'03_Helper'!AJ242)</f>
        <v/>
      </c>
      <c r="T242">
        <f>IF('03_Helper'!A242="","",'03_Helper'!U242)</f>
        <v/>
      </c>
      <c r="U242">
        <f>IF('03_Helper'!A242="","",'03_Helper'!W242)</f>
        <v/>
      </c>
      <c r="V242">
        <f>IF('03_Helper'!A242="","",'03_Helper'!AG242)</f>
        <v/>
      </c>
      <c r="W242">
        <f>IF('03_Helper'!A242="","",'03_Helper'!AK242)</f>
        <v/>
      </c>
      <c r="X242">
        <f>IF('03_Helper'!A242="","",'03_Helper'!K242)</f>
        <v/>
      </c>
      <c r="Y242">
        <f>IF('03_Helper'!A242="","",'03_Helper'!AN242)</f>
        <v/>
      </c>
    </row>
    <row r="243">
      <c r="A243">
        <f>IF('03_Helper'!A243="","",'03_Helper'!B243)</f>
        <v/>
      </c>
      <c r="B243">
        <f>IF('03_Helper'!A243="","",'03_Helper'!C243)</f>
        <v/>
      </c>
      <c r="C243">
        <f>IF('03_Helper'!A243="","",'03_Helper'!G243)</f>
        <v/>
      </c>
      <c r="D243">
        <f>IF('03_Helper'!A243="","",'03_Helper'!E243)</f>
        <v/>
      </c>
      <c r="E243">
        <f>IF('03_Helper'!A243="","",'03_Helper'!D243)</f>
        <v/>
      </c>
      <c r="F243">
        <f>IF('03_Helper'!A243="","",'03_Helper'!H243)</f>
        <v/>
      </c>
      <c r="G243">
        <f>IF('03_Helper'!A243="","",'03_Helper'!X243)</f>
        <v/>
      </c>
      <c r="H243">
        <f>IF('03_Helper'!A243="","",'03_Helper'!Y243)</f>
        <v/>
      </c>
      <c r="I243">
        <f>IF('03_Helper'!A243="","",'03_Helper'!Z243)</f>
        <v/>
      </c>
      <c r="J243">
        <f>IF('03_Helper'!A243="","",'03_Helper'!Q243)</f>
        <v/>
      </c>
      <c r="K243">
        <f>IF('03_Helper'!A243="","",'03_Helper'!R243)</f>
        <v/>
      </c>
      <c r="L243">
        <f>IF('03_Helper'!A243="","",'03_Helper'!S243)</f>
        <v/>
      </c>
      <c r="M243">
        <f>IF('03_Helper'!A243="","",'03_Helper'!T243)</f>
        <v/>
      </c>
      <c r="N243">
        <f>IF('03_Helper'!A243="","",'03_Helper'!AA243)</f>
        <v/>
      </c>
      <c r="O243">
        <f>IF('03_Helper'!A243="","",'03_Helper'!AB243)</f>
        <v/>
      </c>
      <c r="P243">
        <f>IF('03_Helper'!A243="","",'03_Helper'!AC243)</f>
        <v/>
      </c>
      <c r="Q243">
        <f>IF('03_Helper'!A243="","",'03_Helper'!AD243)</f>
        <v/>
      </c>
      <c r="R243">
        <f>IF('03_Helper'!A243="","",'03_Helper'!AI243)</f>
        <v/>
      </c>
      <c r="S243">
        <f>IF('03_Helper'!A243="","",'03_Helper'!AJ243)</f>
        <v/>
      </c>
      <c r="T243">
        <f>IF('03_Helper'!A243="","",'03_Helper'!U243)</f>
        <v/>
      </c>
      <c r="U243">
        <f>IF('03_Helper'!A243="","",'03_Helper'!W243)</f>
        <v/>
      </c>
      <c r="V243">
        <f>IF('03_Helper'!A243="","",'03_Helper'!AG243)</f>
        <v/>
      </c>
      <c r="W243">
        <f>IF('03_Helper'!A243="","",'03_Helper'!AK243)</f>
        <v/>
      </c>
      <c r="X243">
        <f>IF('03_Helper'!A243="","",'03_Helper'!K243)</f>
        <v/>
      </c>
      <c r="Y243">
        <f>IF('03_Helper'!A243="","",'03_Helper'!AN243)</f>
        <v/>
      </c>
    </row>
    <row r="244">
      <c r="A244">
        <f>IF('03_Helper'!A244="","",'03_Helper'!B244)</f>
        <v/>
      </c>
      <c r="B244">
        <f>IF('03_Helper'!A244="","",'03_Helper'!C244)</f>
        <v/>
      </c>
      <c r="C244">
        <f>IF('03_Helper'!A244="","",'03_Helper'!G244)</f>
        <v/>
      </c>
      <c r="D244">
        <f>IF('03_Helper'!A244="","",'03_Helper'!E244)</f>
        <v/>
      </c>
      <c r="E244">
        <f>IF('03_Helper'!A244="","",'03_Helper'!D244)</f>
        <v/>
      </c>
      <c r="F244">
        <f>IF('03_Helper'!A244="","",'03_Helper'!H244)</f>
        <v/>
      </c>
      <c r="G244">
        <f>IF('03_Helper'!A244="","",'03_Helper'!X244)</f>
        <v/>
      </c>
      <c r="H244">
        <f>IF('03_Helper'!A244="","",'03_Helper'!Y244)</f>
        <v/>
      </c>
      <c r="I244">
        <f>IF('03_Helper'!A244="","",'03_Helper'!Z244)</f>
        <v/>
      </c>
      <c r="J244">
        <f>IF('03_Helper'!A244="","",'03_Helper'!Q244)</f>
        <v/>
      </c>
      <c r="K244">
        <f>IF('03_Helper'!A244="","",'03_Helper'!R244)</f>
        <v/>
      </c>
      <c r="L244">
        <f>IF('03_Helper'!A244="","",'03_Helper'!S244)</f>
        <v/>
      </c>
      <c r="M244">
        <f>IF('03_Helper'!A244="","",'03_Helper'!T244)</f>
        <v/>
      </c>
      <c r="N244">
        <f>IF('03_Helper'!A244="","",'03_Helper'!AA244)</f>
        <v/>
      </c>
      <c r="O244">
        <f>IF('03_Helper'!A244="","",'03_Helper'!AB244)</f>
        <v/>
      </c>
      <c r="P244">
        <f>IF('03_Helper'!A244="","",'03_Helper'!AC244)</f>
        <v/>
      </c>
      <c r="Q244">
        <f>IF('03_Helper'!A244="","",'03_Helper'!AD244)</f>
        <v/>
      </c>
      <c r="R244">
        <f>IF('03_Helper'!A244="","",'03_Helper'!AI244)</f>
        <v/>
      </c>
      <c r="S244">
        <f>IF('03_Helper'!A244="","",'03_Helper'!AJ244)</f>
        <v/>
      </c>
      <c r="T244">
        <f>IF('03_Helper'!A244="","",'03_Helper'!U244)</f>
        <v/>
      </c>
      <c r="U244">
        <f>IF('03_Helper'!A244="","",'03_Helper'!W244)</f>
        <v/>
      </c>
      <c r="V244">
        <f>IF('03_Helper'!A244="","",'03_Helper'!AG244)</f>
        <v/>
      </c>
      <c r="W244">
        <f>IF('03_Helper'!A244="","",'03_Helper'!AK244)</f>
        <v/>
      </c>
      <c r="X244">
        <f>IF('03_Helper'!A244="","",'03_Helper'!K244)</f>
        <v/>
      </c>
      <c r="Y244">
        <f>IF('03_Helper'!A244="","",'03_Helper'!AN244)</f>
        <v/>
      </c>
    </row>
    <row r="245">
      <c r="A245">
        <f>IF('03_Helper'!A245="","",'03_Helper'!B245)</f>
        <v/>
      </c>
      <c r="B245">
        <f>IF('03_Helper'!A245="","",'03_Helper'!C245)</f>
        <v/>
      </c>
      <c r="C245">
        <f>IF('03_Helper'!A245="","",'03_Helper'!G245)</f>
        <v/>
      </c>
      <c r="D245">
        <f>IF('03_Helper'!A245="","",'03_Helper'!E245)</f>
        <v/>
      </c>
      <c r="E245">
        <f>IF('03_Helper'!A245="","",'03_Helper'!D245)</f>
        <v/>
      </c>
      <c r="F245">
        <f>IF('03_Helper'!A245="","",'03_Helper'!H245)</f>
        <v/>
      </c>
      <c r="G245">
        <f>IF('03_Helper'!A245="","",'03_Helper'!X245)</f>
        <v/>
      </c>
      <c r="H245">
        <f>IF('03_Helper'!A245="","",'03_Helper'!Y245)</f>
        <v/>
      </c>
      <c r="I245">
        <f>IF('03_Helper'!A245="","",'03_Helper'!Z245)</f>
        <v/>
      </c>
      <c r="J245">
        <f>IF('03_Helper'!A245="","",'03_Helper'!Q245)</f>
        <v/>
      </c>
      <c r="K245">
        <f>IF('03_Helper'!A245="","",'03_Helper'!R245)</f>
        <v/>
      </c>
      <c r="L245">
        <f>IF('03_Helper'!A245="","",'03_Helper'!S245)</f>
        <v/>
      </c>
      <c r="M245">
        <f>IF('03_Helper'!A245="","",'03_Helper'!T245)</f>
        <v/>
      </c>
      <c r="N245">
        <f>IF('03_Helper'!A245="","",'03_Helper'!AA245)</f>
        <v/>
      </c>
      <c r="O245">
        <f>IF('03_Helper'!A245="","",'03_Helper'!AB245)</f>
        <v/>
      </c>
      <c r="P245">
        <f>IF('03_Helper'!A245="","",'03_Helper'!AC245)</f>
        <v/>
      </c>
      <c r="Q245">
        <f>IF('03_Helper'!A245="","",'03_Helper'!AD245)</f>
        <v/>
      </c>
      <c r="R245">
        <f>IF('03_Helper'!A245="","",'03_Helper'!AI245)</f>
        <v/>
      </c>
      <c r="S245">
        <f>IF('03_Helper'!A245="","",'03_Helper'!AJ245)</f>
        <v/>
      </c>
      <c r="T245">
        <f>IF('03_Helper'!A245="","",'03_Helper'!U245)</f>
        <v/>
      </c>
      <c r="U245">
        <f>IF('03_Helper'!A245="","",'03_Helper'!W245)</f>
        <v/>
      </c>
      <c r="V245">
        <f>IF('03_Helper'!A245="","",'03_Helper'!AG245)</f>
        <v/>
      </c>
      <c r="W245">
        <f>IF('03_Helper'!A245="","",'03_Helper'!AK245)</f>
        <v/>
      </c>
      <c r="X245">
        <f>IF('03_Helper'!A245="","",'03_Helper'!K245)</f>
        <v/>
      </c>
      <c r="Y245">
        <f>IF('03_Helper'!A245="","",'03_Helper'!AN245)</f>
        <v/>
      </c>
    </row>
    <row r="246">
      <c r="A246">
        <f>IF('03_Helper'!A246="","",'03_Helper'!B246)</f>
        <v/>
      </c>
      <c r="B246">
        <f>IF('03_Helper'!A246="","",'03_Helper'!C246)</f>
        <v/>
      </c>
      <c r="C246">
        <f>IF('03_Helper'!A246="","",'03_Helper'!G246)</f>
        <v/>
      </c>
      <c r="D246">
        <f>IF('03_Helper'!A246="","",'03_Helper'!E246)</f>
        <v/>
      </c>
      <c r="E246">
        <f>IF('03_Helper'!A246="","",'03_Helper'!D246)</f>
        <v/>
      </c>
      <c r="F246">
        <f>IF('03_Helper'!A246="","",'03_Helper'!H246)</f>
        <v/>
      </c>
      <c r="G246">
        <f>IF('03_Helper'!A246="","",'03_Helper'!X246)</f>
        <v/>
      </c>
      <c r="H246">
        <f>IF('03_Helper'!A246="","",'03_Helper'!Y246)</f>
        <v/>
      </c>
      <c r="I246">
        <f>IF('03_Helper'!A246="","",'03_Helper'!Z246)</f>
        <v/>
      </c>
      <c r="J246">
        <f>IF('03_Helper'!A246="","",'03_Helper'!Q246)</f>
        <v/>
      </c>
      <c r="K246">
        <f>IF('03_Helper'!A246="","",'03_Helper'!R246)</f>
        <v/>
      </c>
      <c r="L246">
        <f>IF('03_Helper'!A246="","",'03_Helper'!S246)</f>
        <v/>
      </c>
      <c r="M246">
        <f>IF('03_Helper'!A246="","",'03_Helper'!T246)</f>
        <v/>
      </c>
      <c r="N246">
        <f>IF('03_Helper'!A246="","",'03_Helper'!AA246)</f>
        <v/>
      </c>
      <c r="O246">
        <f>IF('03_Helper'!A246="","",'03_Helper'!AB246)</f>
        <v/>
      </c>
      <c r="P246">
        <f>IF('03_Helper'!A246="","",'03_Helper'!AC246)</f>
        <v/>
      </c>
      <c r="Q246">
        <f>IF('03_Helper'!A246="","",'03_Helper'!AD246)</f>
        <v/>
      </c>
      <c r="R246">
        <f>IF('03_Helper'!A246="","",'03_Helper'!AI246)</f>
        <v/>
      </c>
      <c r="S246">
        <f>IF('03_Helper'!A246="","",'03_Helper'!AJ246)</f>
        <v/>
      </c>
      <c r="T246">
        <f>IF('03_Helper'!A246="","",'03_Helper'!U246)</f>
        <v/>
      </c>
      <c r="U246">
        <f>IF('03_Helper'!A246="","",'03_Helper'!W246)</f>
        <v/>
      </c>
      <c r="V246">
        <f>IF('03_Helper'!A246="","",'03_Helper'!AG246)</f>
        <v/>
      </c>
      <c r="W246">
        <f>IF('03_Helper'!A246="","",'03_Helper'!AK246)</f>
        <v/>
      </c>
      <c r="X246">
        <f>IF('03_Helper'!A246="","",'03_Helper'!K246)</f>
        <v/>
      </c>
      <c r="Y246">
        <f>IF('03_Helper'!A246="","",'03_Helper'!AN246)</f>
        <v/>
      </c>
    </row>
    <row r="247">
      <c r="A247">
        <f>IF('03_Helper'!A247="","",'03_Helper'!B247)</f>
        <v/>
      </c>
      <c r="B247">
        <f>IF('03_Helper'!A247="","",'03_Helper'!C247)</f>
        <v/>
      </c>
      <c r="C247">
        <f>IF('03_Helper'!A247="","",'03_Helper'!G247)</f>
        <v/>
      </c>
      <c r="D247">
        <f>IF('03_Helper'!A247="","",'03_Helper'!E247)</f>
        <v/>
      </c>
      <c r="E247">
        <f>IF('03_Helper'!A247="","",'03_Helper'!D247)</f>
        <v/>
      </c>
      <c r="F247">
        <f>IF('03_Helper'!A247="","",'03_Helper'!H247)</f>
        <v/>
      </c>
      <c r="G247">
        <f>IF('03_Helper'!A247="","",'03_Helper'!X247)</f>
        <v/>
      </c>
      <c r="H247">
        <f>IF('03_Helper'!A247="","",'03_Helper'!Y247)</f>
        <v/>
      </c>
      <c r="I247">
        <f>IF('03_Helper'!A247="","",'03_Helper'!Z247)</f>
        <v/>
      </c>
      <c r="J247">
        <f>IF('03_Helper'!A247="","",'03_Helper'!Q247)</f>
        <v/>
      </c>
      <c r="K247">
        <f>IF('03_Helper'!A247="","",'03_Helper'!R247)</f>
        <v/>
      </c>
      <c r="L247">
        <f>IF('03_Helper'!A247="","",'03_Helper'!S247)</f>
        <v/>
      </c>
      <c r="M247">
        <f>IF('03_Helper'!A247="","",'03_Helper'!T247)</f>
        <v/>
      </c>
      <c r="N247">
        <f>IF('03_Helper'!A247="","",'03_Helper'!AA247)</f>
        <v/>
      </c>
      <c r="O247">
        <f>IF('03_Helper'!A247="","",'03_Helper'!AB247)</f>
        <v/>
      </c>
      <c r="P247">
        <f>IF('03_Helper'!A247="","",'03_Helper'!AC247)</f>
        <v/>
      </c>
      <c r="Q247">
        <f>IF('03_Helper'!A247="","",'03_Helper'!AD247)</f>
        <v/>
      </c>
      <c r="R247">
        <f>IF('03_Helper'!A247="","",'03_Helper'!AI247)</f>
        <v/>
      </c>
      <c r="S247">
        <f>IF('03_Helper'!A247="","",'03_Helper'!AJ247)</f>
        <v/>
      </c>
      <c r="T247">
        <f>IF('03_Helper'!A247="","",'03_Helper'!U247)</f>
        <v/>
      </c>
      <c r="U247">
        <f>IF('03_Helper'!A247="","",'03_Helper'!W247)</f>
        <v/>
      </c>
      <c r="V247">
        <f>IF('03_Helper'!A247="","",'03_Helper'!AG247)</f>
        <v/>
      </c>
      <c r="W247">
        <f>IF('03_Helper'!A247="","",'03_Helper'!AK247)</f>
        <v/>
      </c>
      <c r="X247">
        <f>IF('03_Helper'!A247="","",'03_Helper'!K247)</f>
        <v/>
      </c>
      <c r="Y247">
        <f>IF('03_Helper'!A247="","",'03_Helper'!AN247)</f>
        <v/>
      </c>
    </row>
    <row r="248">
      <c r="A248">
        <f>IF('03_Helper'!A248="","",'03_Helper'!B248)</f>
        <v/>
      </c>
      <c r="B248">
        <f>IF('03_Helper'!A248="","",'03_Helper'!C248)</f>
        <v/>
      </c>
      <c r="C248">
        <f>IF('03_Helper'!A248="","",'03_Helper'!G248)</f>
        <v/>
      </c>
      <c r="D248">
        <f>IF('03_Helper'!A248="","",'03_Helper'!E248)</f>
        <v/>
      </c>
      <c r="E248">
        <f>IF('03_Helper'!A248="","",'03_Helper'!D248)</f>
        <v/>
      </c>
      <c r="F248">
        <f>IF('03_Helper'!A248="","",'03_Helper'!H248)</f>
        <v/>
      </c>
      <c r="G248">
        <f>IF('03_Helper'!A248="","",'03_Helper'!X248)</f>
        <v/>
      </c>
      <c r="H248">
        <f>IF('03_Helper'!A248="","",'03_Helper'!Y248)</f>
        <v/>
      </c>
      <c r="I248">
        <f>IF('03_Helper'!A248="","",'03_Helper'!Z248)</f>
        <v/>
      </c>
      <c r="J248">
        <f>IF('03_Helper'!A248="","",'03_Helper'!Q248)</f>
        <v/>
      </c>
      <c r="K248">
        <f>IF('03_Helper'!A248="","",'03_Helper'!R248)</f>
        <v/>
      </c>
      <c r="L248">
        <f>IF('03_Helper'!A248="","",'03_Helper'!S248)</f>
        <v/>
      </c>
      <c r="M248">
        <f>IF('03_Helper'!A248="","",'03_Helper'!T248)</f>
        <v/>
      </c>
      <c r="N248">
        <f>IF('03_Helper'!A248="","",'03_Helper'!AA248)</f>
        <v/>
      </c>
      <c r="O248">
        <f>IF('03_Helper'!A248="","",'03_Helper'!AB248)</f>
        <v/>
      </c>
      <c r="P248">
        <f>IF('03_Helper'!A248="","",'03_Helper'!AC248)</f>
        <v/>
      </c>
      <c r="Q248">
        <f>IF('03_Helper'!A248="","",'03_Helper'!AD248)</f>
        <v/>
      </c>
      <c r="R248">
        <f>IF('03_Helper'!A248="","",'03_Helper'!AI248)</f>
        <v/>
      </c>
      <c r="S248">
        <f>IF('03_Helper'!A248="","",'03_Helper'!AJ248)</f>
        <v/>
      </c>
      <c r="T248">
        <f>IF('03_Helper'!A248="","",'03_Helper'!U248)</f>
        <v/>
      </c>
      <c r="U248">
        <f>IF('03_Helper'!A248="","",'03_Helper'!W248)</f>
        <v/>
      </c>
      <c r="V248">
        <f>IF('03_Helper'!A248="","",'03_Helper'!AG248)</f>
        <v/>
      </c>
      <c r="W248">
        <f>IF('03_Helper'!A248="","",'03_Helper'!AK248)</f>
        <v/>
      </c>
      <c r="X248">
        <f>IF('03_Helper'!A248="","",'03_Helper'!K248)</f>
        <v/>
      </c>
      <c r="Y248">
        <f>IF('03_Helper'!A248="","",'03_Helper'!AN248)</f>
        <v/>
      </c>
    </row>
    <row r="249">
      <c r="A249">
        <f>IF('03_Helper'!A249="","",'03_Helper'!B249)</f>
        <v/>
      </c>
      <c r="B249">
        <f>IF('03_Helper'!A249="","",'03_Helper'!C249)</f>
        <v/>
      </c>
      <c r="C249">
        <f>IF('03_Helper'!A249="","",'03_Helper'!G249)</f>
        <v/>
      </c>
      <c r="D249">
        <f>IF('03_Helper'!A249="","",'03_Helper'!E249)</f>
        <v/>
      </c>
      <c r="E249">
        <f>IF('03_Helper'!A249="","",'03_Helper'!D249)</f>
        <v/>
      </c>
      <c r="F249">
        <f>IF('03_Helper'!A249="","",'03_Helper'!H249)</f>
        <v/>
      </c>
      <c r="G249">
        <f>IF('03_Helper'!A249="","",'03_Helper'!X249)</f>
        <v/>
      </c>
      <c r="H249">
        <f>IF('03_Helper'!A249="","",'03_Helper'!Y249)</f>
        <v/>
      </c>
      <c r="I249">
        <f>IF('03_Helper'!A249="","",'03_Helper'!Z249)</f>
        <v/>
      </c>
      <c r="J249">
        <f>IF('03_Helper'!A249="","",'03_Helper'!Q249)</f>
        <v/>
      </c>
      <c r="K249">
        <f>IF('03_Helper'!A249="","",'03_Helper'!R249)</f>
        <v/>
      </c>
      <c r="L249">
        <f>IF('03_Helper'!A249="","",'03_Helper'!S249)</f>
        <v/>
      </c>
      <c r="M249">
        <f>IF('03_Helper'!A249="","",'03_Helper'!T249)</f>
        <v/>
      </c>
      <c r="N249">
        <f>IF('03_Helper'!A249="","",'03_Helper'!AA249)</f>
        <v/>
      </c>
      <c r="O249">
        <f>IF('03_Helper'!A249="","",'03_Helper'!AB249)</f>
        <v/>
      </c>
      <c r="P249">
        <f>IF('03_Helper'!A249="","",'03_Helper'!AC249)</f>
        <v/>
      </c>
      <c r="Q249">
        <f>IF('03_Helper'!A249="","",'03_Helper'!AD249)</f>
        <v/>
      </c>
      <c r="R249">
        <f>IF('03_Helper'!A249="","",'03_Helper'!AI249)</f>
        <v/>
      </c>
      <c r="S249">
        <f>IF('03_Helper'!A249="","",'03_Helper'!AJ249)</f>
        <v/>
      </c>
      <c r="T249">
        <f>IF('03_Helper'!A249="","",'03_Helper'!U249)</f>
        <v/>
      </c>
      <c r="U249">
        <f>IF('03_Helper'!A249="","",'03_Helper'!W249)</f>
        <v/>
      </c>
      <c r="V249">
        <f>IF('03_Helper'!A249="","",'03_Helper'!AG249)</f>
        <v/>
      </c>
      <c r="W249">
        <f>IF('03_Helper'!A249="","",'03_Helper'!AK249)</f>
        <v/>
      </c>
      <c r="X249">
        <f>IF('03_Helper'!A249="","",'03_Helper'!K249)</f>
        <v/>
      </c>
      <c r="Y249">
        <f>IF('03_Helper'!A249="","",'03_Helper'!AN249)</f>
        <v/>
      </c>
    </row>
    <row r="250">
      <c r="A250">
        <f>IF('03_Helper'!A250="","",'03_Helper'!B250)</f>
        <v/>
      </c>
      <c r="B250">
        <f>IF('03_Helper'!A250="","",'03_Helper'!C250)</f>
        <v/>
      </c>
      <c r="C250">
        <f>IF('03_Helper'!A250="","",'03_Helper'!G250)</f>
        <v/>
      </c>
      <c r="D250">
        <f>IF('03_Helper'!A250="","",'03_Helper'!E250)</f>
        <v/>
      </c>
      <c r="E250">
        <f>IF('03_Helper'!A250="","",'03_Helper'!D250)</f>
        <v/>
      </c>
      <c r="F250">
        <f>IF('03_Helper'!A250="","",'03_Helper'!H250)</f>
        <v/>
      </c>
      <c r="G250">
        <f>IF('03_Helper'!A250="","",'03_Helper'!X250)</f>
        <v/>
      </c>
      <c r="H250">
        <f>IF('03_Helper'!A250="","",'03_Helper'!Y250)</f>
        <v/>
      </c>
      <c r="I250">
        <f>IF('03_Helper'!A250="","",'03_Helper'!Z250)</f>
        <v/>
      </c>
      <c r="J250">
        <f>IF('03_Helper'!A250="","",'03_Helper'!Q250)</f>
        <v/>
      </c>
      <c r="K250">
        <f>IF('03_Helper'!A250="","",'03_Helper'!R250)</f>
        <v/>
      </c>
      <c r="L250">
        <f>IF('03_Helper'!A250="","",'03_Helper'!S250)</f>
        <v/>
      </c>
      <c r="M250">
        <f>IF('03_Helper'!A250="","",'03_Helper'!T250)</f>
        <v/>
      </c>
      <c r="N250">
        <f>IF('03_Helper'!A250="","",'03_Helper'!AA250)</f>
        <v/>
      </c>
      <c r="O250">
        <f>IF('03_Helper'!A250="","",'03_Helper'!AB250)</f>
        <v/>
      </c>
      <c r="P250">
        <f>IF('03_Helper'!A250="","",'03_Helper'!AC250)</f>
        <v/>
      </c>
      <c r="Q250">
        <f>IF('03_Helper'!A250="","",'03_Helper'!AD250)</f>
        <v/>
      </c>
      <c r="R250">
        <f>IF('03_Helper'!A250="","",'03_Helper'!AI250)</f>
        <v/>
      </c>
      <c r="S250">
        <f>IF('03_Helper'!A250="","",'03_Helper'!AJ250)</f>
        <v/>
      </c>
      <c r="T250">
        <f>IF('03_Helper'!A250="","",'03_Helper'!U250)</f>
        <v/>
      </c>
      <c r="U250">
        <f>IF('03_Helper'!A250="","",'03_Helper'!W250)</f>
        <v/>
      </c>
      <c r="V250">
        <f>IF('03_Helper'!A250="","",'03_Helper'!AG250)</f>
        <v/>
      </c>
      <c r="W250">
        <f>IF('03_Helper'!A250="","",'03_Helper'!AK250)</f>
        <v/>
      </c>
      <c r="X250">
        <f>IF('03_Helper'!A250="","",'03_Helper'!K250)</f>
        <v/>
      </c>
      <c r="Y250">
        <f>IF('03_Helper'!A250="","",'03_Helper'!AN250)</f>
        <v/>
      </c>
    </row>
    <row r="251">
      <c r="A251">
        <f>IF('03_Helper'!A251="","",'03_Helper'!B251)</f>
        <v/>
      </c>
      <c r="B251">
        <f>IF('03_Helper'!A251="","",'03_Helper'!C251)</f>
        <v/>
      </c>
      <c r="C251">
        <f>IF('03_Helper'!A251="","",'03_Helper'!G251)</f>
        <v/>
      </c>
      <c r="D251">
        <f>IF('03_Helper'!A251="","",'03_Helper'!E251)</f>
        <v/>
      </c>
      <c r="E251">
        <f>IF('03_Helper'!A251="","",'03_Helper'!D251)</f>
        <v/>
      </c>
      <c r="F251">
        <f>IF('03_Helper'!A251="","",'03_Helper'!H251)</f>
        <v/>
      </c>
      <c r="G251">
        <f>IF('03_Helper'!A251="","",'03_Helper'!X251)</f>
        <v/>
      </c>
      <c r="H251">
        <f>IF('03_Helper'!A251="","",'03_Helper'!Y251)</f>
        <v/>
      </c>
      <c r="I251">
        <f>IF('03_Helper'!A251="","",'03_Helper'!Z251)</f>
        <v/>
      </c>
      <c r="J251">
        <f>IF('03_Helper'!A251="","",'03_Helper'!Q251)</f>
        <v/>
      </c>
      <c r="K251">
        <f>IF('03_Helper'!A251="","",'03_Helper'!R251)</f>
        <v/>
      </c>
      <c r="L251">
        <f>IF('03_Helper'!A251="","",'03_Helper'!S251)</f>
        <v/>
      </c>
      <c r="M251">
        <f>IF('03_Helper'!A251="","",'03_Helper'!T251)</f>
        <v/>
      </c>
      <c r="N251">
        <f>IF('03_Helper'!A251="","",'03_Helper'!AA251)</f>
        <v/>
      </c>
      <c r="O251">
        <f>IF('03_Helper'!A251="","",'03_Helper'!AB251)</f>
        <v/>
      </c>
      <c r="P251">
        <f>IF('03_Helper'!A251="","",'03_Helper'!AC251)</f>
        <v/>
      </c>
      <c r="Q251">
        <f>IF('03_Helper'!A251="","",'03_Helper'!AD251)</f>
        <v/>
      </c>
      <c r="R251">
        <f>IF('03_Helper'!A251="","",'03_Helper'!AI251)</f>
        <v/>
      </c>
      <c r="S251">
        <f>IF('03_Helper'!A251="","",'03_Helper'!AJ251)</f>
        <v/>
      </c>
      <c r="T251">
        <f>IF('03_Helper'!A251="","",'03_Helper'!U251)</f>
        <v/>
      </c>
      <c r="U251">
        <f>IF('03_Helper'!A251="","",'03_Helper'!W251)</f>
        <v/>
      </c>
      <c r="V251">
        <f>IF('03_Helper'!A251="","",'03_Helper'!AG251)</f>
        <v/>
      </c>
      <c r="W251">
        <f>IF('03_Helper'!A251="","",'03_Helper'!AK251)</f>
        <v/>
      </c>
      <c r="X251">
        <f>IF('03_Helper'!A251="","",'03_Helper'!K251)</f>
        <v/>
      </c>
      <c r="Y251">
        <f>IF('03_Helper'!A251="","",'03_Helper'!AN251)</f>
        <v/>
      </c>
    </row>
    <row r="252">
      <c r="A252">
        <f>IF('03_Helper'!A252="","",'03_Helper'!B252)</f>
        <v/>
      </c>
      <c r="B252">
        <f>IF('03_Helper'!A252="","",'03_Helper'!C252)</f>
        <v/>
      </c>
      <c r="C252">
        <f>IF('03_Helper'!A252="","",'03_Helper'!G252)</f>
        <v/>
      </c>
      <c r="D252">
        <f>IF('03_Helper'!A252="","",'03_Helper'!E252)</f>
        <v/>
      </c>
      <c r="E252">
        <f>IF('03_Helper'!A252="","",'03_Helper'!D252)</f>
        <v/>
      </c>
      <c r="F252">
        <f>IF('03_Helper'!A252="","",'03_Helper'!H252)</f>
        <v/>
      </c>
      <c r="G252">
        <f>IF('03_Helper'!A252="","",'03_Helper'!X252)</f>
        <v/>
      </c>
      <c r="H252">
        <f>IF('03_Helper'!A252="","",'03_Helper'!Y252)</f>
        <v/>
      </c>
      <c r="I252">
        <f>IF('03_Helper'!A252="","",'03_Helper'!Z252)</f>
        <v/>
      </c>
      <c r="J252">
        <f>IF('03_Helper'!A252="","",'03_Helper'!Q252)</f>
        <v/>
      </c>
      <c r="K252">
        <f>IF('03_Helper'!A252="","",'03_Helper'!R252)</f>
        <v/>
      </c>
      <c r="L252">
        <f>IF('03_Helper'!A252="","",'03_Helper'!S252)</f>
        <v/>
      </c>
      <c r="M252">
        <f>IF('03_Helper'!A252="","",'03_Helper'!T252)</f>
        <v/>
      </c>
      <c r="N252">
        <f>IF('03_Helper'!A252="","",'03_Helper'!AA252)</f>
        <v/>
      </c>
      <c r="O252">
        <f>IF('03_Helper'!A252="","",'03_Helper'!AB252)</f>
        <v/>
      </c>
      <c r="P252">
        <f>IF('03_Helper'!A252="","",'03_Helper'!AC252)</f>
        <v/>
      </c>
      <c r="Q252">
        <f>IF('03_Helper'!A252="","",'03_Helper'!AD252)</f>
        <v/>
      </c>
      <c r="R252">
        <f>IF('03_Helper'!A252="","",'03_Helper'!AI252)</f>
        <v/>
      </c>
      <c r="S252">
        <f>IF('03_Helper'!A252="","",'03_Helper'!AJ252)</f>
        <v/>
      </c>
      <c r="T252">
        <f>IF('03_Helper'!A252="","",'03_Helper'!U252)</f>
        <v/>
      </c>
      <c r="U252">
        <f>IF('03_Helper'!A252="","",'03_Helper'!W252)</f>
        <v/>
      </c>
      <c r="V252">
        <f>IF('03_Helper'!A252="","",'03_Helper'!AG252)</f>
        <v/>
      </c>
      <c r="W252">
        <f>IF('03_Helper'!A252="","",'03_Helper'!AK252)</f>
        <v/>
      </c>
      <c r="X252">
        <f>IF('03_Helper'!A252="","",'03_Helper'!K252)</f>
        <v/>
      </c>
      <c r="Y252">
        <f>IF('03_Helper'!A252="","",'03_Helper'!AN252)</f>
        <v/>
      </c>
    </row>
    <row r="253">
      <c r="A253">
        <f>IF('03_Helper'!A253="","",'03_Helper'!B253)</f>
        <v/>
      </c>
      <c r="B253">
        <f>IF('03_Helper'!A253="","",'03_Helper'!C253)</f>
        <v/>
      </c>
      <c r="C253">
        <f>IF('03_Helper'!A253="","",'03_Helper'!G253)</f>
        <v/>
      </c>
      <c r="D253">
        <f>IF('03_Helper'!A253="","",'03_Helper'!E253)</f>
        <v/>
      </c>
      <c r="E253">
        <f>IF('03_Helper'!A253="","",'03_Helper'!D253)</f>
        <v/>
      </c>
      <c r="F253">
        <f>IF('03_Helper'!A253="","",'03_Helper'!H253)</f>
        <v/>
      </c>
      <c r="G253">
        <f>IF('03_Helper'!A253="","",'03_Helper'!X253)</f>
        <v/>
      </c>
      <c r="H253">
        <f>IF('03_Helper'!A253="","",'03_Helper'!Y253)</f>
        <v/>
      </c>
      <c r="I253">
        <f>IF('03_Helper'!A253="","",'03_Helper'!Z253)</f>
        <v/>
      </c>
      <c r="J253">
        <f>IF('03_Helper'!A253="","",'03_Helper'!Q253)</f>
        <v/>
      </c>
      <c r="K253">
        <f>IF('03_Helper'!A253="","",'03_Helper'!R253)</f>
        <v/>
      </c>
      <c r="L253">
        <f>IF('03_Helper'!A253="","",'03_Helper'!S253)</f>
        <v/>
      </c>
      <c r="M253">
        <f>IF('03_Helper'!A253="","",'03_Helper'!T253)</f>
        <v/>
      </c>
      <c r="N253">
        <f>IF('03_Helper'!A253="","",'03_Helper'!AA253)</f>
        <v/>
      </c>
      <c r="O253">
        <f>IF('03_Helper'!A253="","",'03_Helper'!AB253)</f>
        <v/>
      </c>
      <c r="P253">
        <f>IF('03_Helper'!A253="","",'03_Helper'!AC253)</f>
        <v/>
      </c>
      <c r="Q253">
        <f>IF('03_Helper'!A253="","",'03_Helper'!AD253)</f>
        <v/>
      </c>
      <c r="R253">
        <f>IF('03_Helper'!A253="","",'03_Helper'!AI253)</f>
        <v/>
      </c>
      <c r="S253">
        <f>IF('03_Helper'!A253="","",'03_Helper'!AJ253)</f>
        <v/>
      </c>
      <c r="T253">
        <f>IF('03_Helper'!A253="","",'03_Helper'!U253)</f>
        <v/>
      </c>
      <c r="U253">
        <f>IF('03_Helper'!A253="","",'03_Helper'!W253)</f>
        <v/>
      </c>
      <c r="V253">
        <f>IF('03_Helper'!A253="","",'03_Helper'!AG253)</f>
        <v/>
      </c>
      <c r="W253">
        <f>IF('03_Helper'!A253="","",'03_Helper'!AK253)</f>
        <v/>
      </c>
      <c r="X253">
        <f>IF('03_Helper'!A253="","",'03_Helper'!K253)</f>
        <v/>
      </c>
      <c r="Y253">
        <f>IF('03_Helper'!A253="","",'03_Helper'!AN253)</f>
        <v/>
      </c>
    </row>
    <row r="254">
      <c r="A254">
        <f>IF('03_Helper'!A254="","",'03_Helper'!B254)</f>
        <v/>
      </c>
      <c r="B254">
        <f>IF('03_Helper'!A254="","",'03_Helper'!C254)</f>
        <v/>
      </c>
      <c r="C254">
        <f>IF('03_Helper'!A254="","",'03_Helper'!G254)</f>
        <v/>
      </c>
      <c r="D254">
        <f>IF('03_Helper'!A254="","",'03_Helper'!E254)</f>
        <v/>
      </c>
      <c r="E254">
        <f>IF('03_Helper'!A254="","",'03_Helper'!D254)</f>
        <v/>
      </c>
      <c r="F254">
        <f>IF('03_Helper'!A254="","",'03_Helper'!H254)</f>
        <v/>
      </c>
      <c r="G254">
        <f>IF('03_Helper'!A254="","",'03_Helper'!X254)</f>
        <v/>
      </c>
      <c r="H254">
        <f>IF('03_Helper'!A254="","",'03_Helper'!Y254)</f>
        <v/>
      </c>
      <c r="I254">
        <f>IF('03_Helper'!A254="","",'03_Helper'!Z254)</f>
        <v/>
      </c>
      <c r="J254">
        <f>IF('03_Helper'!A254="","",'03_Helper'!Q254)</f>
        <v/>
      </c>
      <c r="K254">
        <f>IF('03_Helper'!A254="","",'03_Helper'!R254)</f>
        <v/>
      </c>
      <c r="L254">
        <f>IF('03_Helper'!A254="","",'03_Helper'!S254)</f>
        <v/>
      </c>
      <c r="M254">
        <f>IF('03_Helper'!A254="","",'03_Helper'!T254)</f>
        <v/>
      </c>
      <c r="N254">
        <f>IF('03_Helper'!A254="","",'03_Helper'!AA254)</f>
        <v/>
      </c>
      <c r="O254">
        <f>IF('03_Helper'!A254="","",'03_Helper'!AB254)</f>
        <v/>
      </c>
      <c r="P254">
        <f>IF('03_Helper'!A254="","",'03_Helper'!AC254)</f>
        <v/>
      </c>
      <c r="Q254">
        <f>IF('03_Helper'!A254="","",'03_Helper'!AD254)</f>
        <v/>
      </c>
      <c r="R254">
        <f>IF('03_Helper'!A254="","",'03_Helper'!AI254)</f>
        <v/>
      </c>
      <c r="S254">
        <f>IF('03_Helper'!A254="","",'03_Helper'!AJ254)</f>
        <v/>
      </c>
      <c r="T254">
        <f>IF('03_Helper'!A254="","",'03_Helper'!U254)</f>
        <v/>
      </c>
      <c r="U254">
        <f>IF('03_Helper'!A254="","",'03_Helper'!W254)</f>
        <v/>
      </c>
      <c r="V254">
        <f>IF('03_Helper'!A254="","",'03_Helper'!AG254)</f>
        <v/>
      </c>
      <c r="W254">
        <f>IF('03_Helper'!A254="","",'03_Helper'!AK254)</f>
        <v/>
      </c>
      <c r="X254">
        <f>IF('03_Helper'!A254="","",'03_Helper'!K254)</f>
        <v/>
      </c>
      <c r="Y254">
        <f>IF('03_Helper'!A254="","",'03_Helper'!AN254)</f>
        <v/>
      </c>
    </row>
    <row r="255">
      <c r="A255">
        <f>IF('03_Helper'!A255="","",'03_Helper'!B255)</f>
        <v/>
      </c>
      <c r="B255">
        <f>IF('03_Helper'!A255="","",'03_Helper'!C255)</f>
        <v/>
      </c>
      <c r="C255">
        <f>IF('03_Helper'!A255="","",'03_Helper'!G255)</f>
        <v/>
      </c>
      <c r="D255">
        <f>IF('03_Helper'!A255="","",'03_Helper'!E255)</f>
        <v/>
      </c>
      <c r="E255">
        <f>IF('03_Helper'!A255="","",'03_Helper'!D255)</f>
        <v/>
      </c>
      <c r="F255">
        <f>IF('03_Helper'!A255="","",'03_Helper'!H255)</f>
        <v/>
      </c>
      <c r="G255">
        <f>IF('03_Helper'!A255="","",'03_Helper'!X255)</f>
        <v/>
      </c>
      <c r="H255">
        <f>IF('03_Helper'!A255="","",'03_Helper'!Y255)</f>
        <v/>
      </c>
      <c r="I255">
        <f>IF('03_Helper'!A255="","",'03_Helper'!Z255)</f>
        <v/>
      </c>
      <c r="J255">
        <f>IF('03_Helper'!A255="","",'03_Helper'!Q255)</f>
        <v/>
      </c>
      <c r="K255">
        <f>IF('03_Helper'!A255="","",'03_Helper'!R255)</f>
        <v/>
      </c>
      <c r="L255">
        <f>IF('03_Helper'!A255="","",'03_Helper'!S255)</f>
        <v/>
      </c>
      <c r="M255">
        <f>IF('03_Helper'!A255="","",'03_Helper'!T255)</f>
        <v/>
      </c>
      <c r="N255">
        <f>IF('03_Helper'!A255="","",'03_Helper'!AA255)</f>
        <v/>
      </c>
      <c r="O255">
        <f>IF('03_Helper'!A255="","",'03_Helper'!AB255)</f>
        <v/>
      </c>
      <c r="P255">
        <f>IF('03_Helper'!A255="","",'03_Helper'!AC255)</f>
        <v/>
      </c>
      <c r="Q255">
        <f>IF('03_Helper'!A255="","",'03_Helper'!AD255)</f>
        <v/>
      </c>
      <c r="R255">
        <f>IF('03_Helper'!A255="","",'03_Helper'!AI255)</f>
        <v/>
      </c>
      <c r="S255">
        <f>IF('03_Helper'!A255="","",'03_Helper'!AJ255)</f>
        <v/>
      </c>
      <c r="T255">
        <f>IF('03_Helper'!A255="","",'03_Helper'!U255)</f>
        <v/>
      </c>
      <c r="U255">
        <f>IF('03_Helper'!A255="","",'03_Helper'!W255)</f>
        <v/>
      </c>
      <c r="V255">
        <f>IF('03_Helper'!A255="","",'03_Helper'!AG255)</f>
        <v/>
      </c>
      <c r="W255">
        <f>IF('03_Helper'!A255="","",'03_Helper'!AK255)</f>
        <v/>
      </c>
      <c r="X255">
        <f>IF('03_Helper'!A255="","",'03_Helper'!K255)</f>
        <v/>
      </c>
      <c r="Y255">
        <f>IF('03_Helper'!A255="","",'03_Helper'!AN255)</f>
        <v/>
      </c>
    </row>
    <row r="256">
      <c r="A256">
        <f>IF('03_Helper'!A256="","",'03_Helper'!B256)</f>
        <v/>
      </c>
      <c r="B256">
        <f>IF('03_Helper'!A256="","",'03_Helper'!C256)</f>
        <v/>
      </c>
      <c r="C256">
        <f>IF('03_Helper'!A256="","",'03_Helper'!G256)</f>
        <v/>
      </c>
      <c r="D256">
        <f>IF('03_Helper'!A256="","",'03_Helper'!E256)</f>
        <v/>
      </c>
      <c r="E256">
        <f>IF('03_Helper'!A256="","",'03_Helper'!D256)</f>
        <v/>
      </c>
      <c r="F256">
        <f>IF('03_Helper'!A256="","",'03_Helper'!H256)</f>
        <v/>
      </c>
      <c r="G256">
        <f>IF('03_Helper'!A256="","",'03_Helper'!X256)</f>
        <v/>
      </c>
      <c r="H256">
        <f>IF('03_Helper'!A256="","",'03_Helper'!Y256)</f>
        <v/>
      </c>
      <c r="I256">
        <f>IF('03_Helper'!A256="","",'03_Helper'!Z256)</f>
        <v/>
      </c>
      <c r="J256">
        <f>IF('03_Helper'!A256="","",'03_Helper'!Q256)</f>
        <v/>
      </c>
      <c r="K256">
        <f>IF('03_Helper'!A256="","",'03_Helper'!R256)</f>
        <v/>
      </c>
      <c r="L256">
        <f>IF('03_Helper'!A256="","",'03_Helper'!S256)</f>
        <v/>
      </c>
      <c r="M256">
        <f>IF('03_Helper'!A256="","",'03_Helper'!T256)</f>
        <v/>
      </c>
      <c r="N256">
        <f>IF('03_Helper'!A256="","",'03_Helper'!AA256)</f>
        <v/>
      </c>
      <c r="O256">
        <f>IF('03_Helper'!A256="","",'03_Helper'!AB256)</f>
        <v/>
      </c>
      <c r="P256">
        <f>IF('03_Helper'!A256="","",'03_Helper'!AC256)</f>
        <v/>
      </c>
      <c r="Q256">
        <f>IF('03_Helper'!A256="","",'03_Helper'!AD256)</f>
        <v/>
      </c>
      <c r="R256">
        <f>IF('03_Helper'!A256="","",'03_Helper'!AI256)</f>
        <v/>
      </c>
      <c r="S256">
        <f>IF('03_Helper'!A256="","",'03_Helper'!AJ256)</f>
        <v/>
      </c>
      <c r="T256">
        <f>IF('03_Helper'!A256="","",'03_Helper'!U256)</f>
        <v/>
      </c>
      <c r="U256">
        <f>IF('03_Helper'!A256="","",'03_Helper'!W256)</f>
        <v/>
      </c>
      <c r="V256">
        <f>IF('03_Helper'!A256="","",'03_Helper'!AG256)</f>
        <v/>
      </c>
      <c r="W256">
        <f>IF('03_Helper'!A256="","",'03_Helper'!AK256)</f>
        <v/>
      </c>
      <c r="X256">
        <f>IF('03_Helper'!A256="","",'03_Helper'!K256)</f>
        <v/>
      </c>
      <c r="Y256">
        <f>IF('03_Helper'!A256="","",'03_Helper'!AN256)</f>
        <v/>
      </c>
    </row>
    <row r="257">
      <c r="A257">
        <f>IF('03_Helper'!A257="","",'03_Helper'!B257)</f>
        <v/>
      </c>
      <c r="B257">
        <f>IF('03_Helper'!A257="","",'03_Helper'!C257)</f>
        <v/>
      </c>
      <c r="C257">
        <f>IF('03_Helper'!A257="","",'03_Helper'!G257)</f>
        <v/>
      </c>
      <c r="D257">
        <f>IF('03_Helper'!A257="","",'03_Helper'!E257)</f>
        <v/>
      </c>
      <c r="E257">
        <f>IF('03_Helper'!A257="","",'03_Helper'!D257)</f>
        <v/>
      </c>
      <c r="F257">
        <f>IF('03_Helper'!A257="","",'03_Helper'!H257)</f>
        <v/>
      </c>
      <c r="G257">
        <f>IF('03_Helper'!A257="","",'03_Helper'!X257)</f>
        <v/>
      </c>
      <c r="H257">
        <f>IF('03_Helper'!A257="","",'03_Helper'!Y257)</f>
        <v/>
      </c>
      <c r="I257">
        <f>IF('03_Helper'!A257="","",'03_Helper'!Z257)</f>
        <v/>
      </c>
      <c r="J257">
        <f>IF('03_Helper'!A257="","",'03_Helper'!Q257)</f>
        <v/>
      </c>
      <c r="K257">
        <f>IF('03_Helper'!A257="","",'03_Helper'!R257)</f>
        <v/>
      </c>
      <c r="L257">
        <f>IF('03_Helper'!A257="","",'03_Helper'!S257)</f>
        <v/>
      </c>
      <c r="M257">
        <f>IF('03_Helper'!A257="","",'03_Helper'!T257)</f>
        <v/>
      </c>
      <c r="N257">
        <f>IF('03_Helper'!A257="","",'03_Helper'!AA257)</f>
        <v/>
      </c>
      <c r="O257">
        <f>IF('03_Helper'!A257="","",'03_Helper'!AB257)</f>
        <v/>
      </c>
      <c r="P257">
        <f>IF('03_Helper'!A257="","",'03_Helper'!AC257)</f>
        <v/>
      </c>
      <c r="Q257">
        <f>IF('03_Helper'!A257="","",'03_Helper'!AD257)</f>
        <v/>
      </c>
      <c r="R257">
        <f>IF('03_Helper'!A257="","",'03_Helper'!AI257)</f>
        <v/>
      </c>
      <c r="S257">
        <f>IF('03_Helper'!A257="","",'03_Helper'!AJ257)</f>
        <v/>
      </c>
      <c r="T257">
        <f>IF('03_Helper'!A257="","",'03_Helper'!U257)</f>
        <v/>
      </c>
      <c r="U257">
        <f>IF('03_Helper'!A257="","",'03_Helper'!W257)</f>
        <v/>
      </c>
      <c r="V257">
        <f>IF('03_Helper'!A257="","",'03_Helper'!AG257)</f>
        <v/>
      </c>
      <c r="W257">
        <f>IF('03_Helper'!A257="","",'03_Helper'!AK257)</f>
        <v/>
      </c>
      <c r="X257">
        <f>IF('03_Helper'!A257="","",'03_Helper'!K257)</f>
        <v/>
      </c>
      <c r="Y257">
        <f>IF('03_Helper'!A257="","",'03_Helper'!AN257)</f>
        <v/>
      </c>
    </row>
    <row r="258">
      <c r="A258">
        <f>IF('03_Helper'!A258="","",'03_Helper'!B258)</f>
        <v/>
      </c>
      <c r="B258">
        <f>IF('03_Helper'!A258="","",'03_Helper'!C258)</f>
        <v/>
      </c>
      <c r="C258">
        <f>IF('03_Helper'!A258="","",'03_Helper'!G258)</f>
        <v/>
      </c>
      <c r="D258">
        <f>IF('03_Helper'!A258="","",'03_Helper'!E258)</f>
        <v/>
      </c>
      <c r="E258">
        <f>IF('03_Helper'!A258="","",'03_Helper'!D258)</f>
        <v/>
      </c>
      <c r="F258">
        <f>IF('03_Helper'!A258="","",'03_Helper'!H258)</f>
        <v/>
      </c>
      <c r="G258">
        <f>IF('03_Helper'!A258="","",'03_Helper'!X258)</f>
        <v/>
      </c>
      <c r="H258">
        <f>IF('03_Helper'!A258="","",'03_Helper'!Y258)</f>
        <v/>
      </c>
      <c r="I258">
        <f>IF('03_Helper'!A258="","",'03_Helper'!Z258)</f>
        <v/>
      </c>
      <c r="J258">
        <f>IF('03_Helper'!A258="","",'03_Helper'!Q258)</f>
        <v/>
      </c>
      <c r="K258">
        <f>IF('03_Helper'!A258="","",'03_Helper'!R258)</f>
        <v/>
      </c>
      <c r="L258">
        <f>IF('03_Helper'!A258="","",'03_Helper'!S258)</f>
        <v/>
      </c>
      <c r="M258">
        <f>IF('03_Helper'!A258="","",'03_Helper'!T258)</f>
        <v/>
      </c>
      <c r="N258">
        <f>IF('03_Helper'!A258="","",'03_Helper'!AA258)</f>
        <v/>
      </c>
      <c r="O258">
        <f>IF('03_Helper'!A258="","",'03_Helper'!AB258)</f>
        <v/>
      </c>
      <c r="P258">
        <f>IF('03_Helper'!A258="","",'03_Helper'!AC258)</f>
        <v/>
      </c>
      <c r="Q258">
        <f>IF('03_Helper'!A258="","",'03_Helper'!AD258)</f>
        <v/>
      </c>
      <c r="R258">
        <f>IF('03_Helper'!A258="","",'03_Helper'!AI258)</f>
        <v/>
      </c>
      <c r="S258">
        <f>IF('03_Helper'!A258="","",'03_Helper'!AJ258)</f>
        <v/>
      </c>
      <c r="T258">
        <f>IF('03_Helper'!A258="","",'03_Helper'!U258)</f>
        <v/>
      </c>
      <c r="U258">
        <f>IF('03_Helper'!A258="","",'03_Helper'!W258)</f>
        <v/>
      </c>
      <c r="V258">
        <f>IF('03_Helper'!A258="","",'03_Helper'!AG258)</f>
        <v/>
      </c>
      <c r="W258">
        <f>IF('03_Helper'!A258="","",'03_Helper'!AK258)</f>
        <v/>
      </c>
      <c r="X258">
        <f>IF('03_Helper'!A258="","",'03_Helper'!K258)</f>
        <v/>
      </c>
      <c r="Y258">
        <f>IF('03_Helper'!A258="","",'03_Helper'!AN258)</f>
        <v/>
      </c>
    </row>
    <row r="259">
      <c r="A259">
        <f>IF('03_Helper'!A259="","",'03_Helper'!B259)</f>
        <v/>
      </c>
      <c r="B259">
        <f>IF('03_Helper'!A259="","",'03_Helper'!C259)</f>
        <v/>
      </c>
      <c r="C259">
        <f>IF('03_Helper'!A259="","",'03_Helper'!G259)</f>
        <v/>
      </c>
      <c r="D259">
        <f>IF('03_Helper'!A259="","",'03_Helper'!E259)</f>
        <v/>
      </c>
      <c r="E259">
        <f>IF('03_Helper'!A259="","",'03_Helper'!D259)</f>
        <v/>
      </c>
      <c r="F259">
        <f>IF('03_Helper'!A259="","",'03_Helper'!H259)</f>
        <v/>
      </c>
      <c r="G259">
        <f>IF('03_Helper'!A259="","",'03_Helper'!X259)</f>
        <v/>
      </c>
      <c r="H259">
        <f>IF('03_Helper'!A259="","",'03_Helper'!Y259)</f>
        <v/>
      </c>
      <c r="I259">
        <f>IF('03_Helper'!A259="","",'03_Helper'!Z259)</f>
        <v/>
      </c>
      <c r="J259">
        <f>IF('03_Helper'!A259="","",'03_Helper'!Q259)</f>
        <v/>
      </c>
      <c r="K259">
        <f>IF('03_Helper'!A259="","",'03_Helper'!R259)</f>
        <v/>
      </c>
      <c r="L259">
        <f>IF('03_Helper'!A259="","",'03_Helper'!S259)</f>
        <v/>
      </c>
      <c r="M259">
        <f>IF('03_Helper'!A259="","",'03_Helper'!T259)</f>
        <v/>
      </c>
      <c r="N259">
        <f>IF('03_Helper'!A259="","",'03_Helper'!AA259)</f>
        <v/>
      </c>
      <c r="O259">
        <f>IF('03_Helper'!A259="","",'03_Helper'!AB259)</f>
        <v/>
      </c>
      <c r="P259">
        <f>IF('03_Helper'!A259="","",'03_Helper'!AC259)</f>
        <v/>
      </c>
      <c r="Q259">
        <f>IF('03_Helper'!A259="","",'03_Helper'!AD259)</f>
        <v/>
      </c>
      <c r="R259">
        <f>IF('03_Helper'!A259="","",'03_Helper'!AI259)</f>
        <v/>
      </c>
      <c r="S259">
        <f>IF('03_Helper'!A259="","",'03_Helper'!AJ259)</f>
        <v/>
      </c>
      <c r="T259">
        <f>IF('03_Helper'!A259="","",'03_Helper'!U259)</f>
        <v/>
      </c>
      <c r="U259">
        <f>IF('03_Helper'!A259="","",'03_Helper'!W259)</f>
        <v/>
      </c>
      <c r="V259">
        <f>IF('03_Helper'!A259="","",'03_Helper'!AG259)</f>
        <v/>
      </c>
      <c r="W259">
        <f>IF('03_Helper'!A259="","",'03_Helper'!AK259)</f>
        <v/>
      </c>
      <c r="X259">
        <f>IF('03_Helper'!A259="","",'03_Helper'!K259)</f>
        <v/>
      </c>
      <c r="Y259">
        <f>IF('03_Helper'!A259="","",'03_Helper'!AN259)</f>
        <v/>
      </c>
    </row>
    <row r="260">
      <c r="A260">
        <f>IF('03_Helper'!A260="","",'03_Helper'!B260)</f>
        <v/>
      </c>
      <c r="B260">
        <f>IF('03_Helper'!A260="","",'03_Helper'!C260)</f>
        <v/>
      </c>
      <c r="C260">
        <f>IF('03_Helper'!A260="","",'03_Helper'!G260)</f>
        <v/>
      </c>
      <c r="D260">
        <f>IF('03_Helper'!A260="","",'03_Helper'!E260)</f>
        <v/>
      </c>
      <c r="E260">
        <f>IF('03_Helper'!A260="","",'03_Helper'!D260)</f>
        <v/>
      </c>
      <c r="F260">
        <f>IF('03_Helper'!A260="","",'03_Helper'!H260)</f>
        <v/>
      </c>
      <c r="G260">
        <f>IF('03_Helper'!A260="","",'03_Helper'!X260)</f>
        <v/>
      </c>
      <c r="H260">
        <f>IF('03_Helper'!A260="","",'03_Helper'!Y260)</f>
        <v/>
      </c>
      <c r="I260">
        <f>IF('03_Helper'!A260="","",'03_Helper'!Z260)</f>
        <v/>
      </c>
      <c r="J260">
        <f>IF('03_Helper'!A260="","",'03_Helper'!Q260)</f>
        <v/>
      </c>
      <c r="K260">
        <f>IF('03_Helper'!A260="","",'03_Helper'!R260)</f>
        <v/>
      </c>
      <c r="L260">
        <f>IF('03_Helper'!A260="","",'03_Helper'!S260)</f>
        <v/>
      </c>
      <c r="M260">
        <f>IF('03_Helper'!A260="","",'03_Helper'!T260)</f>
        <v/>
      </c>
      <c r="N260">
        <f>IF('03_Helper'!A260="","",'03_Helper'!AA260)</f>
        <v/>
      </c>
      <c r="O260">
        <f>IF('03_Helper'!A260="","",'03_Helper'!AB260)</f>
        <v/>
      </c>
      <c r="P260">
        <f>IF('03_Helper'!A260="","",'03_Helper'!AC260)</f>
        <v/>
      </c>
      <c r="Q260">
        <f>IF('03_Helper'!A260="","",'03_Helper'!AD260)</f>
        <v/>
      </c>
      <c r="R260">
        <f>IF('03_Helper'!A260="","",'03_Helper'!AI260)</f>
        <v/>
      </c>
      <c r="S260">
        <f>IF('03_Helper'!A260="","",'03_Helper'!AJ260)</f>
        <v/>
      </c>
      <c r="T260">
        <f>IF('03_Helper'!A260="","",'03_Helper'!U260)</f>
        <v/>
      </c>
      <c r="U260">
        <f>IF('03_Helper'!A260="","",'03_Helper'!W260)</f>
        <v/>
      </c>
      <c r="V260">
        <f>IF('03_Helper'!A260="","",'03_Helper'!AG260)</f>
        <v/>
      </c>
      <c r="W260">
        <f>IF('03_Helper'!A260="","",'03_Helper'!AK260)</f>
        <v/>
      </c>
      <c r="X260">
        <f>IF('03_Helper'!A260="","",'03_Helper'!K260)</f>
        <v/>
      </c>
      <c r="Y260">
        <f>IF('03_Helper'!A260="","",'03_Helper'!AN260)</f>
        <v/>
      </c>
    </row>
    <row r="261">
      <c r="A261">
        <f>IF('03_Helper'!A261="","",'03_Helper'!B261)</f>
        <v/>
      </c>
      <c r="B261">
        <f>IF('03_Helper'!A261="","",'03_Helper'!C261)</f>
        <v/>
      </c>
      <c r="C261">
        <f>IF('03_Helper'!A261="","",'03_Helper'!G261)</f>
        <v/>
      </c>
      <c r="D261">
        <f>IF('03_Helper'!A261="","",'03_Helper'!E261)</f>
        <v/>
      </c>
      <c r="E261">
        <f>IF('03_Helper'!A261="","",'03_Helper'!D261)</f>
        <v/>
      </c>
      <c r="F261">
        <f>IF('03_Helper'!A261="","",'03_Helper'!H261)</f>
        <v/>
      </c>
      <c r="G261">
        <f>IF('03_Helper'!A261="","",'03_Helper'!X261)</f>
        <v/>
      </c>
      <c r="H261">
        <f>IF('03_Helper'!A261="","",'03_Helper'!Y261)</f>
        <v/>
      </c>
      <c r="I261">
        <f>IF('03_Helper'!A261="","",'03_Helper'!Z261)</f>
        <v/>
      </c>
      <c r="J261">
        <f>IF('03_Helper'!A261="","",'03_Helper'!Q261)</f>
        <v/>
      </c>
      <c r="K261">
        <f>IF('03_Helper'!A261="","",'03_Helper'!R261)</f>
        <v/>
      </c>
      <c r="L261">
        <f>IF('03_Helper'!A261="","",'03_Helper'!S261)</f>
        <v/>
      </c>
      <c r="M261">
        <f>IF('03_Helper'!A261="","",'03_Helper'!T261)</f>
        <v/>
      </c>
      <c r="N261">
        <f>IF('03_Helper'!A261="","",'03_Helper'!AA261)</f>
        <v/>
      </c>
      <c r="O261">
        <f>IF('03_Helper'!A261="","",'03_Helper'!AB261)</f>
        <v/>
      </c>
      <c r="P261">
        <f>IF('03_Helper'!A261="","",'03_Helper'!AC261)</f>
        <v/>
      </c>
      <c r="Q261">
        <f>IF('03_Helper'!A261="","",'03_Helper'!AD261)</f>
        <v/>
      </c>
      <c r="R261">
        <f>IF('03_Helper'!A261="","",'03_Helper'!AI261)</f>
        <v/>
      </c>
      <c r="S261">
        <f>IF('03_Helper'!A261="","",'03_Helper'!AJ261)</f>
        <v/>
      </c>
      <c r="T261">
        <f>IF('03_Helper'!A261="","",'03_Helper'!U261)</f>
        <v/>
      </c>
      <c r="U261">
        <f>IF('03_Helper'!A261="","",'03_Helper'!W261)</f>
        <v/>
      </c>
      <c r="V261">
        <f>IF('03_Helper'!A261="","",'03_Helper'!AG261)</f>
        <v/>
      </c>
      <c r="W261">
        <f>IF('03_Helper'!A261="","",'03_Helper'!AK261)</f>
        <v/>
      </c>
      <c r="X261">
        <f>IF('03_Helper'!A261="","",'03_Helper'!K261)</f>
        <v/>
      </c>
      <c r="Y261">
        <f>IF('03_Helper'!A261="","",'03_Helper'!AN261)</f>
        <v/>
      </c>
    </row>
    <row r="262">
      <c r="A262">
        <f>IF('03_Helper'!A262="","",'03_Helper'!B262)</f>
        <v/>
      </c>
      <c r="B262">
        <f>IF('03_Helper'!A262="","",'03_Helper'!C262)</f>
        <v/>
      </c>
      <c r="C262">
        <f>IF('03_Helper'!A262="","",'03_Helper'!G262)</f>
        <v/>
      </c>
      <c r="D262">
        <f>IF('03_Helper'!A262="","",'03_Helper'!E262)</f>
        <v/>
      </c>
      <c r="E262">
        <f>IF('03_Helper'!A262="","",'03_Helper'!D262)</f>
        <v/>
      </c>
      <c r="F262">
        <f>IF('03_Helper'!A262="","",'03_Helper'!H262)</f>
        <v/>
      </c>
      <c r="G262">
        <f>IF('03_Helper'!A262="","",'03_Helper'!X262)</f>
        <v/>
      </c>
      <c r="H262">
        <f>IF('03_Helper'!A262="","",'03_Helper'!Y262)</f>
        <v/>
      </c>
      <c r="I262">
        <f>IF('03_Helper'!A262="","",'03_Helper'!Z262)</f>
        <v/>
      </c>
      <c r="J262">
        <f>IF('03_Helper'!A262="","",'03_Helper'!Q262)</f>
        <v/>
      </c>
      <c r="K262">
        <f>IF('03_Helper'!A262="","",'03_Helper'!R262)</f>
        <v/>
      </c>
      <c r="L262">
        <f>IF('03_Helper'!A262="","",'03_Helper'!S262)</f>
        <v/>
      </c>
      <c r="M262">
        <f>IF('03_Helper'!A262="","",'03_Helper'!T262)</f>
        <v/>
      </c>
      <c r="N262">
        <f>IF('03_Helper'!A262="","",'03_Helper'!AA262)</f>
        <v/>
      </c>
      <c r="O262">
        <f>IF('03_Helper'!A262="","",'03_Helper'!AB262)</f>
        <v/>
      </c>
      <c r="P262">
        <f>IF('03_Helper'!A262="","",'03_Helper'!AC262)</f>
        <v/>
      </c>
      <c r="Q262">
        <f>IF('03_Helper'!A262="","",'03_Helper'!AD262)</f>
        <v/>
      </c>
      <c r="R262">
        <f>IF('03_Helper'!A262="","",'03_Helper'!AI262)</f>
        <v/>
      </c>
      <c r="S262">
        <f>IF('03_Helper'!A262="","",'03_Helper'!AJ262)</f>
        <v/>
      </c>
      <c r="T262">
        <f>IF('03_Helper'!A262="","",'03_Helper'!U262)</f>
        <v/>
      </c>
      <c r="U262">
        <f>IF('03_Helper'!A262="","",'03_Helper'!W262)</f>
        <v/>
      </c>
      <c r="V262">
        <f>IF('03_Helper'!A262="","",'03_Helper'!AG262)</f>
        <v/>
      </c>
      <c r="W262">
        <f>IF('03_Helper'!A262="","",'03_Helper'!AK262)</f>
        <v/>
      </c>
      <c r="X262">
        <f>IF('03_Helper'!A262="","",'03_Helper'!K262)</f>
        <v/>
      </c>
      <c r="Y262">
        <f>IF('03_Helper'!A262="","",'03_Helper'!AN262)</f>
        <v/>
      </c>
    </row>
    <row r="263">
      <c r="A263">
        <f>IF('03_Helper'!A263="","",'03_Helper'!B263)</f>
        <v/>
      </c>
      <c r="B263">
        <f>IF('03_Helper'!A263="","",'03_Helper'!C263)</f>
        <v/>
      </c>
      <c r="C263">
        <f>IF('03_Helper'!A263="","",'03_Helper'!G263)</f>
        <v/>
      </c>
      <c r="D263">
        <f>IF('03_Helper'!A263="","",'03_Helper'!E263)</f>
        <v/>
      </c>
      <c r="E263">
        <f>IF('03_Helper'!A263="","",'03_Helper'!D263)</f>
        <v/>
      </c>
      <c r="F263">
        <f>IF('03_Helper'!A263="","",'03_Helper'!H263)</f>
        <v/>
      </c>
      <c r="G263">
        <f>IF('03_Helper'!A263="","",'03_Helper'!X263)</f>
        <v/>
      </c>
      <c r="H263">
        <f>IF('03_Helper'!A263="","",'03_Helper'!Y263)</f>
        <v/>
      </c>
      <c r="I263">
        <f>IF('03_Helper'!A263="","",'03_Helper'!Z263)</f>
        <v/>
      </c>
      <c r="J263">
        <f>IF('03_Helper'!A263="","",'03_Helper'!Q263)</f>
        <v/>
      </c>
      <c r="K263">
        <f>IF('03_Helper'!A263="","",'03_Helper'!R263)</f>
        <v/>
      </c>
      <c r="L263">
        <f>IF('03_Helper'!A263="","",'03_Helper'!S263)</f>
        <v/>
      </c>
      <c r="M263">
        <f>IF('03_Helper'!A263="","",'03_Helper'!T263)</f>
        <v/>
      </c>
      <c r="N263">
        <f>IF('03_Helper'!A263="","",'03_Helper'!AA263)</f>
        <v/>
      </c>
      <c r="O263">
        <f>IF('03_Helper'!A263="","",'03_Helper'!AB263)</f>
        <v/>
      </c>
      <c r="P263">
        <f>IF('03_Helper'!A263="","",'03_Helper'!AC263)</f>
        <v/>
      </c>
      <c r="Q263">
        <f>IF('03_Helper'!A263="","",'03_Helper'!AD263)</f>
        <v/>
      </c>
      <c r="R263">
        <f>IF('03_Helper'!A263="","",'03_Helper'!AI263)</f>
        <v/>
      </c>
      <c r="S263">
        <f>IF('03_Helper'!A263="","",'03_Helper'!AJ263)</f>
        <v/>
      </c>
      <c r="T263">
        <f>IF('03_Helper'!A263="","",'03_Helper'!U263)</f>
        <v/>
      </c>
      <c r="U263">
        <f>IF('03_Helper'!A263="","",'03_Helper'!W263)</f>
        <v/>
      </c>
      <c r="V263">
        <f>IF('03_Helper'!A263="","",'03_Helper'!AG263)</f>
        <v/>
      </c>
      <c r="W263">
        <f>IF('03_Helper'!A263="","",'03_Helper'!AK263)</f>
        <v/>
      </c>
      <c r="X263">
        <f>IF('03_Helper'!A263="","",'03_Helper'!K263)</f>
        <v/>
      </c>
      <c r="Y263">
        <f>IF('03_Helper'!A263="","",'03_Helper'!AN263)</f>
        <v/>
      </c>
    </row>
    <row r="264">
      <c r="A264">
        <f>IF('03_Helper'!A264="","",'03_Helper'!B264)</f>
        <v/>
      </c>
      <c r="B264">
        <f>IF('03_Helper'!A264="","",'03_Helper'!C264)</f>
        <v/>
      </c>
      <c r="C264">
        <f>IF('03_Helper'!A264="","",'03_Helper'!G264)</f>
        <v/>
      </c>
      <c r="D264">
        <f>IF('03_Helper'!A264="","",'03_Helper'!E264)</f>
        <v/>
      </c>
      <c r="E264">
        <f>IF('03_Helper'!A264="","",'03_Helper'!D264)</f>
        <v/>
      </c>
      <c r="F264">
        <f>IF('03_Helper'!A264="","",'03_Helper'!H264)</f>
        <v/>
      </c>
      <c r="G264">
        <f>IF('03_Helper'!A264="","",'03_Helper'!X264)</f>
        <v/>
      </c>
      <c r="H264">
        <f>IF('03_Helper'!A264="","",'03_Helper'!Y264)</f>
        <v/>
      </c>
      <c r="I264">
        <f>IF('03_Helper'!A264="","",'03_Helper'!Z264)</f>
        <v/>
      </c>
      <c r="J264">
        <f>IF('03_Helper'!A264="","",'03_Helper'!Q264)</f>
        <v/>
      </c>
      <c r="K264">
        <f>IF('03_Helper'!A264="","",'03_Helper'!R264)</f>
        <v/>
      </c>
      <c r="L264">
        <f>IF('03_Helper'!A264="","",'03_Helper'!S264)</f>
        <v/>
      </c>
      <c r="M264">
        <f>IF('03_Helper'!A264="","",'03_Helper'!T264)</f>
        <v/>
      </c>
      <c r="N264">
        <f>IF('03_Helper'!A264="","",'03_Helper'!AA264)</f>
        <v/>
      </c>
      <c r="O264">
        <f>IF('03_Helper'!A264="","",'03_Helper'!AB264)</f>
        <v/>
      </c>
      <c r="P264">
        <f>IF('03_Helper'!A264="","",'03_Helper'!AC264)</f>
        <v/>
      </c>
      <c r="Q264">
        <f>IF('03_Helper'!A264="","",'03_Helper'!AD264)</f>
        <v/>
      </c>
      <c r="R264">
        <f>IF('03_Helper'!A264="","",'03_Helper'!AI264)</f>
        <v/>
      </c>
      <c r="S264">
        <f>IF('03_Helper'!A264="","",'03_Helper'!AJ264)</f>
        <v/>
      </c>
      <c r="T264">
        <f>IF('03_Helper'!A264="","",'03_Helper'!U264)</f>
        <v/>
      </c>
      <c r="U264">
        <f>IF('03_Helper'!A264="","",'03_Helper'!W264)</f>
        <v/>
      </c>
      <c r="V264">
        <f>IF('03_Helper'!A264="","",'03_Helper'!AG264)</f>
        <v/>
      </c>
      <c r="W264">
        <f>IF('03_Helper'!A264="","",'03_Helper'!AK264)</f>
        <v/>
      </c>
      <c r="X264">
        <f>IF('03_Helper'!A264="","",'03_Helper'!K264)</f>
        <v/>
      </c>
      <c r="Y264">
        <f>IF('03_Helper'!A264="","",'03_Helper'!AN264)</f>
        <v/>
      </c>
    </row>
    <row r="265">
      <c r="A265">
        <f>IF('03_Helper'!A265="","",'03_Helper'!B265)</f>
        <v/>
      </c>
      <c r="B265">
        <f>IF('03_Helper'!A265="","",'03_Helper'!C265)</f>
        <v/>
      </c>
      <c r="C265">
        <f>IF('03_Helper'!A265="","",'03_Helper'!G265)</f>
        <v/>
      </c>
      <c r="D265">
        <f>IF('03_Helper'!A265="","",'03_Helper'!E265)</f>
        <v/>
      </c>
      <c r="E265">
        <f>IF('03_Helper'!A265="","",'03_Helper'!D265)</f>
        <v/>
      </c>
      <c r="F265">
        <f>IF('03_Helper'!A265="","",'03_Helper'!H265)</f>
        <v/>
      </c>
      <c r="G265">
        <f>IF('03_Helper'!A265="","",'03_Helper'!X265)</f>
        <v/>
      </c>
      <c r="H265">
        <f>IF('03_Helper'!A265="","",'03_Helper'!Y265)</f>
        <v/>
      </c>
      <c r="I265">
        <f>IF('03_Helper'!A265="","",'03_Helper'!Z265)</f>
        <v/>
      </c>
      <c r="J265">
        <f>IF('03_Helper'!A265="","",'03_Helper'!Q265)</f>
        <v/>
      </c>
      <c r="K265">
        <f>IF('03_Helper'!A265="","",'03_Helper'!R265)</f>
        <v/>
      </c>
      <c r="L265">
        <f>IF('03_Helper'!A265="","",'03_Helper'!S265)</f>
        <v/>
      </c>
      <c r="M265">
        <f>IF('03_Helper'!A265="","",'03_Helper'!T265)</f>
        <v/>
      </c>
      <c r="N265">
        <f>IF('03_Helper'!A265="","",'03_Helper'!AA265)</f>
        <v/>
      </c>
      <c r="O265">
        <f>IF('03_Helper'!A265="","",'03_Helper'!AB265)</f>
        <v/>
      </c>
      <c r="P265">
        <f>IF('03_Helper'!A265="","",'03_Helper'!AC265)</f>
        <v/>
      </c>
      <c r="Q265">
        <f>IF('03_Helper'!A265="","",'03_Helper'!AD265)</f>
        <v/>
      </c>
      <c r="R265">
        <f>IF('03_Helper'!A265="","",'03_Helper'!AI265)</f>
        <v/>
      </c>
      <c r="S265">
        <f>IF('03_Helper'!A265="","",'03_Helper'!AJ265)</f>
        <v/>
      </c>
      <c r="T265">
        <f>IF('03_Helper'!A265="","",'03_Helper'!U265)</f>
        <v/>
      </c>
      <c r="U265">
        <f>IF('03_Helper'!A265="","",'03_Helper'!W265)</f>
        <v/>
      </c>
      <c r="V265">
        <f>IF('03_Helper'!A265="","",'03_Helper'!AG265)</f>
        <v/>
      </c>
      <c r="W265">
        <f>IF('03_Helper'!A265="","",'03_Helper'!AK265)</f>
        <v/>
      </c>
      <c r="X265">
        <f>IF('03_Helper'!A265="","",'03_Helper'!K265)</f>
        <v/>
      </c>
      <c r="Y265">
        <f>IF('03_Helper'!A265="","",'03_Helper'!AN265)</f>
        <v/>
      </c>
    </row>
    <row r="266">
      <c r="A266">
        <f>IF('03_Helper'!A266="","",'03_Helper'!B266)</f>
        <v/>
      </c>
      <c r="B266">
        <f>IF('03_Helper'!A266="","",'03_Helper'!C266)</f>
        <v/>
      </c>
      <c r="C266">
        <f>IF('03_Helper'!A266="","",'03_Helper'!G266)</f>
        <v/>
      </c>
      <c r="D266">
        <f>IF('03_Helper'!A266="","",'03_Helper'!E266)</f>
        <v/>
      </c>
      <c r="E266">
        <f>IF('03_Helper'!A266="","",'03_Helper'!D266)</f>
        <v/>
      </c>
      <c r="F266">
        <f>IF('03_Helper'!A266="","",'03_Helper'!H266)</f>
        <v/>
      </c>
      <c r="G266">
        <f>IF('03_Helper'!A266="","",'03_Helper'!X266)</f>
        <v/>
      </c>
      <c r="H266">
        <f>IF('03_Helper'!A266="","",'03_Helper'!Y266)</f>
        <v/>
      </c>
      <c r="I266">
        <f>IF('03_Helper'!A266="","",'03_Helper'!Z266)</f>
        <v/>
      </c>
      <c r="J266">
        <f>IF('03_Helper'!A266="","",'03_Helper'!Q266)</f>
        <v/>
      </c>
      <c r="K266">
        <f>IF('03_Helper'!A266="","",'03_Helper'!R266)</f>
        <v/>
      </c>
      <c r="L266">
        <f>IF('03_Helper'!A266="","",'03_Helper'!S266)</f>
        <v/>
      </c>
      <c r="M266">
        <f>IF('03_Helper'!A266="","",'03_Helper'!T266)</f>
        <v/>
      </c>
      <c r="N266">
        <f>IF('03_Helper'!A266="","",'03_Helper'!AA266)</f>
        <v/>
      </c>
      <c r="O266">
        <f>IF('03_Helper'!A266="","",'03_Helper'!AB266)</f>
        <v/>
      </c>
      <c r="P266">
        <f>IF('03_Helper'!A266="","",'03_Helper'!AC266)</f>
        <v/>
      </c>
      <c r="Q266">
        <f>IF('03_Helper'!A266="","",'03_Helper'!AD266)</f>
        <v/>
      </c>
      <c r="R266">
        <f>IF('03_Helper'!A266="","",'03_Helper'!AI266)</f>
        <v/>
      </c>
      <c r="S266">
        <f>IF('03_Helper'!A266="","",'03_Helper'!AJ266)</f>
        <v/>
      </c>
      <c r="T266">
        <f>IF('03_Helper'!A266="","",'03_Helper'!U266)</f>
        <v/>
      </c>
      <c r="U266">
        <f>IF('03_Helper'!A266="","",'03_Helper'!W266)</f>
        <v/>
      </c>
      <c r="V266">
        <f>IF('03_Helper'!A266="","",'03_Helper'!AG266)</f>
        <v/>
      </c>
      <c r="W266">
        <f>IF('03_Helper'!A266="","",'03_Helper'!AK266)</f>
        <v/>
      </c>
      <c r="X266">
        <f>IF('03_Helper'!A266="","",'03_Helper'!K266)</f>
        <v/>
      </c>
      <c r="Y266">
        <f>IF('03_Helper'!A266="","",'03_Helper'!AN266)</f>
        <v/>
      </c>
    </row>
    <row r="267">
      <c r="A267">
        <f>IF('03_Helper'!A267="","",'03_Helper'!B267)</f>
        <v/>
      </c>
      <c r="B267">
        <f>IF('03_Helper'!A267="","",'03_Helper'!C267)</f>
        <v/>
      </c>
      <c r="C267">
        <f>IF('03_Helper'!A267="","",'03_Helper'!G267)</f>
        <v/>
      </c>
      <c r="D267">
        <f>IF('03_Helper'!A267="","",'03_Helper'!E267)</f>
        <v/>
      </c>
      <c r="E267">
        <f>IF('03_Helper'!A267="","",'03_Helper'!D267)</f>
        <v/>
      </c>
      <c r="F267">
        <f>IF('03_Helper'!A267="","",'03_Helper'!H267)</f>
        <v/>
      </c>
      <c r="G267">
        <f>IF('03_Helper'!A267="","",'03_Helper'!X267)</f>
        <v/>
      </c>
      <c r="H267">
        <f>IF('03_Helper'!A267="","",'03_Helper'!Y267)</f>
        <v/>
      </c>
      <c r="I267">
        <f>IF('03_Helper'!A267="","",'03_Helper'!Z267)</f>
        <v/>
      </c>
      <c r="J267">
        <f>IF('03_Helper'!A267="","",'03_Helper'!Q267)</f>
        <v/>
      </c>
      <c r="K267">
        <f>IF('03_Helper'!A267="","",'03_Helper'!R267)</f>
        <v/>
      </c>
      <c r="L267">
        <f>IF('03_Helper'!A267="","",'03_Helper'!S267)</f>
        <v/>
      </c>
      <c r="M267">
        <f>IF('03_Helper'!A267="","",'03_Helper'!T267)</f>
        <v/>
      </c>
      <c r="N267">
        <f>IF('03_Helper'!A267="","",'03_Helper'!AA267)</f>
        <v/>
      </c>
      <c r="O267">
        <f>IF('03_Helper'!A267="","",'03_Helper'!AB267)</f>
        <v/>
      </c>
      <c r="P267">
        <f>IF('03_Helper'!A267="","",'03_Helper'!AC267)</f>
        <v/>
      </c>
      <c r="Q267">
        <f>IF('03_Helper'!A267="","",'03_Helper'!AD267)</f>
        <v/>
      </c>
      <c r="R267">
        <f>IF('03_Helper'!A267="","",'03_Helper'!AI267)</f>
        <v/>
      </c>
      <c r="S267">
        <f>IF('03_Helper'!A267="","",'03_Helper'!AJ267)</f>
        <v/>
      </c>
      <c r="T267">
        <f>IF('03_Helper'!A267="","",'03_Helper'!U267)</f>
        <v/>
      </c>
      <c r="U267">
        <f>IF('03_Helper'!A267="","",'03_Helper'!W267)</f>
        <v/>
      </c>
      <c r="V267">
        <f>IF('03_Helper'!A267="","",'03_Helper'!AG267)</f>
        <v/>
      </c>
      <c r="W267">
        <f>IF('03_Helper'!A267="","",'03_Helper'!AK267)</f>
        <v/>
      </c>
      <c r="X267">
        <f>IF('03_Helper'!A267="","",'03_Helper'!K267)</f>
        <v/>
      </c>
      <c r="Y267">
        <f>IF('03_Helper'!A267="","",'03_Helper'!AN267)</f>
        <v/>
      </c>
    </row>
    <row r="268">
      <c r="A268">
        <f>IF('03_Helper'!A268="","",'03_Helper'!B268)</f>
        <v/>
      </c>
      <c r="B268">
        <f>IF('03_Helper'!A268="","",'03_Helper'!C268)</f>
        <v/>
      </c>
      <c r="C268">
        <f>IF('03_Helper'!A268="","",'03_Helper'!G268)</f>
        <v/>
      </c>
      <c r="D268">
        <f>IF('03_Helper'!A268="","",'03_Helper'!E268)</f>
        <v/>
      </c>
      <c r="E268">
        <f>IF('03_Helper'!A268="","",'03_Helper'!D268)</f>
        <v/>
      </c>
      <c r="F268">
        <f>IF('03_Helper'!A268="","",'03_Helper'!H268)</f>
        <v/>
      </c>
      <c r="G268">
        <f>IF('03_Helper'!A268="","",'03_Helper'!X268)</f>
        <v/>
      </c>
      <c r="H268">
        <f>IF('03_Helper'!A268="","",'03_Helper'!Y268)</f>
        <v/>
      </c>
      <c r="I268">
        <f>IF('03_Helper'!A268="","",'03_Helper'!Z268)</f>
        <v/>
      </c>
      <c r="J268">
        <f>IF('03_Helper'!A268="","",'03_Helper'!Q268)</f>
        <v/>
      </c>
      <c r="K268">
        <f>IF('03_Helper'!A268="","",'03_Helper'!R268)</f>
        <v/>
      </c>
      <c r="L268">
        <f>IF('03_Helper'!A268="","",'03_Helper'!S268)</f>
        <v/>
      </c>
      <c r="M268">
        <f>IF('03_Helper'!A268="","",'03_Helper'!T268)</f>
        <v/>
      </c>
      <c r="N268">
        <f>IF('03_Helper'!A268="","",'03_Helper'!AA268)</f>
        <v/>
      </c>
      <c r="O268">
        <f>IF('03_Helper'!A268="","",'03_Helper'!AB268)</f>
        <v/>
      </c>
      <c r="P268">
        <f>IF('03_Helper'!A268="","",'03_Helper'!AC268)</f>
        <v/>
      </c>
      <c r="Q268">
        <f>IF('03_Helper'!A268="","",'03_Helper'!AD268)</f>
        <v/>
      </c>
      <c r="R268">
        <f>IF('03_Helper'!A268="","",'03_Helper'!AI268)</f>
        <v/>
      </c>
      <c r="S268">
        <f>IF('03_Helper'!A268="","",'03_Helper'!AJ268)</f>
        <v/>
      </c>
      <c r="T268">
        <f>IF('03_Helper'!A268="","",'03_Helper'!U268)</f>
        <v/>
      </c>
      <c r="U268">
        <f>IF('03_Helper'!A268="","",'03_Helper'!W268)</f>
        <v/>
      </c>
      <c r="V268">
        <f>IF('03_Helper'!A268="","",'03_Helper'!AG268)</f>
        <v/>
      </c>
      <c r="W268">
        <f>IF('03_Helper'!A268="","",'03_Helper'!AK268)</f>
        <v/>
      </c>
      <c r="X268">
        <f>IF('03_Helper'!A268="","",'03_Helper'!K268)</f>
        <v/>
      </c>
      <c r="Y268">
        <f>IF('03_Helper'!A268="","",'03_Helper'!AN268)</f>
        <v/>
      </c>
    </row>
    <row r="269">
      <c r="A269">
        <f>IF('03_Helper'!A269="","",'03_Helper'!B269)</f>
        <v/>
      </c>
      <c r="B269">
        <f>IF('03_Helper'!A269="","",'03_Helper'!C269)</f>
        <v/>
      </c>
      <c r="C269">
        <f>IF('03_Helper'!A269="","",'03_Helper'!G269)</f>
        <v/>
      </c>
      <c r="D269">
        <f>IF('03_Helper'!A269="","",'03_Helper'!E269)</f>
        <v/>
      </c>
      <c r="E269">
        <f>IF('03_Helper'!A269="","",'03_Helper'!D269)</f>
        <v/>
      </c>
      <c r="F269">
        <f>IF('03_Helper'!A269="","",'03_Helper'!H269)</f>
        <v/>
      </c>
      <c r="G269">
        <f>IF('03_Helper'!A269="","",'03_Helper'!X269)</f>
        <v/>
      </c>
      <c r="H269">
        <f>IF('03_Helper'!A269="","",'03_Helper'!Y269)</f>
        <v/>
      </c>
      <c r="I269">
        <f>IF('03_Helper'!A269="","",'03_Helper'!Z269)</f>
        <v/>
      </c>
      <c r="J269">
        <f>IF('03_Helper'!A269="","",'03_Helper'!Q269)</f>
        <v/>
      </c>
      <c r="K269">
        <f>IF('03_Helper'!A269="","",'03_Helper'!R269)</f>
        <v/>
      </c>
      <c r="L269">
        <f>IF('03_Helper'!A269="","",'03_Helper'!S269)</f>
        <v/>
      </c>
      <c r="M269">
        <f>IF('03_Helper'!A269="","",'03_Helper'!T269)</f>
        <v/>
      </c>
      <c r="N269">
        <f>IF('03_Helper'!A269="","",'03_Helper'!AA269)</f>
        <v/>
      </c>
      <c r="O269">
        <f>IF('03_Helper'!A269="","",'03_Helper'!AB269)</f>
        <v/>
      </c>
      <c r="P269">
        <f>IF('03_Helper'!A269="","",'03_Helper'!AC269)</f>
        <v/>
      </c>
      <c r="Q269">
        <f>IF('03_Helper'!A269="","",'03_Helper'!AD269)</f>
        <v/>
      </c>
      <c r="R269">
        <f>IF('03_Helper'!A269="","",'03_Helper'!AI269)</f>
        <v/>
      </c>
      <c r="S269">
        <f>IF('03_Helper'!A269="","",'03_Helper'!AJ269)</f>
        <v/>
      </c>
      <c r="T269">
        <f>IF('03_Helper'!A269="","",'03_Helper'!U269)</f>
        <v/>
      </c>
      <c r="U269">
        <f>IF('03_Helper'!A269="","",'03_Helper'!W269)</f>
        <v/>
      </c>
      <c r="V269">
        <f>IF('03_Helper'!A269="","",'03_Helper'!AG269)</f>
        <v/>
      </c>
      <c r="W269">
        <f>IF('03_Helper'!A269="","",'03_Helper'!AK269)</f>
        <v/>
      </c>
      <c r="X269">
        <f>IF('03_Helper'!A269="","",'03_Helper'!K269)</f>
        <v/>
      </c>
      <c r="Y269">
        <f>IF('03_Helper'!A269="","",'03_Helper'!AN269)</f>
        <v/>
      </c>
    </row>
    <row r="270">
      <c r="A270">
        <f>IF('03_Helper'!A270="","",'03_Helper'!B270)</f>
        <v/>
      </c>
      <c r="B270">
        <f>IF('03_Helper'!A270="","",'03_Helper'!C270)</f>
        <v/>
      </c>
      <c r="C270">
        <f>IF('03_Helper'!A270="","",'03_Helper'!G270)</f>
        <v/>
      </c>
      <c r="D270">
        <f>IF('03_Helper'!A270="","",'03_Helper'!E270)</f>
        <v/>
      </c>
      <c r="E270">
        <f>IF('03_Helper'!A270="","",'03_Helper'!D270)</f>
        <v/>
      </c>
      <c r="F270">
        <f>IF('03_Helper'!A270="","",'03_Helper'!H270)</f>
        <v/>
      </c>
      <c r="G270">
        <f>IF('03_Helper'!A270="","",'03_Helper'!X270)</f>
        <v/>
      </c>
      <c r="H270">
        <f>IF('03_Helper'!A270="","",'03_Helper'!Y270)</f>
        <v/>
      </c>
      <c r="I270">
        <f>IF('03_Helper'!A270="","",'03_Helper'!Z270)</f>
        <v/>
      </c>
      <c r="J270">
        <f>IF('03_Helper'!A270="","",'03_Helper'!Q270)</f>
        <v/>
      </c>
      <c r="K270">
        <f>IF('03_Helper'!A270="","",'03_Helper'!R270)</f>
        <v/>
      </c>
      <c r="L270">
        <f>IF('03_Helper'!A270="","",'03_Helper'!S270)</f>
        <v/>
      </c>
      <c r="M270">
        <f>IF('03_Helper'!A270="","",'03_Helper'!T270)</f>
        <v/>
      </c>
      <c r="N270">
        <f>IF('03_Helper'!A270="","",'03_Helper'!AA270)</f>
        <v/>
      </c>
      <c r="O270">
        <f>IF('03_Helper'!A270="","",'03_Helper'!AB270)</f>
        <v/>
      </c>
      <c r="P270">
        <f>IF('03_Helper'!A270="","",'03_Helper'!AC270)</f>
        <v/>
      </c>
      <c r="Q270">
        <f>IF('03_Helper'!A270="","",'03_Helper'!AD270)</f>
        <v/>
      </c>
      <c r="R270">
        <f>IF('03_Helper'!A270="","",'03_Helper'!AI270)</f>
        <v/>
      </c>
      <c r="S270">
        <f>IF('03_Helper'!A270="","",'03_Helper'!AJ270)</f>
        <v/>
      </c>
      <c r="T270">
        <f>IF('03_Helper'!A270="","",'03_Helper'!U270)</f>
        <v/>
      </c>
      <c r="U270">
        <f>IF('03_Helper'!A270="","",'03_Helper'!W270)</f>
        <v/>
      </c>
      <c r="V270">
        <f>IF('03_Helper'!A270="","",'03_Helper'!AG270)</f>
        <v/>
      </c>
      <c r="W270">
        <f>IF('03_Helper'!A270="","",'03_Helper'!AK270)</f>
        <v/>
      </c>
      <c r="X270">
        <f>IF('03_Helper'!A270="","",'03_Helper'!K270)</f>
        <v/>
      </c>
      <c r="Y270">
        <f>IF('03_Helper'!A270="","",'03_Helper'!AN270)</f>
        <v/>
      </c>
    </row>
    <row r="271">
      <c r="A271">
        <f>IF('03_Helper'!A271="","",'03_Helper'!B271)</f>
        <v/>
      </c>
      <c r="B271">
        <f>IF('03_Helper'!A271="","",'03_Helper'!C271)</f>
        <v/>
      </c>
      <c r="C271">
        <f>IF('03_Helper'!A271="","",'03_Helper'!G271)</f>
        <v/>
      </c>
      <c r="D271">
        <f>IF('03_Helper'!A271="","",'03_Helper'!E271)</f>
        <v/>
      </c>
      <c r="E271">
        <f>IF('03_Helper'!A271="","",'03_Helper'!D271)</f>
        <v/>
      </c>
      <c r="F271">
        <f>IF('03_Helper'!A271="","",'03_Helper'!H271)</f>
        <v/>
      </c>
      <c r="G271">
        <f>IF('03_Helper'!A271="","",'03_Helper'!X271)</f>
        <v/>
      </c>
      <c r="H271">
        <f>IF('03_Helper'!A271="","",'03_Helper'!Y271)</f>
        <v/>
      </c>
      <c r="I271">
        <f>IF('03_Helper'!A271="","",'03_Helper'!Z271)</f>
        <v/>
      </c>
      <c r="J271">
        <f>IF('03_Helper'!A271="","",'03_Helper'!Q271)</f>
        <v/>
      </c>
      <c r="K271">
        <f>IF('03_Helper'!A271="","",'03_Helper'!R271)</f>
        <v/>
      </c>
      <c r="L271">
        <f>IF('03_Helper'!A271="","",'03_Helper'!S271)</f>
        <v/>
      </c>
      <c r="M271">
        <f>IF('03_Helper'!A271="","",'03_Helper'!T271)</f>
        <v/>
      </c>
      <c r="N271">
        <f>IF('03_Helper'!A271="","",'03_Helper'!AA271)</f>
        <v/>
      </c>
      <c r="O271">
        <f>IF('03_Helper'!A271="","",'03_Helper'!AB271)</f>
        <v/>
      </c>
      <c r="P271">
        <f>IF('03_Helper'!A271="","",'03_Helper'!AC271)</f>
        <v/>
      </c>
      <c r="Q271">
        <f>IF('03_Helper'!A271="","",'03_Helper'!AD271)</f>
        <v/>
      </c>
      <c r="R271">
        <f>IF('03_Helper'!A271="","",'03_Helper'!AI271)</f>
        <v/>
      </c>
      <c r="S271">
        <f>IF('03_Helper'!A271="","",'03_Helper'!AJ271)</f>
        <v/>
      </c>
      <c r="T271">
        <f>IF('03_Helper'!A271="","",'03_Helper'!U271)</f>
        <v/>
      </c>
      <c r="U271">
        <f>IF('03_Helper'!A271="","",'03_Helper'!W271)</f>
        <v/>
      </c>
      <c r="V271">
        <f>IF('03_Helper'!A271="","",'03_Helper'!AG271)</f>
        <v/>
      </c>
      <c r="W271">
        <f>IF('03_Helper'!A271="","",'03_Helper'!AK271)</f>
        <v/>
      </c>
      <c r="X271">
        <f>IF('03_Helper'!A271="","",'03_Helper'!K271)</f>
        <v/>
      </c>
      <c r="Y271">
        <f>IF('03_Helper'!A271="","",'03_Helper'!AN271)</f>
        <v/>
      </c>
    </row>
    <row r="272">
      <c r="A272">
        <f>IF('03_Helper'!A272="","",'03_Helper'!B272)</f>
        <v/>
      </c>
      <c r="B272">
        <f>IF('03_Helper'!A272="","",'03_Helper'!C272)</f>
        <v/>
      </c>
      <c r="C272">
        <f>IF('03_Helper'!A272="","",'03_Helper'!G272)</f>
        <v/>
      </c>
      <c r="D272">
        <f>IF('03_Helper'!A272="","",'03_Helper'!E272)</f>
        <v/>
      </c>
      <c r="E272">
        <f>IF('03_Helper'!A272="","",'03_Helper'!D272)</f>
        <v/>
      </c>
      <c r="F272">
        <f>IF('03_Helper'!A272="","",'03_Helper'!H272)</f>
        <v/>
      </c>
      <c r="G272">
        <f>IF('03_Helper'!A272="","",'03_Helper'!X272)</f>
        <v/>
      </c>
      <c r="H272">
        <f>IF('03_Helper'!A272="","",'03_Helper'!Y272)</f>
        <v/>
      </c>
      <c r="I272">
        <f>IF('03_Helper'!A272="","",'03_Helper'!Z272)</f>
        <v/>
      </c>
      <c r="J272">
        <f>IF('03_Helper'!A272="","",'03_Helper'!Q272)</f>
        <v/>
      </c>
      <c r="K272">
        <f>IF('03_Helper'!A272="","",'03_Helper'!R272)</f>
        <v/>
      </c>
      <c r="L272">
        <f>IF('03_Helper'!A272="","",'03_Helper'!S272)</f>
        <v/>
      </c>
      <c r="M272">
        <f>IF('03_Helper'!A272="","",'03_Helper'!T272)</f>
        <v/>
      </c>
      <c r="N272">
        <f>IF('03_Helper'!A272="","",'03_Helper'!AA272)</f>
        <v/>
      </c>
      <c r="O272">
        <f>IF('03_Helper'!A272="","",'03_Helper'!AB272)</f>
        <v/>
      </c>
      <c r="P272">
        <f>IF('03_Helper'!A272="","",'03_Helper'!AC272)</f>
        <v/>
      </c>
      <c r="Q272">
        <f>IF('03_Helper'!A272="","",'03_Helper'!AD272)</f>
        <v/>
      </c>
      <c r="R272">
        <f>IF('03_Helper'!A272="","",'03_Helper'!AI272)</f>
        <v/>
      </c>
      <c r="S272">
        <f>IF('03_Helper'!A272="","",'03_Helper'!AJ272)</f>
        <v/>
      </c>
      <c r="T272">
        <f>IF('03_Helper'!A272="","",'03_Helper'!U272)</f>
        <v/>
      </c>
      <c r="U272">
        <f>IF('03_Helper'!A272="","",'03_Helper'!W272)</f>
        <v/>
      </c>
      <c r="V272">
        <f>IF('03_Helper'!A272="","",'03_Helper'!AG272)</f>
        <v/>
      </c>
      <c r="W272">
        <f>IF('03_Helper'!A272="","",'03_Helper'!AK272)</f>
        <v/>
      </c>
      <c r="X272">
        <f>IF('03_Helper'!A272="","",'03_Helper'!K272)</f>
        <v/>
      </c>
      <c r="Y272">
        <f>IF('03_Helper'!A272="","",'03_Helper'!AN272)</f>
        <v/>
      </c>
    </row>
    <row r="273">
      <c r="A273">
        <f>IF('03_Helper'!A273="","",'03_Helper'!B273)</f>
        <v/>
      </c>
      <c r="B273">
        <f>IF('03_Helper'!A273="","",'03_Helper'!C273)</f>
        <v/>
      </c>
      <c r="C273">
        <f>IF('03_Helper'!A273="","",'03_Helper'!G273)</f>
        <v/>
      </c>
      <c r="D273">
        <f>IF('03_Helper'!A273="","",'03_Helper'!E273)</f>
        <v/>
      </c>
      <c r="E273">
        <f>IF('03_Helper'!A273="","",'03_Helper'!D273)</f>
        <v/>
      </c>
      <c r="F273">
        <f>IF('03_Helper'!A273="","",'03_Helper'!H273)</f>
        <v/>
      </c>
      <c r="G273">
        <f>IF('03_Helper'!A273="","",'03_Helper'!X273)</f>
        <v/>
      </c>
      <c r="H273">
        <f>IF('03_Helper'!A273="","",'03_Helper'!Y273)</f>
        <v/>
      </c>
      <c r="I273">
        <f>IF('03_Helper'!A273="","",'03_Helper'!Z273)</f>
        <v/>
      </c>
      <c r="J273">
        <f>IF('03_Helper'!A273="","",'03_Helper'!Q273)</f>
        <v/>
      </c>
      <c r="K273">
        <f>IF('03_Helper'!A273="","",'03_Helper'!R273)</f>
        <v/>
      </c>
      <c r="L273">
        <f>IF('03_Helper'!A273="","",'03_Helper'!S273)</f>
        <v/>
      </c>
      <c r="M273">
        <f>IF('03_Helper'!A273="","",'03_Helper'!T273)</f>
        <v/>
      </c>
      <c r="N273">
        <f>IF('03_Helper'!A273="","",'03_Helper'!AA273)</f>
        <v/>
      </c>
      <c r="O273">
        <f>IF('03_Helper'!A273="","",'03_Helper'!AB273)</f>
        <v/>
      </c>
      <c r="P273">
        <f>IF('03_Helper'!A273="","",'03_Helper'!AC273)</f>
        <v/>
      </c>
      <c r="Q273">
        <f>IF('03_Helper'!A273="","",'03_Helper'!AD273)</f>
        <v/>
      </c>
      <c r="R273">
        <f>IF('03_Helper'!A273="","",'03_Helper'!AI273)</f>
        <v/>
      </c>
      <c r="S273">
        <f>IF('03_Helper'!A273="","",'03_Helper'!AJ273)</f>
        <v/>
      </c>
      <c r="T273">
        <f>IF('03_Helper'!A273="","",'03_Helper'!U273)</f>
        <v/>
      </c>
      <c r="U273">
        <f>IF('03_Helper'!A273="","",'03_Helper'!W273)</f>
        <v/>
      </c>
      <c r="V273">
        <f>IF('03_Helper'!A273="","",'03_Helper'!AG273)</f>
        <v/>
      </c>
      <c r="W273">
        <f>IF('03_Helper'!A273="","",'03_Helper'!AK273)</f>
        <v/>
      </c>
      <c r="X273">
        <f>IF('03_Helper'!A273="","",'03_Helper'!K273)</f>
        <v/>
      </c>
      <c r="Y273">
        <f>IF('03_Helper'!A273="","",'03_Helper'!AN273)</f>
        <v/>
      </c>
    </row>
    <row r="274">
      <c r="A274">
        <f>IF('03_Helper'!A274="","",'03_Helper'!B274)</f>
        <v/>
      </c>
      <c r="B274">
        <f>IF('03_Helper'!A274="","",'03_Helper'!C274)</f>
        <v/>
      </c>
      <c r="C274">
        <f>IF('03_Helper'!A274="","",'03_Helper'!G274)</f>
        <v/>
      </c>
      <c r="D274">
        <f>IF('03_Helper'!A274="","",'03_Helper'!E274)</f>
        <v/>
      </c>
      <c r="E274">
        <f>IF('03_Helper'!A274="","",'03_Helper'!D274)</f>
        <v/>
      </c>
      <c r="F274">
        <f>IF('03_Helper'!A274="","",'03_Helper'!H274)</f>
        <v/>
      </c>
      <c r="G274">
        <f>IF('03_Helper'!A274="","",'03_Helper'!X274)</f>
        <v/>
      </c>
      <c r="H274">
        <f>IF('03_Helper'!A274="","",'03_Helper'!Y274)</f>
        <v/>
      </c>
      <c r="I274">
        <f>IF('03_Helper'!A274="","",'03_Helper'!Z274)</f>
        <v/>
      </c>
      <c r="J274">
        <f>IF('03_Helper'!A274="","",'03_Helper'!Q274)</f>
        <v/>
      </c>
      <c r="K274">
        <f>IF('03_Helper'!A274="","",'03_Helper'!R274)</f>
        <v/>
      </c>
      <c r="L274">
        <f>IF('03_Helper'!A274="","",'03_Helper'!S274)</f>
        <v/>
      </c>
      <c r="M274">
        <f>IF('03_Helper'!A274="","",'03_Helper'!T274)</f>
        <v/>
      </c>
      <c r="N274">
        <f>IF('03_Helper'!A274="","",'03_Helper'!AA274)</f>
        <v/>
      </c>
      <c r="O274">
        <f>IF('03_Helper'!A274="","",'03_Helper'!AB274)</f>
        <v/>
      </c>
      <c r="P274">
        <f>IF('03_Helper'!A274="","",'03_Helper'!AC274)</f>
        <v/>
      </c>
      <c r="Q274">
        <f>IF('03_Helper'!A274="","",'03_Helper'!AD274)</f>
        <v/>
      </c>
      <c r="R274">
        <f>IF('03_Helper'!A274="","",'03_Helper'!AI274)</f>
        <v/>
      </c>
      <c r="S274">
        <f>IF('03_Helper'!A274="","",'03_Helper'!AJ274)</f>
        <v/>
      </c>
      <c r="T274">
        <f>IF('03_Helper'!A274="","",'03_Helper'!U274)</f>
        <v/>
      </c>
      <c r="U274">
        <f>IF('03_Helper'!A274="","",'03_Helper'!W274)</f>
        <v/>
      </c>
      <c r="V274">
        <f>IF('03_Helper'!A274="","",'03_Helper'!AG274)</f>
        <v/>
      </c>
      <c r="W274">
        <f>IF('03_Helper'!A274="","",'03_Helper'!AK274)</f>
        <v/>
      </c>
      <c r="X274">
        <f>IF('03_Helper'!A274="","",'03_Helper'!K274)</f>
        <v/>
      </c>
      <c r="Y274">
        <f>IF('03_Helper'!A274="","",'03_Helper'!AN274)</f>
        <v/>
      </c>
    </row>
    <row r="275">
      <c r="A275">
        <f>IF('03_Helper'!A275="","",'03_Helper'!B275)</f>
        <v/>
      </c>
      <c r="B275">
        <f>IF('03_Helper'!A275="","",'03_Helper'!C275)</f>
        <v/>
      </c>
      <c r="C275">
        <f>IF('03_Helper'!A275="","",'03_Helper'!G275)</f>
        <v/>
      </c>
      <c r="D275">
        <f>IF('03_Helper'!A275="","",'03_Helper'!E275)</f>
        <v/>
      </c>
      <c r="E275">
        <f>IF('03_Helper'!A275="","",'03_Helper'!D275)</f>
        <v/>
      </c>
      <c r="F275">
        <f>IF('03_Helper'!A275="","",'03_Helper'!H275)</f>
        <v/>
      </c>
      <c r="G275">
        <f>IF('03_Helper'!A275="","",'03_Helper'!X275)</f>
        <v/>
      </c>
      <c r="H275">
        <f>IF('03_Helper'!A275="","",'03_Helper'!Y275)</f>
        <v/>
      </c>
      <c r="I275">
        <f>IF('03_Helper'!A275="","",'03_Helper'!Z275)</f>
        <v/>
      </c>
      <c r="J275">
        <f>IF('03_Helper'!A275="","",'03_Helper'!Q275)</f>
        <v/>
      </c>
      <c r="K275">
        <f>IF('03_Helper'!A275="","",'03_Helper'!R275)</f>
        <v/>
      </c>
      <c r="L275">
        <f>IF('03_Helper'!A275="","",'03_Helper'!S275)</f>
        <v/>
      </c>
      <c r="M275">
        <f>IF('03_Helper'!A275="","",'03_Helper'!T275)</f>
        <v/>
      </c>
      <c r="N275">
        <f>IF('03_Helper'!A275="","",'03_Helper'!AA275)</f>
        <v/>
      </c>
      <c r="O275">
        <f>IF('03_Helper'!A275="","",'03_Helper'!AB275)</f>
        <v/>
      </c>
      <c r="P275">
        <f>IF('03_Helper'!A275="","",'03_Helper'!AC275)</f>
        <v/>
      </c>
      <c r="Q275">
        <f>IF('03_Helper'!A275="","",'03_Helper'!AD275)</f>
        <v/>
      </c>
      <c r="R275">
        <f>IF('03_Helper'!A275="","",'03_Helper'!AI275)</f>
        <v/>
      </c>
      <c r="S275">
        <f>IF('03_Helper'!A275="","",'03_Helper'!AJ275)</f>
        <v/>
      </c>
      <c r="T275">
        <f>IF('03_Helper'!A275="","",'03_Helper'!U275)</f>
        <v/>
      </c>
      <c r="U275">
        <f>IF('03_Helper'!A275="","",'03_Helper'!W275)</f>
        <v/>
      </c>
      <c r="V275">
        <f>IF('03_Helper'!A275="","",'03_Helper'!AG275)</f>
        <v/>
      </c>
      <c r="W275">
        <f>IF('03_Helper'!A275="","",'03_Helper'!AK275)</f>
        <v/>
      </c>
      <c r="X275">
        <f>IF('03_Helper'!A275="","",'03_Helper'!K275)</f>
        <v/>
      </c>
      <c r="Y275">
        <f>IF('03_Helper'!A275="","",'03_Helper'!AN275)</f>
        <v/>
      </c>
    </row>
    <row r="276">
      <c r="A276">
        <f>IF('03_Helper'!A276="","",'03_Helper'!B276)</f>
        <v/>
      </c>
      <c r="B276">
        <f>IF('03_Helper'!A276="","",'03_Helper'!C276)</f>
        <v/>
      </c>
      <c r="C276">
        <f>IF('03_Helper'!A276="","",'03_Helper'!G276)</f>
        <v/>
      </c>
      <c r="D276">
        <f>IF('03_Helper'!A276="","",'03_Helper'!E276)</f>
        <v/>
      </c>
      <c r="E276">
        <f>IF('03_Helper'!A276="","",'03_Helper'!D276)</f>
        <v/>
      </c>
      <c r="F276">
        <f>IF('03_Helper'!A276="","",'03_Helper'!H276)</f>
        <v/>
      </c>
      <c r="G276">
        <f>IF('03_Helper'!A276="","",'03_Helper'!X276)</f>
        <v/>
      </c>
      <c r="H276">
        <f>IF('03_Helper'!A276="","",'03_Helper'!Y276)</f>
        <v/>
      </c>
      <c r="I276">
        <f>IF('03_Helper'!A276="","",'03_Helper'!Z276)</f>
        <v/>
      </c>
      <c r="J276">
        <f>IF('03_Helper'!A276="","",'03_Helper'!Q276)</f>
        <v/>
      </c>
      <c r="K276">
        <f>IF('03_Helper'!A276="","",'03_Helper'!R276)</f>
        <v/>
      </c>
      <c r="L276">
        <f>IF('03_Helper'!A276="","",'03_Helper'!S276)</f>
        <v/>
      </c>
      <c r="M276">
        <f>IF('03_Helper'!A276="","",'03_Helper'!T276)</f>
        <v/>
      </c>
      <c r="N276">
        <f>IF('03_Helper'!A276="","",'03_Helper'!AA276)</f>
        <v/>
      </c>
      <c r="O276">
        <f>IF('03_Helper'!A276="","",'03_Helper'!AB276)</f>
        <v/>
      </c>
      <c r="P276">
        <f>IF('03_Helper'!A276="","",'03_Helper'!AC276)</f>
        <v/>
      </c>
      <c r="Q276">
        <f>IF('03_Helper'!A276="","",'03_Helper'!AD276)</f>
        <v/>
      </c>
      <c r="R276">
        <f>IF('03_Helper'!A276="","",'03_Helper'!AI276)</f>
        <v/>
      </c>
      <c r="S276">
        <f>IF('03_Helper'!A276="","",'03_Helper'!AJ276)</f>
        <v/>
      </c>
      <c r="T276">
        <f>IF('03_Helper'!A276="","",'03_Helper'!U276)</f>
        <v/>
      </c>
      <c r="U276">
        <f>IF('03_Helper'!A276="","",'03_Helper'!W276)</f>
        <v/>
      </c>
      <c r="V276">
        <f>IF('03_Helper'!A276="","",'03_Helper'!AG276)</f>
        <v/>
      </c>
      <c r="W276">
        <f>IF('03_Helper'!A276="","",'03_Helper'!AK276)</f>
        <v/>
      </c>
      <c r="X276">
        <f>IF('03_Helper'!A276="","",'03_Helper'!K276)</f>
        <v/>
      </c>
      <c r="Y276">
        <f>IF('03_Helper'!A276="","",'03_Helper'!AN276)</f>
        <v/>
      </c>
    </row>
    <row r="277">
      <c r="A277">
        <f>IF('03_Helper'!A277="","",'03_Helper'!B277)</f>
        <v/>
      </c>
      <c r="B277">
        <f>IF('03_Helper'!A277="","",'03_Helper'!C277)</f>
        <v/>
      </c>
      <c r="C277">
        <f>IF('03_Helper'!A277="","",'03_Helper'!G277)</f>
        <v/>
      </c>
      <c r="D277">
        <f>IF('03_Helper'!A277="","",'03_Helper'!E277)</f>
        <v/>
      </c>
      <c r="E277">
        <f>IF('03_Helper'!A277="","",'03_Helper'!D277)</f>
        <v/>
      </c>
      <c r="F277">
        <f>IF('03_Helper'!A277="","",'03_Helper'!H277)</f>
        <v/>
      </c>
      <c r="G277">
        <f>IF('03_Helper'!A277="","",'03_Helper'!X277)</f>
        <v/>
      </c>
      <c r="H277">
        <f>IF('03_Helper'!A277="","",'03_Helper'!Y277)</f>
        <v/>
      </c>
      <c r="I277">
        <f>IF('03_Helper'!A277="","",'03_Helper'!Z277)</f>
        <v/>
      </c>
      <c r="J277">
        <f>IF('03_Helper'!A277="","",'03_Helper'!Q277)</f>
        <v/>
      </c>
      <c r="K277">
        <f>IF('03_Helper'!A277="","",'03_Helper'!R277)</f>
        <v/>
      </c>
      <c r="L277">
        <f>IF('03_Helper'!A277="","",'03_Helper'!S277)</f>
        <v/>
      </c>
      <c r="M277">
        <f>IF('03_Helper'!A277="","",'03_Helper'!T277)</f>
        <v/>
      </c>
      <c r="N277">
        <f>IF('03_Helper'!A277="","",'03_Helper'!AA277)</f>
        <v/>
      </c>
      <c r="O277">
        <f>IF('03_Helper'!A277="","",'03_Helper'!AB277)</f>
        <v/>
      </c>
      <c r="P277">
        <f>IF('03_Helper'!A277="","",'03_Helper'!AC277)</f>
        <v/>
      </c>
      <c r="Q277">
        <f>IF('03_Helper'!A277="","",'03_Helper'!AD277)</f>
        <v/>
      </c>
      <c r="R277">
        <f>IF('03_Helper'!A277="","",'03_Helper'!AI277)</f>
        <v/>
      </c>
      <c r="S277">
        <f>IF('03_Helper'!A277="","",'03_Helper'!AJ277)</f>
        <v/>
      </c>
      <c r="T277">
        <f>IF('03_Helper'!A277="","",'03_Helper'!U277)</f>
        <v/>
      </c>
      <c r="U277">
        <f>IF('03_Helper'!A277="","",'03_Helper'!W277)</f>
        <v/>
      </c>
      <c r="V277">
        <f>IF('03_Helper'!A277="","",'03_Helper'!AG277)</f>
        <v/>
      </c>
      <c r="W277">
        <f>IF('03_Helper'!A277="","",'03_Helper'!AK277)</f>
        <v/>
      </c>
      <c r="X277">
        <f>IF('03_Helper'!A277="","",'03_Helper'!K277)</f>
        <v/>
      </c>
      <c r="Y277">
        <f>IF('03_Helper'!A277="","",'03_Helper'!AN277)</f>
        <v/>
      </c>
    </row>
    <row r="278">
      <c r="A278">
        <f>IF('03_Helper'!A278="","",'03_Helper'!B278)</f>
        <v/>
      </c>
      <c r="B278">
        <f>IF('03_Helper'!A278="","",'03_Helper'!C278)</f>
        <v/>
      </c>
      <c r="C278">
        <f>IF('03_Helper'!A278="","",'03_Helper'!G278)</f>
        <v/>
      </c>
      <c r="D278">
        <f>IF('03_Helper'!A278="","",'03_Helper'!E278)</f>
        <v/>
      </c>
      <c r="E278">
        <f>IF('03_Helper'!A278="","",'03_Helper'!D278)</f>
        <v/>
      </c>
      <c r="F278">
        <f>IF('03_Helper'!A278="","",'03_Helper'!H278)</f>
        <v/>
      </c>
      <c r="G278">
        <f>IF('03_Helper'!A278="","",'03_Helper'!X278)</f>
        <v/>
      </c>
      <c r="H278">
        <f>IF('03_Helper'!A278="","",'03_Helper'!Y278)</f>
        <v/>
      </c>
      <c r="I278">
        <f>IF('03_Helper'!A278="","",'03_Helper'!Z278)</f>
        <v/>
      </c>
      <c r="J278">
        <f>IF('03_Helper'!A278="","",'03_Helper'!Q278)</f>
        <v/>
      </c>
      <c r="K278">
        <f>IF('03_Helper'!A278="","",'03_Helper'!R278)</f>
        <v/>
      </c>
      <c r="L278">
        <f>IF('03_Helper'!A278="","",'03_Helper'!S278)</f>
        <v/>
      </c>
      <c r="M278">
        <f>IF('03_Helper'!A278="","",'03_Helper'!T278)</f>
        <v/>
      </c>
      <c r="N278">
        <f>IF('03_Helper'!A278="","",'03_Helper'!AA278)</f>
        <v/>
      </c>
      <c r="O278">
        <f>IF('03_Helper'!A278="","",'03_Helper'!AB278)</f>
        <v/>
      </c>
      <c r="P278">
        <f>IF('03_Helper'!A278="","",'03_Helper'!AC278)</f>
        <v/>
      </c>
      <c r="Q278">
        <f>IF('03_Helper'!A278="","",'03_Helper'!AD278)</f>
        <v/>
      </c>
      <c r="R278">
        <f>IF('03_Helper'!A278="","",'03_Helper'!AI278)</f>
        <v/>
      </c>
      <c r="S278">
        <f>IF('03_Helper'!A278="","",'03_Helper'!AJ278)</f>
        <v/>
      </c>
      <c r="T278">
        <f>IF('03_Helper'!A278="","",'03_Helper'!U278)</f>
        <v/>
      </c>
      <c r="U278">
        <f>IF('03_Helper'!A278="","",'03_Helper'!W278)</f>
        <v/>
      </c>
      <c r="V278">
        <f>IF('03_Helper'!A278="","",'03_Helper'!AG278)</f>
        <v/>
      </c>
      <c r="W278">
        <f>IF('03_Helper'!A278="","",'03_Helper'!AK278)</f>
        <v/>
      </c>
      <c r="X278">
        <f>IF('03_Helper'!A278="","",'03_Helper'!K278)</f>
        <v/>
      </c>
      <c r="Y278">
        <f>IF('03_Helper'!A278="","",'03_Helper'!AN278)</f>
        <v/>
      </c>
    </row>
    <row r="279">
      <c r="A279">
        <f>IF('03_Helper'!A279="","",'03_Helper'!B279)</f>
        <v/>
      </c>
      <c r="B279">
        <f>IF('03_Helper'!A279="","",'03_Helper'!C279)</f>
        <v/>
      </c>
      <c r="C279">
        <f>IF('03_Helper'!A279="","",'03_Helper'!G279)</f>
        <v/>
      </c>
      <c r="D279">
        <f>IF('03_Helper'!A279="","",'03_Helper'!E279)</f>
        <v/>
      </c>
      <c r="E279">
        <f>IF('03_Helper'!A279="","",'03_Helper'!D279)</f>
        <v/>
      </c>
      <c r="F279">
        <f>IF('03_Helper'!A279="","",'03_Helper'!H279)</f>
        <v/>
      </c>
      <c r="G279">
        <f>IF('03_Helper'!A279="","",'03_Helper'!X279)</f>
        <v/>
      </c>
      <c r="H279">
        <f>IF('03_Helper'!A279="","",'03_Helper'!Y279)</f>
        <v/>
      </c>
      <c r="I279">
        <f>IF('03_Helper'!A279="","",'03_Helper'!Z279)</f>
        <v/>
      </c>
      <c r="J279">
        <f>IF('03_Helper'!A279="","",'03_Helper'!Q279)</f>
        <v/>
      </c>
      <c r="K279">
        <f>IF('03_Helper'!A279="","",'03_Helper'!R279)</f>
        <v/>
      </c>
      <c r="L279">
        <f>IF('03_Helper'!A279="","",'03_Helper'!S279)</f>
        <v/>
      </c>
      <c r="M279">
        <f>IF('03_Helper'!A279="","",'03_Helper'!T279)</f>
        <v/>
      </c>
      <c r="N279">
        <f>IF('03_Helper'!A279="","",'03_Helper'!AA279)</f>
        <v/>
      </c>
      <c r="O279">
        <f>IF('03_Helper'!A279="","",'03_Helper'!AB279)</f>
        <v/>
      </c>
      <c r="P279">
        <f>IF('03_Helper'!A279="","",'03_Helper'!AC279)</f>
        <v/>
      </c>
      <c r="Q279">
        <f>IF('03_Helper'!A279="","",'03_Helper'!AD279)</f>
        <v/>
      </c>
      <c r="R279">
        <f>IF('03_Helper'!A279="","",'03_Helper'!AI279)</f>
        <v/>
      </c>
      <c r="S279">
        <f>IF('03_Helper'!A279="","",'03_Helper'!AJ279)</f>
        <v/>
      </c>
      <c r="T279">
        <f>IF('03_Helper'!A279="","",'03_Helper'!U279)</f>
        <v/>
      </c>
      <c r="U279">
        <f>IF('03_Helper'!A279="","",'03_Helper'!W279)</f>
        <v/>
      </c>
      <c r="V279">
        <f>IF('03_Helper'!A279="","",'03_Helper'!AG279)</f>
        <v/>
      </c>
      <c r="W279">
        <f>IF('03_Helper'!A279="","",'03_Helper'!AK279)</f>
        <v/>
      </c>
      <c r="X279">
        <f>IF('03_Helper'!A279="","",'03_Helper'!K279)</f>
        <v/>
      </c>
      <c r="Y279">
        <f>IF('03_Helper'!A279="","",'03_Helper'!AN279)</f>
        <v/>
      </c>
    </row>
    <row r="280">
      <c r="A280">
        <f>IF('03_Helper'!A280="","",'03_Helper'!B280)</f>
        <v/>
      </c>
      <c r="B280">
        <f>IF('03_Helper'!A280="","",'03_Helper'!C280)</f>
        <v/>
      </c>
      <c r="C280">
        <f>IF('03_Helper'!A280="","",'03_Helper'!G280)</f>
        <v/>
      </c>
      <c r="D280">
        <f>IF('03_Helper'!A280="","",'03_Helper'!E280)</f>
        <v/>
      </c>
      <c r="E280">
        <f>IF('03_Helper'!A280="","",'03_Helper'!D280)</f>
        <v/>
      </c>
      <c r="F280">
        <f>IF('03_Helper'!A280="","",'03_Helper'!H280)</f>
        <v/>
      </c>
      <c r="G280">
        <f>IF('03_Helper'!A280="","",'03_Helper'!X280)</f>
        <v/>
      </c>
      <c r="H280">
        <f>IF('03_Helper'!A280="","",'03_Helper'!Y280)</f>
        <v/>
      </c>
      <c r="I280">
        <f>IF('03_Helper'!A280="","",'03_Helper'!Z280)</f>
        <v/>
      </c>
      <c r="J280">
        <f>IF('03_Helper'!A280="","",'03_Helper'!Q280)</f>
        <v/>
      </c>
      <c r="K280">
        <f>IF('03_Helper'!A280="","",'03_Helper'!R280)</f>
        <v/>
      </c>
      <c r="L280">
        <f>IF('03_Helper'!A280="","",'03_Helper'!S280)</f>
        <v/>
      </c>
      <c r="M280">
        <f>IF('03_Helper'!A280="","",'03_Helper'!T280)</f>
        <v/>
      </c>
      <c r="N280">
        <f>IF('03_Helper'!A280="","",'03_Helper'!AA280)</f>
        <v/>
      </c>
      <c r="O280">
        <f>IF('03_Helper'!A280="","",'03_Helper'!AB280)</f>
        <v/>
      </c>
      <c r="P280">
        <f>IF('03_Helper'!A280="","",'03_Helper'!AC280)</f>
        <v/>
      </c>
      <c r="Q280">
        <f>IF('03_Helper'!A280="","",'03_Helper'!AD280)</f>
        <v/>
      </c>
      <c r="R280">
        <f>IF('03_Helper'!A280="","",'03_Helper'!AI280)</f>
        <v/>
      </c>
      <c r="S280">
        <f>IF('03_Helper'!A280="","",'03_Helper'!AJ280)</f>
        <v/>
      </c>
      <c r="T280">
        <f>IF('03_Helper'!A280="","",'03_Helper'!U280)</f>
        <v/>
      </c>
      <c r="U280">
        <f>IF('03_Helper'!A280="","",'03_Helper'!W280)</f>
        <v/>
      </c>
      <c r="V280">
        <f>IF('03_Helper'!A280="","",'03_Helper'!AG280)</f>
        <v/>
      </c>
      <c r="W280">
        <f>IF('03_Helper'!A280="","",'03_Helper'!AK280)</f>
        <v/>
      </c>
      <c r="X280">
        <f>IF('03_Helper'!A280="","",'03_Helper'!K280)</f>
        <v/>
      </c>
      <c r="Y280">
        <f>IF('03_Helper'!A280="","",'03_Helper'!AN280)</f>
        <v/>
      </c>
    </row>
    <row r="281">
      <c r="A281">
        <f>IF('03_Helper'!A281="","",'03_Helper'!B281)</f>
        <v/>
      </c>
      <c r="B281">
        <f>IF('03_Helper'!A281="","",'03_Helper'!C281)</f>
        <v/>
      </c>
      <c r="C281">
        <f>IF('03_Helper'!A281="","",'03_Helper'!G281)</f>
        <v/>
      </c>
      <c r="D281">
        <f>IF('03_Helper'!A281="","",'03_Helper'!E281)</f>
        <v/>
      </c>
      <c r="E281">
        <f>IF('03_Helper'!A281="","",'03_Helper'!D281)</f>
        <v/>
      </c>
      <c r="F281">
        <f>IF('03_Helper'!A281="","",'03_Helper'!H281)</f>
        <v/>
      </c>
      <c r="G281">
        <f>IF('03_Helper'!A281="","",'03_Helper'!X281)</f>
        <v/>
      </c>
      <c r="H281">
        <f>IF('03_Helper'!A281="","",'03_Helper'!Y281)</f>
        <v/>
      </c>
      <c r="I281">
        <f>IF('03_Helper'!A281="","",'03_Helper'!Z281)</f>
        <v/>
      </c>
      <c r="J281">
        <f>IF('03_Helper'!A281="","",'03_Helper'!Q281)</f>
        <v/>
      </c>
      <c r="K281">
        <f>IF('03_Helper'!A281="","",'03_Helper'!R281)</f>
        <v/>
      </c>
      <c r="L281">
        <f>IF('03_Helper'!A281="","",'03_Helper'!S281)</f>
        <v/>
      </c>
      <c r="M281">
        <f>IF('03_Helper'!A281="","",'03_Helper'!T281)</f>
        <v/>
      </c>
      <c r="N281">
        <f>IF('03_Helper'!A281="","",'03_Helper'!AA281)</f>
        <v/>
      </c>
      <c r="O281">
        <f>IF('03_Helper'!A281="","",'03_Helper'!AB281)</f>
        <v/>
      </c>
      <c r="P281">
        <f>IF('03_Helper'!A281="","",'03_Helper'!AC281)</f>
        <v/>
      </c>
      <c r="Q281">
        <f>IF('03_Helper'!A281="","",'03_Helper'!AD281)</f>
        <v/>
      </c>
      <c r="R281">
        <f>IF('03_Helper'!A281="","",'03_Helper'!AI281)</f>
        <v/>
      </c>
      <c r="S281">
        <f>IF('03_Helper'!A281="","",'03_Helper'!AJ281)</f>
        <v/>
      </c>
      <c r="T281">
        <f>IF('03_Helper'!A281="","",'03_Helper'!U281)</f>
        <v/>
      </c>
      <c r="U281">
        <f>IF('03_Helper'!A281="","",'03_Helper'!W281)</f>
        <v/>
      </c>
      <c r="V281">
        <f>IF('03_Helper'!A281="","",'03_Helper'!AG281)</f>
        <v/>
      </c>
      <c r="W281">
        <f>IF('03_Helper'!A281="","",'03_Helper'!AK281)</f>
        <v/>
      </c>
      <c r="X281">
        <f>IF('03_Helper'!A281="","",'03_Helper'!K281)</f>
        <v/>
      </c>
      <c r="Y281">
        <f>IF('03_Helper'!A281="","",'03_Helper'!AN281)</f>
        <v/>
      </c>
    </row>
    <row r="282">
      <c r="A282">
        <f>IF('03_Helper'!A282="","",'03_Helper'!B282)</f>
        <v/>
      </c>
      <c r="B282">
        <f>IF('03_Helper'!A282="","",'03_Helper'!C282)</f>
        <v/>
      </c>
      <c r="C282">
        <f>IF('03_Helper'!A282="","",'03_Helper'!G282)</f>
        <v/>
      </c>
      <c r="D282">
        <f>IF('03_Helper'!A282="","",'03_Helper'!E282)</f>
        <v/>
      </c>
      <c r="E282">
        <f>IF('03_Helper'!A282="","",'03_Helper'!D282)</f>
        <v/>
      </c>
      <c r="F282">
        <f>IF('03_Helper'!A282="","",'03_Helper'!H282)</f>
        <v/>
      </c>
      <c r="G282">
        <f>IF('03_Helper'!A282="","",'03_Helper'!X282)</f>
        <v/>
      </c>
      <c r="H282">
        <f>IF('03_Helper'!A282="","",'03_Helper'!Y282)</f>
        <v/>
      </c>
      <c r="I282">
        <f>IF('03_Helper'!A282="","",'03_Helper'!Z282)</f>
        <v/>
      </c>
      <c r="J282">
        <f>IF('03_Helper'!A282="","",'03_Helper'!Q282)</f>
        <v/>
      </c>
      <c r="K282">
        <f>IF('03_Helper'!A282="","",'03_Helper'!R282)</f>
        <v/>
      </c>
      <c r="L282">
        <f>IF('03_Helper'!A282="","",'03_Helper'!S282)</f>
        <v/>
      </c>
      <c r="M282">
        <f>IF('03_Helper'!A282="","",'03_Helper'!T282)</f>
        <v/>
      </c>
      <c r="N282">
        <f>IF('03_Helper'!A282="","",'03_Helper'!AA282)</f>
        <v/>
      </c>
      <c r="O282">
        <f>IF('03_Helper'!A282="","",'03_Helper'!AB282)</f>
        <v/>
      </c>
      <c r="P282">
        <f>IF('03_Helper'!A282="","",'03_Helper'!AC282)</f>
        <v/>
      </c>
      <c r="Q282">
        <f>IF('03_Helper'!A282="","",'03_Helper'!AD282)</f>
        <v/>
      </c>
      <c r="R282">
        <f>IF('03_Helper'!A282="","",'03_Helper'!AI282)</f>
        <v/>
      </c>
      <c r="S282">
        <f>IF('03_Helper'!A282="","",'03_Helper'!AJ282)</f>
        <v/>
      </c>
      <c r="T282">
        <f>IF('03_Helper'!A282="","",'03_Helper'!U282)</f>
        <v/>
      </c>
      <c r="U282">
        <f>IF('03_Helper'!A282="","",'03_Helper'!W282)</f>
        <v/>
      </c>
      <c r="V282">
        <f>IF('03_Helper'!A282="","",'03_Helper'!AG282)</f>
        <v/>
      </c>
      <c r="W282">
        <f>IF('03_Helper'!A282="","",'03_Helper'!AK282)</f>
        <v/>
      </c>
      <c r="X282">
        <f>IF('03_Helper'!A282="","",'03_Helper'!K282)</f>
        <v/>
      </c>
      <c r="Y282">
        <f>IF('03_Helper'!A282="","",'03_Helper'!AN282)</f>
        <v/>
      </c>
    </row>
    <row r="283">
      <c r="A283">
        <f>IF('03_Helper'!A283="","",'03_Helper'!B283)</f>
        <v/>
      </c>
      <c r="B283">
        <f>IF('03_Helper'!A283="","",'03_Helper'!C283)</f>
        <v/>
      </c>
      <c r="C283">
        <f>IF('03_Helper'!A283="","",'03_Helper'!G283)</f>
        <v/>
      </c>
      <c r="D283">
        <f>IF('03_Helper'!A283="","",'03_Helper'!E283)</f>
        <v/>
      </c>
      <c r="E283">
        <f>IF('03_Helper'!A283="","",'03_Helper'!D283)</f>
        <v/>
      </c>
      <c r="F283">
        <f>IF('03_Helper'!A283="","",'03_Helper'!H283)</f>
        <v/>
      </c>
      <c r="G283">
        <f>IF('03_Helper'!A283="","",'03_Helper'!X283)</f>
        <v/>
      </c>
      <c r="H283">
        <f>IF('03_Helper'!A283="","",'03_Helper'!Y283)</f>
        <v/>
      </c>
      <c r="I283">
        <f>IF('03_Helper'!A283="","",'03_Helper'!Z283)</f>
        <v/>
      </c>
      <c r="J283">
        <f>IF('03_Helper'!A283="","",'03_Helper'!Q283)</f>
        <v/>
      </c>
      <c r="K283">
        <f>IF('03_Helper'!A283="","",'03_Helper'!R283)</f>
        <v/>
      </c>
      <c r="L283">
        <f>IF('03_Helper'!A283="","",'03_Helper'!S283)</f>
        <v/>
      </c>
      <c r="M283">
        <f>IF('03_Helper'!A283="","",'03_Helper'!T283)</f>
        <v/>
      </c>
      <c r="N283">
        <f>IF('03_Helper'!A283="","",'03_Helper'!AA283)</f>
        <v/>
      </c>
      <c r="O283">
        <f>IF('03_Helper'!A283="","",'03_Helper'!AB283)</f>
        <v/>
      </c>
      <c r="P283">
        <f>IF('03_Helper'!A283="","",'03_Helper'!AC283)</f>
        <v/>
      </c>
      <c r="Q283">
        <f>IF('03_Helper'!A283="","",'03_Helper'!AD283)</f>
        <v/>
      </c>
      <c r="R283">
        <f>IF('03_Helper'!A283="","",'03_Helper'!AI283)</f>
        <v/>
      </c>
      <c r="S283">
        <f>IF('03_Helper'!A283="","",'03_Helper'!AJ283)</f>
        <v/>
      </c>
      <c r="T283">
        <f>IF('03_Helper'!A283="","",'03_Helper'!U283)</f>
        <v/>
      </c>
      <c r="U283">
        <f>IF('03_Helper'!A283="","",'03_Helper'!W283)</f>
        <v/>
      </c>
      <c r="V283">
        <f>IF('03_Helper'!A283="","",'03_Helper'!AG283)</f>
        <v/>
      </c>
      <c r="W283">
        <f>IF('03_Helper'!A283="","",'03_Helper'!AK283)</f>
        <v/>
      </c>
      <c r="X283">
        <f>IF('03_Helper'!A283="","",'03_Helper'!K283)</f>
        <v/>
      </c>
      <c r="Y283">
        <f>IF('03_Helper'!A283="","",'03_Helper'!AN283)</f>
        <v/>
      </c>
    </row>
    <row r="284">
      <c r="A284">
        <f>IF('03_Helper'!A284="","",'03_Helper'!B284)</f>
        <v/>
      </c>
      <c r="B284">
        <f>IF('03_Helper'!A284="","",'03_Helper'!C284)</f>
        <v/>
      </c>
      <c r="C284">
        <f>IF('03_Helper'!A284="","",'03_Helper'!G284)</f>
        <v/>
      </c>
      <c r="D284">
        <f>IF('03_Helper'!A284="","",'03_Helper'!E284)</f>
        <v/>
      </c>
      <c r="E284">
        <f>IF('03_Helper'!A284="","",'03_Helper'!D284)</f>
        <v/>
      </c>
      <c r="F284">
        <f>IF('03_Helper'!A284="","",'03_Helper'!H284)</f>
        <v/>
      </c>
      <c r="G284">
        <f>IF('03_Helper'!A284="","",'03_Helper'!X284)</f>
        <v/>
      </c>
      <c r="H284">
        <f>IF('03_Helper'!A284="","",'03_Helper'!Y284)</f>
        <v/>
      </c>
      <c r="I284">
        <f>IF('03_Helper'!A284="","",'03_Helper'!Z284)</f>
        <v/>
      </c>
      <c r="J284">
        <f>IF('03_Helper'!A284="","",'03_Helper'!Q284)</f>
        <v/>
      </c>
      <c r="K284">
        <f>IF('03_Helper'!A284="","",'03_Helper'!R284)</f>
        <v/>
      </c>
      <c r="L284">
        <f>IF('03_Helper'!A284="","",'03_Helper'!S284)</f>
        <v/>
      </c>
      <c r="M284">
        <f>IF('03_Helper'!A284="","",'03_Helper'!T284)</f>
        <v/>
      </c>
      <c r="N284">
        <f>IF('03_Helper'!A284="","",'03_Helper'!AA284)</f>
        <v/>
      </c>
      <c r="O284">
        <f>IF('03_Helper'!A284="","",'03_Helper'!AB284)</f>
        <v/>
      </c>
      <c r="P284">
        <f>IF('03_Helper'!A284="","",'03_Helper'!AC284)</f>
        <v/>
      </c>
      <c r="Q284">
        <f>IF('03_Helper'!A284="","",'03_Helper'!AD284)</f>
        <v/>
      </c>
      <c r="R284">
        <f>IF('03_Helper'!A284="","",'03_Helper'!AI284)</f>
        <v/>
      </c>
      <c r="S284">
        <f>IF('03_Helper'!A284="","",'03_Helper'!AJ284)</f>
        <v/>
      </c>
      <c r="T284">
        <f>IF('03_Helper'!A284="","",'03_Helper'!U284)</f>
        <v/>
      </c>
      <c r="U284">
        <f>IF('03_Helper'!A284="","",'03_Helper'!W284)</f>
        <v/>
      </c>
      <c r="V284">
        <f>IF('03_Helper'!A284="","",'03_Helper'!AG284)</f>
        <v/>
      </c>
      <c r="W284">
        <f>IF('03_Helper'!A284="","",'03_Helper'!AK284)</f>
        <v/>
      </c>
      <c r="X284">
        <f>IF('03_Helper'!A284="","",'03_Helper'!K284)</f>
        <v/>
      </c>
      <c r="Y284">
        <f>IF('03_Helper'!A284="","",'03_Helper'!AN284)</f>
        <v/>
      </c>
    </row>
    <row r="285">
      <c r="A285">
        <f>IF('03_Helper'!A285="","",'03_Helper'!B285)</f>
        <v/>
      </c>
      <c r="B285">
        <f>IF('03_Helper'!A285="","",'03_Helper'!C285)</f>
        <v/>
      </c>
      <c r="C285">
        <f>IF('03_Helper'!A285="","",'03_Helper'!G285)</f>
        <v/>
      </c>
      <c r="D285">
        <f>IF('03_Helper'!A285="","",'03_Helper'!E285)</f>
        <v/>
      </c>
      <c r="E285">
        <f>IF('03_Helper'!A285="","",'03_Helper'!D285)</f>
        <v/>
      </c>
      <c r="F285">
        <f>IF('03_Helper'!A285="","",'03_Helper'!H285)</f>
        <v/>
      </c>
      <c r="G285">
        <f>IF('03_Helper'!A285="","",'03_Helper'!X285)</f>
        <v/>
      </c>
      <c r="H285">
        <f>IF('03_Helper'!A285="","",'03_Helper'!Y285)</f>
        <v/>
      </c>
      <c r="I285">
        <f>IF('03_Helper'!A285="","",'03_Helper'!Z285)</f>
        <v/>
      </c>
      <c r="J285">
        <f>IF('03_Helper'!A285="","",'03_Helper'!Q285)</f>
        <v/>
      </c>
      <c r="K285">
        <f>IF('03_Helper'!A285="","",'03_Helper'!R285)</f>
        <v/>
      </c>
      <c r="L285">
        <f>IF('03_Helper'!A285="","",'03_Helper'!S285)</f>
        <v/>
      </c>
      <c r="M285">
        <f>IF('03_Helper'!A285="","",'03_Helper'!T285)</f>
        <v/>
      </c>
      <c r="N285">
        <f>IF('03_Helper'!A285="","",'03_Helper'!AA285)</f>
        <v/>
      </c>
      <c r="O285">
        <f>IF('03_Helper'!A285="","",'03_Helper'!AB285)</f>
        <v/>
      </c>
      <c r="P285">
        <f>IF('03_Helper'!A285="","",'03_Helper'!AC285)</f>
        <v/>
      </c>
      <c r="Q285">
        <f>IF('03_Helper'!A285="","",'03_Helper'!AD285)</f>
        <v/>
      </c>
      <c r="R285">
        <f>IF('03_Helper'!A285="","",'03_Helper'!AI285)</f>
        <v/>
      </c>
      <c r="S285">
        <f>IF('03_Helper'!A285="","",'03_Helper'!AJ285)</f>
        <v/>
      </c>
      <c r="T285">
        <f>IF('03_Helper'!A285="","",'03_Helper'!U285)</f>
        <v/>
      </c>
      <c r="U285">
        <f>IF('03_Helper'!A285="","",'03_Helper'!W285)</f>
        <v/>
      </c>
      <c r="V285">
        <f>IF('03_Helper'!A285="","",'03_Helper'!AG285)</f>
        <v/>
      </c>
      <c r="W285">
        <f>IF('03_Helper'!A285="","",'03_Helper'!AK285)</f>
        <v/>
      </c>
      <c r="X285">
        <f>IF('03_Helper'!A285="","",'03_Helper'!K285)</f>
        <v/>
      </c>
      <c r="Y285">
        <f>IF('03_Helper'!A285="","",'03_Helper'!AN285)</f>
        <v/>
      </c>
    </row>
    <row r="286">
      <c r="A286">
        <f>IF('03_Helper'!A286="","",'03_Helper'!B286)</f>
        <v/>
      </c>
      <c r="B286">
        <f>IF('03_Helper'!A286="","",'03_Helper'!C286)</f>
        <v/>
      </c>
      <c r="C286">
        <f>IF('03_Helper'!A286="","",'03_Helper'!G286)</f>
        <v/>
      </c>
      <c r="D286">
        <f>IF('03_Helper'!A286="","",'03_Helper'!E286)</f>
        <v/>
      </c>
      <c r="E286">
        <f>IF('03_Helper'!A286="","",'03_Helper'!D286)</f>
        <v/>
      </c>
      <c r="F286">
        <f>IF('03_Helper'!A286="","",'03_Helper'!H286)</f>
        <v/>
      </c>
      <c r="G286">
        <f>IF('03_Helper'!A286="","",'03_Helper'!X286)</f>
        <v/>
      </c>
      <c r="H286">
        <f>IF('03_Helper'!A286="","",'03_Helper'!Y286)</f>
        <v/>
      </c>
      <c r="I286">
        <f>IF('03_Helper'!A286="","",'03_Helper'!Z286)</f>
        <v/>
      </c>
      <c r="J286">
        <f>IF('03_Helper'!A286="","",'03_Helper'!Q286)</f>
        <v/>
      </c>
      <c r="K286">
        <f>IF('03_Helper'!A286="","",'03_Helper'!R286)</f>
        <v/>
      </c>
      <c r="L286">
        <f>IF('03_Helper'!A286="","",'03_Helper'!S286)</f>
        <v/>
      </c>
      <c r="M286">
        <f>IF('03_Helper'!A286="","",'03_Helper'!T286)</f>
        <v/>
      </c>
      <c r="N286">
        <f>IF('03_Helper'!A286="","",'03_Helper'!AA286)</f>
        <v/>
      </c>
      <c r="O286">
        <f>IF('03_Helper'!A286="","",'03_Helper'!AB286)</f>
        <v/>
      </c>
      <c r="P286">
        <f>IF('03_Helper'!A286="","",'03_Helper'!AC286)</f>
        <v/>
      </c>
      <c r="Q286">
        <f>IF('03_Helper'!A286="","",'03_Helper'!AD286)</f>
        <v/>
      </c>
      <c r="R286">
        <f>IF('03_Helper'!A286="","",'03_Helper'!AI286)</f>
        <v/>
      </c>
      <c r="S286">
        <f>IF('03_Helper'!A286="","",'03_Helper'!AJ286)</f>
        <v/>
      </c>
      <c r="T286">
        <f>IF('03_Helper'!A286="","",'03_Helper'!U286)</f>
        <v/>
      </c>
      <c r="U286">
        <f>IF('03_Helper'!A286="","",'03_Helper'!W286)</f>
        <v/>
      </c>
      <c r="V286">
        <f>IF('03_Helper'!A286="","",'03_Helper'!AG286)</f>
        <v/>
      </c>
      <c r="W286">
        <f>IF('03_Helper'!A286="","",'03_Helper'!AK286)</f>
        <v/>
      </c>
      <c r="X286">
        <f>IF('03_Helper'!A286="","",'03_Helper'!K286)</f>
        <v/>
      </c>
      <c r="Y286">
        <f>IF('03_Helper'!A286="","",'03_Helper'!AN286)</f>
        <v/>
      </c>
    </row>
    <row r="287">
      <c r="A287">
        <f>IF('03_Helper'!A287="","",'03_Helper'!B287)</f>
        <v/>
      </c>
      <c r="B287">
        <f>IF('03_Helper'!A287="","",'03_Helper'!C287)</f>
        <v/>
      </c>
      <c r="C287">
        <f>IF('03_Helper'!A287="","",'03_Helper'!G287)</f>
        <v/>
      </c>
      <c r="D287">
        <f>IF('03_Helper'!A287="","",'03_Helper'!E287)</f>
        <v/>
      </c>
      <c r="E287">
        <f>IF('03_Helper'!A287="","",'03_Helper'!D287)</f>
        <v/>
      </c>
      <c r="F287">
        <f>IF('03_Helper'!A287="","",'03_Helper'!H287)</f>
        <v/>
      </c>
      <c r="G287">
        <f>IF('03_Helper'!A287="","",'03_Helper'!X287)</f>
        <v/>
      </c>
      <c r="H287">
        <f>IF('03_Helper'!A287="","",'03_Helper'!Y287)</f>
        <v/>
      </c>
      <c r="I287">
        <f>IF('03_Helper'!A287="","",'03_Helper'!Z287)</f>
        <v/>
      </c>
      <c r="J287">
        <f>IF('03_Helper'!A287="","",'03_Helper'!Q287)</f>
        <v/>
      </c>
      <c r="K287">
        <f>IF('03_Helper'!A287="","",'03_Helper'!R287)</f>
        <v/>
      </c>
      <c r="L287">
        <f>IF('03_Helper'!A287="","",'03_Helper'!S287)</f>
        <v/>
      </c>
      <c r="M287">
        <f>IF('03_Helper'!A287="","",'03_Helper'!T287)</f>
        <v/>
      </c>
      <c r="N287">
        <f>IF('03_Helper'!A287="","",'03_Helper'!AA287)</f>
        <v/>
      </c>
      <c r="O287">
        <f>IF('03_Helper'!A287="","",'03_Helper'!AB287)</f>
        <v/>
      </c>
      <c r="P287">
        <f>IF('03_Helper'!A287="","",'03_Helper'!AC287)</f>
        <v/>
      </c>
      <c r="Q287">
        <f>IF('03_Helper'!A287="","",'03_Helper'!AD287)</f>
        <v/>
      </c>
      <c r="R287">
        <f>IF('03_Helper'!A287="","",'03_Helper'!AI287)</f>
        <v/>
      </c>
      <c r="S287">
        <f>IF('03_Helper'!A287="","",'03_Helper'!AJ287)</f>
        <v/>
      </c>
      <c r="T287">
        <f>IF('03_Helper'!A287="","",'03_Helper'!U287)</f>
        <v/>
      </c>
      <c r="U287">
        <f>IF('03_Helper'!A287="","",'03_Helper'!W287)</f>
        <v/>
      </c>
      <c r="V287">
        <f>IF('03_Helper'!A287="","",'03_Helper'!AG287)</f>
        <v/>
      </c>
      <c r="W287">
        <f>IF('03_Helper'!A287="","",'03_Helper'!AK287)</f>
        <v/>
      </c>
      <c r="X287">
        <f>IF('03_Helper'!A287="","",'03_Helper'!K287)</f>
        <v/>
      </c>
      <c r="Y287">
        <f>IF('03_Helper'!A287="","",'03_Helper'!AN287)</f>
        <v/>
      </c>
    </row>
    <row r="288">
      <c r="A288">
        <f>IF('03_Helper'!A288="","",'03_Helper'!B288)</f>
        <v/>
      </c>
      <c r="B288">
        <f>IF('03_Helper'!A288="","",'03_Helper'!C288)</f>
        <v/>
      </c>
      <c r="C288">
        <f>IF('03_Helper'!A288="","",'03_Helper'!G288)</f>
        <v/>
      </c>
      <c r="D288">
        <f>IF('03_Helper'!A288="","",'03_Helper'!E288)</f>
        <v/>
      </c>
      <c r="E288">
        <f>IF('03_Helper'!A288="","",'03_Helper'!D288)</f>
        <v/>
      </c>
      <c r="F288">
        <f>IF('03_Helper'!A288="","",'03_Helper'!H288)</f>
        <v/>
      </c>
      <c r="G288">
        <f>IF('03_Helper'!A288="","",'03_Helper'!X288)</f>
        <v/>
      </c>
      <c r="H288">
        <f>IF('03_Helper'!A288="","",'03_Helper'!Y288)</f>
        <v/>
      </c>
      <c r="I288">
        <f>IF('03_Helper'!A288="","",'03_Helper'!Z288)</f>
        <v/>
      </c>
      <c r="J288">
        <f>IF('03_Helper'!A288="","",'03_Helper'!Q288)</f>
        <v/>
      </c>
      <c r="K288">
        <f>IF('03_Helper'!A288="","",'03_Helper'!R288)</f>
        <v/>
      </c>
      <c r="L288">
        <f>IF('03_Helper'!A288="","",'03_Helper'!S288)</f>
        <v/>
      </c>
      <c r="M288">
        <f>IF('03_Helper'!A288="","",'03_Helper'!T288)</f>
        <v/>
      </c>
      <c r="N288">
        <f>IF('03_Helper'!A288="","",'03_Helper'!AA288)</f>
        <v/>
      </c>
      <c r="O288">
        <f>IF('03_Helper'!A288="","",'03_Helper'!AB288)</f>
        <v/>
      </c>
      <c r="P288">
        <f>IF('03_Helper'!A288="","",'03_Helper'!AC288)</f>
        <v/>
      </c>
      <c r="Q288">
        <f>IF('03_Helper'!A288="","",'03_Helper'!AD288)</f>
        <v/>
      </c>
      <c r="R288">
        <f>IF('03_Helper'!A288="","",'03_Helper'!AI288)</f>
        <v/>
      </c>
      <c r="S288">
        <f>IF('03_Helper'!A288="","",'03_Helper'!AJ288)</f>
        <v/>
      </c>
      <c r="T288">
        <f>IF('03_Helper'!A288="","",'03_Helper'!U288)</f>
        <v/>
      </c>
      <c r="U288">
        <f>IF('03_Helper'!A288="","",'03_Helper'!W288)</f>
        <v/>
      </c>
      <c r="V288">
        <f>IF('03_Helper'!A288="","",'03_Helper'!AG288)</f>
        <v/>
      </c>
      <c r="W288">
        <f>IF('03_Helper'!A288="","",'03_Helper'!AK288)</f>
        <v/>
      </c>
      <c r="X288">
        <f>IF('03_Helper'!A288="","",'03_Helper'!K288)</f>
        <v/>
      </c>
      <c r="Y288">
        <f>IF('03_Helper'!A288="","",'03_Helper'!AN288)</f>
        <v/>
      </c>
    </row>
    <row r="289">
      <c r="A289">
        <f>IF('03_Helper'!A289="","",'03_Helper'!B289)</f>
        <v/>
      </c>
      <c r="B289">
        <f>IF('03_Helper'!A289="","",'03_Helper'!C289)</f>
        <v/>
      </c>
      <c r="C289">
        <f>IF('03_Helper'!A289="","",'03_Helper'!G289)</f>
        <v/>
      </c>
      <c r="D289">
        <f>IF('03_Helper'!A289="","",'03_Helper'!E289)</f>
        <v/>
      </c>
      <c r="E289">
        <f>IF('03_Helper'!A289="","",'03_Helper'!D289)</f>
        <v/>
      </c>
      <c r="F289">
        <f>IF('03_Helper'!A289="","",'03_Helper'!H289)</f>
        <v/>
      </c>
      <c r="G289">
        <f>IF('03_Helper'!A289="","",'03_Helper'!X289)</f>
        <v/>
      </c>
      <c r="H289">
        <f>IF('03_Helper'!A289="","",'03_Helper'!Y289)</f>
        <v/>
      </c>
      <c r="I289">
        <f>IF('03_Helper'!A289="","",'03_Helper'!Z289)</f>
        <v/>
      </c>
      <c r="J289">
        <f>IF('03_Helper'!A289="","",'03_Helper'!Q289)</f>
        <v/>
      </c>
      <c r="K289">
        <f>IF('03_Helper'!A289="","",'03_Helper'!R289)</f>
        <v/>
      </c>
      <c r="L289">
        <f>IF('03_Helper'!A289="","",'03_Helper'!S289)</f>
        <v/>
      </c>
      <c r="M289">
        <f>IF('03_Helper'!A289="","",'03_Helper'!T289)</f>
        <v/>
      </c>
      <c r="N289">
        <f>IF('03_Helper'!A289="","",'03_Helper'!AA289)</f>
        <v/>
      </c>
      <c r="O289">
        <f>IF('03_Helper'!A289="","",'03_Helper'!AB289)</f>
        <v/>
      </c>
      <c r="P289">
        <f>IF('03_Helper'!A289="","",'03_Helper'!AC289)</f>
        <v/>
      </c>
      <c r="Q289">
        <f>IF('03_Helper'!A289="","",'03_Helper'!AD289)</f>
        <v/>
      </c>
      <c r="R289">
        <f>IF('03_Helper'!A289="","",'03_Helper'!AI289)</f>
        <v/>
      </c>
      <c r="S289">
        <f>IF('03_Helper'!A289="","",'03_Helper'!AJ289)</f>
        <v/>
      </c>
      <c r="T289">
        <f>IF('03_Helper'!A289="","",'03_Helper'!U289)</f>
        <v/>
      </c>
      <c r="U289">
        <f>IF('03_Helper'!A289="","",'03_Helper'!W289)</f>
        <v/>
      </c>
      <c r="V289">
        <f>IF('03_Helper'!A289="","",'03_Helper'!AG289)</f>
        <v/>
      </c>
      <c r="W289">
        <f>IF('03_Helper'!A289="","",'03_Helper'!AK289)</f>
        <v/>
      </c>
      <c r="X289">
        <f>IF('03_Helper'!A289="","",'03_Helper'!K289)</f>
        <v/>
      </c>
      <c r="Y289">
        <f>IF('03_Helper'!A289="","",'03_Helper'!AN289)</f>
        <v/>
      </c>
    </row>
    <row r="290">
      <c r="A290">
        <f>IF('03_Helper'!A290="","",'03_Helper'!B290)</f>
        <v/>
      </c>
      <c r="B290">
        <f>IF('03_Helper'!A290="","",'03_Helper'!C290)</f>
        <v/>
      </c>
      <c r="C290">
        <f>IF('03_Helper'!A290="","",'03_Helper'!G290)</f>
        <v/>
      </c>
      <c r="D290">
        <f>IF('03_Helper'!A290="","",'03_Helper'!E290)</f>
        <v/>
      </c>
      <c r="E290">
        <f>IF('03_Helper'!A290="","",'03_Helper'!D290)</f>
        <v/>
      </c>
      <c r="F290">
        <f>IF('03_Helper'!A290="","",'03_Helper'!H290)</f>
        <v/>
      </c>
      <c r="G290">
        <f>IF('03_Helper'!A290="","",'03_Helper'!X290)</f>
        <v/>
      </c>
      <c r="H290">
        <f>IF('03_Helper'!A290="","",'03_Helper'!Y290)</f>
        <v/>
      </c>
      <c r="I290">
        <f>IF('03_Helper'!A290="","",'03_Helper'!Z290)</f>
        <v/>
      </c>
      <c r="J290">
        <f>IF('03_Helper'!A290="","",'03_Helper'!Q290)</f>
        <v/>
      </c>
      <c r="K290">
        <f>IF('03_Helper'!A290="","",'03_Helper'!R290)</f>
        <v/>
      </c>
      <c r="L290">
        <f>IF('03_Helper'!A290="","",'03_Helper'!S290)</f>
        <v/>
      </c>
      <c r="M290">
        <f>IF('03_Helper'!A290="","",'03_Helper'!T290)</f>
        <v/>
      </c>
      <c r="N290">
        <f>IF('03_Helper'!A290="","",'03_Helper'!AA290)</f>
        <v/>
      </c>
      <c r="O290">
        <f>IF('03_Helper'!A290="","",'03_Helper'!AB290)</f>
        <v/>
      </c>
      <c r="P290">
        <f>IF('03_Helper'!A290="","",'03_Helper'!AC290)</f>
        <v/>
      </c>
      <c r="Q290">
        <f>IF('03_Helper'!A290="","",'03_Helper'!AD290)</f>
        <v/>
      </c>
      <c r="R290">
        <f>IF('03_Helper'!A290="","",'03_Helper'!AI290)</f>
        <v/>
      </c>
      <c r="S290">
        <f>IF('03_Helper'!A290="","",'03_Helper'!AJ290)</f>
        <v/>
      </c>
      <c r="T290">
        <f>IF('03_Helper'!A290="","",'03_Helper'!U290)</f>
        <v/>
      </c>
      <c r="U290">
        <f>IF('03_Helper'!A290="","",'03_Helper'!W290)</f>
        <v/>
      </c>
      <c r="V290">
        <f>IF('03_Helper'!A290="","",'03_Helper'!AG290)</f>
        <v/>
      </c>
      <c r="W290">
        <f>IF('03_Helper'!A290="","",'03_Helper'!AK290)</f>
        <v/>
      </c>
      <c r="X290">
        <f>IF('03_Helper'!A290="","",'03_Helper'!K290)</f>
        <v/>
      </c>
      <c r="Y290">
        <f>IF('03_Helper'!A290="","",'03_Helper'!AN290)</f>
        <v/>
      </c>
    </row>
    <row r="291">
      <c r="A291">
        <f>IF('03_Helper'!A291="","",'03_Helper'!B291)</f>
        <v/>
      </c>
      <c r="B291">
        <f>IF('03_Helper'!A291="","",'03_Helper'!C291)</f>
        <v/>
      </c>
      <c r="C291">
        <f>IF('03_Helper'!A291="","",'03_Helper'!G291)</f>
        <v/>
      </c>
      <c r="D291">
        <f>IF('03_Helper'!A291="","",'03_Helper'!E291)</f>
        <v/>
      </c>
      <c r="E291">
        <f>IF('03_Helper'!A291="","",'03_Helper'!D291)</f>
        <v/>
      </c>
      <c r="F291">
        <f>IF('03_Helper'!A291="","",'03_Helper'!H291)</f>
        <v/>
      </c>
      <c r="G291">
        <f>IF('03_Helper'!A291="","",'03_Helper'!X291)</f>
        <v/>
      </c>
      <c r="H291">
        <f>IF('03_Helper'!A291="","",'03_Helper'!Y291)</f>
        <v/>
      </c>
      <c r="I291">
        <f>IF('03_Helper'!A291="","",'03_Helper'!Z291)</f>
        <v/>
      </c>
      <c r="J291">
        <f>IF('03_Helper'!A291="","",'03_Helper'!Q291)</f>
        <v/>
      </c>
      <c r="K291">
        <f>IF('03_Helper'!A291="","",'03_Helper'!R291)</f>
        <v/>
      </c>
      <c r="L291">
        <f>IF('03_Helper'!A291="","",'03_Helper'!S291)</f>
        <v/>
      </c>
      <c r="M291">
        <f>IF('03_Helper'!A291="","",'03_Helper'!T291)</f>
        <v/>
      </c>
      <c r="N291">
        <f>IF('03_Helper'!A291="","",'03_Helper'!AA291)</f>
        <v/>
      </c>
      <c r="O291">
        <f>IF('03_Helper'!A291="","",'03_Helper'!AB291)</f>
        <v/>
      </c>
      <c r="P291">
        <f>IF('03_Helper'!A291="","",'03_Helper'!AC291)</f>
        <v/>
      </c>
      <c r="Q291">
        <f>IF('03_Helper'!A291="","",'03_Helper'!AD291)</f>
        <v/>
      </c>
      <c r="R291">
        <f>IF('03_Helper'!A291="","",'03_Helper'!AI291)</f>
        <v/>
      </c>
      <c r="S291">
        <f>IF('03_Helper'!A291="","",'03_Helper'!AJ291)</f>
        <v/>
      </c>
      <c r="T291">
        <f>IF('03_Helper'!A291="","",'03_Helper'!U291)</f>
        <v/>
      </c>
      <c r="U291">
        <f>IF('03_Helper'!A291="","",'03_Helper'!W291)</f>
        <v/>
      </c>
      <c r="V291">
        <f>IF('03_Helper'!A291="","",'03_Helper'!AG291)</f>
        <v/>
      </c>
      <c r="W291">
        <f>IF('03_Helper'!A291="","",'03_Helper'!AK291)</f>
        <v/>
      </c>
      <c r="X291">
        <f>IF('03_Helper'!A291="","",'03_Helper'!K291)</f>
        <v/>
      </c>
      <c r="Y291">
        <f>IF('03_Helper'!A291="","",'03_Helper'!AN291)</f>
        <v/>
      </c>
    </row>
    <row r="292">
      <c r="A292">
        <f>IF('03_Helper'!A292="","",'03_Helper'!B292)</f>
        <v/>
      </c>
      <c r="B292">
        <f>IF('03_Helper'!A292="","",'03_Helper'!C292)</f>
        <v/>
      </c>
      <c r="C292">
        <f>IF('03_Helper'!A292="","",'03_Helper'!G292)</f>
        <v/>
      </c>
      <c r="D292">
        <f>IF('03_Helper'!A292="","",'03_Helper'!E292)</f>
        <v/>
      </c>
      <c r="E292">
        <f>IF('03_Helper'!A292="","",'03_Helper'!D292)</f>
        <v/>
      </c>
      <c r="F292">
        <f>IF('03_Helper'!A292="","",'03_Helper'!H292)</f>
        <v/>
      </c>
      <c r="G292">
        <f>IF('03_Helper'!A292="","",'03_Helper'!X292)</f>
        <v/>
      </c>
      <c r="H292">
        <f>IF('03_Helper'!A292="","",'03_Helper'!Y292)</f>
        <v/>
      </c>
      <c r="I292">
        <f>IF('03_Helper'!A292="","",'03_Helper'!Z292)</f>
        <v/>
      </c>
      <c r="J292">
        <f>IF('03_Helper'!A292="","",'03_Helper'!Q292)</f>
        <v/>
      </c>
      <c r="K292">
        <f>IF('03_Helper'!A292="","",'03_Helper'!R292)</f>
        <v/>
      </c>
      <c r="L292">
        <f>IF('03_Helper'!A292="","",'03_Helper'!S292)</f>
        <v/>
      </c>
      <c r="M292">
        <f>IF('03_Helper'!A292="","",'03_Helper'!T292)</f>
        <v/>
      </c>
      <c r="N292">
        <f>IF('03_Helper'!A292="","",'03_Helper'!AA292)</f>
        <v/>
      </c>
      <c r="O292">
        <f>IF('03_Helper'!A292="","",'03_Helper'!AB292)</f>
        <v/>
      </c>
      <c r="P292">
        <f>IF('03_Helper'!A292="","",'03_Helper'!AC292)</f>
        <v/>
      </c>
      <c r="Q292">
        <f>IF('03_Helper'!A292="","",'03_Helper'!AD292)</f>
        <v/>
      </c>
      <c r="R292">
        <f>IF('03_Helper'!A292="","",'03_Helper'!AI292)</f>
        <v/>
      </c>
      <c r="S292">
        <f>IF('03_Helper'!A292="","",'03_Helper'!AJ292)</f>
        <v/>
      </c>
      <c r="T292">
        <f>IF('03_Helper'!A292="","",'03_Helper'!U292)</f>
        <v/>
      </c>
      <c r="U292">
        <f>IF('03_Helper'!A292="","",'03_Helper'!W292)</f>
        <v/>
      </c>
      <c r="V292">
        <f>IF('03_Helper'!A292="","",'03_Helper'!AG292)</f>
        <v/>
      </c>
      <c r="W292">
        <f>IF('03_Helper'!A292="","",'03_Helper'!AK292)</f>
        <v/>
      </c>
      <c r="X292">
        <f>IF('03_Helper'!A292="","",'03_Helper'!K292)</f>
        <v/>
      </c>
      <c r="Y292">
        <f>IF('03_Helper'!A292="","",'03_Helper'!AN292)</f>
        <v/>
      </c>
    </row>
    <row r="293">
      <c r="A293">
        <f>IF('03_Helper'!A293="","",'03_Helper'!B293)</f>
        <v/>
      </c>
      <c r="B293">
        <f>IF('03_Helper'!A293="","",'03_Helper'!C293)</f>
        <v/>
      </c>
      <c r="C293">
        <f>IF('03_Helper'!A293="","",'03_Helper'!G293)</f>
        <v/>
      </c>
      <c r="D293">
        <f>IF('03_Helper'!A293="","",'03_Helper'!E293)</f>
        <v/>
      </c>
      <c r="E293">
        <f>IF('03_Helper'!A293="","",'03_Helper'!D293)</f>
        <v/>
      </c>
      <c r="F293">
        <f>IF('03_Helper'!A293="","",'03_Helper'!H293)</f>
        <v/>
      </c>
      <c r="G293">
        <f>IF('03_Helper'!A293="","",'03_Helper'!X293)</f>
        <v/>
      </c>
      <c r="H293">
        <f>IF('03_Helper'!A293="","",'03_Helper'!Y293)</f>
        <v/>
      </c>
      <c r="I293">
        <f>IF('03_Helper'!A293="","",'03_Helper'!Z293)</f>
        <v/>
      </c>
      <c r="J293">
        <f>IF('03_Helper'!A293="","",'03_Helper'!Q293)</f>
        <v/>
      </c>
      <c r="K293">
        <f>IF('03_Helper'!A293="","",'03_Helper'!R293)</f>
        <v/>
      </c>
      <c r="L293">
        <f>IF('03_Helper'!A293="","",'03_Helper'!S293)</f>
        <v/>
      </c>
      <c r="M293">
        <f>IF('03_Helper'!A293="","",'03_Helper'!T293)</f>
        <v/>
      </c>
      <c r="N293">
        <f>IF('03_Helper'!A293="","",'03_Helper'!AA293)</f>
        <v/>
      </c>
      <c r="O293">
        <f>IF('03_Helper'!A293="","",'03_Helper'!AB293)</f>
        <v/>
      </c>
      <c r="P293">
        <f>IF('03_Helper'!A293="","",'03_Helper'!AC293)</f>
        <v/>
      </c>
      <c r="Q293">
        <f>IF('03_Helper'!A293="","",'03_Helper'!AD293)</f>
        <v/>
      </c>
      <c r="R293">
        <f>IF('03_Helper'!A293="","",'03_Helper'!AI293)</f>
        <v/>
      </c>
      <c r="S293">
        <f>IF('03_Helper'!A293="","",'03_Helper'!AJ293)</f>
        <v/>
      </c>
      <c r="T293">
        <f>IF('03_Helper'!A293="","",'03_Helper'!U293)</f>
        <v/>
      </c>
      <c r="U293">
        <f>IF('03_Helper'!A293="","",'03_Helper'!W293)</f>
        <v/>
      </c>
      <c r="V293">
        <f>IF('03_Helper'!A293="","",'03_Helper'!AG293)</f>
        <v/>
      </c>
      <c r="W293">
        <f>IF('03_Helper'!A293="","",'03_Helper'!AK293)</f>
        <v/>
      </c>
      <c r="X293">
        <f>IF('03_Helper'!A293="","",'03_Helper'!K293)</f>
        <v/>
      </c>
      <c r="Y293">
        <f>IF('03_Helper'!A293="","",'03_Helper'!AN293)</f>
        <v/>
      </c>
    </row>
    <row r="294">
      <c r="A294">
        <f>IF('03_Helper'!A294="","",'03_Helper'!B294)</f>
        <v/>
      </c>
      <c r="B294">
        <f>IF('03_Helper'!A294="","",'03_Helper'!C294)</f>
        <v/>
      </c>
      <c r="C294">
        <f>IF('03_Helper'!A294="","",'03_Helper'!G294)</f>
        <v/>
      </c>
      <c r="D294">
        <f>IF('03_Helper'!A294="","",'03_Helper'!E294)</f>
        <v/>
      </c>
      <c r="E294">
        <f>IF('03_Helper'!A294="","",'03_Helper'!D294)</f>
        <v/>
      </c>
      <c r="F294">
        <f>IF('03_Helper'!A294="","",'03_Helper'!H294)</f>
        <v/>
      </c>
      <c r="G294">
        <f>IF('03_Helper'!A294="","",'03_Helper'!X294)</f>
        <v/>
      </c>
      <c r="H294">
        <f>IF('03_Helper'!A294="","",'03_Helper'!Y294)</f>
        <v/>
      </c>
      <c r="I294">
        <f>IF('03_Helper'!A294="","",'03_Helper'!Z294)</f>
        <v/>
      </c>
      <c r="J294">
        <f>IF('03_Helper'!A294="","",'03_Helper'!Q294)</f>
        <v/>
      </c>
      <c r="K294">
        <f>IF('03_Helper'!A294="","",'03_Helper'!R294)</f>
        <v/>
      </c>
      <c r="L294">
        <f>IF('03_Helper'!A294="","",'03_Helper'!S294)</f>
        <v/>
      </c>
      <c r="M294">
        <f>IF('03_Helper'!A294="","",'03_Helper'!T294)</f>
        <v/>
      </c>
      <c r="N294">
        <f>IF('03_Helper'!A294="","",'03_Helper'!AA294)</f>
        <v/>
      </c>
      <c r="O294">
        <f>IF('03_Helper'!A294="","",'03_Helper'!AB294)</f>
        <v/>
      </c>
      <c r="P294">
        <f>IF('03_Helper'!A294="","",'03_Helper'!AC294)</f>
        <v/>
      </c>
      <c r="Q294">
        <f>IF('03_Helper'!A294="","",'03_Helper'!AD294)</f>
        <v/>
      </c>
      <c r="R294">
        <f>IF('03_Helper'!A294="","",'03_Helper'!AI294)</f>
        <v/>
      </c>
      <c r="S294">
        <f>IF('03_Helper'!A294="","",'03_Helper'!AJ294)</f>
        <v/>
      </c>
      <c r="T294">
        <f>IF('03_Helper'!A294="","",'03_Helper'!U294)</f>
        <v/>
      </c>
      <c r="U294">
        <f>IF('03_Helper'!A294="","",'03_Helper'!W294)</f>
        <v/>
      </c>
      <c r="V294">
        <f>IF('03_Helper'!A294="","",'03_Helper'!AG294)</f>
        <v/>
      </c>
      <c r="W294">
        <f>IF('03_Helper'!A294="","",'03_Helper'!AK294)</f>
        <v/>
      </c>
      <c r="X294">
        <f>IF('03_Helper'!A294="","",'03_Helper'!K294)</f>
        <v/>
      </c>
      <c r="Y294">
        <f>IF('03_Helper'!A294="","",'03_Helper'!AN294)</f>
        <v/>
      </c>
    </row>
    <row r="295">
      <c r="A295">
        <f>IF('03_Helper'!A295="","",'03_Helper'!B295)</f>
        <v/>
      </c>
      <c r="B295">
        <f>IF('03_Helper'!A295="","",'03_Helper'!C295)</f>
        <v/>
      </c>
      <c r="C295">
        <f>IF('03_Helper'!A295="","",'03_Helper'!G295)</f>
        <v/>
      </c>
      <c r="D295">
        <f>IF('03_Helper'!A295="","",'03_Helper'!E295)</f>
        <v/>
      </c>
      <c r="E295">
        <f>IF('03_Helper'!A295="","",'03_Helper'!D295)</f>
        <v/>
      </c>
      <c r="F295">
        <f>IF('03_Helper'!A295="","",'03_Helper'!H295)</f>
        <v/>
      </c>
      <c r="G295">
        <f>IF('03_Helper'!A295="","",'03_Helper'!X295)</f>
        <v/>
      </c>
      <c r="H295">
        <f>IF('03_Helper'!A295="","",'03_Helper'!Y295)</f>
        <v/>
      </c>
      <c r="I295">
        <f>IF('03_Helper'!A295="","",'03_Helper'!Z295)</f>
        <v/>
      </c>
      <c r="J295">
        <f>IF('03_Helper'!A295="","",'03_Helper'!Q295)</f>
        <v/>
      </c>
      <c r="K295">
        <f>IF('03_Helper'!A295="","",'03_Helper'!R295)</f>
        <v/>
      </c>
      <c r="L295">
        <f>IF('03_Helper'!A295="","",'03_Helper'!S295)</f>
        <v/>
      </c>
      <c r="M295">
        <f>IF('03_Helper'!A295="","",'03_Helper'!T295)</f>
        <v/>
      </c>
      <c r="N295">
        <f>IF('03_Helper'!A295="","",'03_Helper'!AA295)</f>
        <v/>
      </c>
      <c r="O295">
        <f>IF('03_Helper'!A295="","",'03_Helper'!AB295)</f>
        <v/>
      </c>
      <c r="P295">
        <f>IF('03_Helper'!A295="","",'03_Helper'!AC295)</f>
        <v/>
      </c>
      <c r="Q295">
        <f>IF('03_Helper'!A295="","",'03_Helper'!AD295)</f>
        <v/>
      </c>
      <c r="R295">
        <f>IF('03_Helper'!A295="","",'03_Helper'!AI295)</f>
        <v/>
      </c>
      <c r="S295">
        <f>IF('03_Helper'!A295="","",'03_Helper'!AJ295)</f>
        <v/>
      </c>
      <c r="T295">
        <f>IF('03_Helper'!A295="","",'03_Helper'!U295)</f>
        <v/>
      </c>
      <c r="U295">
        <f>IF('03_Helper'!A295="","",'03_Helper'!W295)</f>
        <v/>
      </c>
      <c r="V295">
        <f>IF('03_Helper'!A295="","",'03_Helper'!AG295)</f>
        <v/>
      </c>
      <c r="W295">
        <f>IF('03_Helper'!A295="","",'03_Helper'!AK295)</f>
        <v/>
      </c>
      <c r="X295">
        <f>IF('03_Helper'!A295="","",'03_Helper'!K295)</f>
        <v/>
      </c>
      <c r="Y295">
        <f>IF('03_Helper'!A295="","",'03_Helper'!AN295)</f>
        <v/>
      </c>
    </row>
    <row r="296">
      <c r="A296">
        <f>IF('03_Helper'!A296="","",'03_Helper'!B296)</f>
        <v/>
      </c>
      <c r="B296">
        <f>IF('03_Helper'!A296="","",'03_Helper'!C296)</f>
        <v/>
      </c>
      <c r="C296">
        <f>IF('03_Helper'!A296="","",'03_Helper'!G296)</f>
        <v/>
      </c>
      <c r="D296">
        <f>IF('03_Helper'!A296="","",'03_Helper'!E296)</f>
        <v/>
      </c>
      <c r="E296">
        <f>IF('03_Helper'!A296="","",'03_Helper'!D296)</f>
        <v/>
      </c>
      <c r="F296">
        <f>IF('03_Helper'!A296="","",'03_Helper'!H296)</f>
        <v/>
      </c>
      <c r="G296">
        <f>IF('03_Helper'!A296="","",'03_Helper'!X296)</f>
        <v/>
      </c>
      <c r="H296">
        <f>IF('03_Helper'!A296="","",'03_Helper'!Y296)</f>
        <v/>
      </c>
      <c r="I296">
        <f>IF('03_Helper'!A296="","",'03_Helper'!Z296)</f>
        <v/>
      </c>
      <c r="J296">
        <f>IF('03_Helper'!A296="","",'03_Helper'!Q296)</f>
        <v/>
      </c>
      <c r="K296">
        <f>IF('03_Helper'!A296="","",'03_Helper'!R296)</f>
        <v/>
      </c>
      <c r="L296">
        <f>IF('03_Helper'!A296="","",'03_Helper'!S296)</f>
        <v/>
      </c>
      <c r="M296">
        <f>IF('03_Helper'!A296="","",'03_Helper'!T296)</f>
        <v/>
      </c>
      <c r="N296">
        <f>IF('03_Helper'!A296="","",'03_Helper'!AA296)</f>
        <v/>
      </c>
      <c r="O296">
        <f>IF('03_Helper'!A296="","",'03_Helper'!AB296)</f>
        <v/>
      </c>
      <c r="P296">
        <f>IF('03_Helper'!A296="","",'03_Helper'!AC296)</f>
        <v/>
      </c>
      <c r="Q296">
        <f>IF('03_Helper'!A296="","",'03_Helper'!AD296)</f>
        <v/>
      </c>
      <c r="R296">
        <f>IF('03_Helper'!A296="","",'03_Helper'!AI296)</f>
        <v/>
      </c>
      <c r="S296">
        <f>IF('03_Helper'!A296="","",'03_Helper'!AJ296)</f>
        <v/>
      </c>
      <c r="T296">
        <f>IF('03_Helper'!A296="","",'03_Helper'!U296)</f>
        <v/>
      </c>
      <c r="U296">
        <f>IF('03_Helper'!A296="","",'03_Helper'!W296)</f>
        <v/>
      </c>
      <c r="V296">
        <f>IF('03_Helper'!A296="","",'03_Helper'!AG296)</f>
        <v/>
      </c>
      <c r="W296">
        <f>IF('03_Helper'!A296="","",'03_Helper'!AK296)</f>
        <v/>
      </c>
      <c r="X296">
        <f>IF('03_Helper'!A296="","",'03_Helper'!K296)</f>
        <v/>
      </c>
      <c r="Y296">
        <f>IF('03_Helper'!A296="","",'03_Helper'!AN296)</f>
        <v/>
      </c>
    </row>
    <row r="297">
      <c r="A297">
        <f>IF('03_Helper'!A297="","",'03_Helper'!B297)</f>
        <v/>
      </c>
      <c r="B297">
        <f>IF('03_Helper'!A297="","",'03_Helper'!C297)</f>
        <v/>
      </c>
      <c r="C297">
        <f>IF('03_Helper'!A297="","",'03_Helper'!G297)</f>
        <v/>
      </c>
      <c r="D297">
        <f>IF('03_Helper'!A297="","",'03_Helper'!E297)</f>
        <v/>
      </c>
      <c r="E297">
        <f>IF('03_Helper'!A297="","",'03_Helper'!D297)</f>
        <v/>
      </c>
      <c r="F297">
        <f>IF('03_Helper'!A297="","",'03_Helper'!H297)</f>
        <v/>
      </c>
      <c r="G297">
        <f>IF('03_Helper'!A297="","",'03_Helper'!X297)</f>
        <v/>
      </c>
      <c r="H297">
        <f>IF('03_Helper'!A297="","",'03_Helper'!Y297)</f>
        <v/>
      </c>
      <c r="I297">
        <f>IF('03_Helper'!A297="","",'03_Helper'!Z297)</f>
        <v/>
      </c>
      <c r="J297">
        <f>IF('03_Helper'!A297="","",'03_Helper'!Q297)</f>
        <v/>
      </c>
      <c r="K297">
        <f>IF('03_Helper'!A297="","",'03_Helper'!R297)</f>
        <v/>
      </c>
      <c r="L297">
        <f>IF('03_Helper'!A297="","",'03_Helper'!S297)</f>
        <v/>
      </c>
      <c r="M297">
        <f>IF('03_Helper'!A297="","",'03_Helper'!T297)</f>
        <v/>
      </c>
      <c r="N297">
        <f>IF('03_Helper'!A297="","",'03_Helper'!AA297)</f>
        <v/>
      </c>
      <c r="O297">
        <f>IF('03_Helper'!A297="","",'03_Helper'!AB297)</f>
        <v/>
      </c>
      <c r="P297">
        <f>IF('03_Helper'!A297="","",'03_Helper'!AC297)</f>
        <v/>
      </c>
      <c r="Q297">
        <f>IF('03_Helper'!A297="","",'03_Helper'!AD297)</f>
        <v/>
      </c>
      <c r="R297">
        <f>IF('03_Helper'!A297="","",'03_Helper'!AI297)</f>
        <v/>
      </c>
      <c r="S297">
        <f>IF('03_Helper'!A297="","",'03_Helper'!AJ297)</f>
        <v/>
      </c>
      <c r="T297">
        <f>IF('03_Helper'!A297="","",'03_Helper'!U297)</f>
        <v/>
      </c>
      <c r="U297">
        <f>IF('03_Helper'!A297="","",'03_Helper'!W297)</f>
        <v/>
      </c>
      <c r="V297">
        <f>IF('03_Helper'!A297="","",'03_Helper'!AG297)</f>
        <v/>
      </c>
      <c r="W297">
        <f>IF('03_Helper'!A297="","",'03_Helper'!AK297)</f>
        <v/>
      </c>
      <c r="X297">
        <f>IF('03_Helper'!A297="","",'03_Helper'!K297)</f>
        <v/>
      </c>
      <c r="Y297">
        <f>IF('03_Helper'!A297="","",'03_Helper'!AN297)</f>
        <v/>
      </c>
    </row>
    <row r="298">
      <c r="A298">
        <f>IF('03_Helper'!A298="","",'03_Helper'!B298)</f>
        <v/>
      </c>
      <c r="B298">
        <f>IF('03_Helper'!A298="","",'03_Helper'!C298)</f>
        <v/>
      </c>
      <c r="C298">
        <f>IF('03_Helper'!A298="","",'03_Helper'!G298)</f>
        <v/>
      </c>
      <c r="D298">
        <f>IF('03_Helper'!A298="","",'03_Helper'!E298)</f>
        <v/>
      </c>
      <c r="E298">
        <f>IF('03_Helper'!A298="","",'03_Helper'!D298)</f>
        <v/>
      </c>
      <c r="F298">
        <f>IF('03_Helper'!A298="","",'03_Helper'!H298)</f>
        <v/>
      </c>
      <c r="G298">
        <f>IF('03_Helper'!A298="","",'03_Helper'!X298)</f>
        <v/>
      </c>
      <c r="H298">
        <f>IF('03_Helper'!A298="","",'03_Helper'!Y298)</f>
        <v/>
      </c>
      <c r="I298">
        <f>IF('03_Helper'!A298="","",'03_Helper'!Z298)</f>
        <v/>
      </c>
      <c r="J298">
        <f>IF('03_Helper'!A298="","",'03_Helper'!Q298)</f>
        <v/>
      </c>
      <c r="K298">
        <f>IF('03_Helper'!A298="","",'03_Helper'!R298)</f>
        <v/>
      </c>
      <c r="L298">
        <f>IF('03_Helper'!A298="","",'03_Helper'!S298)</f>
        <v/>
      </c>
      <c r="M298">
        <f>IF('03_Helper'!A298="","",'03_Helper'!T298)</f>
        <v/>
      </c>
      <c r="N298">
        <f>IF('03_Helper'!A298="","",'03_Helper'!AA298)</f>
        <v/>
      </c>
      <c r="O298">
        <f>IF('03_Helper'!A298="","",'03_Helper'!AB298)</f>
        <v/>
      </c>
      <c r="P298">
        <f>IF('03_Helper'!A298="","",'03_Helper'!AC298)</f>
        <v/>
      </c>
      <c r="Q298">
        <f>IF('03_Helper'!A298="","",'03_Helper'!AD298)</f>
        <v/>
      </c>
      <c r="R298">
        <f>IF('03_Helper'!A298="","",'03_Helper'!AI298)</f>
        <v/>
      </c>
      <c r="S298">
        <f>IF('03_Helper'!A298="","",'03_Helper'!AJ298)</f>
        <v/>
      </c>
      <c r="T298">
        <f>IF('03_Helper'!A298="","",'03_Helper'!U298)</f>
        <v/>
      </c>
      <c r="U298">
        <f>IF('03_Helper'!A298="","",'03_Helper'!W298)</f>
        <v/>
      </c>
      <c r="V298">
        <f>IF('03_Helper'!A298="","",'03_Helper'!AG298)</f>
        <v/>
      </c>
      <c r="W298">
        <f>IF('03_Helper'!A298="","",'03_Helper'!AK298)</f>
        <v/>
      </c>
      <c r="X298">
        <f>IF('03_Helper'!A298="","",'03_Helper'!K298)</f>
        <v/>
      </c>
      <c r="Y298">
        <f>IF('03_Helper'!A298="","",'03_Helper'!AN298)</f>
        <v/>
      </c>
    </row>
    <row r="299">
      <c r="A299">
        <f>IF('03_Helper'!A299="","",'03_Helper'!B299)</f>
        <v/>
      </c>
      <c r="B299">
        <f>IF('03_Helper'!A299="","",'03_Helper'!C299)</f>
        <v/>
      </c>
      <c r="C299">
        <f>IF('03_Helper'!A299="","",'03_Helper'!G299)</f>
        <v/>
      </c>
      <c r="D299">
        <f>IF('03_Helper'!A299="","",'03_Helper'!E299)</f>
        <v/>
      </c>
      <c r="E299">
        <f>IF('03_Helper'!A299="","",'03_Helper'!D299)</f>
        <v/>
      </c>
      <c r="F299">
        <f>IF('03_Helper'!A299="","",'03_Helper'!H299)</f>
        <v/>
      </c>
      <c r="G299">
        <f>IF('03_Helper'!A299="","",'03_Helper'!X299)</f>
        <v/>
      </c>
      <c r="H299">
        <f>IF('03_Helper'!A299="","",'03_Helper'!Y299)</f>
        <v/>
      </c>
      <c r="I299">
        <f>IF('03_Helper'!A299="","",'03_Helper'!Z299)</f>
        <v/>
      </c>
      <c r="J299">
        <f>IF('03_Helper'!A299="","",'03_Helper'!Q299)</f>
        <v/>
      </c>
      <c r="K299">
        <f>IF('03_Helper'!A299="","",'03_Helper'!R299)</f>
        <v/>
      </c>
      <c r="L299">
        <f>IF('03_Helper'!A299="","",'03_Helper'!S299)</f>
        <v/>
      </c>
      <c r="M299">
        <f>IF('03_Helper'!A299="","",'03_Helper'!T299)</f>
        <v/>
      </c>
      <c r="N299">
        <f>IF('03_Helper'!A299="","",'03_Helper'!AA299)</f>
        <v/>
      </c>
      <c r="O299">
        <f>IF('03_Helper'!A299="","",'03_Helper'!AB299)</f>
        <v/>
      </c>
      <c r="P299">
        <f>IF('03_Helper'!A299="","",'03_Helper'!AC299)</f>
        <v/>
      </c>
      <c r="Q299">
        <f>IF('03_Helper'!A299="","",'03_Helper'!AD299)</f>
        <v/>
      </c>
      <c r="R299">
        <f>IF('03_Helper'!A299="","",'03_Helper'!AI299)</f>
        <v/>
      </c>
      <c r="S299">
        <f>IF('03_Helper'!A299="","",'03_Helper'!AJ299)</f>
        <v/>
      </c>
      <c r="T299">
        <f>IF('03_Helper'!A299="","",'03_Helper'!U299)</f>
        <v/>
      </c>
      <c r="U299">
        <f>IF('03_Helper'!A299="","",'03_Helper'!W299)</f>
        <v/>
      </c>
      <c r="V299">
        <f>IF('03_Helper'!A299="","",'03_Helper'!AG299)</f>
        <v/>
      </c>
      <c r="W299">
        <f>IF('03_Helper'!A299="","",'03_Helper'!AK299)</f>
        <v/>
      </c>
      <c r="X299">
        <f>IF('03_Helper'!A299="","",'03_Helper'!K299)</f>
        <v/>
      </c>
      <c r="Y299">
        <f>IF('03_Helper'!A299="","",'03_Helper'!AN299)</f>
        <v/>
      </c>
    </row>
    <row r="300">
      <c r="A300">
        <f>IF('03_Helper'!A300="","",'03_Helper'!B300)</f>
        <v/>
      </c>
      <c r="B300">
        <f>IF('03_Helper'!A300="","",'03_Helper'!C300)</f>
        <v/>
      </c>
      <c r="C300">
        <f>IF('03_Helper'!A300="","",'03_Helper'!G300)</f>
        <v/>
      </c>
      <c r="D300">
        <f>IF('03_Helper'!A300="","",'03_Helper'!E300)</f>
        <v/>
      </c>
      <c r="E300">
        <f>IF('03_Helper'!A300="","",'03_Helper'!D300)</f>
        <v/>
      </c>
      <c r="F300">
        <f>IF('03_Helper'!A300="","",'03_Helper'!H300)</f>
        <v/>
      </c>
      <c r="G300">
        <f>IF('03_Helper'!A300="","",'03_Helper'!X300)</f>
        <v/>
      </c>
      <c r="H300">
        <f>IF('03_Helper'!A300="","",'03_Helper'!Y300)</f>
        <v/>
      </c>
      <c r="I300">
        <f>IF('03_Helper'!A300="","",'03_Helper'!Z300)</f>
        <v/>
      </c>
      <c r="J300">
        <f>IF('03_Helper'!A300="","",'03_Helper'!Q300)</f>
        <v/>
      </c>
      <c r="K300">
        <f>IF('03_Helper'!A300="","",'03_Helper'!R300)</f>
        <v/>
      </c>
      <c r="L300">
        <f>IF('03_Helper'!A300="","",'03_Helper'!S300)</f>
        <v/>
      </c>
      <c r="M300">
        <f>IF('03_Helper'!A300="","",'03_Helper'!T300)</f>
        <v/>
      </c>
      <c r="N300">
        <f>IF('03_Helper'!A300="","",'03_Helper'!AA300)</f>
        <v/>
      </c>
      <c r="O300">
        <f>IF('03_Helper'!A300="","",'03_Helper'!AB300)</f>
        <v/>
      </c>
      <c r="P300">
        <f>IF('03_Helper'!A300="","",'03_Helper'!AC300)</f>
        <v/>
      </c>
      <c r="Q300">
        <f>IF('03_Helper'!A300="","",'03_Helper'!AD300)</f>
        <v/>
      </c>
      <c r="R300">
        <f>IF('03_Helper'!A300="","",'03_Helper'!AI300)</f>
        <v/>
      </c>
      <c r="S300">
        <f>IF('03_Helper'!A300="","",'03_Helper'!AJ300)</f>
        <v/>
      </c>
      <c r="T300">
        <f>IF('03_Helper'!A300="","",'03_Helper'!U300)</f>
        <v/>
      </c>
      <c r="U300">
        <f>IF('03_Helper'!A300="","",'03_Helper'!W300)</f>
        <v/>
      </c>
      <c r="V300">
        <f>IF('03_Helper'!A300="","",'03_Helper'!AG300)</f>
        <v/>
      </c>
      <c r="W300">
        <f>IF('03_Helper'!A300="","",'03_Helper'!AK300)</f>
        <v/>
      </c>
      <c r="X300">
        <f>IF('03_Helper'!A300="","",'03_Helper'!K300)</f>
        <v/>
      </c>
      <c r="Y300">
        <f>IF('03_Helper'!A300="","",'03_Helper'!AN300)</f>
        <v/>
      </c>
    </row>
    <row r="301">
      <c r="A301">
        <f>IF('03_Helper'!A301="","",'03_Helper'!B301)</f>
        <v/>
      </c>
      <c r="B301">
        <f>IF('03_Helper'!A301="","",'03_Helper'!C301)</f>
        <v/>
      </c>
      <c r="C301">
        <f>IF('03_Helper'!A301="","",'03_Helper'!G301)</f>
        <v/>
      </c>
      <c r="D301">
        <f>IF('03_Helper'!A301="","",'03_Helper'!E301)</f>
        <v/>
      </c>
      <c r="E301">
        <f>IF('03_Helper'!A301="","",'03_Helper'!D301)</f>
        <v/>
      </c>
      <c r="F301">
        <f>IF('03_Helper'!A301="","",'03_Helper'!H301)</f>
        <v/>
      </c>
      <c r="G301">
        <f>IF('03_Helper'!A301="","",'03_Helper'!X301)</f>
        <v/>
      </c>
      <c r="H301">
        <f>IF('03_Helper'!A301="","",'03_Helper'!Y301)</f>
        <v/>
      </c>
      <c r="I301">
        <f>IF('03_Helper'!A301="","",'03_Helper'!Z301)</f>
        <v/>
      </c>
      <c r="J301">
        <f>IF('03_Helper'!A301="","",'03_Helper'!Q301)</f>
        <v/>
      </c>
      <c r="K301">
        <f>IF('03_Helper'!A301="","",'03_Helper'!R301)</f>
        <v/>
      </c>
      <c r="L301">
        <f>IF('03_Helper'!A301="","",'03_Helper'!S301)</f>
        <v/>
      </c>
      <c r="M301">
        <f>IF('03_Helper'!A301="","",'03_Helper'!T301)</f>
        <v/>
      </c>
      <c r="N301">
        <f>IF('03_Helper'!A301="","",'03_Helper'!AA301)</f>
        <v/>
      </c>
      <c r="O301">
        <f>IF('03_Helper'!A301="","",'03_Helper'!AB301)</f>
        <v/>
      </c>
      <c r="P301">
        <f>IF('03_Helper'!A301="","",'03_Helper'!AC301)</f>
        <v/>
      </c>
      <c r="Q301">
        <f>IF('03_Helper'!A301="","",'03_Helper'!AD301)</f>
        <v/>
      </c>
      <c r="R301">
        <f>IF('03_Helper'!A301="","",'03_Helper'!AI301)</f>
        <v/>
      </c>
      <c r="S301">
        <f>IF('03_Helper'!A301="","",'03_Helper'!AJ301)</f>
        <v/>
      </c>
      <c r="T301">
        <f>IF('03_Helper'!A301="","",'03_Helper'!U301)</f>
        <v/>
      </c>
      <c r="U301">
        <f>IF('03_Helper'!A301="","",'03_Helper'!W301)</f>
        <v/>
      </c>
      <c r="V301">
        <f>IF('03_Helper'!A301="","",'03_Helper'!AG301)</f>
        <v/>
      </c>
      <c r="W301">
        <f>IF('03_Helper'!A301="","",'03_Helper'!AK301)</f>
        <v/>
      </c>
      <c r="X301">
        <f>IF('03_Helper'!A301="","",'03_Helper'!K301)</f>
        <v/>
      </c>
      <c r="Y301">
        <f>IF('03_Helper'!A301="","",'03_Helper'!AN301)</f>
        <v/>
      </c>
    </row>
    <row r="302">
      <c r="A302">
        <f>IF('03_Helper'!A302="","",'03_Helper'!B302)</f>
        <v/>
      </c>
      <c r="B302">
        <f>IF('03_Helper'!A302="","",'03_Helper'!C302)</f>
        <v/>
      </c>
      <c r="C302">
        <f>IF('03_Helper'!A302="","",'03_Helper'!G302)</f>
        <v/>
      </c>
      <c r="D302">
        <f>IF('03_Helper'!A302="","",'03_Helper'!E302)</f>
        <v/>
      </c>
      <c r="E302">
        <f>IF('03_Helper'!A302="","",'03_Helper'!D302)</f>
        <v/>
      </c>
      <c r="F302">
        <f>IF('03_Helper'!A302="","",'03_Helper'!H302)</f>
        <v/>
      </c>
      <c r="G302">
        <f>IF('03_Helper'!A302="","",'03_Helper'!X302)</f>
        <v/>
      </c>
      <c r="H302">
        <f>IF('03_Helper'!A302="","",'03_Helper'!Y302)</f>
        <v/>
      </c>
      <c r="I302">
        <f>IF('03_Helper'!A302="","",'03_Helper'!Z302)</f>
        <v/>
      </c>
      <c r="J302">
        <f>IF('03_Helper'!A302="","",'03_Helper'!Q302)</f>
        <v/>
      </c>
      <c r="K302">
        <f>IF('03_Helper'!A302="","",'03_Helper'!R302)</f>
        <v/>
      </c>
      <c r="L302">
        <f>IF('03_Helper'!A302="","",'03_Helper'!S302)</f>
        <v/>
      </c>
      <c r="M302">
        <f>IF('03_Helper'!A302="","",'03_Helper'!T302)</f>
        <v/>
      </c>
      <c r="N302">
        <f>IF('03_Helper'!A302="","",'03_Helper'!AA302)</f>
        <v/>
      </c>
      <c r="O302">
        <f>IF('03_Helper'!A302="","",'03_Helper'!AB302)</f>
        <v/>
      </c>
      <c r="P302">
        <f>IF('03_Helper'!A302="","",'03_Helper'!AC302)</f>
        <v/>
      </c>
      <c r="Q302">
        <f>IF('03_Helper'!A302="","",'03_Helper'!AD302)</f>
        <v/>
      </c>
      <c r="R302">
        <f>IF('03_Helper'!A302="","",'03_Helper'!AI302)</f>
        <v/>
      </c>
      <c r="S302">
        <f>IF('03_Helper'!A302="","",'03_Helper'!AJ302)</f>
        <v/>
      </c>
      <c r="T302">
        <f>IF('03_Helper'!A302="","",'03_Helper'!U302)</f>
        <v/>
      </c>
      <c r="U302">
        <f>IF('03_Helper'!A302="","",'03_Helper'!W302)</f>
        <v/>
      </c>
      <c r="V302">
        <f>IF('03_Helper'!A302="","",'03_Helper'!AG302)</f>
        <v/>
      </c>
      <c r="W302">
        <f>IF('03_Helper'!A302="","",'03_Helper'!AK302)</f>
        <v/>
      </c>
      <c r="X302">
        <f>IF('03_Helper'!A302="","",'03_Helper'!K302)</f>
        <v/>
      </c>
      <c r="Y302">
        <f>IF('03_Helper'!A302="","",'03_Helper'!AN302)</f>
        <v/>
      </c>
    </row>
    <row r="303">
      <c r="A303">
        <f>IF('03_Helper'!A303="","",'03_Helper'!B303)</f>
        <v/>
      </c>
      <c r="B303">
        <f>IF('03_Helper'!A303="","",'03_Helper'!C303)</f>
        <v/>
      </c>
      <c r="C303">
        <f>IF('03_Helper'!A303="","",'03_Helper'!G303)</f>
        <v/>
      </c>
      <c r="D303">
        <f>IF('03_Helper'!A303="","",'03_Helper'!E303)</f>
        <v/>
      </c>
      <c r="E303">
        <f>IF('03_Helper'!A303="","",'03_Helper'!D303)</f>
        <v/>
      </c>
      <c r="F303">
        <f>IF('03_Helper'!A303="","",'03_Helper'!H303)</f>
        <v/>
      </c>
      <c r="G303">
        <f>IF('03_Helper'!A303="","",'03_Helper'!X303)</f>
        <v/>
      </c>
      <c r="H303">
        <f>IF('03_Helper'!A303="","",'03_Helper'!Y303)</f>
        <v/>
      </c>
      <c r="I303">
        <f>IF('03_Helper'!A303="","",'03_Helper'!Z303)</f>
        <v/>
      </c>
      <c r="J303">
        <f>IF('03_Helper'!A303="","",'03_Helper'!Q303)</f>
        <v/>
      </c>
      <c r="K303">
        <f>IF('03_Helper'!A303="","",'03_Helper'!R303)</f>
        <v/>
      </c>
      <c r="L303">
        <f>IF('03_Helper'!A303="","",'03_Helper'!S303)</f>
        <v/>
      </c>
      <c r="M303">
        <f>IF('03_Helper'!A303="","",'03_Helper'!T303)</f>
        <v/>
      </c>
      <c r="N303">
        <f>IF('03_Helper'!A303="","",'03_Helper'!AA303)</f>
        <v/>
      </c>
      <c r="O303">
        <f>IF('03_Helper'!A303="","",'03_Helper'!AB303)</f>
        <v/>
      </c>
      <c r="P303">
        <f>IF('03_Helper'!A303="","",'03_Helper'!AC303)</f>
        <v/>
      </c>
      <c r="Q303">
        <f>IF('03_Helper'!A303="","",'03_Helper'!AD303)</f>
        <v/>
      </c>
      <c r="R303">
        <f>IF('03_Helper'!A303="","",'03_Helper'!AI303)</f>
        <v/>
      </c>
      <c r="S303">
        <f>IF('03_Helper'!A303="","",'03_Helper'!AJ303)</f>
        <v/>
      </c>
      <c r="T303">
        <f>IF('03_Helper'!A303="","",'03_Helper'!U303)</f>
        <v/>
      </c>
      <c r="U303">
        <f>IF('03_Helper'!A303="","",'03_Helper'!W303)</f>
        <v/>
      </c>
      <c r="V303">
        <f>IF('03_Helper'!A303="","",'03_Helper'!AG303)</f>
        <v/>
      </c>
      <c r="W303">
        <f>IF('03_Helper'!A303="","",'03_Helper'!AK303)</f>
        <v/>
      </c>
      <c r="X303">
        <f>IF('03_Helper'!A303="","",'03_Helper'!K303)</f>
        <v/>
      </c>
      <c r="Y303">
        <f>IF('03_Helper'!A303="","",'03_Helper'!AN303)</f>
        <v/>
      </c>
    </row>
    <row r="304">
      <c r="A304">
        <f>IF('03_Helper'!A304="","",'03_Helper'!B304)</f>
        <v/>
      </c>
      <c r="B304">
        <f>IF('03_Helper'!A304="","",'03_Helper'!C304)</f>
        <v/>
      </c>
      <c r="C304">
        <f>IF('03_Helper'!A304="","",'03_Helper'!G304)</f>
        <v/>
      </c>
      <c r="D304">
        <f>IF('03_Helper'!A304="","",'03_Helper'!E304)</f>
        <v/>
      </c>
      <c r="E304">
        <f>IF('03_Helper'!A304="","",'03_Helper'!D304)</f>
        <v/>
      </c>
      <c r="F304">
        <f>IF('03_Helper'!A304="","",'03_Helper'!H304)</f>
        <v/>
      </c>
      <c r="G304">
        <f>IF('03_Helper'!A304="","",'03_Helper'!X304)</f>
        <v/>
      </c>
      <c r="H304">
        <f>IF('03_Helper'!A304="","",'03_Helper'!Y304)</f>
        <v/>
      </c>
      <c r="I304">
        <f>IF('03_Helper'!A304="","",'03_Helper'!Z304)</f>
        <v/>
      </c>
      <c r="J304">
        <f>IF('03_Helper'!A304="","",'03_Helper'!Q304)</f>
        <v/>
      </c>
      <c r="K304">
        <f>IF('03_Helper'!A304="","",'03_Helper'!R304)</f>
        <v/>
      </c>
      <c r="L304">
        <f>IF('03_Helper'!A304="","",'03_Helper'!S304)</f>
        <v/>
      </c>
      <c r="M304">
        <f>IF('03_Helper'!A304="","",'03_Helper'!T304)</f>
        <v/>
      </c>
      <c r="N304">
        <f>IF('03_Helper'!A304="","",'03_Helper'!AA304)</f>
        <v/>
      </c>
      <c r="O304">
        <f>IF('03_Helper'!A304="","",'03_Helper'!AB304)</f>
        <v/>
      </c>
      <c r="P304">
        <f>IF('03_Helper'!A304="","",'03_Helper'!AC304)</f>
        <v/>
      </c>
      <c r="Q304">
        <f>IF('03_Helper'!A304="","",'03_Helper'!AD304)</f>
        <v/>
      </c>
      <c r="R304">
        <f>IF('03_Helper'!A304="","",'03_Helper'!AI304)</f>
        <v/>
      </c>
      <c r="S304">
        <f>IF('03_Helper'!A304="","",'03_Helper'!AJ304)</f>
        <v/>
      </c>
      <c r="T304">
        <f>IF('03_Helper'!A304="","",'03_Helper'!U304)</f>
        <v/>
      </c>
      <c r="U304">
        <f>IF('03_Helper'!A304="","",'03_Helper'!W304)</f>
        <v/>
      </c>
      <c r="V304">
        <f>IF('03_Helper'!A304="","",'03_Helper'!AG304)</f>
        <v/>
      </c>
      <c r="W304">
        <f>IF('03_Helper'!A304="","",'03_Helper'!AK304)</f>
        <v/>
      </c>
      <c r="X304">
        <f>IF('03_Helper'!A304="","",'03_Helper'!K304)</f>
        <v/>
      </c>
      <c r="Y304">
        <f>IF('03_Helper'!A304="","",'03_Helper'!AN304)</f>
        <v/>
      </c>
    </row>
    <row r="305">
      <c r="A305">
        <f>IF('03_Helper'!A305="","",'03_Helper'!B305)</f>
        <v/>
      </c>
      <c r="B305">
        <f>IF('03_Helper'!A305="","",'03_Helper'!C305)</f>
        <v/>
      </c>
      <c r="C305">
        <f>IF('03_Helper'!A305="","",'03_Helper'!G305)</f>
        <v/>
      </c>
      <c r="D305">
        <f>IF('03_Helper'!A305="","",'03_Helper'!E305)</f>
        <v/>
      </c>
      <c r="E305">
        <f>IF('03_Helper'!A305="","",'03_Helper'!D305)</f>
        <v/>
      </c>
      <c r="F305">
        <f>IF('03_Helper'!A305="","",'03_Helper'!H305)</f>
        <v/>
      </c>
      <c r="G305">
        <f>IF('03_Helper'!A305="","",'03_Helper'!X305)</f>
        <v/>
      </c>
      <c r="H305">
        <f>IF('03_Helper'!A305="","",'03_Helper'!Y305)</f>
        <v/>
      </c>
      <c r="I305">
        <f>IF('03_Helper'!A305="","",'03_Helper'!Z305)</f>
        <v/>
      </c>
      <c r="J305">
        <f>IF('03_Helper'!A305="","",'03_Helper'!Q305)</f>
        <v/>
      </c>
      <c r="K305">
        <f>IF('03_Helper'!A305="","",'03_Helper'!R305)</f>
        <v/>
      </c>
      <c r="L305">
        <f>IF('03_Helper'!A305="","",'03_Helper'!S305)</f>
        <v/>
      </c>
      <c r="M305">
        <f>IF('03_Helper'!A305="","",'03_Helper'!T305)</f>
        <v/>
      </c>
      <c r="N305">
        <f>IF('03_Helper'!A305="","",'03_Helper'!AA305)</f>
        <v/>
      </c>
      <c r="O305">
        <f>IF('03_Helper'!A305="","",'03_Helper'!AB305)</f>
        <v/>
      </c>
      <c r="P305">
        <f>IF('03_Helper'!A305="","",'03_Helper'!AC305)</f>
        <v/>
      </c>
      <c r="Q305">
        <f>IF('03_Helper'!A305="","",'03_Helper'!AD305)</f>
        <v/>
      </c>
      <c r="R305">
        <f>IF('03_Helper'!A305="","",'03_Helper'!AI305)</f>
        <v/>
      </c>
      <c r="S305">
        <f>IF('03_Helper'!A305="","",'03_Helper'!AJ305)</f>
        <v/>
      </c>
      <c r="T305">
        <f>IF('03_Helper'!A305="","",'03_Helper'!U305)</f>
        <v/>
      </c>
      <c r="U305">
        <f>IF('03_Helper'!A305="","",'03_Helper'!W305)</f>
        <v/>
      </c>
      <c r="V305">
        <f>IF('03_Helper'!A305="","",'03_Helper'!AG305)</f>
        <v/>
      </c>
      <c r="W305">
        <f>IF('03_Helper'!A305="","",'03_Helper'!AK305)</f>
        <v/>
      </c>
      <c r="X305">
        <f>IF('03_Helper'!A305="","",'03_Helper'!K305)</f>
        <v/>
      </c>
      <c r="Y305">
        <f>IF('03_Helper'!A305="","",'03_Helper'!AN305)</f>
        <v/>
      </c>
    </row>
    <row r="306">
      <c r="A306">
        <f>IF('03_Helper'!A306="","",'03_Helper'!B306)</f>
        <v/>
      </c>
      <c r="B306">
        <f>IF('03_Helper'!A306="","",'03_Helper'!C306)</f>
        <v/>
      </c>
      <c r="C306">
        <f>IF('03_Helper'!A306="","",'03_Helper'!G306)</f>
        <v/>
      </c>
      <c r="D306">
        <f>IF('03_Helper'!A306="","",'03_Helper'!E306)</f>
        <v/>
      </c>
      <c r="E306">
        <f>IF('03_Helper'!A306="","",'03_Helper'!D306)</f>
        <v/>
      </c>
      <c r="F306">
        <f>IF('03_Helper'!A306="","",'03_Helper'!H306)</f>
        <v/>
      </c>
      <c r="G306">
        <f>IF('03_Helper'!A306="","",'03_Helper'!X306)</f>
        <v/>
      </c>
      <c r="H306">
        <f>IF('03_Helper'!A306="","",'03_Helper'!Y306)</f>
        <v/>
      </c>
      <c r="I306">
        <f>IF('03_Helper'!A306="","",'03_Helper'!Z306)</f>
        <v/>
      </c>
      <c r="J306">
        <f>IF('03_Helper'!A306="","",'03_Helper'!Q306)</f>
        <v/>
      </c>
      <c r="K306">
        <f>IF('03_Helper'!A306="","",'03_Helper'!R306)</f>
        <v/>
      </c>
      <c r="L306">
        <f>IF('03_Helper'!A306="","",'03_Helper'!S306)</f>
        <v/>
      </c>
      <c r="M306">
        <f>IF('03_Helper'!A306="","",'03_Helper'!T306)</f>
        <v/>
      </c>
      <c r="N306">
        <f>IF('03_Helper'!A306="","",'03_Helper'!AA306)</f>
        <v/>
      </c>
      <c r="O306">
        <f>IF('03_Helper'!A306="","",'03_Helper'!AB306)</f>
        <v/>
      </c>
      <c r="P306">
        <f>IF('03_Helper'!A306="","",'03_Helper'!AC306)</f>
        <v/>
      </c>
      <c r="Q306">
        <f>IF('03_Helper'!A306="","",'03_Helper'!AD306)</f>
        <v/>
      </c>
      <c r="R306">
        <f>IF('03_Helper'!A306="","",'03_Helper'!AI306)</f>
        <v/>
      </c>
      <c r="S306">
        <f>IF('03_Helper'!A306="","",'03_Helper'!AJ306)</f>
        <v/>
      </c>
      <c r="T306">
        <f>IF('03_Helper'!A306="","",'03_Helper'!U306)</f>
        <v/>
      </c>
      <c r="U306">
        <f>IF('03_Helper'!A306="","",'03_Helper'!W306)</f>
        <v/>
      </c>
      <c r="V306">
        <f>IF('03_Helper'!A306="","",'03_Helper'!AG306)</f>
        <v/>
      </c>
      <c r="W306">
        <f>IF('03_Helper'!A306="","",'03_Helper'!AK306)</f>
        <v/>
      </c>
      <c r="X306">
        <f>IF('03_Helper'!A306="","",'03_Helper'!K306)</f>
        <v/>
      </c>
      <c r="Y306">
        <f>IF('03_Helper'!A306="","",'03_Helper'!AN306)</f>
        <v/>
      </c>
    </row>
    <row r="307">
      <c r="A307">
        <f>IF('03_Helper'!A307="","",'03_Helper'!B307)</f>
        <v/>
      </c>
      <c r="B307">
        <f>IF('03_Helper'!A307="","",'03_Helper'!C307)</f>
        <v/>
      </c>
      <c r="C307">
        <f>IF('03_Helper'!A307="","",'03_Helper'!G307)</f>
        <v/>
      </c>
      <c r="D307">
        <f>IF('03_Helper'!A307="","",'03_Helper'!E307)</f>
        <v/>
      </c>
      <c r="E307">
        <f>IF('03_Helper'!A307="","",'03_Helper'!D307)</f>
        <v/>
      </c>
      <c r="F307">
        <f>IF('03_Helper'!A307="","",'03_Helper'!H307)</f>
        <v/>
      </c>
      <c r="G307">
        <f>IF('03_Helper'!A307="","",'03_Helper'!X307)</f>
        <v/>
      </c>
      <c r="H307">
        <f>IF('03_Helper'!A307="","",'03_Helper'!Y307)</f>
        <v/>
      </c>
      <c r="I307">
        <f>IF('03_Helper'!A307="","",'03_Helper'!Z307)</f>
        <v/>
      </c>
      <c r="J307">
        <f>IF('03_Helper'!A307="","",'03_Helper'!Q307)</f>
        <v/>
      </c>
      <c r="K307">
        <f>IF('03_Helper'!A307="","",'03_Helper'!R307)</f>
        <v/>
      </c>
      <c r="L307">
        <f>IF('03_Helper'!A307="","",'03_Helper'!S307)</f>
        <v/>
      </c>
      <c r="M307">
        <f>IF('03_Helper'!A307="","",'03_Helper'!T307)</f>
        <v/>
      </c>
      <c r="N307">
        <f>IF('03_Helper'!A307="","",'03_Helper'!AA307)</f>
        <v/>
      </c>
      <c r="O307">
        <f>IF('03_Helper'!A307="","",'03_Helper'!AB307)</f>
        <v/>
      </c>
      <c r="P307">
        <f>IF('03_Helper'!A307="","",'03_Helper'!AC307)</f>
        <v/>
      </c>
      <c r="Q307">
        <f>IF('03_Helper'!A307="","",'03_Helper'!AD307)</f>
        <v/>
      </c>
      <c r="R307">
        <f>IF('03_Helper'!A307="","",'03_Helper'!AI307)</f>
        <v/>
      </c>
      <c r="S307">
        <f>IF('03_Helper'!A307="","",'03_Helper'!AJ307)</f>
        <v/>
      </c>
      <c r="T307">
        <f>IF('03_Helper'!A307="","",'03_Helper'!U307)</f>
        <v/>
      </c>
      <c r="U307">
        <f>IF('03_Helper'!A307="","",'03_Helper'!W307)</f>
        <v/>
      </c>
      <c r="V307">
        <f>IF('03_Helper'!A307="","",'03_Helper'!AG307)</f>
        <v/>
      </c>
      <c r="W307">
        <f>IF('03_Helper'!A307="","",'03_Helper'!AK307)</f>
        <v/>
      </c>
      <c r="X307">
        <f>IF('03_Helper'!A307="","",'03_Helper'!K307)</f>
        <v/>
      </c>
      <c r="Y307">
        <f>IF('03_Helper'!A307="","",'03_Helper'!AN307)</f>
        <v/>
      </c>
    </row>
    <row r="308">
      <c r="A308">
        <f>IF('03_Helper'!A308="","",'03_Helper'!B308)</f>
        <v/>
      </c>
      <c r="B308">
        <f>IF('03_Helper'!A308="","",'03_Helper'!C308)</f>
        <v/>
      </c>
      <c r="C308">
        <f>IF('03_Helper'!A308="","",'03_Helper'!G308)</f>
        <v/>
      </c>
      <c r="D308">
        <f>IF('03_Helper'!A308="","",'03_Helper'!E308)</f>
        <v/>
      </c>
      <c r="E308">
        <f>IF('03_Helper'!A308="","",'03_Helper'!D308)</f>
        <v/>
      </c>
      <c r="F308">
        <f>IF('03_Helper'!A308="","",'03_Helper'!H308)</f>
        <v/>
      </c>
      <c r="G308">
        <f>IF('03_Helper'!A308="","",'03_Helper'!X308)</f>
        <v/>
      </c>
      <c r="H308">
        <f>IF('03_Helper'!A308="","",'03_Helper'!Y308)</f>
        <v/>
      </c>
      <c r="I308">
        <f>IF('03_Helper'!A308="","",'03_Helper'!Z308)</f>
        <v/>
      </c>
      <c r="J308">
        <f>IF('03_Helper'!A308="","",'03_Helper'!Q308)</f>
        <v/>
      </c>
      <c r="K308">
        <f>IF('03_Helper'!A308="","",'03_Helper'!R308)</f>
        <v/>
      </c>
      <c r="L308">
        <f>IF('03_Helper'!A308="","",'03_Helper'!S308)</f>
        <v/>
      </c>
      <c r="M308">
        <f>IF('03_Helper'!A308="","",'03_Helper'!T308)</f>
        <v/>
      </c>
      <c r="N308">
        <f>IF('03_Helper'!A308="","",'03_Helper'!AA308)</f>
        <v/>
      </c>
      <c r="O308">
        <f>IF('03_Helper'!A308="","",'03_Helper'!AB308)</f>
        <v/>
      </c>
      <c r="P308">
        <f>IF('03_Helper'!A308="","",'03_Helper'!AC308)</f>
        <v/>
      </c>
      <c r="Q308">
        <f>IF('03_Helper'!A308="","",'03_Helper'!AD308)</f>
        <v/>
      </c>
      <c r="R308">
        <f>IF('03_Helper'!A308="","",'03_Helper'!AI308)</f>
        <v/>
      </c>
      <c r="S308">
        <f>IF('03_Helper'!A308="","",'03_Helper'!AJ308)</f>
        <v/>
      </c>
      <c r="T308">
        <f>IF('03_Helper'!A308="","",'03_Helper'!U308)</f>
        <v/>
      </c>
      <c r="U308">
        <f>IF('03_Helper'!A308="","",'03_Helper'!W308)</f>
        <v/>
      </c>
      <c r="V308">
        <f>IF('03_Helper'!A308="","",'03_Helper'!AG308)</f>
        <v/>
      </c>
      <c r="W308">
        <f>IF('03_Helper'!A308="","",'03_Helper'!AK308)</f>
        <v/>
      </c>
      <c r="X308">
        <f>IF('03_Helper'!A308="","",'03_Helper'!K308)</f>
        <v/>
      </c>
      <c r="Y308">
        <f>IF('03_Helper'!A308="","",'03_Helper'!AN308)</f>
        <v/>
      </c>
    </row>
    <row r="309">
      <c r="A309">
        <f>IF('03_Helper'!A309="","",'03_Helper'!B309)</f>
        <v/>
      </c>
      <c r="B309">
        <f>IF('03_Helper'!A309="","",'03_Helper'!C309)</f>
        <v/>
      </c>
      <c r="C309">
        <f>IF('03_Helper'!A309="","",'03_Helper'!G309)</f>
        <v/>
      </c>
      <c r="D309">
        <f>IF('03_Helper'!A309="","",'03_Helper'!E309)</f>
        <v/>
      </c>
      <c r="E309">
        <f>IF('03_Helper'!A309="","",'03_Helper'!D309)</f>
        <v/>
      </c>
      <c r="F309">
        <f>IF('03_Helper'!A309="","",'03_Helper'!H309)</f>
        <v/>
      </c>
      <c r="G309">
        <f>IF('03_Helper'!A309="","",'03_Helper'!X309)</f>
        <v/>
      </c>
      <c r="H309">
        <f>IF('03_Helper'!A309="","",'03_Helper'!Y309)</f>
        <v/>
      </c>
      <c r="I309">
        <f>IF('03_Helper'!A309="","",'03_Helper'!Z309)</f>
        <v/>
      </c>
      <c r="J309">
        <f>IF('03_Helper'!A309="","",'03_Helper'!Q309)</f>
        <v/>
      </c>
      <c r="K309">
        <f>IF('03_Helper'!A309="","",'03_Helper'!R309)</f>
        <v/>
      </c>
      <c r="L309">
        <f>IF('03_Helper'!A309="","",'03_Helper'!S309)</f>
        <v/>
      </c>
      <c r="M309">
        <f>IF('03_Helper'!A309="","",'03_Helper'!T309)</f>
        <v/>
      </c>
      <c r="N309">
        <f>IF('03_Helper'!A309="","",'03_Helper'!AA309)</f>
        <v/>
      </c>
      <c r="O309">
        <f>IF('03_Helper'!A309="","",'03_Helper'!AB309)</f>
        <v/>
      </c>
      <c r="P309">
        <f>IF('03_Helper'!A309="","",'03_Helper'!AC309)</f>
        <v/>
      </c>
      <c r="Q309">
        <f>IF('03_Helper'!A309="","",'03_Helper'!AD309)</f>
        <v/>
      </c>
      <c r="R309">
        <f>IF('03_Helper'!A309="","",'03_Helper'!AI309)</f>
        <v/>
      </c>
      <c r="S309">
        <f>IF('03_Helper'!A309="","",'03_Helper'!AJ309)</f>
        <v/>
      </c>
      <c r="T309">
        <f>IF('03_Helper'!A309="","",'03_Helper'!U309)</f>
        <v/>
      </c>
      <c r="U309">
        <f>IF('03_Helper'!A309="","",'03_Helper'!W309)</f>
        <v/>
      </c>
      <c r="V309">
        <f>IF('03_Helper'!A309="","",'03_Helper'!AG309)</f>
        <v/>
      </c>
      <c r="W309">
        <f>IF('03_Helper'!A309="","",'03_Helper'!AK309)</f>
        <v/>
      </c>
      <c r="X309">
        <f>IF('03_Helper'!A309="","",'03_Helper'!K309)</f>
        <v/>
      </c>
      <c r="Y309">
        <f>IF('03_Helper'!A309="","",'03_Helper'!AN309)</f>
        <v/>
      </c>
    </row>
    <row r="310">
      <c r="A310">
        <f>IF('03_Helper'!A310="","",'03_Helper'!B310)</f>
        <v/>
      </c>
      <c r="B310">
        <f>IF('03_Helper'!A310="","",'03_Helper'!C310)</f>
        <v/>
      </c>
      <c r="C310">
        <f>IF('03_Helper'!A310="","",'03_Helper'!G310)</f>
        <v/>
      </c>
      <c r="D310">
        <f>IF('03_Helper'!A310="","",'03_Helper'!E310)</f>
        <v/>
      </c>
      <c r="E310">
        <f>IF('03_Helper'!A310="","",'03_Helper'!D310)</f>
        <v/>
      </c>
      <c r="F310">
        <f>IF('03_Helper'!A310="","",'03_Helper'!H310)</f>
        <v/>
      </c>
      <c r="G310">
        <f>IF('03_Helper'!A310="","",'03_Helper'!X310)</f>
        <v/>
      </c>
      <c r="H310">
        <f>IF('03_Helper'!A310="","",'03_Helper'!Y310)</f>
        <v/>
      </c>
      <c r="I310">
        <f>IF('03_Helper'!A310="","",'03_Helper'!Z310)</f>
        <v/>
      </c>
      <c r="J310">
        <f>IF('03_Helper'!A310="","",'03_Helper'!Q310)</f>
        <v/>
      </c>
      <c r="K310">
        <f>IF('03_Helper'!A310="","",'03_Helper'!R310)</f>
        <v/>
      </c>
      <c r="L310">
        <f>IF('03_Helper'!A310="","",'03_Helper'!S310)</f>
        <v/>
      </c>
      <c r="M310">
        <f>IF('03_Helper'!A310="","",'03_Helper'!T310)</f>
        <v/>
      </c>
      <c r="N310">
        <f>IF('03_Helper'!A310="","",'03_Helper'!AA310)</f>
        <v/>
      </c>
      <c r="O310">
        <f>IF('03_Helper'!A310="","",'03_Helper'!AB310)</f>
        <v/>
      </c>
      <c r="P310">
        <f>IF('03_Helper'!A310="","",'03_Helper'!AC310)</f>
        <v/>
      </c>
      <c r="Q310">
        <f>IF('03_Helper'!A310="","",'03_Helper'!AD310)</f>
        <v/>
      </c>
      <c r="R310">
        <f>IF('03_Helper'!A310="","",'03_Helper'!AI310)</f>
        <v/>
      </c>
      <c r="S310">
        <f>IF('03_Helper'!A310="","",'03_Helper'!AJ310)</f>
        <v/>
      </c>
      <c r="T310">
        <f>IF('03_Helper'!A310="","",'03_Helper'!U310)</f>
        <v/>
      </c>
      <c r="U310">
        <f>IF('03_Helper'!A310="","",'03_Helper'!W310)</f>
        <v/>
      </c>
      <c r="V310">
        <f>IF('03_Helper'!A310="","",'03_Helper'!AG310)</f>
        <v/>
      </c>
      <c r="W310">
        <f>IF('03_Helper'!A310="","",'03_Helper'!AK310)</f>
        <v/>
      </c>
      <c r="X310">
        <f>IF('03_Helper'!A310="","",'03_Helper'!K310)</f>
        <v/>
      </c>
      <c r="Y310">
        <f>IF('03_Helper'!A310="","",'03_Helper'!AN310)</f>
        <v/>
      </c>
    </row>
    <row r="311">
      <c r="A311">
        <f>IF('03_Helper'!A311="","",'03_Helper'!B311)</f>
        <v/>
      </c>
      <c r="B311">
        <f>IF('03_Helper'!A311="","",'03_Helper'!C311)</f>
        <v/>
      </c>
      <c r="C311">
        <f>IF('03_Helper'!A311="","",'03_Helper'!G311)</f>
        <v/>
      </c>
      <c r="D311">
        <f>IF('03_Helper'!A311="","",'03_Helper'!E311)</f>
        <v/>
      </c>
      <c r="E311">
        <f>IF('03_Helper'!A311="","",'03_Helper'!D311)</f>
        <v/>
      </c>
      <c r="F311">
        <f>IF('03_Helper'!A311="","",'03_Helper'!H311)</f>
        <v/>
      </c>
      <c r="G311">
        <f>IF('03_Helper'!A311="","",'03_Helper'!X311)</f>
        <v/>
      </c>
      <c r="H311">
        <f>IF('03_Helper'!A311="","",'03_Helper'!Y311)</f>
        <v/>
      </c>
      <c r="I311">
        <f>IF('03_Helper'!A311="","",'03_Helper'!Z311)</f>
        <v/>
      </c>
      <c r="J311">
        <f>IF('03_Helper'!A311="","",'03_Helper'!Q311)</f>
        <v/>
      </c>
      <c r="K311">
        <f>IF('03_Helper'!A311="","",'03_Helper'!R311)</f>
        <v/>
      </c>
      <c r="L311">
        <f>IF('03_Helper'!A311="","",'03_Helper'!S311)</f>
        <v/>
      </c>
      <c r="M311">
        <f>IF('03_Helper'!A311="","",'03_Helper'!T311)</f>
        <v/>
      </c>
      <c r="N311">
        <f>IF('03_Helper'!A311="","",'03_Helper'!AA311)</f>
        <v/>
      </c>
      <c r="O311">
        <f>IF('03_Helper'!A311="","",'03_Helper'!AB311)</f>
        <v/>
      </c>
      <c r="P311">
        <f>IF('03_Helper'!A311="","",'03_Helper'!AC311)</f>
        <v/>
      </c>
      <c r="Q311">
        <f>IF('03_Helper'!A311="","",'03_Helper'!AD311)</f>
        <v/>
      </c>
      <c r="R311">
        <f>IF('03_Helper'!A311="","",'03_Helper'!AI311)</f>
        <v/>
      </c>
      <c r="S311">
        <f>IF('03_Helper'!A311="","",'03_Helper'!AJ311)</f>
        <v/>
      </c>
      <c r="T311">
        <f>IF('03_Helper'!A311="","",'03_Helper'!U311)</f>
        <v/>
      </c>
      <c r="U311">
        <f>IF('03_Helper'!A311="","",'03_Helper'!W311)</f>
        <v/>
      </c>
      <c r="V311">
        <f>IF('03_Helper'!A311="","",'03_Helper'!AG311)</f>
        <v/>
      </c>
      <c r="W311">
        <f>IF('03_Helper'!A311="","",'03_Helper'!AK311)</f>
        <v/>
      </c>
      <c r="X311">
        <f>IF('03_Helper'!A311="","",'03_Helper'!K311)</f>
        <v/>
      </c>
      <c r="Y311">
        <f>IF('03_Helper'!A311="","",'03_Helper'!AN311)</f>
        <v/>
      </c>
    </row>
    <row r="312">
      <c r="A312">
        <f>IF('03_Helper'!A312="","",'03_Helper'!B312)</f>
        <v/>
      </c>
      <c r="B312">
        <f>IF('03_Helper'!A312="","",'03_Helper'!C312)</f>
        <v/>
      </c>
      <c r="C312">
        <f>IF('03_Helper'!A312="","",'03_Helper'!G312)</f>
        <v/>
      </c>
      <c r="D312">
        <f>IF('03_Helper'!A312="","",'03_Helper'!E312)</f>
        <v/>
      </c>
      <c r="E312">
        <f>IF('03_Helper'!A312="","",'03_Helper'!D312)</f>
        <v/>
      </c>
      <c r="F312">
        <f>IF('03_Helper'!A312="","",'03_Helper'!H312)</f>
        <v/>
      </c>
      <c r="G312">
        <f>IF('03_Helper'!A312="","",'03_Helper'!X312)</f>
        <v/>
      </c>
      <c r="H312">
        <f>IF('03_Helper'!A312="","",'03_Helper'!Y312)</f>
        <v/>
      </c>
      <c r="I312">
        <f>IF('03_Helper'!A312="","",'03_Helper'!Z312)</f>
        <v/>
      </c>
      <c r="J312">
        <f>IF('03_Helper'!A312="","",'03_Helper'!Q312)</f>
        <v/>
      </c>
      <c r="K312">
        <f>IF('03_Helper'!A312="","",'03_Helper'!R312)</f>
        <v/>
      </c>
      <c r="L312">
        <f>IF('03_Helper'!A312="","",'03_Helper'!S312)</f>
        <v/>
      </c>
      <c r="M312">
        <f>IF('03_Helper'!A312="","",'03_Helper'!T312)</f>
        <v/>
      </c>
      <c r="N312">
        <f>IF('03_Helper'!A312="","",'03_Helper'!AA312)</f>
        <v/>
      </c>
      <c r="O312">
        <f>IF('03_Helper'!A312="","",'03_Helper'!AB312)</f>
        <v/>
      </c>
      <c r="P312">
        <f>IF('03_Helper'!A312="","",'03_Helper'!AC312)</f>
        <v/>
      </c>
      <c r="Q312">
        <f>IF('03_Helper'!A312="","",'03_Helper'!AD312)</f>
        <v/>
      </c>
      <c r="R312">
        <f>IF('03_Helper'!A312="","",'03_Helper'!AI312)</f>
        <v/>
      </c>
      <c r="S312">
        <f>IF('03_Helper'!A312="","",'03_Helper'!AJ312)</f>
        <v/>
      </c>
      <c r="T312">
        <f>IF('03_Helper'!A312="","",'03_Helper'!U312)</f>
        <v/>
      </c>
      <c r="U312">
        <f>IF('03_Helper'!A312="","",'03_Helper'!W312)</f>
        <v/>
      </c>
      <c r="V312">
        <f>IF('03_Helper'!A312="","",'03_Helper'!AG312)</f>
        <v/>
      </c>
      <c r="W312">
        <f>IF('03_Helper'!A312="","",'03_Helper'!AK312)</f>
        <v/>
      </c>
      <c r="X312">
        <f>IF('03_Helper'!A312="","",'03_Helper'!K312)</f>
        <v/>
      </c>
      <c r="Y312">
        <f>IF('03_Helper'!A312="","",'03_Helper'!AN312)</f>
        <v/>
      </c>
    </row>
    <row r="313">
      <c r="A313">
        <f>IF('03_Helper'!A313="","",'03_Helper'!B313)</f>
        <v/>
      </c>
      <c r="B313">
        <f>IF('03_Helper'!A313="","",'03_Helper'!C313)</f>
        <v/>
      </c>
      <c r="C313">
        <f>IF('03_Helper'!A313="","",'03_Helper'!G313)</f>
        <v/>
      </c>
      <c r="D313">
        <f>IF('03_Helper'!A313="","",'03_Helper'!E313)</f>
        <v/>
      </c>
      <c r="E313">
        <f>IF('03_Helper'!A313="","",'03_Helper'!D313)</f>
        <v/>
      </c>
      <c r="F313">
        <f>IF('03_Helper'!A313="","",'03_Helper'!H313)</f>
        <v/>
      </c>
      <c r="G313">
        <f>IF('03_Helper'!A313="","",'03_Helper'!X313)</f>
        <v/>
      </c>
      <c r="H313">
        <f>IF('03_Helper'!A313="","",'03_Helper'!Y313)</f>
        <v/>
      </c>
      <c r="I313">
        <f>IF('03_Helper'!A313="","",'03_Helper'!Z313)</f>
        <v/>
      </c>
      <c r="J313">
        <f>IF('03_Helper'!A313="","",'03_Helper'!Q313)</f>
        <v/>
      </c>
      <c r="K313">
        <f>IF('03_Helper'!A313="","",'03_Helper'!R313)</f>
        <v/>
      </c>
      <c r="L313">
        <f>IF('03_Helper'!A313="","",'03_Helper'!S313)</f>
        <v/>
      </c>
      <c r="M313">
        <f>IF('03_Helper'!A313="","",'03_Helper'!T313)</f>
        <v/>
      </c>
      <c r="N313">
        <f>IF('03_Helper'!A313="","",'03_Helper'!AA313)</f>
        <v/>
      </c>
      <c r="O313">
        <f>IF('03_Helper'!A313="","",'03_Helper'!AB313)</f>
        <v/>
      </c>
      <c r="P313">
        <f>IF('03_Helper'!A313="","",'03_Helper'!AC313)</f>
        <v/>
      </c>
      <c r="Q313">
        <f>IF('03_Helper'!A313="","",'03_Helper'!AD313)</f>
        <v/>
      </c>
      <c r="R313">
        <f>IF('03_Helper'!A313="","",'03_Helper'!AI313)</f>
        <v/>
      </c>
      <c r="S313">
        <f>IF('03_Helper'!A313="","",'03_Helper'!AJ313)</f>
        <v/>
      </c>
      <c r="T313">
        <f>IF('03_Helper'!A313="","",'03_Helper'!U313)</f>
        <v/>
      </c>
      <c r="U313">
        <f>IF('03_Helper'!A313="","",'03_Helper'!W313)</f>
        <v/>
      </c>
      <c r="V313">
        <f>IF('03_Helper'!A313="","",'03_Helper'!AG313)</f>
        <v/>
      </c>
      <c r="W313">
        <f>IF('03_Helper'!A313="","",'03_Helper'!AK313)</f>
        <v/>
      </c>
      <c r="X313">
        <f>IF('03_Helper'!A313="","",'03_Helper'!K313)</f>
        <v/>
      </c>
      <c r="Y313">
        <f>IF('03_Helper'!A313="","",'03_Helper'!AN313)</f>
        <v/>
      </c>
    </row>
    <row r="314">
      <c r="A314">
        <f>IF('03_Helper'!A314="","",'03_Helper'!B314)</f>
        <v/>
      </c>
      <c r="B314">
        <f>IF('03_Helper'!A314="","",'03_Helper'!C314)</f>
        <v/>
      </c>
      <c r="C314">
        <f>IF('03_Helper'!A314="","",'03_Helper'!G314)</f>
        <v/>
      </c>
      <c r="D314">
        <f>IF('03_Helper'!A314="","",'03_Helper'!E314)</f>
        <v/>
      </c>
      <c r="E314">
        <f>IF('03_Helper'!A314="","",'03_Helper'!D314)</f>
        <v/>
      </c>
      <c r="F314">
        <f>IF('03_Helper'!A314="","",'03_Helper'!H314)</f>
        <v/>
      </c>
      <c r="G314">
        <f>IF('03_Helper'!A314="","",'03_Helper'!X314)</f>
        <v/>
      </c>
      <c r="H314">
        <f>IF('03_Helper'!A314="","",'03_Helper'!Y314)</f>
        <v/>
      </c>
      <c r="I314">
        <f>IF('03_Helper'!A314="","",'03_Helper'!Z314)</f>
        <v/>
      </c>
      <c r="J314">
        <f>IF('03_Helper'!A314="","",'03_Helper'!Q314)</f>
        <v/>
      </c>
      <c r="K314">
        <f>IF('03_Helper'!A314="","",'03_Helper'!R314)</f>
        <v/>
      </c>
      <c r="L314">
        <f>IF('03_Helper'!A314="","",'03_Helper'!S314)</f>
        <v/>
      </c>
      <c r="M314">
        <f>IF('03_Helper'!A314="","",'03_Helper'!T314)</f>
        <v/>
      </c>
      <c r="N314">
        <f>IF('03_Helper'!A314="","",'03_Helper'!AA314)</f>
        <v/>
      </c>
      <c r="O314">
        <f>IF('03_Helper'!A314="","",'03_Helper'!AB314)</f>
        <v/>
      </c>
      <c r="P314">
        <f>IF('03_Helper'!A314="","",'03_Helper'!AC314)</f>
        <v/>
      </c>
      <c r="Q314">
        <f>IF('03_Helper'!A314="","",'03_Helper'!AD314)</f>
        <v/>
      </c>
      <c r="R314">
        <f>IF('03_Helper'!A314="","",'03_Helper'!AI314)</f>
        <v/>
      </c>
      <c r="S314">
        <f>IF('03_Helper'!A314="","",'03_Helper'!AJ314)</f>
        <v/>
      </c>
      <c r="T314">
        <f>IF('03_Helper'!A314="","",'03_Helper'!U314)</f>
        <v/>
      </c>
      <c r="U314">
        <f>IF('03_Helper'!A314="","",'03_Helper'!W314)</f>
        <v/>
      </c>
      <c r="V314">
        <f>IF('03_Helper'!A314="","",'03_Helper'!AG314)</f>
        <v/>
      </c>
      <c r="W314">
        <f>IF('03_Helper'!A314="","",'03_Helper'!AK314)</f>
        <v/>
      </c>
      <c r="X314">
        <f>IF('03_Helper'!A314="","",'03_Helper'!K314)</f>
        <v/>
      </c>
      <c r="Y314">
        <f>IF('03_Helper'!A314="","",'03_Helper'!AN314)</f>
        <v/>
      </c>
    </row>
    <row r="315">
      <c r="A315">
        <f>IF('03_Helper'!A315="","",'03_Helper'!B315)</f>
        <v/>
      </c>
      <c r="B315">
        <f>IF('03_Helper'!A315="","",'03_Helper'!C315)</f>
        <v/>
      </c>
      <c r="C315">
        <f>IF('03_Helper'!A315="","",'03_Helper'!G315)</f>
        <v/>
      </c>
      <c r="D315">
        <f>IF('03_Helper'!A315="","",'03_Helper'!E315)</f>
        <v/>
      </c>
      <c r="E315">
        <f>IF('03_Helper'!A315="","",'03_Helper'!D315)</f>
        <v/>
      </c>
      <c r="F315">
        <f>IF('03_Helper'!A315="","",'03_Helper'!H315)</f>
        <v/>
      </c>
      <c r="G315">
        <f>IF('03_Helper'!A315="","",'03_Helper'!X315)</f>
        <v/>
      </c>
      <c r="H315">
        <f>IF('03_Helper'!A315="","",'03_Helper'!Y315)</f>
        <v/>
      </c>
      <c r="I315">
        <f>IF('03_Helper'!A315="","",'03_Helper'!Z315)</f>
        <v/>
      </c>
      <c r="J315">
        <f>IF('03_Helper'!A315="","",'03_Helper'!Q315)</f>
        <v/>
      </c>
      <c r="K315">
        <f>IF('03_Helper'!A315="","",'03_Helper'!R315)</f>
        <v/>
      </c>
      <c r="L315">
        <f>IF('03_Helper'!A315="","",'03_Helper'!S315)</f>
        <v/>
      </c>
      <c r="M315">
        <f>IF('03_Helper'!A315="","",'03_Helper'!T315)</f>
        <v/>
      </c>
      <c r="N315">
        <f>IF('03_Helper'!A315="","",'03_Helper'!AA315)</f>
        <v/>
      </c>
      <c r="O315">
        <f>IF('03_Helper'!A315="","",'03_Helper'!AB315)</f>
        <v/>
      </c>
      <c r="P315">
        <f>IF('03_Helper'!A315="","",'03_Helper'!AC315)</f>
        <v/>
      </c>
      <c r="Q315">
        <f>IF('03_Helper'!A315="","",'03_Helper'!AD315)</f>
        <v/>
      </c>
      <c r="R315">
        <f>IF('03_Helper'!A315="","",'03_Helper'!AI315)</f>
        <v/>
      </c>
      <c r="S315">
        <f>IF('03_Helper'!A315="","",'03_Helper'!AJ315)</f>
        <v/>
      </c>
      <c r="T315">
        <f>IF('03_Helper'!A315="","",'03_Helper'!U315)</f>
        <v/>
      </c>
      <c r="U315">
        <f>IF('03_Helper'!A315="","",'03_Helper'!W315)</f>
        <v/>
      </c>
      <c r="V315">
        <f>IF('03_Helper'!A315="","",'03_Helper'!AG315)</f>
        <v/>
      </c>
      <c r="W315">
        <f>IF('03_Helper'!A315="","",'03_Helper'!AK315)</f>
        <v/>
      </c>
      <c r="X315">
        <f>IF('03_Helper'!A315="","",'03_Helper'!K315)</f>
        <v/>
      </c>
      <c r="Y315">
        <f>IF('03_Helper'!A315="","",'03_Helper'!AN315)</f>
        <v/>
      </c>
    </row>
    <row r="316">
      <c r="A316">
        <f>IF('03_Helper'!A316="","",'03_Helper'!B316)</f>
        <v/>
      </c>
      <c r="B316">
        <f>IF('03_Helper'!A316="","",'03_Helper'!C316)</f>
        <v/>
      </c>
      <c r="C316">
        <f>IF('03_Helper'!A316="","",'03_Helper'!G316)</f>
        <v/>
      </c>
      <c r="D316">
        <f>IF('03_Helper'!A316="","",'03_Helper'!E316)</f>
        <v/>
      </c>
      <c r="E316">
        <f>IF('03_Helper'!A316="","",'03_Helper'!D316)</f>
        <v/>
      </c>
      <c r="F316">
        <f>IF('03_Helper'!A316="","",'03_Helper'!H316)</f>
        <v/>
      </c>
      <c r="G316">
        <f>IF('03_Helper'!A316="","",'03_Helper'!X316)</f>
        <v/>
      </c>
      <c r="H316">
        <f>IF('03_Helper'!A316="","",'03_Helper'!Y316)</f>
        <v/>
      </c>
      <c r="I316">
        <f>IF('03_Helper'!A316="","",'03_Helper'!Z316)</f>
        <v/>
      </c>
      <c r="J316">
        <f>IF('03_Helper'!A316="","",'03_Helper'!Q316)</f>
        <v/>
      </c>
      <c r="K316">
        <f>IF('03_Helper'!A316="","",'03_Helper'!R316)</f>
        <v/>
      </c>
      <c r="L316">
        <f>IF('03_Helper'!A316="","",'03_Helper'!S316)</f>
        <v/>
      </c>
      <c r="M316">
        <f>IF('03_Helper'!A316="","",'03_Helper'!T316)</f>
        <v/>
      </c>
      <c r="N316">
        <f>IF('03_Helper'!A316="","",'03_Helper'!AA316)</f>
        <v/>
      </c>
      <c r="O316">
        <f>IF('03_Helper'!A316="","",'03_Helper'!AB316)</f>
        <v/>
      </c>
      <c r="P316">
        <f>IF('03_Helper'!A316="","",'03_Helper'!AC316)</f>
        <v/>
      </c>
      <c r="Q316">
        <f>IF('03_Helper'!A316="","",'03_Helper'!AD316)</f>
        <v/>
      </c>
      <c r="R316">
        <f>IF('03_Helper'!A316="","",'03_Helper'!AI316)</f>
        <v/>
      </c>
      <c r="S316">
        <f>IF('03_Helper'!A316="","",'03_Helper'!AJ316)</f>
        <v/>
      </c>
      <c r="T316">
        <f>IF('03_Helper'!A316="","",'03_Helper'!U316)</f>
        <v/>
      </c>
      <c r="U316">
        <f>IF('03_Helper'!A316="","",'03_Helper'!W316)</f>
        <v/>
      </c>
      <c r="V316">
        <f>IF('03_Helper'!A316="","",'03_Helper'!AG316)</f>
        <v/>
      </c>
      <c r="W316">
        <f>IF('03_Helper'!A316="","",'03_Helper'!AK316)</f>
        <v/>
      </c>
      <c r="X316">
        <f>IF('03_Helper'!A316="","",'03_Helper'!K316)</f>
        <v/>
      </c>
      <c r="Y316">
        <f>IF('03_Helper'!A316="","",'03_Helper'!AN316)</f>
        <v/>
      </c>
    </row>
    <row r="317">
      <c r="A317">
        <f>IF('03_Helper'!A317="","",'03_Helper'!B317)</f>
        <v/>
      </c>
      <c r="B317">
        <f>IF('03_Helper'!A317="","",'03_Helper'!C317)</f>
        <v/>
      </c>
      <c r="C317">
        <f>IF('03_Helper'!A317="","",'03_Helper'!G317)</f>
        <v/>
      </c>
      <c r="D317">
        <f>IF('03_Helper'!A317="","",'03_Helper'!E317)</f>
        <v/>
      </c>
      <c r="E317">
        <f>IF('03_Helper'!A317="","",'03_Helper'!D317)</f>
        <v/>
      </c>
      <c r="F317">
        <f>IF('03_Helper'!A317="","",'03_Helper'!H317)</f>
        <v/>
      </c>
      <c r="G317">
        <f>IF('03_Helper'!A317="","",'03_Helper'!X317)</f>
        <v/>
      </c>
      <c r="H317">
        <f>IF('03_Helper'!A317="","",'03_Helper'!Y317)</f>
        <v/>
      </c>
      <c r="I317">
        <f>IF('03_Helper'!A317="","",'03_Helper'!Z317)</f>
        <v/>
      </c>
      <c r="J317">
        <f>IF('03_Helper'!A317="","",'03_Helper'!Q317)</f>
        <v/>
      </c>
      <c r="K317">
        <f>IF('03_Helper'!A317="","",'03_Helper'!R317)</f>
        <v/>
      </c>
      <c r="L317">
        <f>IF('03_Helper'!A317="","",'03_Helper'!S317)</f>
        <v/>
      </c>
      <c r="M317">
        <f>IF('03_Helper'!A317="","",'03_Helper'!T317)</f>
        <v/>
      </c>
      <c r="N317">
        <f>IF('03_Helper'!A317="","",'03_Helper'!AA317)</f>
        <v/>
      </c>
      <c r="O317">
        <f>IF('03_Helper'!A317="","",'03_Helper'!AB317)</f>
        <v/>
      </c>
      <c r="P317">
        <f>IF('03_Helper'!A317="","",'03_Helper'!AC317)</f>
        <v/>
      </c>
      <c r="Q317">
        <f>IF('03_Helper'!A317="","",'03_Helper'!AD317)</f>
        <v/>
      </c>
      <c r="R317">
        <f>IF('03_Helper'!A317="","",'03_Helper'!AI317)</f>
        <v/>
      </c>
      <c r="S317">
        <f>IF('03_Helper'!A317="","",'03_Helper'!AJ317)</f>
        <v/>
      </c>
      <c r="T317">
        <f>IF('03_Helper'!A317="","",'03_Helper'!U317)</f>
        <v/>
      </c>
      <c r="U317">
        <f>IF('03_Helper'!A317="","",'03_Helper'!W317)</f>
        <v/>
      </c>
      <c r="V317">
        <f>IF('03_Helper'!A317="","",'03_Helper'!AG317)</f>
        <v/>
      </c>
      <c r="W317">
        <f>IF('03_Helper'!A317="","",'03_Helper'!AK317)</f>
        <v/>
      </c>
      <c r="X317">
        <f>IF('03_Helper'!A317="","",'03_Helper'!K317)</f>
        <v/>
      </c>
      <c r="Y317">
        <f>IF('03_Helper'!A317="","",'03_Helper'!AN317)</f>
        <v/>
      </c>
    </row>
    <row r="318">
      <c r="A318">
        <f>IF('03_Helper'!A318="","",'03_Helper'!B318)</f>
        <v/>
      </c>
      <c r="B318">
        <f>IF('03_Helper'!A318="","",'03_Helper'!C318)</f>
        <v/>
      </c>
      <c r="C318">
        <f>IF('03_Helper'!A318="","",'03_Helper'!G318)</f>
        <v/>
      </c>
      <c r="D318">
        <f>IF('03_Helper'!A318="","",'03_Helper'!E318)</f>
        <v/>
      </c>
      <c r="E318">
        <f>IF('03_Helper'!A318="","",'03_Helper'!D318)</f>
        <v/>
      </c>
      <c r="F318">
        <f>IF('03_Helper'!A318="","",'03_Helper'!H318)</f>
        <v/>
      </c>
      <c r="G318">
        <f>IF('03_Helper'!A318="","",'03_Helper'!X318)</f>
        <v/>
      </c>
      <c r="H318">
        <f>IF('03_Helper'!A318="","",'03_Helper'!Y318)</f>
        <v/>
      </c>
      <c r="I318">
        <f>IF('03_Helper'!A318="","",'03_Helper'!Z318)</f>
        <v/>
      </c>
      <c r="J318">
        <f>IF('03_Helper'!A318="","",'03_Helper'!Q318)</f>
        <v/>
      </c>
      <c r="K318">
        <f>IF('03_Helper'!A318="","",'03_Helper'!R318)</f>
        <v/>
      </c>
      <c r="L318">
        <f>IF('03_Helper'!A318="","",'03_Helper'!S318)</f>
        <v/>
      </c>
      <c r="M318">
        <f>IF('03_Helper'!A318="","",'03_Helper'!T318)</f>
        <v/>
      </c>
      <c r="N318">
        <f>IF('03_Helper'!A318="","",'03_Helper'!AA318)</f>
        <v/>
      </c>
      <c r="O318">
        <f>IF('03_Helper'!A318="","",'03_Helper'!AB318)</f>
        <v/>
      </c>
      <c r="P318">
        <f>IF('03_Helper'!A318="","",'03_Helper'!AC318)</f>
        <v/>
      </c>
      <c r="Q318">
        <f>IF('03_Helper'!A318="","",'03_Helper'!AD318)</f>
        <v/>
      </c>
      <c r="R318">
        <f>IF('03_Helper'!A318="","",'03_Helper'!AI318)</f>
        <v/>
      </c>
      <c r="S318">
        <f>IF('03_Helper'!A318="","",'03_Helper'!AJ318)</f>
        <v/>
      </c>
      <c r="T318">
        <f>IF('03_Helper'!A318="","",'03_Helper'!U318)</f>
        <v/>
      </c>
      <c r="U318">
        <f>IF('03_Helper'!A318="","",'03_Helper'!W318)</f>
        <v/>
      </c>
      <c r="V318">
        <f>IF('03_Helper'!A318="","",'03_Helper'!AG318)</f>
        <v/>
      </c>
      <c r="W318">
        <f>IF('03_Helper'!A318="","",'03_Helper'!AK318)</f>
        <v/>
      </c>
      <c r="X318">
        <f>IF('03_Helper'!A318="","",'03_Helper'!K318)</f>
        <v/>
      </c>
      <c r="Y318">
        <f>IF('03_Helper'!A318="","",'03_Helper'!AN318)</f>
        <v/>
      </c>
    </row>
    <row r="319">
      <c r="A319">
        <f>IF('03_Helper'!A319="","",'03_Helper'!B319)</f>
        <v/>
      </c>
      <c r="B319">
        <f>IF('03_Helper'!A319="","",'03_Helper'!C319)</f>
        <v/>
      </c>
      <c r="C319">
        <f>IF('03_Helper'!A319="","",'03_Helper'!G319)</f>
        <v/>
      </c>
      <c r="D319">
        <f>IF('03_Helper'!A319="","",'03_Helper'!E319)</f>
        <v/>
      </c>
      <c r="E319">
        <f>IF('03_Helper'!A319="","",'03_Helper'!D319)</f>
        <v/>
      </c>
      <c r="F319">
        <f>IF('03_Helper'!A319="","",'03_Helper'!H319)</f>
        <v/>
      </c>
      <c r="G319">
        <f>IF('03_Helper'!A319="","",'03_Helper'!X319)</f>
        <v/>
      </c>
      <c r="H319">
        <f>IF('03_Helper'!A319="","",'03_Helper'!Y319)</f>
        <v/>
      </c>
      <c r="I319">
        <f>IF('03_Helper'!A319="","",'03_Helper'!Z319)</f>
        <v/>
      </c>
      <c r="J319">
        <f>IF('03_Helper'!A319="","",'03_Helper'!Q319)</f>
        <v/>
      </c>
      <c r="K319">
        <f>IF('03_Helper'!A319="","",'03_Helper'!R319)</f>
        <v/>
      </c>
      <c r="L319">
        <f>IF('03_Helper'!A319="","",'03_Helper'!S319)</f>
        <v/>
      </c>
      <c r="M319">
        <f>IF('03_Helper'!A319="","",'03_Helper'!T319)</f>
        <v/>
      </c>
      <c r="N319">
        <f>IF('03_Helper'!A319="","",'03_Helper'!AA319)</f>
        <v/>
      </c>
      <c r="O319">
        <f>IF('03_Helper'!A319="","",'03_Helper'!AB319)</f>
        <v/>
      </c>
      <c r="P319">
        <f>IF('03_Helper'!A319="","",'03_Helper'!AC319)</f>
        <v/>
      </c>
      <c r="Q319">
        <f>IF('03_Helper'!A319="","",'03_Helper'!AD319)</f>
        <v/>
      </c>
      <c r="R319">
        <f>IF('03_Helper'!A319="","",'03_Helper'!AI319)</f>
        <v/>
      </c>
      <c r="S319">
        <f>IF('03_Helper'!A319="","",'03_Helper'!AJ319)</f>
        <v/>
      </c>
      <c r="T319">
        <f>IF('03_Helper'!A319="","",'03_Helper'!U319)</f>
        <v/>
      </c>
      <c r="U319">
        <f>IF('03_Helper'!A319="","",'03_Helper'!W319)</f>
        <v/>
      </c>
      <c r="V319">
        <f>IF('03_Helper'!A319="","",'03_Helper'!AG319)</f>
        <v/>
      </c>
      <c r="W319">
        <f>IF('03_Helper'!A319="","",'03_Helper'!AK319)</f>
        <v/>
      </c>
      <c r="X319">
        <f>IF('03_Helper'!A319="","",'03_Helper'!K319)</f>
        <v/>
      </c>
      <c r="Y319">
        <f>IF('03_Helper'!A319="","",'03_Helper'!AN319)</f>
        <v/>
      </c>
    </row>
    <row r="320">
      <c r="A320">
        <f>IF('03_Helper'!A320="","",'03_Helper'!B320)</f>
        <v/>
      </c>
      <c r="B320">
        <f>IF('03_Helper'!A320="","",'03_Helper'!C320)</f>
        <v/>
      </c>
      <c r="C320">
        <f>IF('03_Helper'!A320="","",'03_Helper'!G320)</f>
        <v/>
      </c>
      <c r="D320">
        <f>IF('03_Helper'!A320="","",'03_Helper'!E320)</f>
        <v/>
      </c>
      <c r="E320">
        <f>IF('03_Helper'!A320="","",'03_Helper'!D320)</f>
        <v/>
      </c>
      <c r="F320">
        <f>IF('03_Helper'!A320="","",'03_Helper'!H320)</f>
        <v/>
      </c>
      <c r="G320">
        <f>IF('03_Helper'!A320="","",'03_Helper'!X320)</f>
        <v/>
      </c>
      <c r="H320">
        <f>IF('03_Helper'!A320="","",'03_Helper'!Y320)</f>
        <v/>
      </c>
      <c r="I320">
        <f>IF('03_Helper'!A320="","",'03_Helper'!Z320)</f>
        <v/>
      </c>
      <c r="J320">
        <f>IF('03_Helper'!A320="","",'03_Helper'!Q320)</f>
        <v/>
      </c>
      <c r="K320">
        <f>IF('03_Helper'!A320="","",'03_Helper'!R320)</f>
        <v/>
      </c>
      <c r="L320">
        <f>IF('03_Helper'!A320="","",'03_Helper'!S320)</f>
        <v/>
      </c>
      <c r="M320">
        <f>IF('03_Helper'!A320="","",'03_Helper'!T320)</f>
        <v/>
      </c>
      <c r="N320">
        <f>IF('03_Helper'!A320="","",'03_Helper'!AA320)</f>
        <v/>
      </c>
      <c r="O320">
        <f>IF('03_Helper'!A320="","",'03_Helper'!AB320)</f>
        <v/>
      </c>
      <c r="P320">
        <f>IF('03_Helper'!A320="","",'03_Helper'!AC320)</f>
        <v/>
      </c>
      <c r="Q320">
        <f>IF('03_Helper'!A320="","",'03_Helper'!AD320)</f>
        <v/>
      </c>
      <c r="R320">
        <f>IF('03_Helper'!A320="","",'03_Helper'!AI320)</f>
        <v/>
      </c>
      <c r="S320">
        <f>IF('03_Helper'!A320="","",'03_Helper'!AJ320)</f>
        <v/>
      </c>
      <c r="T320">
        <f>IF('03_Helper'!A320="","",'03_Helper'!U320)</f>
        <v/>
      </c>
      <c r="U320">
        <f>IF('03_Helper'!A320="","",'03_Helper'!W320)</f>
        <v/>
      </c>
      <c r="V320">
        <f>IF('03_Helper'!A320="","",'03_Helper'!AG320)</f>
        <v/>
      </c>
      <c r="W320">
        <f>IF('03_Helper'!A320="","",'03_Helper'!AK320)</f>
        <v/>
      </c>
      <c r="X320">
        <f>IF('03_Helper'!A320="","",'03_Helper'!K320)</f>
        <v/>
      </c>
      <c r="Y320">
        <f>IF('03_Helper'!A320="","",'03_Helper'!AN320)</f>
        <v/>
      </c>
    </row>
    <row r="321">
      <c r="A321">
        <f>IF('03_Helper'!A321="","",'03_Helper'!B321)</f>
        <v/>
      </c>
      <c r="B321">
        <f>IF('03_Helper'!A321="","",'03_Helper'!C321)</f>
        <v/>
      </c>
      <c r="C321">
        <f>IF('03_Helper'!A321="","",'03_Helper'!G321)</f>
        <v/>
      </c>
      <c r="D321">
        <f>IF('03_Helper'!A321="","",'03_Helper'!E321)</f>
        <v/>
      </c>
      <c r="E321">
        <f>IF('03_Helper'!A321="","",'03_Helper'!D321)</f>
        <v/>
      </c>
      <c r="F321">
        <f>IF('03_Helper'!A321="","",'03_Helper'!H321)</f>
        <v/>
      </c>
      <c r="G321">
        <f>IF('03_Helper'!A321="","",'03_Helper'!X321)</f>
        <v/>
      </c>
      <c r="H321">
        <f>IF('03_Helper'!A321="","",'03_Helper'!Y321)</f>
        <v/>
      </c>
      <c r="I321">
        <f>IF('03_Helper'!A321="","",'03_Helper'!Z321)</f>
        <v/>
      </c>
      <c r="J321">
        <f>IF('03_Helper'!A321="","",'03_Helper'!Q321)</f>
        <v/>
      </c>
      <c r="K321">
        <f>IF('03_Helper'!A321="","",'03_Helper'!R321)</f>
        <v/>
      </c>
      <c r="L321">
        <f>IF('03_Helper'!A321="","",'03_Helper'!S321)</f>
        <v/>
      </c>
      <c r="M321">
        <f>IF('03_Helper'!A321="","",'03_Helper'!T321)</f>
        <v/>
      </c>
      <c r="N321">
        <f>IF('03_Helper'!A321="","",'03_Helper'!AA321)</f>
        <v/>
      </c>
      <c r="O321">
        <f>IF('03_Helper'!A321="","",'03_Helper'!AB321)</f>
        <v/>
      </c>
      <c r="P321">
        <f>IF('03_Helper'!A321="","",'03_Helper'!AC321)</f>
        <v/>
      </c>
      <c r="Q321">
        <f>IF('03_Helper'!A321="","",'03_Helper'!AD321)</f>
        <v/>
      </c>
      <c r="R321">
        <f>IF('03_Helper'!A321="","",'03_Helper'!AI321)</f>
        <v/>
      </c>
      <c r="S321">
        <f>IF('03_Helper'!A321="","",'03_Helper'!AJ321)</f>
        <v/>
      </c>
      <c r="T321">
        <f>IF('03_Helper'!A321="","",'03_Helper'!U321)</f>
        <v/>
      </c>
      <c r="U321">
        <f>IF('03_Helper'!A321="","",'03_Helper'!W321)</f>
        <v/>
      </c>
      <c r="V321">
        <f>IF('03_Helper'!A321="","",'03_Helper'!AG321)</f>
        <v/>
      </c>
      <c r="W321">
        <f>IF('03_Helper'!A321="","",'03_Helper'!AK321)</f>
        <v/>
      </c>
      <c r="X321">
        <f>IF('03_Helper'!A321="","",'03_Helper'!K321)</f>
        <v/>
      </c>
      <c r="Y321">
        <f>IF('03_Helper'!A321="","",'03_Helper'!AN321)</f>
        <v/>
      </c>
    </row>
    <row r="322">
      <c r="A322">
        <f>IF('03_Helper'!A322="","",'03_Helper'!B322)</f>
        <v/>
      </c>
      <c r="B322">
        <f>IF('03_Helper'!A322="","",'03_Helper'!C322)</f>
        <v/>
      </c>
      <c r="C322">
        <f>IF('03_Helper'!A322="","",'03_Helper'!G322)</f>
        <v/>
      </c>
      <c r="D322">
        <f>IF('03_Helper'!A322="","",'03_Helper'!E322)</f>
        <v/>
      </c>
      <c r="E322">
        <f>IF('03_Helper'!A322="","",'03_Helper'!D322)</f>
        <v/>
      </c>
      <c r="F322">
        <f>IF('03_Helper'!A322="","",'03_Helper'!H322)</f>
        <v/>
      </c>
      <c r="G322">
        <f>IF('03_Helper'!A322="","",'03_Helper'!X322)</f>
        <v/>
      </c>
      <c r="H322">
        <f>IF('03_Helper'!A322="","",'03_Helper'!Y322)</f>
        <v/>
      </c>
      <c r="I322">
        <f>IF('03_Helper'!A322="","",'03_Helper'!Z322)</f>
        <v/>
      </c>
      <c r="J322">
        <f>IF('03_Helper'!A322="","",'03_Helper'!Q322)</f>
        <v/>
      </c>
      <c r="K322">
        <f>IF('03_Helper'!A322="","",'03_Helper'!R322)</f>
        <v/>
      </c>
      <c r="L322">
        <f>IF('03_Helper'!A322="","",'03_Helper'!S322)</f>
        <v/>
      </c>
      <c r="M322">
        <f>IF('03_Helper'!A322="","",'03_Helper'!T322)</f>
        <v/>
      </c>
      <c r="N322">
        <f>IF('03_Helper'!A322="","",'03_Helper'!AA322)</f>
        <v/>
      </c>
      <c r="O322">
        <f>IF('03_Helper'!A322="","",'03_Helper'!AB322)</f>
        <v/>
      </c>
      <c r="P322">
        <f>IF('03_Helper'!A322="","",'03_Helper'!AC322)</f>
        <v/>
      </c>
      <c r="Q322">
        <f>IF('03_Helper'!A322="","",'03_Helper'!AD322)</f>
        <v/>
      </c>
      <c r="R322">
        <f>IF('03_Helper'!A322="","",'03_Helper'!AI322)</f>
        <v/>
      </c>
      <c r="S322">
        <f>IF('03_Helper'!A322="","",'03_Helper'!AJ322)</f>
        <v/>
      </c>
      <c r="T322">
        <f>IF('03_Helper'!A322="","",'03_Helper'!U322)</f>
        <v/>
      </c>
      <c r="U322">
        <f>IF('03_Helper'!A322="","",'03_Helper'!W322)</f>
        <v/>
      </c>
      <c r="V322">
        <f>IF('03_Helper'!A322="","",'03_Helper'!AG322)</f>
        <v/>
      </c>
      <c r="W322">
        <f>IF('03_Helper'!A322="","",'03_Helper'!AK322)</f>
        <v/>
      </c>
      <c r="X322">
        <f>IF('03_Helper'!A322="","",'03_Helper'!K322)</f>
        <v/>
      </c>
      <c r="Y322">
        <f>IF('03_Helper'!A322="","",'03_Helper'!AN322)</f>
        <v/>
      </c>
    </row>
    <row r="323">
      <c r="A323">
        <f>IF('03_Helper'!A323="","",'03_Helper'!B323)</f>
        <v/>
      </c>
      <c r="B323">
        <f>IF('03_Helper'!A323="","",'03_Helper'!C323)</f>
        <v/>
      </c>
      <c r="C323">
        <f>IF('03_Helper'!A323="","",'03_Helper'!G323)</f>
        <v/>
      </c>
      <c r="D323">
        <f>IF('03_Helper'!A323="","",'03_Helper'!E323)</f>
        <v/>
      </c>
      <c r="E323">
        <f>IF('03_Helper'!A323="","",'03_Helper'!D323)</f>
        <v/>
      </c>
      <c r="F323">
        <f>IF('03_Helper'!A323="","",'03_Helper'!H323)</f>
        <v/>
      </c>
      <c r="G323">
        <f>IF('03_Helper'!A323="","",'03_Helper'!X323)</f>
        <v/>
      </c>
      <c r="H323">
        <f>IF('03_Helper'!A323="","",'03_Helper'!Y323)</f>
        <v/>
      </c>
      <c r="I323">
        <f>IF('03_Helper'!A323="","",'03_Helper'!Z323)</f>
        <v/>
      </c>
      <c r="J323">
        <f>IF('03_Helper'!A323="","",'03_Helper'!Q323)</f>
        <v/>
      </c>
      <c r="K323">
        <f>IF('03_Helper'!A323="","",'03_Helper'!R323)</f>
        <v/>
      </c>
      <c r="L323">
        <f>IF('03_Helper'!A323="","",'03_Helper'!S323)</f>
        <v/>
      </c>
      <c r="M323">
        <f>IF('03_Helper'!A323="","",'03_Helper'!T323)</f>
        <v/>
      </c>
      <c r="N323">
        <f>IF('03_Helper'!A323="","",'03_Helper'!AA323)</f>
        <v/>
      </c>
      <c r="O323">
        <f>IF('03_Helper'!A323="","",'03_Helper'!AB323)</f>
        <v/>
      </c>
      <c r="P323">
        <f>IF('03_Helper'!A323="","",'03_Helper'!AC323)</f>
        <v/>
      </c>
      <c r="Q323">
        <f>IF('03_Helper'!A323="","",'03_Helper'!AD323)</f>
        <v/>
      </c>
      <c r="R323">
        <f>IF('03_Helper'!A323="","",'03_Helper'!AI323)</f>
        <v/>
      </c>
      <c r="S323">
        <f>IF('03_Helper'!A323="","",'03_Helper'!AJ323)</f>
        <v/>
      </c>
      <c r="T323">
        <f>IF('03_Helper'!A323="","",'03_Helper'!U323)</f>
        <v/>
      </c>
      <c r="U323">
        <f>IF('03_Helper'!A323="","",'03_Helper'!W323)</f>
        <v/>
      </c>
      <c r="V323">
        <f>IF('03_Helper'!A323="","",'03_Helper'!AG323)</f>
        <v/>
      </c>
      <c r="W323">
        <f>IF('03_Helper'!A323="","",'03_Helper'!AK323)</f>
        <v/>
      </c>
      <c r="X323">
        <f>IF('03_Helper'!A323="","",'03_Helper'!K323)</f>
        <v/>
      </c>
      <c r="Y323">
        <f>IF('03_Helper'!A323="","",'03_Helper'!AN323)</f>
        <v/>
      </c>
    </row>
    <row r="324">
      <c r="A324">
        <f>IF('03_Helper'!A324="","",'03_Helper'!B324)</f>
        <v/>
      </c>
      <c r="B324">
        <f>IF('03_Helper'!A324="","",'03_Helper'!C324)</f>
        <v/>
      </c>
      <c r="C324">
        <f>IF('03_Helper'!A324="","",'03_Helper'!G324)</f>
        <v/>
      </c>
      <c r="D324">
        <f>IF('03_Helper'!A324="","",'03_Helper'!E324)</f>
        <v/>
      </c>
      <c r="E324">
        <f>IF('03_Helper'!A324="","",'03_Helper'!D324)</f>
        <v/>
      </c>
      <c r="F324">
        <f>IF('03_Helper'!A324="","",'03_Helper'!H324)</f>
        <v/>
      </c>
      <c r="G324">
        <f>IF('03_Helper'!A324="","",'03_Helper'!X324)</f>
        <v/>
      </c>
      <c r="H324">
        <f>IF('03_Helper'!A324="","",'03_Helper'!Y324)</f>
        <v/>
      </c>
      <c r="I324">
        <f>IF('03_Helper'!A324="","",'03_Helper'!Z324)</f>
        <v/>
      </c>
      <c r="J324">
        <f>IF('03_Helper'!A324="","",'03_Helper'!Q324)</f>
        <v/>
      </c>
      <c r="K324">
        <f>IF('03_Helper'!A324="","",'03_Helper'!R324)</f>
        <v/>
      </c>
      <c r="L324">
        <f>IF('03_Helper'!A324="","",'03_Helper'!S324)</f>
        <v/>
      </c>
      <c r="M324">
        <f>IF('03_Helper'!A324="","",'03_Helper'!T324)</f>
        <v/>
      </c>
      <c r="N324">
        <f>IF('03_Helper'!A324="","",'03_Helper'!AA324)</f>
        <v/>
      </c>
      <c r="O324">
        <f>IF('03_Helper'!A324="","",'03_Helper'!AB324)</f>
        <v/>
      </c>
      <c r="P324">
        <f>IF('03_Helper'!A324="","",'03_Helper'!AC324)</f>
        <v/>
      </c>
      <c r="Q324">
        <f>IF('03_Helper'!A324="","",'03_Helper'!AD324)</f>
        <v/>
      </c>
      <c r="R324">
        <f>IF('03_Helper'!A324="","",'03_Helper'!AI324)</f>
        <v/>
      </c>
      <c r="S324">
        <f>IF('03_Helper'!A324="","",'03_Helper'!AJ324)</f>
        <v/>
      </c>
      <c r="T324">
        <f>IF('03_Helper'!A324="","",'03_Helper'!U324)</f>
        <v/>
      </c>
      <c r="U324">
        <f>IF('03_Helper'!A324="","",'03_Helper'!W324)</f>
        <v/>
      </c>
      <c r="V324">
        <f>IF('03_Helper'!A324="","",'03_Helper'!AG324)</f>
        <v/>
      </c>
      <c r="W324">
        <f>IF('03_Helper'!A324="","",'03_Helper'!AK324)</f>
        <v/>
      </c>
      <c r="X324">
        <f>IF('03_Helper'!A324="","",'03_Helper'!K324)</f>
        <v/>
      </c>
      <c r="Y324">
        <f>IF('03_Helper'!A324="","",'03_Helper'!AN324)</f>
        <v/>
      </c>
    </row>
    <row r="325">
      <c r="A325">
        <f>IF('03_Helper'!A325="","",'03_Helper'!B325)</f>
        <v/>
      </c>
      <c r="B325">
        <f>IF('03_Helper'!A325="","",'03_Helper'!C325)</f>
        <v/>
      </c>
      <c r="C325">
        <f>IF('03_Helper'!A325="","",'03_Helper'!G325)</f>
        <v/>
      </c>
      <c r="D325">
        <f>IF('03_Helper'!A325="","",'03_Helper'!E325)</f>
        <v/>
      </c>
      <c r="E325">
        <f>IF('03_Helper'!A325="","",'03_Helper'!D325)</f>
        <v/>
      </c>
      <c r="F325">
        <f>IF('03_Helper'!A325="","",'03_Helper'!H325)</f>
        <v/>
      </c>
      <c r="G325">
        <f>IF('03_Helper'!A325="","",'03_Helper'!X325)</f>
        <v/>
      </c>
      <c r="H325">
        <f>IF('03_Helper'!A325="","",'03_Helper'!Y325)</f>
        <v/>
      </c>
      <c r="I325">
        <f>IF('03_Helper'!A325="","",'03_Helper'!Z325)</f>
        <v/>
      </c>
      <c r="J325">
        <f>IF('03_Helper'!A325="","",'03_Helper'!Q325)</f>
        <v/>
      </c>
      <c r="K325">
        <f>IF('03_Helper'!A325="","",'03_Helper'!R325)</f>
        <v/>
      </c>
      <c r="L325">
        <f>IF('03_Helper'!A325="","",'03_Helper'!S325)</f>
        <v/>
      </c>
      <c r="M325">
        <f>IF('03_Helper'!A325="","",'03_Helper'!T325)</f>
        <v/>
      </c>
      <c r="N325">
        <f>IF('03_Helper'!A325="","",'03_Helper'!AA325)</f>
        <v/>
      </c>
      <c r="O325">
        <f>IF('03_Helper'!A325="","",'03_Helper'!AB325)</f>
        <v/>
      </c>
      <c r="P325">
        <f>IF('03_Helper'!A325="","",'03_Helper'!AC325)</f>
        <v/>
      </c>
      <c r="Q325">
        <f>IF('03_Helper'!A325="","",'03_Helper'!AD325)</f>
        <v/>
      </c>
      <c r="R325">
        <f>IF('03_Helper'!A325="","",'03_Helper'!AI325)</f>
        <v/>
      </c>
      <c r="S325">
        <f>IF('03_Helper'!A325="","",'03_Helper'!AJ325)</f>
        <v/>
      </c>
      <c r="T325">
        <f>IF('03_Helper'!A325="","",'03_Helper'!U325)</f>
        <v/>
      </c>
      <c r="U325">
        <f>IF('03_Helper'!A325="","",'03_Helper'!W325)</f>
        <v/>
      </c>
      <c r="V325">
        <f>IF('03_Helper'!A325="","",'03_Helper'!AG325)</f>
        <v/>
      </c>
      <c r="W325">
        <f>IF('03_Helper'!A325="","",'03_Helper'!AK325)</f>
        <v/>
      </c>
      <c r="X325">
        <f>IF('03_Helper'!A325="","",'03_Helper'!K325)</f>
        <v/>
      </c>
      <c r="Y325">
        <f>IF('03_Helper'!A325="","",'03_Helper'!AN325)</f>
        <v/>
      </c>
    </row>
    <row r="326">
      <c r="A326">
        <f>IF('03_Helper'!A326="","",'03_Helper'!B326)</f>
        <v/>
      </c>
      <c r="B326">
        <f>IF('03_Helper'!A326="","",'03_Helper'!C326)</f>
        <v/>
      </c>
      <c r="C326">
        <f>IF('03_Helper'!A326="","",'03_Helper'!G326)</f>
        <v/>
      </c>
      <c r="D326">
        <f>IF('03_Helper'!A326="","",'03_Helper'!E326)</f>
        <v/>
      </c>
      <c r="E326">
        <f>IF('03_Helper'!A326="","",'03_Helper'!D326)</f>
        <v/>
      </c>
      <c r="F326">
        <f>IF('03_Helper'!A326="","",'03_Helper'!H326)</f>
        <v/>
      </c>
      <c r="G326">
        <f>IF('03_Helper'!A326="","",'03_Helper'!X326)</f>
        <v/>
      </c>
      <c r="H326">
        <f>IF('03_Helper'!A326="","",'03_Helper'!Y326)</f>
        <v/>
      </c>
      <c r="I326">
        <f>IF('03_Helper'!A326="","",'03_Helper'!Z326)</f>
        <v/>
      </c>
      <c r="J326">
        <f>IF('03_Helper'!A326="","",'03_Helper'!Q326)</f>
        <v/>
      </c>
      <c r="K326">
        <f>IF('03_Helper'!A326="","",'03_Helper'!R326)</f>
        <v/>
      </c>
      <c r="L326">
        <f>IF('03_Helper'!A326="","",'03_Helper'!S326)</f>
        <v/>
      </c>
      <c r="M326">
        <f>IF('03_Helper'!A326="","",'03_Helper'!T326)</f>
        <v/>
      </c>
      <c r="N326">
        <f>IF('03_Helper'!A326="","",'03_Helper'!AA326)</f>
        <v/>
      </c>
      <c r="O326">
        <f>IF('03_Helper'!A326="","",'03_Helper'!AB326)</f>
        <v/>
      </c>
      <c r="P326">
        <f>IF('03_Helper'!A326="","",'03_Helper'!AC326)</f>
        <v/>
      </c>
      <c r="Q326">
        <f>IF('03_Helper'!A326="","",'03_Helper'!AD326)</f>
        <v/>
      </c>
      <c r="R326">
        <f>IF('03_Helper'!A326="","",'03_Helper'!AI326)</f>
        <v/>
      </c>
      <c r="S326">
        <f>IF('03_Helper'!A326="","",'03_Helper'!AJ326)</f>
        <v/>
      </c>
      <c r="T326">
        <f>IF('03_Helper'!A326="","",'03_Helper'!U326)</f>
        <v/>
      </c>
      <c r="U326">
        <f>IF('03_Helper'!A326="","",'03_Helper'!W326)</f>
        <v/>
      </c>
      <c r="V326">
        <f>IF('03_Helper'!A326="","",'03_Helper'!AG326)</f>
        <v/>
      </c>
      <c r="W326">
        <f>IF('03_Helper'!A326="","",'03_Helper'!AK326)</f>
        <v/>
      </c>
      <c r="X326">
        <f>IF('03_Helper'!A326="","",'03_Helper'!K326)</f>
        <v/>
      </c>
      <c r="Y326">
        <f>IF('03_Helper'!A326="","",'03_Helper'!AN326)</f>
        <v/>
      </c>
    </row>
    <row r="327">
      <c r="A327">
        <f>IF('03_Helper'!A327="","",'03_Helper'!B327)</f>
        <v/>
      </c>
      <c r="B327">
        <f>IF('03_Helper'!A327="","",'03_Helper'!C327)</f>
        <v/>
      </c>
      <c r="C327">
        <f>IF('03_Helper'!A327="","",'03_Helper'!G327)</f>
        <v/>
      </c>
      <c r="D327">
        <f>IF('03_Helper'!A327="","",'03_Helper'!E327)</f>
        <v/>
      </c>
      <c r="E327">
        <f>IF('03_Helper'!A327="","",'03_Helper'!D327)</f>
        <v/>
      </c>
      <c r="F327">
        <f>IF('03_Helper'!A327="","",'03_Helper'!H327)</f>
        <v/>
      </c>
      <c r="G327">
        <f>IF('03_Helper'!A327="","",'03_Helper'!X327)</f>
        <v/>
      </c>
      <c r="H327">
        <f>IF('03_Helper'!A327="","",'03_Helper'!Y327)</f>
        <v/>
      </c>
      <c r="I327">
        <f>IF('03_Helper'!A327="","",'03_Helper'!Z327)</f>
        <v/>
      </c>
      <c r="J327">
        <f>IF('03_Helper'!A327="","",'03_Helper'!Q327)</f>
        <v/>
      </c>
      <c r="K327">
        <f>IF('03_Helper'!A327="","",'03_Helper'!R327)</f>
        <v/>
      </c>
      <c r="L327">
        <f>IF('03_Helper'!A327="","",'03_Helper'!S327)</f>
        <v/>
      </c>
      <c r="M327">
        <f>IF('03_Helper'!A327="","",'03_Helper'!T327)</f>
        <v/>
      </c>
      <c r="N327">
        <f>IF('03_Helper'!A327="","",'03_Helper'!AA327)</f>
        <v/>
      </c>
      <c r="O327">
        <f>IF('03_Helper'!A327="","",'03_Helper'!AB327)</f>
        <v/>
      </c>
      <c r="P327">
        <f>IF('03_Helper'!A327="","",'03_Helper'!AC327)</f>
        <v/>
      </c>
      <c r="Q327">
        <f>IF('03_Helper'!A327="","",'03_Helper'!AD327)</f>
        <v/>
      </c>
      <c r="R327">
        <f>IF('03_Helper'!A327="","",'03_Helper'!AI327)</f>
        <v/>
      </c>
      <c r="S327">
        <f>IF('03_Helper'!A327="","",'03_Helper'!AJ327)</f>
        <v/>
      </c>
      <c r="T327">
        <f>IF('03_Helper'!A327="","",'03_Helper'!U327)</f>
        <v/>
      </c>
      <c r="U327">
        <f>IF('03_Helper'!A327="","",'03_Helper'!W327)</f>
        <v/>
      </c>
      <c r="V327">
        <f>IF('03_Helper'!A327="","",'03_Helper'!AG327)</f>
        <v/>
      </c>
      <c r="W327">
        <f>IF('03_Helper'!A327="","",'03_Helper'!AK327)</f>
        <v/>
      </c>
      <c r="X327">
        <f>IF('03_Helper'!A327="","",'03_Helper'!K327)</f>
        <v/>
      </c>
      <c r="Y327">
        <f>IF('03_Helper'!A327="","",'03_Helper'!AN327)</f>
        <v/>
      </c>
    </row>
    <row r="328">
      <c r="A328">
        <f>IF('03_Helper'!A328="","",'03_Helper'!B328)</f>
        <v/>
      </c>
      <c r="B328">
        <f>IF('03_Helper'!A328="","",'03_Helper'!C328)</f>
        <v/>
      </c>
      <c r="C328">
        <f>IF('03_Helper'!A328="","",'03_Helper'!G328)</f>
        <v/>
      </c>
      <c r="D328">
        <f>IF('03_Helper'!A328="","",'03_Helper'!E328)</f>
        <v/>
      </c>
      <c r="E328">
        <f>IF('03_Helper'!A328="","",'03_Helper'!D328)</f>
        <v/>
      </c>
      <c r="F328">
        <f>IF('03_Helper'!A328="","",'03_Helper'!H328)</f>
        <v/>
      </c>
      <c r="G328">
        <f>IF('03_Helper'!A328="","",'03_Helper'!X328)</f>
        <v/>
      </c>
      <c r="H328">
        <f>IF('03_Helper'!A328="","",'03_Helper'!Y328)</f>
        <v/>
      </c>
      <c r="I328">
        <f>IF('03_Helper'!A328="","",'03_Helper'!Z328)</f>
        <v/>
      </c>
      <c r="J328">
        <f>IF('03_Helper'!A328="","",'03_Helper'!Q328)</f>
        <v/>
      </c>
      <c r="K328">
        <f>IF('03_Helper'!A328="","",'03_Helper'!R328)</f>
        <v/>
      </c>
      <c r="L328">
        <f>IF('03_Helper'!A328="","",'03_Helper'!S328)</f>
        <v/>
      </c>
      <c r="M328">
        <f>IF('03_Helper'!A328="","",'03_Helper'!T328)</f>
        <v/>
      </c>
      <c r="N328">
        <f>IF('03_Helper'!A328="","",'03_Helper'!AA328)</f>
        <v/>
      </c>
      <c r="O328">
        <f>IF('03_Helper'!A328="","",'03_Helper'!AB328)</f>
        <v/>
      </c>
      <c r="P328">
        <f>IF('03_Helper'!A328="","",'03_Helper'!AC328)</f>
        <v/>
      </c>
      <c r="Q328">
        <f>IF('03_Helper'!A328="","",'03_Helper'!AD328)</f>
        <v/>
      </c>
      <c r="R328">
        <f>IF('03_Helper'!A328="","",'03_Helper'!AI328)</f>
        <v/>
      </c>
      <c r="S328">
        <f>IF('03_Helper'!A328="","",'03_Helper'!AJ328)</f>
        <v/>
      </c>
      <c r="T328">
        <f>IF('03_Helper'!A328="","",'03_Helper'!U328)</f>
        <v/>
      </c>
      <c r="U328">
        <f>IF('03_Helper'!A328="","",'03_Helper'!W328)</f>
        <v/>
      </c>
      <c r="V328">
        <f>IF('03_Helper'!A328="","",'03_Helper'!AG328)</f>
        <v/>
      </c>
      <c r="W328">
        <f>IF('03_Helper'!A328="","",'03_Helper'!AK328)</f>
        <v/>
      </c>
      <c r="X328">
        <f>IF('03_Helper'!A328="","",'03_Helper'!K328)</f>
        <v/>
      </c>
      <c r="Y328">
        <f>IF('03_Helper'!A328="","",'03_Helper'!AN328)</f>
        <v/>
      </c>
    </row>
    <row r="329">
      <c r="A329">
        <f>IF('03_Helper'!A329="","",'03_Helper'!B329)</f>
        <v/>
      </c>
      <c r="B329">
        <f>IF('03_Helper'!A329="","",'03_Helper'!C329)</f>
        <v/>
      </c>
      <c r="C329">
        <f>IF('03_Helper'!A329="","",'03_Helper'!G329)</f>
        <v/>
      </c>
      <c r="D329">
        <f>IF('03_Helper'!A329="","",'03_Helper'!E329)</f>
        <v/>
      </c>
      <c r="E329">
        <f>IF('03_Helper'!A329="","",'03_Helper'!D329)</f>
        <v/>
      </c>
      <c r="F329">
        <f>IF('03_Helper'!A329="","",'03_Helper'!H329)</f>
        <v/>
      </c>
      <c r="G329">
        <f>IF('03_Helper'!A329="","",'03_Helper'!X329)</f>
        <v/>
      </c>
      <c r="H329">
        <f>IF('03_Helper'!A329="","",'03_Helper'!Y329)</f>
        <v/>
      </c>
      <c r="I329">
        <f>IF('03_Helper'!A329="","",'03_Helper'!Z329)</f>
        <v/>
      </c>
      <c r="J329">
        <f>IF('03_Helper'!A329="","",'03_Helper'!Q329)</f>
        <v/>
      </c>
      <c r="K329">
        <f>IF('03_Helper'!A329="","",'03_Helper'!R329)</f>
        <v/>
      </c>
      <c r="L329">
        <f>IF('03_Helper'!A329="","",'03_Helper'!S329)</f>
        <v/>
      </c>
      <c r="M329">
        <f>IF('03_Helper'!A329="","",'03_Helper'!T329)</f>
        <v/>
      </c>
      <c r="N329">
        <f>IF('03_Helper'!A329="","",'03_Helper'!AA329)</f>
        <v/>
      </c>
      <c r="O329">
        <f>IF('03_Helper'!A329="","",'03_Helper'!AB329)</f>
        <v/>
      </c>
      <c r="P329">
        <f>IF('03_Helper'!A329="","",'03_Helper'!AC329)</f>
        <v/>
      </c>
      <c r="Q329">
        <f>IF('03_Helper'!A329="","",'03_Helper'!AD329)</f>
        <v/>
      </c>
      <c r="R329">
        <f>IF('03_Helper'!A329="","",'03_Helper'!AI329)</f>
        <v/>
      </c>
      <c r="S329">
        <f>IF('03_Helper'!A329="","",'03_Helper'!AJ329)</f>
        <v/>
      </c>
      <c r="T329">
        <f>IF('03_Helper'!A329="","",'03_Helper'!U329)</f>
        <v/>
      </c>
      <c r="U329">
        <f>IF('03_Helper'!A329="","",'03_Helper'!W329)</f>
        <v/>
      </c>
      <c r="V329">
        <f>IF('03_Helper'!A329="","",'03_Helper'!AG329)</f>
        <v/>
      </c>
      <c r="W329">
        <f>IF('03_Helper'!A329="","",'03_Helper'!AK329)</f>
        <v/>
      </c>
      <c r="X329">
        <f>IF('03_Helper'!A329="","",'03_Helper'!K329)</f>
        <v/>
      </c>
      <c r="Y329">
        <f>IF('03_Helper'!A329="","",'03_Helper'!AN329)</f>
        <v/>
      </c>
    </row>
    <row r="330">
      <c r="A330">
        <f>IF('03_Helper'!A330="","",'03_Helper'!B330)</f>
        <v/>
      </c>
      <c r="B330">
        <f>IF('03_Helper'!A330="","",'03_Helper'!C330)</f>
        <v/>
      </c>
      <c r="C330">
        <f>IF('03_Helper'!A330="","",'03_Helper'!G330)</f>
        <v/>
      </c>
      <c r="D330">
        <f>IF('03_Helper'!A330="","",'03_Helper'!E330)</f>
        <v/>
      </c>
      <c r="E330">
        <f>IF('03_Helper'!A330="","",'03_Helper'!D330)</f>
        <v/>
      </c>
      <c r="F330">
        <f>IF('03_Helper'!A330="","",'03_Helper'!H330)</f>
        <v/>
      </c>
      <c r="G330">
        <f>IF('03_Helper'!A330="","",'03_Helper'!X330)</f>
        <v/>
      </c>
      <c r="H330">
        <f>IF('03_Helper'!A330="","",'03_Helper'!Y330)</f>
        <v/>
      </c>
      <c r="I330">
        <f>IF('03_Helper'!A330="","",'03_Helper'!Z330)</f>
        <v/>
      </c>
      <c r="J330">
        <f>IF('03_Helper'!A330="","",'03_Helper'!Q330)</f>
        <v/>
      </c>
      <c r="K330">
        <f>IF('03_Helper'!A330="","",'03_Helper'!R330)</f>
        <v/>
      </c>
      <c r="L330">
        <f>IF('03_Helper'!A330="","",'03_Helper'!S330)</f>
        <v/>
      </c>
      <c r="M330">
        <f>IF('03_Helper'!A330="","",'03_Helper'!T330)</f>
        <v/>
      </c>
      <c r="N330">
        <f>IF('03_Helper'!A330="","",'03_Helper'!AA330)</f>
        <v/>
      </c>
      <c r="O330">
        <f>IF('03_Helper'!A330="","",'03_Helper'!AB330)</f>
        <v/>
      </c>
      <c r="P330">
        <f>IF('03_Helper'!A330="","",'03_Helper'!AC330)</f>
        <v/>
      </c>
      <c r="Q330">
        <f>IF('03_Helper'!A330="","",'03_Helper'!AD330)</f>
        <v/>
      </c>
      <c r="R330">
        <f>IF('03_Helper'!A330="","",'03_Helper'!AI330)</f>
        <v/>
      </c>
      <c r="S330">
        <f>IF('03_Helper'!A330="","",'03_Helper'!AJ330)</f>
        <v/>
      </c>
      <c r="T330">
        <f>IF('03_Helper'!A330="","",'03_Helper'!U330)</f>
        <v/>
      </c>
      <c r="U330">
        <f>IF('03_Helper'!A330="","",'03_Helper'!W330)</f>
        <v/>
      </c>
      <c r="V330">
        <f>IF('03_Helper'!A330="","",'03_Helper'!AG330)</f>
        <v/>
      </c>
      <c r="W330">
        <f>IF('03_Helper'!A330="","",'03_Helper'!AK330)</f>
        <v/>
      </c>
      <c r="X330">
        <f>IF('03_Helper'!A330="","",'03_Helper'!K330)</f>
        <v/>
      </c>
      <c r="Y330">
        <f>IF('03_Helper'!A330="","",'03_Helper'!AN330)</f>
        <v/>
      </c>
    </row>
    <row r="331">
      <c r="A331">
        <f>IF('03_Helper'!A331="","",'03_Helper'!B331)</f>
        <v/>
      </c>
      <c r="B331">
        <f>IF('03_Helper'!A331="","",'03_Helper'!C331)</f>
        <v/>
      </c>
      <c r="C331">
        <f>IF('03_Helper'!A331="","",'03_Helper'!G331)</f>
        <v/>
      </c>
      <c r="D331">
        <f>IF('03_Helper'!A331="","",'03_Helper'!E331)</f>
        <v/>
      </c>
      <c r="E331">
        <f>IF('03_Helper'!A331="","",'03_Helper'!D331)</f>
        <v/>
      </c>
      <c r="F331">
        <f>IF('03_Helper'!A331="","",'03_Helper'!H331)</f>
        <v/>
      </c>
      <c r="G331">
        <f>IF('03_Helper'!A331="","",'03_Helper'!X331)</f>
        <v/>
      </c>
      <c r="H331">
        <f>IF('03_Helper'!A331="","",'03_Helper'!Y331)</f>
        <v/>
      </c>
      <c r="I331">
        <f>IF('03_Helper'!A331="","",'03_Helper'!Z331)</f>
        <v/>
      </c>
      <c r="J331">
        <f>IF('03_Helper'!A331="","",'03_Helper'!Q331)</f>
        <v/>
      </c>
      <c r="K331">
        <f>IF('03_Helper'!A331="","",'03_Helper'!R331)</f>
        <v/>
      </c>
      <c r="L331">
        <f>IF('03_Helper'!A331="","",'03_Helper'!S331)</f>
        <v/>
      </c>
      <c r="M331">
        <f>IF('03_Helper'!A331="","",'03_Helper'!T331)</f>
        <v/>
      </c>
      <c r="N331">
        <f>IF('03_Helper'!A331="","",'03_Helper'!AA331)</f>
        <v/>
      </c>
      <c r="O331">
        <f>IF('03_Helper'!A331="","",'03_Helper'!AB331)</f>
        <v/>
      </c>
      <c r="P331">
        <f>IF('03_Helper'!A331="","",'03_Helper'!AC331)</f>
        <v/>
      </c>
      <c r="Q331">
        <f>IF('03_Helper'!A331="","",'03_Helper'!AD331)</f>
        <v/>
      </c>
      <c r="R331">
        <f>IF('03_Helper'!A331="","",'03_Helper'!AI331)</f>
        <v/>
      </c>
      <c r="S331">
        <f>IF('03_Helper'!A331="","",'03_Helper'!AJ331)</f>
        <v/>
      </c>
      <c r="T331">
        <f>IF('03_Helper'!A331="","",'03_Helper'!U331)</f>
        <v/>
      </c>
      <c r="U331">
        <f>IF('03_Helper'!A331="","",'03_Helper'!W331)</f>
        <v/>
      </c>
      <c r="V331">
        <f>IF('03_Helper'!A331="","",'03_Helper'!AG331)</f>
        <v/>
      </c>
      <c r="W331">
        <f>IF('03_Helper'!A331="","",'03_Helper'!AK331)</f>
        <v/>
      </c>
      <c r="X331">
        <f>IF('03_Helper'!A331="","",'03_Helper'!K331)</f>
        <v/>
      </c>
      <c r="Y331">
        <f>IF('03_Helper'!A331="","",'03_Helper'!AN331)</f>
        <v/>
      </c>
    </row>
    <row r="332">
      <c r="A332">
        <f>IF('03_Helper'!A332="","",'03_Helper'!B332)</f>
        <v/>
      </c>
      <c r="B332">
        <f>IF('03_Helper'!A332="","",'03_Helper'!C332)</f>
        <v/>
      </c>
      <c r="C332">
        <f>IF('03_Helper'!A332="","",'03_Helper'!G332)</f>
        <v/>
      </c>
      <c r="D332">
        <f>IF('03_Helper'!A332="","",'03_Helper'!E332)</f>
        <v/>
      </c>
      <c r="E332">
        <f>IF('03_Helper'!A332="","",'03_Helper'!D332)</f>
        <v/>
      </c>
      <c r="F332">
        <f>IF('03_Helper'!A332="","",'03_Helper'!H332)</f>
        <v/>
      </c>
      <c r="G332">
        <f>IF('03_Helper'!A332="","",'03_Helper'!X332)</f>
        <v/>
      </c>
      <c r="H332">
        <f>IF('03_Helper'!A332="","",'03_Helper'!Y332)</f>
        <v/>
      </c>
      <c r="I332">
        <f>IF('03_Helper'!A332="","",'03_Helper'!Z332)</f>
        <v/>
      </c>
      <c r="J332">
        <f>IF('03_Helper'!A332="","",'03_Helper'!Q332)</f>
        <v/>
      </c>
      <c r="K332">
        <f>IF('03_Helper'!A332="","",'03_Helper'!R332)</f>
        <v/>
      </c>
      <c r="L332">
        <f>IF('03_Helper'!A332="","",'03_Helper'!S332)</f>
        <v/>
      </c>
      <c r="M332">
        <f>IF('03_Helper'!A332="","",'03_Helper'!T332)</f>
        <v/>
      </c>
      <c r="N332">
        <f>IF('03_Helper'!A332="","",'03_Helper'!AA332)</f>
        <v/>
      </c>
      <c r="O332">
        <f>IF('03_Helper'!A332="","",'03_Helper'!AB332)</f>
        <v/>
      </c>
      <c r="P332">
        <f>IF('03_Helper'!A332="","",'03_Helper'!AC332)</f>
        <v/>
      </c>
      <c r="Q332">
        <f>IF('03_Helper'!A332="","",'03_Helper'!AD332)</f>
        <v/>
      </c>
      <c r="R332">
        <f>IF('03_Helper'!A332="","",'03_Helper'!AI332)</f>
        <v/>
      </c>
      <c r="S332">
        <f>IF('03_Helper'!A332="","",'03_Helper'!AJ332)</f>
        <v/>
      </c>
      <c r="T332">
        <f>IF('03_Helper'!A332="","",'03_Helper'!U332)</f>
        <v/>
      </c>
      <c r="U332">
        <f>IF('03_Helper'!A332="","",'03_Helper'!W332)</f>
        <v/>
      </c>
      <c r="V332">
        <f>IF('03_Helper'!A332="","",'03_Helper'!AG332)</f>
        <v/>
      </c>
      <c r="W332">
        <f>IF('03_Helper'!A332="","",'03_Helper'!AK332)</f>
        <v/>
      </c>
      <c r="X332">
        <f>IF('03_Helper'!A332="","",'03_Helper'!K332)</f>
        <v/>
      </c>
      <c r="Y332">
        <f>IF('03_Helper'!A332="","",'03_Helper'!AN332)</f>
        <v/>
      </c>
    </row>
    <row r="333">
      <c r="A333">
        <f>IF('03_Helper'!A333="","",'03_Helper'!B333)</f>
        <v/>
      </c>
      <c r="B333">
        <f>IF('03_Helper'!A333="","",'03_Helper'!C333)</f>
        <v/>
      </c>
      <c r="C333">
        <f>IF('03_Helper'!A333="","",'03_Helper'!G333)</f>
        <v/>
      </c>
      <c r="D333">
        <f>IF('03_Helper'!A333="","",'03_Helper'!E333)</f>
        <v/>
      </c>
      <c r="E333">
        <f>IF('03_Helper'!A333="","",'03_Helper'!D333)</f>
        <v/>
      </c>
      <c r="F333">
        <f>IF('03_Helper'!A333="","",'03_Helper'!H333)</f>
        <v/>
      </c>
      <c r="G333">
        <f>IF('03_Helper'!A333="","",'03_Helper'!X333)</f>
        <v/>
      </c>
      <c r="H333">
        <f>IF('03_Helper'!A333="","",'03_Helper'!Y333)</f>
        <v/>
      </c>
      <c r="I333">
        <f>IF('03_Helper'!A333="","",'03_Helper'!Z333)</f>
        <v/>
      </c>
      <c r="J333">
        <f>IF('03_Helper'!A333="","",'03_Helper'!Q333)</f>
        <v/>
      </c>
      <c r="K333">
        <f>IF('03_Helper'!A333="","",'03_Helper'!R333)</f>
        <v/>
      </c>
      <c r="L333">
        <f>IF('03_Helper'!A333="","",'03_Helper'!S333)</f>
        <v/>
      </c>
      <c r="M333">
        <f>IF('03_Helper'!A333="","",'03_Helper'!T333)</f>
        <v/>
      </c>
      <c r="N333">
        <f>IF('03_Helper'!A333="","",'03_Helper'!AA333)</f>
        <v/>
      </c>
      <c r="O333">
        <f>IF('03_Helper'!A333="","",'03_Helper'!AB333)</f>
        <v/>
      </c>
      <c r="P333">
        <f>IF('03_Helper'!A333="","",'03_Helper'!AC333)</f>
        <v/>
      </c>
      <c r="Q333">
        <f>IF('03_Helper'!A333="","",'03_Helper'!AD333)</f>
        <v/>
      </c>
      <c r="R333">
        <f>IF('03_Helper'!A333="","",'03_Helper'!AI333)</f>
        <v/>
      </c>
      <c r="S333">
        <f>IF('03_Helper'!A333="","",'03_Helper'!AJ333)</f>
        <v/>
      </c>
      <c r="T333">
        <f>IF('03_Helper'!A333="","",'03_Helper'!U333)</f>
        <v/>
      </c>
      <c r="U333">
        <f>IF('03_Helper'!A333="","",'03_Helper'!W333)</f>
        <v/>
      </c>
      <c r="V333">
        <f>IF('03_Helper'!A333="","",'03_Helper'!AG333)</f>
        <v/>
      </c>
      <c r="W333">
        <f>IF('03_Helper'!A333="","",'03_Helper'!AK333)</f>
        <v/>
      </c>
      <c r="X333">
        <f>IF('03_Helper'!A333="","",'03_Helper'!K333)</f>
        <v/>
      </c>
      <c r="Y333">
        <f>IF('03_Helper'!A333="","",'03_Helper'!AN333)</f>
        <v/>
      </c>
    </row>
    <row r="334">
      <c r="A334">
        <f>IF('03_Helper'!A334="","",'03_Helper'!B334)</f>
        <v/>
      </c>
      <c r="B334">
        <f>IF('03_Helper'!A334="","",'03_Helper'!C334)</f>
        <v/>
      </c>
      <c r="C334">
        <f>IF('03_Helper'!A334="","",'03_Helper'!G334)</f>
        <v/>
      </c>
      <c r="D334">
        <f>IF('03_Helper'!A334="","",'03_Helper'!E334)</f>
        <v/>
      </c>
      <c r="E334">
        <f>IF('03_Helper'!A334="","",'03_Helper'!D334)</f>
        <v/>
      </c>
      <c r="F334">
        <f>IF('03_Helper'!A334="","",'03_Helper'!H334)</f>
        <v/>
      </c>
      <c r="G334">
        <f>IF('03_Helper'!A334="","",'03_Helper'!X334)</f>
        <v/>
      </c>
      <c r="H334">
        <f>IF('03_Helper'!A334="","",'03_Helper'!Y334)</f>
        <v/>
      </c>
      <c r="I334">
        <f>IF('03_Helper'!A334="","",'03_Helper'!Z334)</f>
        <v/>
      </c>
      <c r="J334">
        <f>IF('03_Helper'!A334="","",'03_Helper'!Q334)</f>
        <v/>
      </c>
      <c r="K334">
        <f>IF('03_Helper'!A334="","",'03_Helper'!R334)</f>
        <v/>
      </c>
      <c r="L334">
        <f>IF('03_Helper'!A334="","",'03_Helper'!S334)</f>
        <v/>
      </c>
      <c r="M334">
        <f>IF('03_Helper'!A334="","",'03_Helper'!T334)</f>
        <v/>
      </c>
      <c r="N334">
        <f>IF('03_Helper'!A334="","",'03_Helper'!AA334)</f>
        <v/>
      </c>
      <c r="O334">
        <f>IF('03_Helper'!A334="","",'03_Helper'!AB334)</f>
        <v/>
      </c>
      <c r="P334">
        <f>IF('03_Helper'!A334="","",'03_Helper'!AC334)</f>
        <v/>
      </c>
      <c r="Q334">
        <f>IF('03_Helper'!A334="","",'03_Helper'!AD334)</f>
        <v/>
      </c>
      <c r="R334">
        <f>IF('03_Helper'!A334="","",'03_Helper'!AI334)</f>
        <v/>
      </c>
      <c r="S334">
        <f>IF('03_Helper'!A334="","",'03_Helper'!AJ334)</f>
        <v/>
      </c>
      <c r="T334">
        <f>IF('03_Helper'!A334="","",'03_Helper'!U334)</f>
        <v/>
      </c>
      <c r="U334">
        <f>IF('03_Helper'!A334="","",'03_Helper'!W334)</f>
        <v/>
      </c>
      <c r="V334">
        <f>IF('03_Helper'!A334="","",'03_Helper'!AG334)</f>
        <v/>
      </c>
      <c r="W334">
        <f>IF('03_Helper'!A334="","",'03_Helper'!AK334)</f>
        <v/>
      </c>
      <c r="X334">
        <f>IF('03_Helper'!A334="","",'03_Helper'!K334)</f>
        <v/>
      </c>
      <c r="Y334">
        <f>IF('03_Helper'!A334="","",'03_Helper'!AN334)</f>
        <v/>
      </c>
    </row>
    <row r="335">
      <c r="A335">
        <f>IF('03_Helper'!A335="","",'03_Helper'!B335)</f>
        <v/>
      </c>
      <c r="B335">
        <f>IF('03_Helper'!A335="","",'03_Helper'!C335)</f>
        <v/>
      </c>
      <c r="C335">
        <f>IF('03_Helper'!A335="","",'03_Helper'!G335)</f>
        <v/>
      </c>
      <c r="D335">
        <f>IF('03_Helper'!A335="","",'03_Helper'!E335)</f>
        <v/>
      </c>
      <c r="E335">
        <f>IF('03_Helper'!A335="","",'03_Helper'!D335)</f>
        <v/>
      </c>
      <c r="F335">
        <f>IF('03_Helper'!A335="","",'03_Helper'!H335)</f>
        <v/>
      </c>
      <c r="G335">
        <f>IF('03_Helper'!A335="","",'03_Helper'!X335)</f>
        <v/>
      </c>
      <c r="H335">
        <f>IF('03_Helper'!A335="","",'03_Helper'!Y335)</f>
        <v/>
      </c>
      <c r="I335">
        <f>IF('03_Helper'!A335="","",'03_Helper'!Z335)</f>
        <v/>
      </c>
      <c r="J335">
        <f>IF('03_Helper'!A335="","",'03_Helper'!Q335)</f>
        <v/>
      </c>
      <c r="K335">
        <f>IF('03_Helper'!A335="","",'03_Helper'!R335)</f>
        <v/>
      </c>
      <c r="L335">
        <f>IF('03_Helper'!A335="","",'03_Helper'!S335)</f>
        <v/>
      </c>
      <c r="M335">
        <f>IF('03_Helper'!A335="","",'03_Helper'!T335)</f>
        <v/>
      </c>
      <c r="N335">
        <f>IF('03_Helper'!A335="","",'03_Helper'!AA335)</f>
        <v/>
      </c>
      <c r="O335">
        <f>IF('03_Helper'!A335="","",'03_Helper'!AB335)</f>
        <v/>
      </c>
      <c r="P335">
        <f>IF('03_Helper'!A335="","",'03_Helper'!AC335)</f>
        <v/>
      </c>
      <c r="Q335">
        <f>IF('03_Helper'!A335="","",'03_Helper'!AD335)</f>
        <v/>
      </c>
      <c r="R335">
        <f>IF('03_Helper'!A335="","",'03_Helper'!AI335)</f>
        <v/>
      </c>
      <c r="S335">
        <f>IF('03_Helper'!A335="","",'03_Helper'!AJ335)</f>
        <v/>
      </c>
      <c r="T335">
        <f>IF('03_Helper'!A335="","",'03_Helper'!U335)</f>
        <v/>
      </c>
      <c r="U335">
        <f>IF('03_Helper'!A335="","",'03_Helper'!W335)</f>
        <v/>
      </c>
      <c r="V335">
        <f>IF('03_Helper'!A335="","",'03_Helper'!AG335)</f>
        <v/>
      </c>
      <c r="W335">
        <f>IF('03_Helper'!A335="","",'03_Helper'!AK335)</f>
        <v/>
      </c>
      <c r="X335">
        <f>IF('03_Helper'!A335="","",'03_Helper'!K335)</f>
        <v/>
      </c>
      <c r="Y335">
        <f>IF('03_Helper'!A335="","",'03_Helper'!AN335)</f>
        <v/>
      </c>
    </row>
    <row r="336">
      <c r="A336">
        <f>IF('03_Helper'!A336="","",'03_Helper'!B336)</f>
        <v/>
      </c>
      <c r="B336">
        <f>IF('03_Helper'!A336="","",'03_Helper'!C336)</f>
        <v/>
      </c>
      <c r="C336">
        <f>IF('03_Helper'!A336="","",'03_Helper'!G336)</f>
        <v/>
      </c>
      <c r="D336">
        <f>IF('03_Helper'!A336="","",'03_Helper'!E336)</f>
        <v/>
      </c>
      <c r="E336">
        <f>IF('03_Helper'!A336="","",'03_Helper'!D336)</f>
        <v/>
      </c>
      <c r="F336">
        <f>IF('03_Helper'!A336="","",'03_Helper'!H336)</f>
        <v/>
      </c>
      <c r="G336">
        <f>IF('03_Helper'!A336="","",'03_Helper'!X336)</f>
        <v/>
      </c>
      <c r="H336">
        <f>IF('03_Helper'!A336="","",'03_Helper'!Y336)</f>
        <v/>
      </c>
      <c r="I336">
        <f>IF('03_Helper'!A336="","",'03_Helper'!Z336)</f>
        <v/>
      </c>
      <c r="J336">
        <f>IF('03_Helper'!A336="","",'03_Helper'!Q336)</f>
        <v/>
      </c>
      <c r="K336">
        <f>IF('03_Helper'!A336="","",'03_Helper'!R336)</f>
        <v/>
      </c>
      <c r="L336">
        <f>IF('03_Helper'!A336="","",'03_Helper'!S336)</f>
        <v/>
      </c>
      <c r="M336">
        <f>IF('03_Helper'!A336="","",'03_Helper'!T336)</f>
        <v/>
      </c>
      <c r="N336">
        <f>IF('03_Helper'!A336="","",'03_Helper'!AA336)</f>
        <v/>
      </c>
      <c r="O336">
        <f>IF('03_Helper'!A336="","",'03_Helper'!AB336)</f>
        <v/>
      </c>
      <c r="P336">
        <f>IF('03_Helper'!A336="","",'03_Helper'!AC336)</f>
        <v/>
      </c>
      <c r="Q336">
        <f>IF('03_Helper'!A336="","",'03_Helper'!AD336)</f>
        <v/>
      </c>
      <c r="R336">
        <f>IF('03_Helper'!A336="","",'03_Helper'!AI336)</f>
        <v/>
      </c>
      <c r="S336">
        <f>IF('03_Helper'!A336="","",'03_Helper'!AJ336)</f>
        <v/>
      </c>
      <c r="T336">
        <f>IF('03_Helper'!A336="","",'03_Helper'!U336)</f>
        <v/>
      </c>
      <c r="U336">
        <f>IF('03_Helper'!A336="","",'03_Helper'!W336)</f>
        <v/>
      </c>
      <c r="V336">
        <f>IF('03_Helper'!A336="","",'03_Helper'!AG336)</f>
        <v/>
      </c>
      <c r="W336">
        <f>IF('03_Helper'!A336="","",'03_Helper'!AK336)</f>
        <v/>
      </c>
      <c r="X336">
        <f>IF('03_Helper'!A336="","",'03_Helper'!K336)</f>
        <v/>
      </c>
      <c r="Y336">
        <f>IF('03_Helper'!A336="","",'03_Helper'!AN336)</f>
        <v/>
      </c>
    </row>
    <row r="337">
      <c r="A337">
        <f>IF('03_Helper'!A337="","",'03_Helper'!B337)</f>
        <v/>
      </c>
      <c r="B337">
        <f>IF('03_Helper'!A337="","",'03_Helper'!C337)</f>
        <v/>
      </c>
      <c r="C337">
        <f>IF('03_Helper'!A337="","",'03_Helper'!G337)</f>
        <v/>
      </c>
      <c r="D337">
        <f>IF('03_Helper'!A337="","",'03_Helper'!E337)</f>
        <v/>
      </c>
      <c r="E337">
        <f>IF('03_Helper'!A337="","",'03_Helper'!D337)</f>
        <v/>
      </c>
      <c r="F337">
        <f>IF('03_Helper'!A337="","",'03_Helper'!H337)</f>
        <v/>
      </c>
      <c r="G337">
        <f>IF('03_Helper'!A337="","",'03_Helper'!X337)</f>
        <v/>
      </c>
      <c r="H337">
        <f>IF('03_Helper'!A337="","",'03_Helper'!Y337)</f>
        <v/>
      </c>
      <c r="I337">
        <f>IF('03_Helper'!A337="","",'03_Helper'!Z337)</f>
        <v/>
      </c>
      <c r="J337">
        <f>IF('03_Helper'!A337="","",'03_Helper'!Q337)</f>
        <v/>
      </c>
      <c r="K337">
        <f>IF('03_Helper'!A337="","",'03_Helper'!R337)</f>
        <v/>
      </c>
      <c r="L337">
        <f>IF('03_Helper'!A337="","",'03_Helper'!S337)</f>
        <v/>
      </c>
      <c r="M337">
        <f>IF('03_Helper'!A337="","",'03_Helper'!T337)</f>
        <v/>
      </c>
      <c r="N337">
        <f>IF('03_Helper'!A337="","",'03_Helper'!AA337)</f>
        <v/>
      </c>
      <c r="O337">
        <f>IF('03_Helper'!A337="","",'03_Helper'!AB337)</f>
        <v/>
      </c>
      <c r="P337">
        <f>IF('03_Helper'!A337="","",'03_Helper'!AC337)</f>
        <v/>
      </c>
      <c r="Q337">
        <f>IF('03_Helper'!A337="","",'03_Helper'!AD337)</f>
        <v/>
      </c>
      <c r="R337">
        <f>IF('03_Helper'!A337="","",'03_Helper'!AI337)</f>
        <v/>
      </c>
      <c r="S337">
        <f>IF('03_Helper'!A337="","",'03_Helper'!AJ337)</f>
        <v/>
      </c>
      <c r="T337">
        <f>IF('03_Helper'!A337="","",'03_Helper'!U337)</f>
        <v/>
      </c>
      <c r="U337">
        <f>IF('03_Helper'!A337="","",'03_Helper'!W337)</f>
        <v/>
      </c>
      <c r="V337">
        <f>IF('03_Helper'!A337="","",'03_Helper'!AG337)</f>
        <v/>
      </c>
      <c r="W337">
        <f>IF('03_Helper'!A337="","",'03_Helper'!AK337)</f>
        <v/>
      </c>
      <c r="X337">
        <f>IF('03_Helper'!A337="","",'03_Helper'!K337)</f>
        <v/>
      </c>
      <c r="Y337">
        <f>IF('03_Helper'!A337="","",'03_Helper'!AN337)</f>
        <v/>
      </c>
    </row>
    <row r="338">
      <c r="A338">
        <f>IF('03_Helper'!A338="","",'03_Helper'!B338)</f>
        <v/>
      </c>
      <c r="B338">
        <f>IF('03_Helper'!A338="","",'03_Helper'!C338)</f>
        <v/>
      </c>
      <c r="C338">
        <f>IF('03_Helper'!A338="","",'03_Helper'!G338)</f>
        <v/>
      </c>
      <c r="D338">
        <f>IF('03_Helper'!A338="","",'03_Helper'!E338)</f>
        <v/>
      </c>
      <c r="E338">
        <f>IF('03_Helper'!A338="","",'03_Helper'!D338)</f>
        <v/>
      </c>
      <c r="F338">
        <f>IF('03_Helper'!A338="","",'03_Helper'!H338)</f>
        <v/>
      </c>
      <c r="G338">
        <f>IF('03_Helper'!A338="","",'03_Helper'!X338)</f>
        <v/>
      </c>
      <c r="H338">
        <f>IF('03_Helper'!A338="","",'03_Helper'!Y338)</f>
        <v/>
      </c>
      <c r="I338">
        <f>IF('03_Helper'!A338="","",'03_Helper'!Z338)</f>
        <v/>
      </c>
      <c r="J338">
        <f>IF('03_Helper'!A338="","",'03_Helper'!Q338)</f>
        <v/>
      </c>
      <c r="K338">
        <f>IF('03_Helper'!A338="","",'03_Helper'!R338)</f>
        <v/>
      </c>
      <c r="L338">
        <f>IF('03_Helper'!A338="","",'03_Helper'!S338)</f>
        <v/>
      </c>
      <c r="M338">
        <f>IF('03_Helper'!A338="","",'03_Helper'!T338)</f>
        <v/>
      </c>
      <c r="N338">
        <f>IF('03_Helper'!A338="","",'03_Helper'!AA338)</f>
        <v/>
      </c>
      <c r="O338">
        <f>IF('03_Helper'!A338="","",'03_Helper'!AB338)</f>
        <v/>
      </c>
      <c r="P338">
        <f>IF('03_Helper'!A338="","",'03_Helper'!AC338)</f>
        <v/>
      </c>
      <c r="Q338">
        <f>IF('03_Helper'!A338="","",'03_Helper'!AD338)</f>
        <v/>
      </c>
      <c r="R338">
        <f>IF('03_Helper'!A338="","",'03_Helper'!AI338)</f>
        <v/>
      </c>
      <c r="S338">
        <f>IF('03_Helper'!A338="","",'03_Helper'!AJ338)</f>
        <v/>
      </c>
      <c r="T338">
        <f>IF('03_Helper'!A338="","",'03_Helper'!U338)</f>
        <v/>
      </c>
      <c r="U338">
        <f>IF('03_Helper'!A338="","",'03_Helper'!W338)</f>
        <v/>
      </c>
      <c r="V338">
        <f>IF('03_Helper'!A338="","",'03_Helper'!AG338)</f>
        <v/>
      </c>
      <c r="W338">
        <f>IF('03_Helper'!A338="","",'03_Helper'!AK338)</f>
        <v/>
      </c>
      <c r="X338">
        <f>IF('03_Helper'!A338="","",'03_Helper'!K338)</f>
        <v/>
      </c>
      <c r="Y338">
        <f>IF('03_Helper'!A338="","",'03_Helper'!AN338)</f>
        <v/>
      </c>
    </row>
    <row r="339">
      <c r="A339">
        <f>IF('03_Helper'!A339="","",'03_Helper'!B339)</f>
        <v/>
      </c>
      <c r="B339">
        <f>IF('03_Helper'!A339="","",'03_Helper'!C339)</f>
        <v/>
      </c>
      <c r="C339">
        <f>IF('03_Helper'!A339="","",'03_Helper'!G339)</f>
        <v/>
      </c>
      <c r="D339">
        <f>IF('03_Helper'!A339="","",'03_Helper'!E339)</f>
        <v/>
      </c>
      <c r="E339">
        <f>IF('03_Helper'!A339="","",'03_Helper'!D339)</f>
        <v/>
      </c>
      <c r="F339">
        <f>IF('03_Helper'!A339="","",'03_Helper'!H339)</f>
        <v/>
      </c>
      <c r="G339">
        <f>IF('03_Helper'!A339="","",'03_Helper'!X339)</f>
        <v/>
      </c>
      <c r="H339">
        <f>IF('03_Helper'!A339="","",'03_Helper'!Y339)</f>
        <v/>
      </c>
      <c r="I339">
        <f>IF('03_Helper'!A339="","",'03_Helper'!Z339)</f>
        <v/>
      </c>
      <c r="J339">
        <f>IF('03_Helper'!A339="","",'03_Helper'!Q339)</f>
        <v/>
      </c>
      <c r="K339">
        <f>IF('03_Helper'!A339="","",'03_Helper'!R339)</f>
        <v/>
      </c>
      <c r="L339">
        <f>IF('03_Helper'!A339="","",'03_Helper'!S339)</f>
        <v/>
      </c>
      <c r="M339">
        <f>IF('03_Helper'!A339="","",'03_Helper'!T339)</f>
        <v/>
      </c>
      <c r="N339">
        <f>IF('03_Helper'!A339="","",'03_Helper'!AA339)</f>
        <v/>
      </c>
      <c r="O339">
        <f>IF('03_Helper'!A339="","",'03_Helper'!AB339)</f>
        <v/>
      </c>
      <c r="P339">
        <f>IF('03_Helper'!A339="","",'03_Helper'!AC339)</f>
        <v/>
      </c>
      <c r="Q339">
        <f>IF('03_Helper'!A339="","",'03_Helper'!AD339)</f>
        <v/>
      </c>
      <c r="R339">
        <f>IF('03_Helper'!A339="","",'03_Helper'!AI339)</f>
        <v/>
      </c>
      <c r="S339">
        <f>IF('03_Helper'!A339="","",'03_Helper'!AJ339)</f>
        <v/>
      </c>
      <c r="T339">
        <f>IF('03_Helper'!A339="","",'03_Helper'!U339)</f>
        <v/>
      </c>
      <c r="U339">
        <f>IF('03_Helper'!A339="","",'03_Helper'!W339)</f>
        <v/>
      </c>
      <c r="V339">
        <f>IF('03_Helper'!A339="","",'03_Helper'!AG339)</f>
        <v/>
      </c>
      <c r="W339">
        <f>IF('03_Helper'!A339="","",'03_Helper'!AK339)</f>
        <v/>
      </c>
      <c r="X339">
        <f>IF('03_Helper'!A339="","",'03_Helper'!K339)</f>
        <v/>
      </c>
      <c r="Y339">
        <f>IF('03_Helper'!A339="","",'03_Helper'!AN339)</f>
        <v/>
      </c>
    </row>
    <row r="340">
      <c r="A340">
        <f>IF('03_Helper'!A340="","",'03_Helper'!B340)</f>
        <v/>
      </c>
      <c r="B340">
        <f>IF('03_Helper'!A340="","",'03_Helper'!C340)</f>
        <v/>
      </c>
      <c r="C340">
        <f>IF('03_Helper'!A340="","",'03_Helper'!G340)</f>
        <v/>
      </c>
      <c r="D340">
        <f>IF('03_Helper'!A340="","",'03_Helper'!E340)</f>
        <v/>
      </c>
      <c r="E340">
        <f>IF('03_Helper'!A340="","",'03_Helper'!D340)</f>
        <v/>
      </c>
      <c r="F340">
        <f>IF('03_Helper'!A340="","",'03_Helper'!H340)</f>
        <v/>
      </c>
      <c r="G340">
        <f>IF('03_Helper'!A340="","",'03_Helper'!X340)</f>
        <v/>
      </c>
      <c r="H340">
        <f>IF('03_Helper'!A340="","",'03_Helper'!Y340)</f>
        <v/>
      </c>
      <c r="I340">
        <f>IF('03_Helper'!A340="","",'03_Helper'!Z340)</f>
        <v/>
      </c>
      <c r="J340">
        <f>IF('03_Helper'!A340="","",'03_Helper'!Q340)</f>
        <v/>
      </c>
      <c r="K340">
        <f>IF('03_Helper'!A340="","",'03_Helper'!R340)</f>
        <v/>
      </c>
      <c r="L340">
        <f>IF('03_Helper'!A340="","",'03_Helper'!S340)</f>
        <v/>
      </c>
      <c r="M340">
        <f>IF('03_Helper'!A340="","",'03_Helper'!T340)</f>
        <v/>
      </c>
      <c r="N340">
        <f>IF('03_Helper'!A340="","",'03_Helper'!AA340)</f>
        <v/>
      </c>
      <c r="O340">
        <f>IF('03_Helper'!A340="","",'03_Helper'!AB340)</f>
        <v/>
      </c>
      <c r="P340">
        <f>IF('03_Helper'!A340="","",'03_Helper'!AC340)</f>
        <v/>
      </c>
      <c r="Q340">
        <f>IF('03_Helper'!A340="","",'03_Helper'!AD340)</f>
        <v/>
      </c>
      <c r="R340">
        <f>IF('03_Helper'!A340="","",'03_Helper'!AI340)</f>
        <v/>
      </c>
      <c r="S340">
        <f>IF('03_Helper'!A340="","",'03_Helper'!AJ340)</f>
        <v/>
      </c>
      <c r="T340">
        <f>IF('03_Helper'!A340="","",'03_Helper'!U340)</f>
        <v/>
      </c>
      <c r="U340">
        <f>IF('03_Helper'!A340="","",'03_Helper'!W340)</f>
        <v/>
      </c>
      <c r="V340">
        <f>IF('03_Helper'!A340="","",'03_Helper'!AG340)</f>
        <v/>
      </c>
      <c r="W340">
        <f>IF('03_Helper'!A340="","",'03_Helper'!AK340)</f>
        <v/>
      </c>
      <c r="X340">
        <f>IF('03_Helper'!A340="","",'03_Helper'!K340)</f>
        <v/>
      </c>
      <c r="Y340">
        <f>IF('03_Helper'!A340="","",'03_Helper'!AN340)</f>
        <v/>
      </c>
    </row>
    <row r="341">
      <c r="A341">
        <f>IF('03_Helper'!A341="","",'03_Helper'!B341)</f>
        <v/>
      </c>
      <c r="B341">
        <f>IF('03_Helper'!A341="","",'03_Helper'!C341)</f>
        <v/>
      </c>
      <c r="C341">
        <f>IF('03_Helper'!A341="","",'03_Helper'!G341)</f>
        <v/>
      </c>
      <c r="D341">
        <f>IF('03_Helper'!A341="","",'03_Helper'!E341)</f>
        <v/>
      </c>
      <c r="E341">
        <f>IF('03_Helper'!A341="","",'03_Helper'!D341)</f>
        <v/>
      </c>
      <c r="F341">
        <f>IF('03_Helper'!A341="","",'03_Helper'!H341)</f>
        <v/>
      </c>
      <c r="G341">
        <f>IF('03_Helper'!A341="","",'03_Helper'!X341)</f>
        <v/>
      </c>
      <c r="H341">
        <f>IF('03_Helper'!A341="","",'03_Helper'!Y341)</f>
        <v/>
      </c>
      <c r="I341">
        <f>IF('03_Helper'!A341="","",'03_Helper'!Z341)</f>
        <v/>
      </c>
      <c r="J341">
        <f>IF('03_Helper'!A341="","",'03_Helper'!Q341)</f>
        <v/>
      </c>
      <c r="K341">
        <f>IF('03_Helper'!A341="","",'03_Helper'!R341)</f>
        <v/>
      </c>
      <c r="L341">
        <f>IF('03_Helper'!A341="","",'03_Helper'!S341)</f>
        <v/>
      </c>
      <c r="M341">
        <f>IF('03_Helper'!A341="","",'03_Helper'!T341)</f>
        <v/>
      </c>
      <c r="N341">
        <f>IF('03_Helper'!A341="","",'03_Helper'!AA341)</f>
        <v/>
      </c>
      <c r="O341">
        <f>IF('03_Helper'!A341="","",'03_Helper'!AB341)</f>
        <v/>
      </c>
      <c r="P341">
        <f>IF('03_Helper'!A341="","",'03_Helper'!AC341)</f>
        <v/>
      </c>
      <c r="Q341">
        <f>IF('03_Helper'!A341="","",'03_Helper'!AD341)</f>
        <v/>
      </c>
      <c r="R341">
        <f>IF('03_Helper'!A341="","",'03_Helper'!AI341)</f>
        <v/>
      </c>
      <c r="S341">
        <f>IF('03_Helper'!A341="","",'03_Helper'!AJ341)</f>
        <v/>
      </c>
      <c r="T341">
        <f>IF('03_Helper'!A341="","",'03_Helper'!U341)</f>
        <v/>
      </c>
      <c r="U341">
        <f>IF('03_Helper'!A341="","",'03_Helper'!W341)</f>
        <v/>
      </c>
      <c r="V341">
        <f>IF('03_Helper'!A341="","",'03_Helper'!AG341)</f>
        <v/>
      </c>
      <c r="W341">
        <f>IF('03_Helper'!A341="","",'03_Helper'!AK341)</f>
        <v/>
      </c>
      <c r="X341">
        <f>IF('03_Helper'!A341="","",'03_Helper'!K341)</f>
        <v/>
      </c>
      <c r="Y341">
        <f>IF('03_Helper'!A341="","",'03_Helper'!AN341)</f>
        <v/>
      </c>
    </row>
    <row r="342">
      <c r="A342">
        <f>IF('03_Helper'!A342="","",'03_Helper'!B342)</f>
        <v/>
      </c>
      <c r="B342">
        <f>IF('03_Helper'!A342="","",'03_Helper'!C342)</f>
        <v/>
      </c>
      <c r="C342">
        <f>IF('03_Helper'!A342="","",'03_Helper'!G342)</f>
        <v/>
      </c>
      <c r="D342">
        <f>IF('03_Helper'!A342="","",'03_Helper'!E342)</f>
        <v/>
      </c>
      <c r="E342">
        <f>IF('03_Helper'!A342="","",'03_Helper'!D342)</f>
        <v/>
      </c>
      <c r="F342">
        <f>IF('03_Helper'!A342="","",'03_Helper'!H342)</f>
        <v/>
      </c>
      <c r="G342">
        <f>IF('03_Helper'!A342="","",'03_Helper'!X342)</f>
        <v/>
      </c>
      <c r="H342">
        <f>IF('03_Helper'!A342="","",'03_Helper'!Y342)</f>
        <v/>
      </c>
      <c r="I342">
        <f>IF('03_Helper'!A342="","",'03_Helper'!Z342)</f>
        <v/>
      </c>
      <c r="J342">
        <f>IF('03_Helper'!A342="","",'03_Helper'!Q342)</f>
        <v/>
      </c>
      <c r="K342">
        <f>IF('03_Helper'!A342="","",'03_Helper'!R342)</f>
        <v/>
      </c>
      <c r="L342">
        <f>IF('03_Helper'!A342="","",'03_Helper'!S342)</f>
        <v/>
      </c>
      <c r="M342">
        <f>IF('03_Helper'!A342="","",'03_Helper'!T342)</f>
        <v/>
      </c>
      <c r="N342">
        <f>IF('03_Helper'!A342="","",'03_Helper'!AA342)</f>
        <v/>
      </c>
      <c r="O342">
        <f>IF('03_Helper'!A342="","",'03_Helper'!AB342)</f>
        <v/>
      </c>
      <c r="P342">
        <f>IF('03_Helper'!A342="","",'03_Helper'!AC342)</f>
        <v/>
      </c>
      <c r="Q342">
        <f>IF('03_Helper'!A342="","",'03_Helper'!AD342)</f>
        <v/>
      </c>
      <c r="R342">
        <f>IF('03_Helper'!A342="","",'03_Helper'!AI342)</f>
        <v/>
      </c>
      <c r="S342">
        <f>IF('03_Helper'!A342="","",'03_Helper'!AJ342)</f>
        <v/>
      </c>
      <c r="T342">
        <f>IF('03_Helper'!A342="","",'03_Helper'!U342)</f>
        <v/>
      </c>
      <c r="U342">
        <f>IF('03_Helper'!A342="","",'03_Helper'!W342)</f>
        <v/>
      </c>
      <c r="V342">
        <f>IF('03_Helper'!A342="","",'03_Helper'!AG342)</f>
        <v/>
      </c>
      <c r="W342">
        <f>IF('03_Helper'!A342="","",'03_Helper'!AK342)</f>
        <v/>
      </c>
      <c r="X342">
        <f>IF('03_Helper'!A342="","",'03_Helper'!K342)</f>
        <v/>
      </c>
      <c r="Y342">
        <f>IF('03_Helper'!A342="","",'03_Helper'!AN342)</f>
        <v/>
      </c>
    </row>
    <row r="343">
      <c r="A343">
        <f>IF('03_Helper'!A343="","",'03_Helper'!B343)</f>
        <v/>
      </c>
      <c r="B343">
        <f>IF('03_Helper'!A343="","",'03_Helper'!C343)</f>
        <v/>
      </c>
      <c r="C343">
        <f>IF('03_Helper'!A343="","",'03_Helper'!G343)</f>
        <v/>
      </c>
      <c r="D343">
        <f>IF('03_Helper'!A343="","",'03_Helper'!E343)</f>
        <v/>
      </c>
      <c r="E343">
        <f>IF('03_Helper'!A343="","",'03_Helper'!D343)</f>
        <v/>
      </c>
      <c r="F343">
        <f>IF('03_Helper'!A343="","",'03_Helper'!H343)</f>
        <v/>
      </c>
      <c r="G343">
        <f>IF('03_Helper'!A343="","",'03_Helper'!X343)</f>
        <v/>
      </c>
      <c r="H343">
        <f>IF('03_Helper'!A343="","",'03_Helper'!Y343)</f>
        <v/>
      </c>
      <c r="I343">
        <f>IF('03_Helper'!A343="","",'03_Helper'!Z343)</f>
        <v/>
      </c>
      <c r="J343">
        <f>IF('03_Helper'!A343="","",'03_Helper'!Q343)</f>
        <v/>
      </c>
      <c r="K343">
        <f>IF('03_Helper'!A343="","",'03_Helper'!R343)</f>
        <v/>
      </c>
      <c r="L343">
        <f>IF('03_Helper'!A343="","",'03_Helper'!S343)</f>
        <v/>
      </c>
      <c r="M343">
        <f>IF('03_Helper'!A343="","",'03_Helper'!T343)</f>
        <v/>
      </c>
      <c r="N343">
        <f>IF('03_Helper'!A343="","",'03_Helper'!AA343)</f>
        <v/>
      </c>
      <c r="O343">
        <f>IF('03_Helper'!A343="","",'03_Helper'!AB343)</f>
        <v/>
      </c>
      <c r="P343">
        <f>IF('03_Helper'!A343="","",'03_Helper'!AC343)</f>
        <v/>
      </c>
      <c r="Q343">
        <f>IF('03_Helper'!A343="","",'03_Helper'!AD343)</f>
        <v/>
      </c>
      <c r="R343">
        <f>IF('03_Helper'!A343="","",'03_Helper'!AI343)</f>
        <v/>
      </c>
      <c r="S343">
        <f>IF('03_Helper'!A343="","",'03_Helper'!AJ343)</f>
        <v/>
      </c>
      <c r="T343">
        <f>IF('03_Helper'!A343="","",'03_Helper'!U343)</f>
        <v/>
      </c>
      <c r="U343">
        <f>IF('03_Helper'!A343="","",'03_Helper'!W343)</f>
        <v/>
      </c>
      <c r="V343">
        <f>IF('03_Helper'!A343="","",'03_Helper'!AG343)</f>
        <v/>
      </c>
      <c r="W343">
        <f>IF('03_Helper'!A343="","",'03_Helper'!AK343)</f>
        <v/>
      </c>
      <c r="X343">
        <f>IF('03_Helper'!A343="","",'03_Helper'!K343)</f>
        <v/>
      </c>
      <c r="Y343">
        <f>IF('03_Helper'!A343="","",'03_Helper'!AN343)</f>
        <v/>
      </c>
    </row>
    <row r="344">
      <c r="A344">
        <f>IF('03_Helper'!A344="","",'03_Helper'!B344)</f>
        <v/>
      </c>
      <c r="B344">
        <f>IF('03_Helper'!A344="","",'03_Helper'!C344)</f>
        <v/>
      </c>
      <c r="C344">
        <f>IF('03_Helper'!A344="","",'03_Helper'!G344)</f>
        <v/>
      </c>
      <c r="D344">
        <f>IF('03_Helper'!A344="","",'03_Helper'!E344)</f>
        <v/>
      </c>
      <c r="E344">
        <f>IF('03_Helper'!A344="","",'03_Helper'!D344)</f>
        <v/>
      </c>
      <c r="F344">
        <f>IF('03_Helper'!A344="","",'03_Helper'!H344)</f>
        <v/>
      </c>
      <c r="G344">
        <f>IF('03_Helper'!A344="","",'03_Helper'!X344)</f>
        <v/>
      </c>
      <c r="H344">
        <f>IF('03_Helper'!A344="","",'03_Helper'!Y344)</f>
        <v/>
      </c>
      <c r="I344">
        <f>IF('03_Helper'!A344="","",'03_Helper'!Z344)</f>
        <v/>
      </c>
      <c r="J344">
        <f>IF('03_Helper'!A344="","",'03_Helper'!Q344)</f>
        <v/>
      </c>
      <c r="K344">
        <f>IF('03_Helper'!A344="","",'03_Helper'!R344)</f>
        <v/>
      </c>
      <c r="L344">
        <f>IF('03_Helper'!A344="","",'03_Helper'!S344)</f>
        <v/>
      </c>
      <c r="M344">
        <f>IF('03_Helper'!A344="","",'03_Helper'!T344)</f>
        <v/>
      </c>
      <c r="N344">
        <f>IF('03_Helper'!A344="","",'03_Helper'!AA344)</f>
        <v/>
      </c>
      <c r="O344">
        <f>IF('03_Helper'!A344="","",'03_Helper'!AB344)</f>
        <v/>
      </c>
      <c r="P344">
        <f>IF('03_Helper'!A344="","",'03_Helper'!AC344)</f>
        <v/>
      </c>
      <c r="Q344">
        <f>IF('03_Helper'!A344="","",'03_Helper'!AD344)</f>
        <v/>
      </c>
      <c r="R344">
        <f>IF('03_Helper'!A344="","",'03_Helper'!AI344)</f>
        <v/>
      </c>
      <c r="S344">
        <f>IF('03_Helper'!A344="","",'03_Helper'!AJ344)</f>
        <v/>
      </c>
      <c r="T344">
        <f>IF('03_Helper'!A344="","",'03_Helper'!U344)</f>
        <v/>
      </c>
      <c r="U344">
        <f>IF('03_Helper'!A344="","",'03_Helper'!W344)</f>
        <v/>
      </c>
      <c r="V344">
        <f>IF('03_Helper'!A344="","",'03_Helper'!AG344)</f>
        <v/>
      </c>
      <c r="W344">
        <f>IF('03_Helper'!A344="","",'03_Helper'!AK344)</f>
        <v/>
      </c>
      <c r="X344">
        <f>IF('03_Helper'!A344="","",'03_Helper'!K344)</f>
        <v/>
      </c>
      <c r="Y344">
        <f>IF('03_Helper'!A344="","",'03_Helper'!AN344)</f>
        <v/>
      </c>
    </row>
    <row r="345">
      <c r="A345">
        <f>IF('03_Helper'!A345="","",'03_Helper'!B345)</f>
        <v/>
      </c>
      <c r="B345">
        <f>IF('03_Helper'!A345="","",'03_Helper'!C345)</f>
        <v/>
      </c>
      <c r="C345">
        <f>IF('03_Helper'!A345="","",'03_Helper'!G345)</f>
        <v/>
      </c>
      <c r="D345">
        <f>IF('03_Helper'!A345="","",'03_Helper'!E345)</f>
        <v/>
      </c>
      <c r="E345">
        <f>IF('03_Helper'!A345="","",'03_Helper'!D345)</f>
        <v/>
      </c>
      <c r="F345">
        <f>IF('03_Helper'!A345="","",'03_Helper'!H345)</f>
        <v/>
      </c>
      <c r="G345">
        <f>IF('03_Helper'!A345="","",'03_Helper'!X345)</f>
        <v/>
      </c>
      <c r="H345">
        <f>IF('03_Helper'!A345="","",'03_Helper'!Y345)</f>
        <v/>
      </c>
      <c r="I345">
        <f>IF('03_Helper'!A345="","",'03_Helper'!Z345)</f>
        <v/>
      </c>
      <c r="J345">
        <f>IF('03_Helper'!A345="","",'03_Helper'!Q345)</f>
        <v/>
      </c>
      <c r="K345">
        <f>IF('03_Helper'!A345="","",'03_Helper'!R345)</f>
        <v/>
      </c>
      <c r="L345">
        <f>IF('03_Helper'!A345="","",'03_Helper'!S345)</f>
        <v/>
      </c>
      <c r="M345">
        <f>IF('03_Helper'!A345="","",'03_Helper'!T345)</f>
        <v/>
      </c>
      <c r="N345">
        <f>IF('03_Helper'!A345="","",'03_Helper'!AA345)</f>
        <v/>
      </c>
      <c r="O345">
        <f>IF('03_Helper'!A345="","",'03_Helper'!AB345)</f>
        <v/>
      </c>
      <c r="P345">
        <f>IF('03_Helper'!A345="","",'03_Helper'!AC345)</f>
        <v/>
      </c>
      <c r="Q345">
        <f>IF('03_Helper'!A345="","",'03_Helper'!AD345)</f>
        <v/>
      </c>
      <c r="R345">
        <f>IF('03_Helper'!A345="","",'03_Helper'!AI345)</f>
        <v/>
      </c>
      <c r="S345">
        <f>IF('03_Helper'!A345="","",'03_Helper'!AJ345)</f>
        <v/>
      </c>
      <c r="T345">
        <f>IF('03_Helper'!A345="","",'03_Helper'!U345)</f>
        <v/>
      </c>
      <c r="U345">
        <f>IF('03_Helper'!A345="","",'03_Helper'!W345)</f>
        <v/>
      </c>
      <c r="V345">
        <f>IF('03_Helper'!A345="","",'03_Helper'!AG345)</f>
        <v/>
      </c>
      <c r="W345">
        <f>IF('03_Helper'!A345="","",'03_Helper'!AK345)</f>
        <v/>
      </c>
      <c r="X345">
        <f>IF('03_Helper'!A345="","",'03_Helper'!K345)</f>
        <v/>
      </c>
      <c r="Y345">
        <f>IF('03_Helper'!A345="","",'03_Helper'!AN345)</f>
        <v/>
      </c>
    </row>
    <row r="346">
      <c r="A346">
        <f>IF('03_Helper'!A346="","",'03_Helper'!B346)</f>
        <v/>
      </c>
      <c r="B346">
        <f>IF('03_Helper'!A346="","",'03_Helper'!C346)</f>
        <v/>
      </c>
      <c r="C346">
        <f>IF('03_Helper'!A346="","",'03_Helper'!G346)</f>
        <v/>
      </c>
      <c r="D346">
        <f>IF('03_Helper'!A346="","",'03_Helper'!E346)</f>
        <v/>
      </c>
      <c r="E346">
        <f>IF('03_Helper'!A346="","",'03_Helper'!D346)</f>
        <v/>
      </c>
      <c r="F346">
        <f>IF('03_Helper'!A346="","",'03_Helper'!H346)</f>
        <v/>
      </c>
      <c r="G346">
        <f>IF('03_Helper'!A346="","",'03_Helper'!X346)</f>
        <v/>
      </c>
      <c r="H346">
        <f>IF('03_Helper'!A346="","",'03_Helper'!Y346)</f>
        <v/>
      </c>
      <c r="I346">
        <f>IF('03_Helper'!A346="","",'03_Helper'!Z346)</f>
        <v/>
      </c>
      <c r="J346">
        <f>IF('03_Helper'!A346="","",'03_Helper'!Q346)</f>
        <v/>
      </c>
      <c r="K346">
        <f>IF('03_Helper'!A346="","",'03_Helper'!R346)</f>
        <v/>
      </c>
      <c r="L346">
        <f>IF('03_Helper'!A346="","",'03_Helper'!S346)</f>
        <v/>
      </c>
      <c r="M346">
        <f>IF('03_Helper'!A346="","",'03_Helper'!T346)</f>
        <v/>
      </c>
      <c r="N346">
        <f>IF('03_Helper'!A346="","",'03_Helper'!AA346)</f>
        <v/>
      </c>
      <c r="O346">
        <f>IF('03_Helper'!A346="","",'03_Helper'!AB346)</f>
        <v/>
      </c>
      <c r="P346">
        <f>IF('03_Helper'!A346="","",'03_Helper'!AC346)</f>
        <v/>
      </c>
      <c r="Q346">
        <f>IF('03_Helper'!A346="","",'03_Helper'!AD346)</f>
        <v/>
      </c>
      <c r="R346">
        <f>IF('03_Helper'!A346="","",'03_Helper'!AI346)</f>
        <v/>
      </c>
      <c r="S346">
        <f>IF('03_Helper'!A346="","",'03_Helper'!AJ346)</f>
        <v/>
      </c>
      <c r="T346">
        <f>IF('03_Helper'!A346="","",'03_Helper'!U346)</f>
        <v/>
      </c>
      <c r="U346">
        <f>IF('03_Helper'!A346="","",'03_Helper'!W346)</f>
        <v/>
      </c>
      <c r="V346">
        <f>IF('03_Helper'!A346="","",'03_Helper'!AG346)</f>
        <v/>
      </c>
      <c r="W346">
        <f>IF('03_Helper'!A346="","",'03_Helper'!AK346)</f>
        <v/>
      </c>
      <c r="X346">
        <f>IF('03_Helper'!A346="","",'03_Helper'!K346)</f>
        <v/>
      </c>
      <c r="Y346">
        <f>IF('03_Helper'!A346="","",'03_Helper'!AN346)</f>
        <v/>
      </c>
    </row>
    <row r="347">
      <c r="A347">
        <f>IF('03_Helper'!A347="","",'03_Helper'!B347)</f>
        <v/>
      </c>
      <c r="B347">
        <f>IF('03_Helper'!A347="","",'03_Helper'!C347)</f>
        <v/>
      </c>
      <c r="C347">
        <f>IF('03_Helper'!A347="","",'03_Helper'!G347)</f>
        <v/>
      </c>
      <c r="D347">
        <f>IF('03_Helper'!A347="","",'03_Helper'!E347)</f>
        <v/>
      </c>
      <c r="E347">
        <f>IF('03_Helper'!A347="","",'03_Helper'!D347)</f>
        <v/>
      </c>
      <c r="F347">
        <f>IF('03_Helper'!A347="","",'03_Helper'!H347)</f>
        <v/>
      </c>
      <c r="G347">
        <f>IF('03_Helper'!A347="","",'03_Helper'!X347)</f>
        <v/>
      </c>
      <c r="H347">
        <f>IF('03_Helper'!A347="","",'03_Helper'!Y347)</f>
        <v/>
      </c>
      <c r="I347">
        <f>IF('03_Helper'!A347="","",'03_Helper'!Z347)</f>
        <v/>
      </c>
      <c r="J347">
        <f>IF('03_Helper'!A347="","",'03_Helper'!Q347)</f>
        <v/>
      </c>
      <c r="K347">
        <f>IF('03_Helper'!A347="","",'03_Helper'!R347)</f>
        <v/>
      </c>
      <c r="L347">
        <f>IF('03_Helper'!A347="","",'03_Helper'!S347)</f>
        <v/>
      </c>
      <c r="M347">
        <f>IF('03_Helper'!A347="","",'03_Helper'!T347)</f>
        <v/>
      </c>
      <c r="N347">
        <f>IF('03_Helper'!A347="","",'03_Helper'!AA347)</f>
        <v/>
      </c>
      <c r="O347">
        <f>IF('03_Helper'!A347="","",'03_Helper'!AB347)</f>
        <v/>
      </c>
      <c r="P347">
        <f>IF('03_Helper'!A347="","",'03_Helper'!AC347)</f>
        <v/>
      </c>
      <c r="Q347">
        <f>IF('03_Helper'!A347="","",'03_Helper'!AD347)</f>
        <v/>
      </c>
      <c r="R347">
        <f>IF('03_Helper'!A347="","",'03_Helper'!AI347)</f>
        <v/>
      </c>
      <c r="S347">
        <f>IF('03_Helper'!A347="","",'03_Helper'!AJ347)</f>
        <v/>
      </c>
      <c r="T347">
        <f>IF('03_Helper'!A347="","",'03_Helper'!U347)</f>
        <v/>
      </c>
      <c r="U347">
        <f>IF('03_Helper'!A347="","",'03_Helper'!W347)</f>
        <v/>
      </c>
      <c r="V347">
        <f>IF('03_Helper'!A347="","",'03_Helper'!AG347)</f>
        <v/>
      </c>
      <c r="W347">
        <f>IF('03_Helper'!A347="","",'03_Helper'!AK347)</f>
        <v/>
      </c>
      <c r="X347">
        <f>IF('03_Helper'!A347="","",'03_Helper'!K347)</f>
        <v/>
      </c>
      <c r="Y347">
        <f>IF('03_Helper'!A347="","",'03_Helper'!AN347)</f>
        <v/>
      </c>
    </row>
    <row r="348">
      <c r="A348">
        <f>IF('03_Helper'!A348="","",'03_Helper'!B348)</f>
        <v/>
      </c>
      <c r="B348">
        <f>IF('03_Helper'!A348="","",'03_Helper'!C348)</f>
        <v/>
      </c>
      <c r="C348">
        <f>IF('03_Helper'!A348="","",'03_Helper'!G348)</f>
        <v/>
      </c>
      <c r="D348">
        <f>IF('03_Helper'!A348="","",'03_Helper'!E348)</f>
        <v/>
      </c>
      <c r="E348">
        <f>IF('03_Helper'!A348="","",'03_Helper'!D348)</f>
        <v/>
      </c>
      <c r="F348">
        <f>IF('03_Helper'!A348="","",'03_Helper'!H348)</f>
        <v/>
      </c>
      <c r="G348">
        <f>IF('03_Helper'!A348="","",'03_Helper'!X348)</f>
        <v/>
      </c>
      <c r="H348">
        <f>IF('03_Helper'!A348="","",'03_Helper'!Y348)</f>
        <v/>
      </c>
      <c r="I348">
        <f>IF('03_Helper'!A348="","",'03_Helper'!Z348)</f>
        <v/>
      </c>
      <c r="J348">
        <f>IF('03_Helper'!A348="","",'03_Helper'!Q348)</f>
        <v/>
      </c>
      <c r="K348">
        <f>IF('03_Helper'!A348="","",'03_Helper'!R348)</f>
        <v/>
      </c>
      <c r="L348">
        <f>IF('03_Helper'!A348="","",'03_Helper'!S348)</f>
        <v/>
      </c>
      <c r="M348">
        <f>IF('03_Helper'!A348="","",'03_Helper'!T348)</f>
        <v/>
      </c>
      <c r="N348">
        <f>IF('03_Helper'!A348="","",'03_Helper'!AA348)</f>
        <v/>
      </c>
      <c r="O348">
        <f>IF('03_Helper'!A348="","",'03_Helper'!AB348)</f>
        <v/>
      </c>
      <c r="P348">
        <f>IF('03_Helper'!A348="","",'03_Helper'!AC348)</f>
        <v/>
      </c>
      <c r="Q348">
        <f>IF('03_Helper'!A348="","",'03_Helper'!AD348)</f>
        <v/>
      </c>
      <c r="R348">
        <f>IF('03_Helper'!A348="","",'03_Helper'!AI348)</f>
        <v/>
      </c>
      <c r="S348">
        <f>IF('03_Helper'!A348="","",'03_Helper'!AJ348)</f>
        <v/>
      </c>
      <c r="T348">
        <f>IF('03_Helper'!A348="","",'03_Helper'!U348)</f>
        <v/>
      </c>
      <c r="U348">
        <f>IF('03_Helper'!A348="","",'03_Helper'!W348)</f>
        <v/>
      </c>
      <c r="V348">
        <f>IF('03_Helper'!A348="","",'03_Helper'!AG348)</f>
        <v/>
      </c>
      <c r="W348">
        <f>IF('03_Helper'!A348="","",'03_Helper'!AK348)</f>
        <v/>
      </c>
      <c r="X348">
        <f>IF('03_Helper'!A348="","",'03_Helper'!K348)</f>
        <v/>
      </c>
      <c r="Y348">
        <f>IF('03_Helper'!A348="","",'03_Helper'!AN348)</f>
        <v/>
      </c>
    </row>
    <row r="349">
      <c r="A349">
        <f>IF('03_Helper'!A349="","",'03_Helper'!B349)</f>
        <v/>
      </c>
      <c r="B349">
        <f>IF('03_Helper'!A349="","",'03_Helper'!C349)</f>
        <v/>
      </c>
      <c r="C349">
        <f>IF('03_Helper'!A349="","",'03_Helper'!G349)</f>
        <v/>
      </c>
      <c r="D349">
        <f>IF('03_Helper'!A349="","",'03_Helper'!E349)</f>
        <v/>
      </c>
      <c r="E349">
        <f>IF('03_Helper'!A349="","",'03_Helper'!D349)</f>
        <v/>
      </c>
      <c r="F349">
        <f>IF('03_Helper'!A349="","",'03_Helper'!H349)</f>
        <v/>
      </c>
      <c r="G349">
        <f>IF('03_Helper'!A349="","",'03_Helper'!X349)</f>
        <v/>
      </c>
      <c r="H349">
        <f>IF('03_Helper'!A349="","",'03_Helper'!Y349)</f>
        <v/>
      </c>
      <c r="I349">
        <f>IF('03_Helper'!A349="","",'03_Helper'!Z349)</f>
        <v/>
      </c>
      <c r="J349">
        <f>IF('03_Helper'!A349="","",'03_Helper'!Q349)</f>
        <v/>
      </c>
      <c r="K349">
        <f>IF('03_Helper'!A349="","",'03_Helper'!R349)</f>
        <v/>
      </c>
      <c r="L349">
        <f>IF('03_Helper'!A349="","",'03_Helper'!S349)</f>
        <v/>
      </c>
      <c r="M349">
        <f>IF('03_Helper'!A349="","",'03_Helper'!T349)</f>
        <v/>
      </c>
      <c r="N349">
        <f>IF('03_Helper'!A349="","",'03_Helper'!AA349)</f>
        <v/>
      </c>
      <c r="O349">
        <f>IF('03_Helper'!A349="","",'03_Helper'!AB349)</f>
        <v/>
      </c>
      <c r="P349">
        <f>IF('03_Helper'!A349="","",'03_Helper'!AC349)</f>
        <v/>
      </c>
      <c r="Q349">
        <f>IF('03_Helper'!A349="","",'03_Helper'!AD349)</f>
        <v/>
      </c>
      <c r="R349">
        <f>IF('03_Helper'!A349="","",'03_Helper'!AI349)</f>
        <v/>
      </c>
      <c r="S349">
        <f>IF('03_Helper'!A349="","",'03_Helper'!AJ349)</f>
        <v/>
      </c>
      <c r="T349">
        <f>IF('03_Helper'!A349="","",'03_Helper'!U349)</f>
        <v/>
      </c>
      <c r="U349">
        <f>IF('03_Helper'!A349="","",'03_Helper'!W349)</f>
        <v/>
      </c>
      <c r="V349">
        <f>IF('03_Helper'!A349="","",'03_Helper'!AG349)</f>
        <v/>
      </c>
      <c r="W349">
        <f>IF('03_Helper'!A349="","",'03_Helper'!AK349)</f>
        <v/>
      </c>
      <c r="X349">
        <f>IF('03_Helper'!A349="","",'03_Helper'!K349)</f>
        <v/>
      </c>
      <c r="Y349">
        <f>IF('03_Helper'!A349="","",'03_Helper'!AN349)</f>
        <v/>
      </c>
    </row>
    <row r="350">
      <c r="A350">
        <f>IF('03_Helper'!A350="","",'03_Helper'!B350)</f>
        <v/>
      </c>
      <c r="B350">
        <f>IF('03_Helper'!A350="","",'03_Helper'!C350)</f>
        <v/>
      </c>
      <c r="C350">
        <f>IF('03_Helper'!A350="","",'03_Helper'!G350)</f>
        <v/>
      </c>
      <c r="D350">
        <f>IF('03_Helper'!A350="","",'03_Helper'!E350)</f>
        <v/>
      </c>
      <c r="E350">
        <f>IF('03_Helper'!A350="","",'03_Helper'!D350)</f>
        <v/>
      </c>
      <c r="F350">
        <f>IF('03_Helper'!A350="","",'03_Helper'!H350)</f>
        <v/>
      </c>
      <c r="G350">
        <f>IF('03_Helper'!A350="","",'03_Helper'!X350)</f>
        <v/>
      </c>
      <c r="H350">
        <f>IF('03_Helper'!A350="","",'03_Helper'!Y350)</f>
        <v/>
      </c>
      <c r="I350">
        <f>IF('03_Helper'!A350="","",'03_Helper'!Z350)</f>
        <v/>
      </c>
      <c r="J350">
        <f>IF('03_Helper'!A350="","",'03_Helper'!Q350)</f>
        <v/>
      </c>
      <c r="K350">
        <f>IF('03_Helper'!A350="","",'03_Helper'!R350)</f>
        <v/>
      </c>
      <c r="L350">
        <f>IF('03_Helper'!A350="","",'03_Helper'!S350)</f>
        <v/>
      </c>
      <c r="M350">
        <f>IF('03_Helper'!A350="","",'03_Helper'!T350)</f>
        <v/>
      </c>
      <c r="N350">
        <f>IF('03_Helper'!A350="","",'03_Helper'!AA350)</f>
        <v/>
      </c>
      <c r="O350">
        <f>IF('03_Helper'!A350="","",'03_Helper'!AB350)</f>
        <v/>
      </c>
      <c r="P350">
        <f>IF('03_Helper'!A350="","",'03_Helper'!AC350)</f>
        <v/>
      </c>
      <c r="Q350">
        <f>IF('03_Helper'!A350="","",'03_Helper'!AD350)</f>
        <v/>
      </c>
      <c r="R350">
        <f>IF('03_Helper'!A350="","",'03_Helper'!AI350)</f>
        <v/>
      </c>
      <c r="S350">
        <f>IF('03_Helper'!A350="","",'03_Helper'!AJ350)</f>
        <v/>
      </c>
      <c r="T350">
        <f>IF('03_Helper'!A350="","",'03_Helper'!U350)</f>
        <v/>
      </c>
      <c r="U350">
        <f>IF('03_Helper'!A350="","",'03_Helper'!W350)</f>
        <v/>
      </c>
      <c r="V350">
        <f>IF('03_Helper'!A350="","",'03_Helper'!AG350)</f>
        <v/>
      </c>
      <c r="W350">
        <f>IF('03_Helper'!A350="","",'03_Helper'!AK350)</f>
        <v/>
      </c>
      <c r="X350">
        <f>IF('03_Helper'!A350="","",'03_Helper'!K350)</f>
        <v/>
      </c>
      <c r="Y350">
        <f>IF('03_Helper'!A350="","",'03_Helper'!AN350)</f>
        <v/>
      </c>
    </row>
    <row r="351">
      <c r="A351">
        <f>IF('03_Helper'!A351="","",'03_Helper'!B351)</f>
        <v/>
      </c>
      <c r="B351">
        <f>IF('03_Helper'!A351="","",'03_Helper'!C351)</f>
        <v/>
      </c>
      <c r="C351">
        <f>IF('03_Helper'!A351="","",'03_Helper'!G351)</f>
        <v/>
      </c>
      <c r="D351">
        <f>IF('03_Helper'!A351="","",'03_Helper'!E351)</f>
        <v/>
      </c>
      <c r="E351">
        <f>IF('03_Helper'!A351="","",'03_Helper'!D351)</f>
        <v/>
      </c>
      <c r="F351">
        <f>IF('03_Helper'!A351="","",'03_Helper'!H351)</f>
        <v/>
      </c>
      <c r="G351">
        <f>IF('03_Helper'!A351="","",'03_Helper'!X351)</f>
        <v/>
      </c>
      <c r="H351">
        <f>IF('03_Helper'!A351="","",'03_Helper'!Y351)</f>
        <v/>
      </c>
      <c r="I351">
        <f>IF('03_Helper'!A351="","",'03_Helper'!Z351)</f>
        <v/>
      </c>
      <c r="J351">
        <f>IF('03_Helper'!A351="","",'03_Helper'!Q351)</f>
        <v/>
      </c>
      <c r="K351">
        <f>IF('03_Helper'!A351="","",'03_Helper'!R351)</f>
        <v/>
      </c>
      <c r="L351">
        <f>IF('03_Helper'!A351="","",'03_Helper'!S351)</f>
        <v/>
      </c>
      <c r="M351">
        <f>IF('03_Helper'!A351="","",'03_Helper'!T351)</f>
        <v/>
      </c>
      <c r="N351">
        <f>IF('03_Helper'!A351="","",'03_Helper'!AA351)</f>
        <v/>
      </c>
      <c r="O351">
        <f>IF('03_Helper'!A351="","",'03_Helper'!AB351)</f>
        <v/>
      </c>
      <c r="P351">
        <f>IF('03_Helper'!A351="","",'03_Helper'!AC351)</f>
        <v/>
      </c>
      <c r="Q351">
        <f>IF('03_Helper'!A351="","",'03_Helper'!AD351)</f>
        <v/>
      </c>
      <c r="R351">
        <f>IF('03_Helper'!A351="","",'03_Helper'!AI351)</f>
        <v/>
      </c>
      <c r="S351">
        <f>IF('03_Helper'!A351="","",'03_Helper'!AJ351)</f>
        <v/>
      </c>
      <c r="T351">
        <f>IF('03_Helper'!A351="","",'03_Helper'!U351)</f>
        <v/>
      </c>
      <c r="U351">
        <f>IF('03_Helper'!A351="","",'03_Helper'!W351)</f>
        <v/>
      </c>
      <c r="V351">
        <f>IF('03_Helper'!A351="","",'03_Helper'!AG351)</f>
        <v/>
      </c>
      <c r="W351">
        <f>IF('03_Helper'!A351="","",'03_Helper'!AK351)</f>
        <v/>
      </c>
      <c r="X351">
        <f>IF('03_Helper'!A351="","",'03_Helper'!K351)</f>
        <v/>
      </c>
      <c r="Y351">
        <f>IF('03_Helper'!A351="","",'03_Helper'!AN351)</f>
        <v/>
      </c>
    </row>
    <row r="352">
      <c r="A352">
        <f>IF('03_Helper'!A352="","",'03_Helper'!B352)</f>
        <v/>
      </c>
      <c r="B352">
        <f>IF('03_Helper'!A352="","",'03_Helper'!C352)</f>
        <v/>
      </c>
      <c r="C352">
        <f>IF('03_Helper'!A352="","",'03_Helper'!G352)</f>
        <v/>
      </c>
      <c r="D352">
        <f>IF('03_Helper'!A352="","",'03_Helper'!E352)</f>
        <v/>
      </c>
      <c r="E352">
        <f>IF('03_Helper'!A352="","",'03_Helper'!D352)</f>
        <v/>
      </c>
      <c r="F352">
        <f>IF('03_Helper'!A352="","",'03_Helper'!H352)</f>
        <v/>
      </c>
      <c r="G352">
        <f>IF('03_Helper'!A352="","",'03_Helper'!X352)</f>
        <v/>
      </c>
      <c r="H352">
        <f>IF('03_Helper'!A352="","",'03_Helper'!Y352)</f>
        <v/>
      </c>
      <c r="I352">
        <f>IF('03_Helper'!A352="","",'03_Helper'!Z352)</f>
        <v/>
      </c>
      <c r="J352">
        <f>IF('03_Helper'!A352="","",'03_Helper'!Q352)</f>
        <v/>
      </c>
      <c r="K352">
        <f>IF('03_Helper'!A352="","",'03_Helper'!R352)</f>
        <v/>
      </c>
      <c r="L352">
        <f>IF('03_Helper'!A352="","",'03_Helper'!S352)</f>
        <v/>
      </c>
      <c r="M352">
        <f>IF('03_Helper'!A352="","",'03_Helper'!T352)</f>
        <v/>
      </c>
      <c r="N352">
        <f>IF('03_Helper'!A352="","",'03_Helper'!AA352)</f>
        <v/>
      </c>
      <c r="O352">
        <f>IF('03_Helper'!A352="","",'03_Helper'!AB352)</f>
        <v/>
      </c>
      <c r="P352">
        <f>IF('03_Helper'!A352="","",'03_Helper'!AC352)</f>
        <v/>
      </c>
      <c r="Q352">
        <f>IF('03_Helper'!A352="","",'03_Helper'!AD352)</f>
        <v/>
      </c>
      <c r="R352">
        <f>IF('03_Helper'!A352="","",'03_Helper'!AI352)</f>
        <v/>
      </c>
      <c r="S352">
        <f>IF('03_Helper'!A352="","",'03_Helper'!AJ352)</f>
        <v/>
      </c>
      <c r="T352">
        <f>IF('03_Helper'!A352="","",'03_Helper'!U352)</f>
        <v/>
      </c>
      <c r="U352">
        <f>IF('03_Helper'!A352="","",'03_Helper'!W352)</f>
        <v/>
      </c>
      <c r="V352">
        <f>IF('03_Helper'!A352="","",'03_Helper'!AG352)</f>
        <v/>
      </c>
      <c r="W352">
        <f>IF('03_Helper'!A352="","",'03_Helper'!AK352)</f>
        <v/>
      </c>
      <c r="X352">
        <f>IF('03_Helper'!A352="","",'03_Helper'!K352)</f>
        <v/>
      </c>
      <c r="Y352">
        <f>IF('03_Helper'!A352="","",'03_Helper'!AN352)</f>
        <v/>
      </c>
    </row>
    <row r="353">
      <c r="A353">
        <f>IF('03_Helper'!A353="","",'03_Helper'!B353)</f>
        <v/>
      </c>
      <c r="B353">
        <f>IF('03_Helper'!A353="","",'03_Helper'!C353)</f>
        <v/>
      </c>
      <c r="C353">
        <f>IF('03_Helper'!A353="","",'03_Helper'!G353)</f>
        <v/>
      </c>
      <c r="D353">
        <f>IF('03_Helper'!A353="","",'03_Helper'!E353)</f>
        <v/>
      </c>
      <c r="E353">
        <f>IF('03_Helper'!A353="","",'03_Helper'!D353)</f>
        <v/>
      </c>
      <c r="F353">
        <f>IF('03_Helper'!A353="","",'03_Helper'!H353)</f>
        <v/>
      </c>
      <c r="G353">
        <f>IF('03_Helper'!A353="","",'03_Helper'!X353)</f>
        <v/>
      </c>
      <c r="H353">
        <f>IF('03_Helper'!A353="","",'03_Helper'!Y353)</f>
        <v/>
      </c>
      <c r="I353">
        <f>IF('03_Helper'!A353="","",'03_Helper'!Z353)</f>
        <v/>
      </c>
      <c r="J353">
        <f>IF('03_Helper'!A353="","",'03_Helper'!Q353)</f>
        <v/>
      </c>
      <c r="K353">
        <f>IF('03_Helper'!A353="","",'03_Helper'!R353)</f>
        <v/>
      </c>
      <c r="L353">
        <f>IF('03_Helper'!A353="","",'03_Helper'!S353)</f>
        <v/>
      </c>
      <c r="M353">
        <f>IF('03_Helper'!A353="","",'03_Helper'!T353)</f>
        <v/>
      </c>
      <c r="N353">
        <f>IF('03_Helper'!A353="","",'03_Helper'!AA353)</f>
        <v/>
      </c>
      <c r="O353">
        <f>IF('03_Helper'!A353="","",'03_Helper'!AB353)</f>
        <v/>
      </c>
      <c r="P353">
        <f>IF('03_Helper'!A353="","",'03_Helper'!AC353)</f>
        <v/>
      </c>
      <c r="Q353">
        <f>IF('03_Helper'!A353="","",'03_Helper'!AD353)</f>
        <v/>
      </c>
      <c r="R353">
        <f>IF('03_Helper'!A353="","",'03_Helper'!AI353)</f>
        <v/>
      </c>
      <c r="S353">
        <f>IF('03_Helper'!A353="","",'03_Helper'!AJ353)</f>
        <v/>
      </c>
      <c r="T353">
        <f>IF('03_Helper'!A353="","",'03_Helper'!U353)</f>
        <v/>
      </c>
      <c r="U353">
        <f>IF('03_Helper'!A353="","",'03_Helper'!W353)</f>
        <v/>
      </c>
      <c r="V353">
        <f>IF('03_Helper'!A353="","",'03_Helper'!AG353)</f>
        <v/>
      </c>
      <c r="W353">
        <f>IF('03_Helper'!A353="","",'03_Helper'!AK353)</f>
        <v/>
      </c>
      <c r="X353">
        <f>IF('03_Helper'!A353="","",'03_Helper'!K353)</f>
        <v/>
      </c>
      <c r="Y353">
        <f>IF('03_Helper'!A353="","",'03_Helper'!AN353)</f>
        <v/>
      </c>
    </row>
    <row r="354">
      <c r="A354">
        <f>IF('03_Helper'!A354="","",'03_Helper'!B354)</f>
        <v/>
      </c>
      <c r="B354">
        <f>IF('03_Helper'!A354="","",'03_Helper'!C354)</f>
        <v/>
      </c>
      <c r="C354">
        <f>IF('03_Helper'!A354="","",'03_Helper'!G354)</f>
        <v/>
      </c>
      <c r="D354">
        <f>IF('03_Helper'!A354="","",'03_Helper'!E354)</f>
        <v/>
      </c>
      <c r="E354">
        <f>IF('03_Helper'!A354="","",'03_Helper'!D354)</f>
        <v/>
      </c>
      <c r="F354">
        <f>IF('03_Helper'!A354="","",'03_Helper'!H354)</f>
        <v/>
      </c>
      <c r="G354">
        <f>IF('03_Helper'!A354="","",'03_Helper'!X354)</f>
        <v/>
      </c>
      <c r="H354">
        <f>IF('03_Helper'!A354="","",'03_Helper'!Y354)</f>
        <v/>
      </c>
      <c r="I354">
        <f>IF('03_Helper'!A354="","",'03_Helper'!Z354)</f>
        <v/>
      </c>
      <c r="J354">
        <f>IF('03_Helper'!A354="","",'03_Helper'!Q354)</f>
        <v/>
      </c>
      <c r="K354">
        <f>IF('03_Helper'!A354="","",'03_Helper'!R354)</f>
        <v/>
      </c>
      <c r="L354">
        <f>IF('03_Helper'!A354="","",'03_Helper'!S354)</f>
        <v/>
      </c>
      <c r="M354">
        <f>IF('03_Helper'!A354="","",'03_Helper'!T354)</f>
        <v/>
      </c>
      <c r="N354">
        <f>IF('03_Helper'!A354="","",'03_Helper'!AA354)</f>
        <v/>
      </c>
      <c r="O354">
        <f>IF('03_Helper'!A354="","",'03_Helper'!AB354)</f>
        <v/>
      </c>
      <c r="P354">
        <f>IF('03_Helper'!A354="","",'03_Helper'!AC354)</f>
        <v/>
      </c>
      <c r="Q354">
        <f>IF('03_Helper'!A354="","",'03_Helper'!AD354)</f>
        <v/>
      </c>
      <c r="R354">
        <f>IF('03_Helper'!A354="","",'03_Helper'!AI354)</f>
        <v/>
      </c>
      <c r="S354">
        <f>IF('03_Helper'!A354="","",'03_Helper'!AJ354)</f>
        <v/>
      </c>
      <c r="T354">
        <f>IF('03_Helper'!A354="","",'03_Helper'!U354)</f>
        <v/>
      </c>
      <c r="U354">
        <f>IF('03_Helper'!A354="","",'03_Helper'!W354)</f>
        <v/>
      </c>
      <c r="V354">
        <f>IF('03_Helper'!A354="","",'03_Helper'!AG354)</f>
        <v/>
      </c>
      <c r="W354">
        <f>IF('03_Helper'!A354="","",'03_Helper'!AK354)</f>
        <v/>
      </c>
      <c r="X354">
        <f>IF('03_Helper'!A354="","",'03_Helper'!K354)</f>
        <v/>
      </c>
      <c r="Y354">
        <f>IF('03_Helper'!A354="","",'03_Helper'!AN354)</f>
        <v/>
      </c>
    </row>
    <row r="355">
      <c r="A355">
        <f>IF('03_Helper'!A355="","",'03_Helper'!B355)</f>
        <v/>
      </c>
      <c r="B355">
        <f>IF('03_Helper'!A355="","",'03_Helper'!C355)</f>
        <v/>
      </c>
      <c r="C355">
        <f>IF('03_Helper'!A355="","",'03_Helper'!G355)</f>
        <v/>
      </c>
      <c r="D355">
        <f>IF('03_Helper'!A355="","",'03_Helper'!E355)</f>
        <v/>
      </c>
      <c r="E355">
        <f>IF('03_Helper'!A355="","",'03_Helper'!D355)</f>
        <v/>
      </c>
      <c r="F355">
        <f>IF('03_Helper'!A355="","",'03_Helper'!H355)</f>
        <v/>
      </c>
      <c r="G355">
        <f>IF('03_Helper'!A355="","",'03_Helper'!X355)</f>
        <v/>
      </c>
      <c r="H355">
        <f>IF('03_Helper'!A355="","",'03_Helper'!Y355)</f>
        <v/>
      </c>
      <c r="I355">
        <f>IF('03_Helper'!A355="","",'03_Helper'!Z355)</f>
        <v/>
      </c>
      <c r="J355">
        <f>IF('03_Helper'!A355="","",'03_Helper'!Q355)</f>
        <v/>
      </c>
      <c r="K355">
        <f>IF('03_Helper'!A355="","",'03_Helper'!R355)</f>
        <v/>
      </c>
      <c r="L355">
        <f>IF('03_Helper'!A355="","",'03_Helper'!S355)</f>
        <v/>
      </c>
      <c r="M355">
        <f>IF('03_Helper'!A355="","",'03_Helper'!T355)</f>
        <v/>
      </c>
      <c r="N355">
        <f>IF('03_Helper'!A355="","",'03_Helper'!AA355)</f>
        <v/>
      </c>
      <c r="O355">
        <f>IF('03_Helper'!A355="","",'03_Helper'!AB355)</f>
        <v/>
      </c>
      <c r="P355">
        <f>IF('03_Helper'!A355="","",'03_Helper'!AC355)</f>
        <v/>
      </c>
      <c r="Q355">
        <f>IF('03_Helper'!A355="","",'03_Helper'!AD355)</f>
        <v/>
      </c>
      <c r="R355">
        <f>IF('03_Helper'!A355="","",'03_Helper'!AI355)</f>
        <v/>
      </c>
      <c r="S355">
        <f>IF('03_Helper'!A355="","",'03_Helper'!AJ355)</f>
        <v/>
      </c>
      <c r="T355">
        <f>IF('03_Helper'!A355="","",'03_Helper'!U355)</f>
        <v/>
      </c>
      <c r="U355">
        <f>IF('03_Helper'!A355="","",'03_Helper'!W355)</f>
        <v/>
      </c>
      <c r="V355">
        <f>IF('03_Helper'!A355="","",'03_Helper'!AG355)</f>
        <v/>
      </c>
      <c r="W355">
        <f>IF('03_Helper'!A355="","",'03_Helper'!AK355)</f>
        <v/>
      </c>
      <c r="X355">
        <f>IF('03_Helper'!A355="","",'03_Helper'!K355)</f>
        <v/>
      </c>
      <c r="Y355">
        <f>IF('03_Helper'!A355="","",'03_Helper'!AN355)</f>
        <v/>
      </c>
    </row>
    <row r="356">
      <c r="A356">
        <f>IF('03_Helper'!A356="","",'03_Helper'!B356)</f>
        <v/>
      </c>
      <c r="B356">
        <f>IF('03_Helper'!A356="","",'03_Helper'!C356)</f>
        <v/>
      </c>
      <c r="C356">
        <f>IF('03_Helper'!A356="","",'03_Helper'!G356)</f>
        <v/>
      </c>
      <c r="D356">
        <f>IF('03_Helper'!A356="","",'03_Helper'!E356)</f>
        <v/>
      </c>
      <c r="E356">
        <f>IF('03_Helper'!A356="","",'03_Helper'!D356)</f>
        <v/>
      </c>
      <c r="F356">
        <f>IF('03_Helper'!A356="","",'03_Helper'!H356)</f>
        <v/>
      </c>
      <c r="G356">
        <f>IF('03_Helper'!A356="","",'03_Helper'!X356)</f>
        <v/>
      </c>
      <c r="H356">
        <f>IF('03_Helper'!A356="","",'03_Helper'!Y356)</f>
        <v/>
      </c>
      <c r="I356">
        <f>IF('03_Helper'!A356="","",'03_Helper'!Z356)</f>
        <v/>
      </c>
      <c r="J356">
        <f>IF('03_Helper'!A356="","",'03_Helper'!Q356)</f>
        <v/>
      </c>
      <c r="K356">
        <f>IF('03_Helper'!A356="","",'03_Helper'!R356)</f>
        <v/>
      </c>
      <c r="L356">
        <f>IF('03_Helper'!A356="","",'03_Helper'!S356)</f>
        <v/>
      </c>
      <c r="M356">
        <f>IF('03_Helper'!A356="","",'03_Helper'!T356)</f>
        <v/>
      </c>
      <c r="N356">
        <f>IF('03_Helper'!A356="","",'03_Helper'!AA356)</f>
        <v/>
      </c>
      <c r="O356">
        <f>IF('03_Helper'!A356="","",'03_Helper'!AB356)</f>
        <v/>
      </c>
      <c r="P356">
        <f>IF('03_Helper'!A356="","",'03_Helper'!AC356)</f>
        <v/>
      </c>
      <c r="Q356">
        <f>IF('03_Helper'!A356="","",'03_Helper'!AD356)</f>
        <v/>
      </c>
      <c r="R356">
        <f>IF('03_Helper'!A356="","",'03_Helper'!AI356)</f>
        <v/>
      </c>
      <c r="S356">
        <f>IF('03_Helper'!A356="","",'03_Helper'!AJ356)</f>
        <v/>
      </c>
      <c r="T356">
        <f>IF('03_Helper'!A356="","",'03_Helper'!U356)</f>
        <v/>
      </c>
      <c r="U356">
        <f>IF('03_Helper'!A356="","",'03_Helper'!W356)</f>
        <v/>
      </c>
      <c r="V356">
        <f>IF('03_Helper'!A356="","",'03_Helper'!AG356)</f>
        <v/>
      </c>
      <c r="W356">
        <f>IF('03_Helper'!A356="","",'03_Helper'!AK356)</f>
        <v/>
      </c>
      <c r="X356">
        <f>IF('03_Helper'!A356="","",'03_Helper'!K356)</f>
        <v/>
      </c>
      <c r="Y356">
        <f>IF('03_Helper'!A356="","",'03_Helper'!AN356)</f>
        <v/>
      </c>
    </row>
    <row r="357">
      <c r="A357">
        <f>IF('03_Helper'!A357="","",'03_Helper'!B357)</f>
        <v/>
      </c>
      <c r="B357">
        <f>IF('03_Helper'!A357="","",'03_Helper'!C357)</f>
        <v/>
      </c>
      <c r="C357">
        <f>IF('03_Helper'!A357="","",'03_Helper'!G357)</f>
        <v/>
      </c>
      <c r="D357">
        <f>IF('03_Helper'!A357="","",'03_Helper'!E357)</f>
        <v/>
      </c>
      <c r="E357">
        <f>IF('03_Helper'!A357="","",'03_Helper'!D357)</f>
        <v/>
      </c>
      <c r="F357">
        <f>IF('03_Helper'!A357="","",'03_Helper'!H357)</f>
        <v/>
      </c>
      <c r="G357">
        <f>IF('03_Helper'!A357="","",'03_Helper'!X357)</f>
        <v/>
      </c>
      <c r="H357">
        <f>IF('03_Helper'!A357="","",'03_Helper'!Y357)</f>
        <v/>
      </c>
      <c r="I357">
        <f>IF('03_Helper'!A357="","",'03_Helper'!Z357)</f>
        <v/>
      </c>
      <c r="J357">
        <f>IF('03_Helper'!A357="","",'03_Helper'!Q357)</f>
        <v/>
      </c>
      <c r="K357">
        <f>IF('03_Helper'!A357="","",'03_Helper'!R357)</f>
        <v/>
      </c>
      <c r="L357">
        <f>IF('03_Helper'!A357="","",'03_Helper'!S357)</f>
        <v/>
      </c>
      <c r="M357">
        <f>IF('03_Helper'!A357="","",'03_Helper'!T357)</f>
        <v/>
      </c>
      <c r="N357">
        <f>IF('03_Helper'!A357="","",'03_Helper'!AA357)</f>
        <v/>
      </c>
      <c r="O357">
        <f>IF('03_Helper'!A357="","",'03_Helper'!AB357)</f>
        <v/>
      </c>
      <c r="P357">
        <f>IF('03_Helper'!A357="","",'03_Helper'!AC357)</f>
        <v/>
      </c>
      <c r="Q357">
        <f>IF('03_Helper'!A357="","",'03_Helper'!AD357)</f>
        <v/>
      </c>
      <c r="R357">
        <f>IF('03_Helper'!A357="","",'03_Helper'!AI357)</f>
        <v/>
      </c>
      <c r="S357">
        <f>IF('03_Helper'!A357="","",'03_Helper'!AJ357)</f>
        <v/>
      </c>
      <c r="T357">
        <f>IF('03_Helper'!A357="","",'03_Helper'!U357)</f>
        <v/>
      </c>
      <c r="U357">
        <f>IF('03_Helper'!A357="","",'03_Helper'!W357)</f>
        <v/>
      </c>
      <c r="V357">
        <f>IF('03_Helper'!A357="","",'03_Helper'!AG357)</f>
        <v/>
      </c>
      <c r="W357">
        <f>IF('03_Helper'!A357="","",'03_Helper'!AK357)</f>
        <v/>
      </c>
      <c r="X357">
        <f>IF('03_Helper'!A357="","",'03_Helper'!K357)</f>
        <v/>
      </c>
      <c r="Y357">
        <f>IF('03_Helper'!A357="","",'03_Helper'!AN357)</f>
        <v/>
      </c>
    </row>
    <row r="358">
      <c r="A358">
        <f>IF('03_Helper'!A358="","",'03_Helper'!B358)</f>
        <v/>
      </c>
      <c r="B358">
        <f>IF('03_Helper'!A358="","",'03_Helper'!C358)</f>
        <v/>
      </c>
      <c r="C358">
        <f>IF('03_Helper'!A358="","",'03_Helper'!G358)</f>
        <v/>
      </c>
      <c r="D358">
        <f>IF('03_Helper'!A358="","",'03_Helper'!E358)</f>
        <v/>
      </c>
      <c r="E358">
        <f>IF('03_Helper'!A358="","",'03_Helper'!D358)</f>
        <v/>
      </c>
      <c r="F358">
        <f>IF('03_Helper'!A358="","",'03_Helper'!H358)</f>
        <v/>
      </c>
      <c r="G358">
        <f>IF('03_Helper'!A358="","",'03_Helper'!X358)</f>
        <v/>
      </c>
      <c r="H358">
        <f>IF('03_Helper'!A358="","",'03_Helper'!Y358)</f>
        <v/>
      </c>
      <c r="I358">
        <f>IF('03_Helper'!A358="","",'03_Helper'!Z358)</f>
        <v/>
      </c>
      <c r="J358">
        <f>IF('03_Helper'!A358="","",'03_Helper'!Q358)</f>
        <v/>
      </c>
      <c r="K358">
        <f>IF('03_Helper'!A358="","",'03_Helper'!R358)</f>
        <v/>
      </c>
      <c r="L358">
        <f>IF('03_Helper'!A358="","",'03_Helper'!S358)</f>
        <v/>
      </c>
      <c r="M358">
        <f>IF('03_Helper'!A358="","",'03_Helper'!T358)</f>
        <v/>
      </c>
      <c r="N358">
        <f>IF('03_Helper'!A358="","",'03_Helper'!AA358)</f>
        <v/>
      </c>
      <c r="O358">
        <f>IF('03_Helper'!A358="","",'03_Helper'!AB358)</f>
        <v/>
      </c>
      <c r="P358">
        <f>IF('03_Helper'!A358="","",'03_Helper'!AC358)</f>
        <v/>
      </c>
      <c r="Q358">
        <f>IF('03_Helper'!A358="","",'03_Helper'!AD358)</f>
        <v/>
      </c>
      <c r="R358">
        <f>IF('03_Helper'!A358="","",'03_Helper'!AI358)</f>
        <v/>
      </c>
      <c r="S358">
        <f>IF('03_Helper'!A358="","",'03_Helper'!AJ358)</f>
        <v/>
      </c>
      <c r="T358">
        <f>IF('03_Helper'!A358="","",'03_Helper'!U358)</f>
        <v/>
      </c>
      <c r="U358">
        <f>IF('03_Helper'!A358="","",'03_Helper'!W358)</f>
        <v/>
      </c>
      <c r="V358">
        <f>IF('03_Helper'!A358="","",'03_Helper'!AG358)</f>
        <v/>
      </c>
      <c r="W358">
        <f>IF('03_Helper'!A358="","",'03_Helper'!AK358)</f>
        <v/>
      </c>
      <c r="X358">
        <f>IF('03_Helper'!A358="","",'03_Helper'!K358)</f>
        <v/>
      </c>
      <c r="Y358">
        <f>IF('03_Helper'!A358="","",'03_Helper'!AN358)</f>
        <v/>
      </c>
    </row>
    <row r="359">
      <c r="A359">
        <f>IF('03_Helper'!A359="","",'03_Helper'!B359)</f>
        <v/>
      </c>
      <c r="B359">
        <f>IF('03_Helper'!A359="","",'03_Helper'!C359)</f>
        <v/>
      </c>
      <c r="C359">
        <f>IF('03_Helper'!A359="","",'03_Helper'!G359)</f>
        <v/>
      </c>
      <c r="D359">
        <f>IF('03_Helper'!A359="","",'03_Helper'!E359)</f>
        <v/>
      </c>
      <c r="E359">
        <f>IF('03_Helper'!A359="","",'03_Helper'!D359)</f>
        <v/>
      </c>
      <c r="F359">
        <f>IF('03_Helper'!A359="","",'03_Helper'!H359)</f>
        <v/>
      </c>
      <c r="G359">
        <f>IF('03_Helper'!A359="","",'03_Helper'!X359)</f>
        <v/>
      </c>
      <c r="H359">
        <f>IF('03_Helper'!A359="","",'03_Helper'!Y359)</f>
        <v/>
      </c>
      <c r="I359">
        <f>IF('03_Helper'!A359="","",'03_Helper'!Z359)</f>
        <v/>
      </c>
      <c r="J359">
        <f>IF('03_Helper'!A359="","",'03_Helper'!Q359)</f>
        <v/>
      </c>
      <c r="K359">
        <f>IF('03_Helper'!A359="","",'03_Helper'!R359)</f>
        <v/>
      </c>
      <c r="L359">
        <f>IF('03_Helper'!A359="","",'03_Helper'!S359)</f>
        <v/>
      </c>
      <c r="M359">
        <f>IF('03_Helper'!A359="","",'03_Helper'!T359)</f>
        <v/>
      </c>
      <c r="N359">
        <f>IF('03_Helper'!A359="","",'03_Helper'!AA359)</f>
        <v/>
      </c>
      <c r="O359">
        <f>IF('03_Helper'!A359="","",'03_Helper'!AB359)</f>
        <v/>
      </c>
      <c r="P359">
        <f>IF('03_Helper'!A359="","",'03_Helper'!AC359)</f>
        <v/>
      </c>
      <c r="Q359">
        <f>IF('03_Helper'!A359="","",'03_Helper'!AD359)</f>
        <v/>
      </c>
      <c r="R359">
        <f>IF('03_Helper'!A359="","",'03_Helper'!AI359)</f>
        <v/>
      </c>
      <c r="S359">
        <f>IF('03_Helper'!A359="","",'03_Helper'!AJ359)</f>
        <v/>
      </c>
      <c r="T359">
        <f>IF('03_Helper'!A359="","",'03_Helper'!U359)</f>
        <v/>
      </c>
      <c r="U359">
        <f>IF('03_Helper'!A359="","",'03_Helper'!W359)</f>
        <v/>
      </c>
      <c r="V359">
        <f>IF('03_Helper'!A359="","",'03_Helper'!AG359)</f>
        <v/>
      </c>
      <c r="W359">
        <f>IF('03_Helper'!A359="","",'03_Helper'!AK359)</f>
        <v/>
      </c>
      <c r="X359">
        <f>IF('03_Helper'!A359="","",'03_Helper'!K359)</f>
        <v/>
      </c>
      <c r="Y359">
        <f>IF('03_Helper'!A359="","",'03_Helper'!AN359)</f>
        <v/>
      </c>
    </row>
    <row r="360">
      <c r="A360">
        <f>IF('03_Helper'!A360="","",'03_Helper'!B360)</f>
        <v/>
      </c>
      <c r="B360">
        <f>IF('03_Helper'!A360="","",'03_Helper'!C360)</f>
        <v/>
      </c>
      <c r="C360">
        <f>IF('03_Helper'!A360="","",'03_Helper'!G360)</f>
        <v/>
      </c>
      <c r="D360">
        <f>IF('03_Helper'!A360="","",'03_Helper'!E360)</f>
        <v/>
      </c>
      <c r="E360">
        <f>IF('03_Helper'!A360="","",'03_Helper'!D360)</f>
        <v/>
      </c>
      <c r="F360">
        <f>IF('03_Helper'!A360="","",'03_Helper'!H360)</f>
        <v/>
      </c>
      <c r="G360">
        <f>IF('03_Helper'!A360="","",'03_Helper'!X360)</f>
        <v/>
      </c>
      <c r="H360">
        <f>IF('03_Helper'!A360="","",'03_Helper'!Y360)</f>
        <v/>
      </c>
      <c r="I360">
        <f>IF('03_Helper'!A360="","",'03_Helper'!Z360)</f>
        <v/>
      </c>
      <c r="J360">
        <f>IF('03_Helper'!A360="","",'03_Helper'!Q360)</f>
        <v/>
      </c>
      <c r="K360">
        <f>IF('03_Helper'!A360="","",'03_Helper'!R360)</f>
        <v/>
      </c>
      <c r="L360">
        <f>IF('03_Helper'!A360="","",'03_Helper'!S360)</f>
        <v/>
      </c>
      <c r="M360">
        <f>IF('03_Helper'!A360="","",'03_Helper'!T360)</f>
        <v/>
      </c>
      <c r="N360">
        <f>IF('03_Helper'!A360="","",'03_Helper'!AA360)</f>
        <v/>
      </c>
      <c r="O360">
        <f>IF('03_Helper'!A360="","",'03_Helper'!AB360)</f>
        <v/>
      </c>
      <c r="P360">
        <f>IF('03_Helper'!A360="","",'03_Helper'!AC360)</f>
        <v/>
      </c>
      <c r="Q360">
        <f>IF('03_Helper'!A360="","",'03_Helper'!AD360)</f>
        <v/>
      </c>
      <c r="R360">
        <f>IF('03_Helper'!A360="","",'03_Helper'!AI360)</f>
        <v/>
      </c>
      <c r="S360">
        <f>IF('03_Helper'!A360="","",'03_Helper'!AJ360)</f>
        <v/>
      </c>
      <c r="T360">
        <f>IF('03_Helper'!A360="","",'03_Helper'!U360)</f>
        <v/>
      </c>
      <c r="U360">
        <f>IF('03_Helper'!A360="","",'03_Helper'!W360)</f>
        <v/>
      </c>
      <c r="V360">
        <f>IF('03_Helper'!A360="","",'03_Helper'!AG360)</f>
        <v/>
      </c>
      <c r="W360">
        <f>IF('03_Helper'!A360="","",'03_Helper'!AK360)</f>
        <v/>
      </c>
      <c r="X360">
        <f>IF('03_Helper'!A360="","",'03_Helper'!K360)</f>
        <v/>
      </c>
      <c r="Y360">
        <f>IF('03_Helper'!A360="","",'03_Helper'!AN360)</f>
        <v/>
      </c>
    </row>
    <row r="361">
      <c r="A361">
        <f>IF('03_Helper'!A361="","",'03_Helper'!B361)</f>
        <v/>
      </c>
      <c r="B361">
        <f>IF('03_Helper'!A361="","",'03_Helper'!C361)</f>
        <v/>
      </c>
      <c r="C361">
        <f>IF('03_Helper'!A361="","",'03_Helper'!G361)</f>
        <v/>
      </c>
      <c r="D361">
        <f>IF('03_Helper'!A361="","",'03_Helper'!E361)</f>
        <v/>
      </c>
      <c r="E361">
        <f>IF('03_Helper'!A361="","",'03_Helper'!D361)</f>
        <v/>
      </c>
      <c r="F361">
        <f>IF('03_Helper'!A361="","",'03_Helper'!H361)</f>
        <v/>
      </c>
      <c r="G361">
        <f>IF('03_Helper'!A361="","",'03_Helper'!X361)</f>
        <v/>
      </c>
      <c r="H361">
        <f>IF('03_Helper'!A361="","",'03_Helper'!Y361)</f>
        <v/>
      </c>
      <c r="I361">
        <f>IF('03_Helper'!A361="","",'03_Helper'!Z361)</f>
        <v/>
      </c>
      <c r="J361">
        <f>IF('03_Helper'!A361="","",'03_Helper'!Q361)</f>
        <v/>
      </c>
      <c r="K361">
        <f>IF('03_Helper'!A361="","",'03_Helper'!R361)</f>
        <v/>
      </c>
      <c r="L361">
        <f>IF('03_Helper'!A361="","",'03_Helper'!S361)</f>
        <v/>
      </c>
      <c r="M361">
        <f>IF('03_Helper'!A361="","",'03_Helper'!T361)</f>
        <v/>
      </c>
      <c r="N361">
        <f>IF('03_Helper'!A361="","",'03_Helper'!AA361)</f>
        <v/>
      </c>
      <c r="O361">
        <f>IF('03_Helper'!A361="","",'03_Helper'!AB361)</f>
        <v/>
      </c>
      <c r="P361">
        <f>IF('03_Helper'!A361="","",'03_Helper'!AC361)</f>
        <v/>
      </c>
      <c r="Q361">
        <f>IF('03_Helper'!A361="","",'03_Helper'!AD361)</f>
        <v/>
      </c>
      <c r="R361">
        <f>IF('03_Helper'!A361="","",'03_Helper'!AI361)</f>
        <v/>
      </c>
      <c r="S361">
        <f>IF('03_Helper'!A361="","",'03_Helper'!AJ361)</f>
        <v/>
      </c>
      <c r="T361">
        <f>IF('03_Helper'!A361="","",'03_Helper'!U361)</f>
        <v/>
      </c>
      <c r="U361">
        <f>IF('03_Helper'!A361="","",'03_Helper'!W361)</f>
        <v/>
      </c>
      <c r="V361">
        <f>IF('03_Helper'!A361="","",'03_Helper'!AG361)</f>
        <v/>
      </c>
      <c r="W361">
        <f>IF('03_Helper'!A361="","",'03_Helper'!AK361)</f>
        <v/>
      </c>
      <c r="X361">
        <f>IF('03_Helper'!A361="","",'03_Helper'!K361)</f>
        <v/>
      </c>
      <c r="Y361">
        <f>IF('03_Helper'!A361="","",'03_Helper'!AN361)</f>
        <v/>
      </c>
    </row>
    <row r="362">
      <c r="A362">
        <f>IF('03_Helper'!A362="","",'03_Helper'!B362)</f>
        <v/>
      </c>
      <c r="B362">
        <f>IF('03_Helper'!A362="","",'03_Helper'!C362)</f>
        <v/>
      </c>
      <c r="C362">
        <f>IF('03_Helper'!A362="","",'03_Helper'!G362)</f>
        <v/>
      </c>
      <c r="D362">
        <f>IF('03_Helper'!A362="","",'03_Helper'!E362)</f>
        <v/>
      </c>
      <c r="E362">
        <f>IF('03_Helper'!A362="","",'03_Helper'!D362)</f>
        <v/>
      </c>
      <c r="F362">
        <f>IF('03_Helper'!A362="","",'03_Helper'!H362)</f>
        <v/>
      </c>
      <c r="G362">
        <f>IF('03_Helper'!A362="","",'03_Helper'!X362)</f>
        <v/>
      </c>
      <c r="H362">
        <f>IF('03_Helper'!A362="","",'03_Helper'!Y362)</f>
        <v/>
      </c>
      <c r="I362">
        <f>IF('03_Helper'!A362="","",'03_Helper'!Z362)</f>
        <v/>
      </c>
      <c r="J362">
        <f>IF('03_Helper'!A362="","",'03_Helper'!Q362)</f>
        <v/>
      </c>
      <c r="K362">
        <f>IF('03_Helper'!A362="","",'03_Helper'!R362)</f>
        <v/>
      </c>
      <c r="L362">
        <f>IF('03_Helper'!A362="","",'03_Helper'!S362)</f>
        <v/>
      </c>
      <c r="M362">
        <f>IF('03_Helper'!A362="","",'03_Helper'!T362)</f>
        <v/>
      </c>
      <c r="N362">
        <f>IF('03_Helper'!A362="","",'03_Helper'!AA362)</f>
        <v/>
      </c>
      <c r="O362">
        <f>IF('03_Helper'!A362="","",'03_Helper'!AB362)</f>
        <v/>
      </c>
      <c r="P362">
        <f>IF('03_Helper'!A362="","",'03_Helper'!AC362)</f>
        <v/>
      </c>
      <c r="Q362">
        <f>IF('03_Helper'!A362="","",'03_Helper'!AD362)</f>
        <v/>
      </c>
      <c r="R362">
        <f>IF('03_Helper'!A362="","",'03_Helper'!AI362)</f>
        <v/>
      </c>
      <c r="S362">
        <f>IF('03_Helper'!A362="","",'03_Helper'!AJ362)</f>
        <v/>
      </c>
      <c r="T362">
        <f>IF('03_Helper'!A362="","",'03_Helper'!U362)</f>
        <v/>
      </c>
      <c r="U362">
        <f>IF('03_Helper'!A362="","",'03_Helper'!W362)</f>
        <v/>
      </c>
      <c r="V362">
        <f>IF('03_Helper'!A362="","",'03_Helper'!AG362)</f>
        <v/>
      </c>
      <c r="W362">
        <f>IF('03_Helper'!A362="","",'03_Helper'!AK362)</f>
        <v/>
      </c>
      <c r="X362">
        <f>IF('03_Helper'!A362="","",'03_Helper'!K362)</f>
        <v/>
      </c>
      <c r="Y362">
        <f>IF('03_Helper'!A362="","",'03_Helper'!AN362)</f>
        <v/>
      </c>
    </row>
    <row r="363">
      <c r="A363">
        <f>IF('03_Helper'!A363="","",'03_Helper'!B363)</f>
        <v/>
      </c>
      <c r="B363">
        <f>IF('03_Helper'!A363="","",'03_Helper'!C363)</f>
        <v/>
      </c>
      <c r="C363">
        <f>IF('03_Helper'!A363="","",'03_Helper'!G363)</f>
        <v/>
      </c>
      <c r="D363">
        <f>IF('03_Helper'!A363="","",'03_Helper'!E363)</f>
        <v/>
      </c>
      <c r="E363">
        <f>IF('03_Helper'!A363="","",'03_Helper'!D363)</f>
        <v/>
      </c>
      <c r="F363">
        <f>IF('03_Helper'!A363="","",'03_Helper'!H363)</f>
        <v/>
      </c>
      <c r="G363">
        <f>IF('03_Helper'!A363="","",'03_Helper'!X363)</f>
        <v/>
      </c>
      <c r="H363">
        <f>IF('03_Helper'!A363="","",'03_Helper'!Y363)</f>
        <v/>
      </c>
      <c r="I363">
        <f>IF('03_Helper'!A363="","",'03_Helper'!Z363)</f>
        <v/>
      </c>
      <c r="J363">
        <f>IF('03_Helper'!A363="","",'03_Helper'!Q363)</f>
        <v/>
      </c>
      <c r="K363">
        <f>IF('03_Helper'!A363="","",'03_Helper'!R363)</f>
        <v/>
      </c>
      <c r="L363">
        <f>IF('03_Helper'!A363="","",'03_Helper'!S363)</f>
        <v/>
      </c>
      <c r="M363">
        <f>IF('03_Helper'!A363="","",'03_Helper'!T363)</f>
        <v/>
      </c>
      <c r="N363">
        <f>IF('03_Helper'!A363="","",'03_Helper'!AA363)</f>
        <v/>
      </c>
      <c r="O363">
        <f>IF('03_Helper'!A363="","",'03_Helper'!AB363)</f>
        <v/>
      </c>
      <c r="P363">
        <f>IF('03_Helper'!A363="","",'03_Helper'!AC363)</f>
        <v/>
      </c>
      <c r="Q363">
        <f>IF('03_Helper'!A363="","",'03_Helper'!AD363)</f>
        <v/>
      </c>
      <c r="R363">
        <f>IF('03_Helper'!A363="","",'03_Helper'!AI363)</f>
        <v/>
      </c>
      <c r="S363">
        <f>IF('03_Helper'!A363="","",'03_Helper'!AJ363)</f>
        <v/>
      </c>
      <c r="T363">
        <f>IF('03_Helper'!A363="","",'03_Helper'!U363)</f>
        <v/>
      </c>
      <c r="U363">
        <f>IF('03_Helper'!A363="","",'03_Helper'!W363)</f>
        <v/>
      </c>
      <c r="V363">
        <f>IF('03_Helper'!A363="","",'03_Helper'!AG363)</f>
        <v/>
      </c>
      <c r="W363">
        <f>IF('03_Helper'!A363="","",'03_Helper'!AK363)</f>
        <v/>
      </c>
      <c r="X363">
        <f>IF('03_Helper'!A363="","",'03_Helper'!K363)</f>
        <v/>
      </c>
      <c r="Y363">
        <f>IF('03_Helper'!A363="","",'03_Helper'!AN363)</f>
        <v/>
      </c>
    </row>
    <row r="364">
      <c r="A364">
        <f>IF('03_Helper'!A364="","",'03_Helper'!B364)</f>
        <v/>
      </c>
      <c r="B364">
        <f>IF('03_Helper'!A364="","",'03_Helper'!C364)</f>
        <v/>
      </c>
      <c r="C364">
        <f>IF('03_Helper'!A364="","",'03_Helper'!G364)</f>
        <v/>
      </c>
      <c r="D364">
        <f>IF('03_Helper'!A364="","",'03_Helper'!E364)</f>
        <v/>
      </c>
      <c r="E364">
        <f>IF('03_Helper'!A364="","",'03_Helper'!D364)</f>
        <v/>
      </c>
      <c r="F364">
        <f>IF('03_Helper'!A364="","",'03_Helper'!H364)</f>
        <v/>
      </c>
      <c r="G364">
        <f>IF('03_Helper'!A364="","",'03_Helper'!X364)</f>
        <v/>
      </c>
      <c r="H364">
        <f>IF('03_Helper'!A364="","",'03_Helper'!Y364)</f>
        <v/>
      </c>
      <c r="I364">
        <f>IF('03_Helper'!A364="","",'03_Helper'!Z364)</f>
        <v/>
      </c>
      <c r="J364">
        <f>IF('03_Helper'!A364="","",'03_Helper'!Q364)</f>
        <v/>
      </c>
      <c r="K364">
        <f>IF('03_Helper'!A364="","",'03_Helper'!R364)</f>
        <v/>
      </c>
      <c r="L364">
        <f>IF('03_Helper'!A364="","",'03_Helper'!S364)</f>
        <v/>
      </c>
      <c r="M364">
        <f>IF('03_Helper'!A364="","",'03_Helper'!T364)</f>
        <v/>
      </c>
      <c r="N364">
        <f>IF('03_Helper'!A364="","",'03_Helper'!AA364)</f>
        <v/>
      </c>
      <c r="O364">
        <f>IF('03_Helper'!A364="","",'03_Helper'!AB364)</f>
        <v/>
      </c>
      <c r="P364">
        <f>IF('03_Helper'!A364="","",'03_Helper'!AC364)</f>
        <v/>
      </c>
      <c r="Q364">
        <f>IF('03_Helper'!A364="","",'03_Helper'!AD364)</f>
        <v/>
      </c>
      <c r="R364">
        <f>IF('03_Helper'!A364="","",'03_Helper'!AI364)</f>
        <v/>
      </c>
      <c r="S364">
        <f>IF('03_Helper'!A364="","",'03_Helper'!AJ364)</f>
        <v/>
      </c>
      <c r="T364">
        <f>IF('03_Helper'!A364="","",'03_Helper'!U364)</f>
        <v/>
      </c>
      <c r="U364">
        <f>IF('03_Helper'!A364="","",'03_Helper'!W364)</f>
        <v/>
      </c>
      <c r="V364">
        <f>IF('03_Helper'!A364="","",'03_Helper'!AG364)</f>
        <v/>
      </c>
      <c r="W364">
        <f>IF('03_Helper'!A364="","",'03_Helper'!AK364)</f>
        <v/>
      </c>
      <c r="X364">
        <f>IF('03_Helper'!A364="","",'03_Helper'!K364)</f>
        <v/>
      </c>
      <c r="Y364">
        <f>IF('03_Helper'!A364="","",'03_Helper'!AN364)</f>
        <v/>
      </c>
    </row>
    <row r="365">
      <c r="A365">
        <f>IF('03_Helper'!A365="","",'03_Helper'!B365)</f>
        <v/>
      </c>
      <c r="B365">
        <f>IF('03_Helper'!A365="","",'03_Helper'!C365)</f>
        <v/>
      </c>
      <c r="C365">
        <f>IF('03_Helper'!A365="","",'03_Helper'!G365)</f>
        <v/>
      </c>
      <c r="D365">
        <f>IF('03_Helper'!A365="","",'03_Helper'!E365)</f>
        <v/>
      </c>
      <c r="E365">
        <f>IF('03_Helper'!A365="","",'03_Helper'!D365)</f>
        <v/>
      </c>
      <c r="F365">
        <f>IF('03_Helper'!A365="","",'03_Helper'!H365)</f>
        <v/>
      </c>
      <c r="G365">
        <f>IF('03_Helper'!A365="","",'03_Helper'!X365)</f>
        <v/>
      </c>
      <c r="H365">
        <f>IF('03_Helper'!A365="","",'03_Helper'!Y365)</f>
        <v/>
      </c>
      <c r="I365">
        <f>IF('03_Helper'!A365="","",'03_Helper'!Z365)</f>
        <v/>
      </c>
      <c r="J365">
        <f>IF('03_Helper'!A365="","",'03_Helper'!Q365)</f>
        <v/>
      </c>
      <c r="K365">
        <f>IF('03_Helper'!A365="","",'03_Helper'!R365)</f>
        <v/>
      </c>
      <c r="L365">
        <f>IF('03_Helper'!A365="","",'03_Helper'!S365)</f>
        <v/>
      </c>
      <c r="M365">
        <f>IF('03_Helper'!A365="","",'03_Helper'!T365)</f>
        <v/>
      </c>
      <c r="N365">
        <f>IF('03_Helper'!A365="","",'03_Helper'!AA365)</f>
        <v/>
      </c>
      <c r="O365">
        <f>IF('03_Helper'!A365="","",'03_Helper'!AB365)</f>
        <v/>
      </c>
      <c r="P365">
        <f>IF('03_Helper'!A365="","",'03_Helper'!AC365)</f>
        <v/>
      </c>
      <c r="Q365">
        <f>IF('03_Helper'!A365="","",'03_Helper'!AD365)</f>
        <v/>
      </c>
      <c r="R365">
        <f>IF('03_Helper'!A365="","",'03_Helper'!AI365)</f>
        <v/>
      </c>
      <c r="S365">
        <f>IF('03_Helper'!A365="","",'03_Helper'!AJ365)</f>
        <v/>
      </c>
      <c r="T365">
        <f>IF('03_Helper'!A365="","",'03_Helper'!U365)</f>
        <v/>
      </c>
      <c r="U365">
        <f>IF('03_Helper'!A365="","",'03_Helper'!W365)</f>
        <v/>
      </c>
      <c r="V365">
        <f>IF('03_Helper'!A365="","",'03_Helper'!AG365)</f>
        <v/>
      </c>
      <c r="W365">
        <f>IF('03_Helper'!A365="","",'03_Helper'!AK365)</f>
        <v/>
      </c>
      <c r="X365">
        <f>IF('03_Helper'!A365="","",'03_Helper'!K365)</f>
        <v/>
      </c>
      <c r="Y365">
        <f>IF('03_Helper'!A365="","",'03_Helper'!AN365)</f>
        <v/>
      </c>
    </row>
    <row r="366">
      <c r="A366">
        <f>IF('03_Helper'!A366="","",'03_Helper'!B366)</f>
        <v/>
      </c>
      <c r="B366">
        <f>IF('03_Helper'!A366="","",'03_Helper'!C366)</f>
        <v/>
      </c>
      <c r="C366">
        <f>IF('03_Helper'!A366="","",'03_Helper'!G366)</f>
        <v/>
      </c>
      <c r="D366">
        <f>IF('03_Helper'!A366="","",'03_Helper'!E366)</f>
        <v/>
      </c>
      <c r="E366">
        <f>IF('03_Helper'!A366="","",'03_Helper'!D366)</f>
        <v/>
      </c>
      <c r="F366">
        <f>IF('03_Helper'!A366="","",'03_Helper'!H366)</f>
        <v/>
      </c>
      <c r="G366">
        <f>IF('03_Helper'!A366="","",'03_Helper'!X366)</f>
        <v/>
      </c>
      <c r="H366">
        <f>IF('03_Helper'!A366="","",'03_Helper'!Y366)</f>
        <v/>
      </c>
      <c r="I366">
        <f>IF('03_Helper'!A366="","",'03_Helper'!Z366)</f>
        <v/>
      </c>
      <c r="J366">
        <f>IF('03_Helper'!A366="","",'03_Helper'!Q366)</f>
        <v/>
      </c>
      <c r="K366">
        <f>IF('03_Helper'!A366="","",'03_Helper'!R366)</f>
        <v/>
      </c>
      <c r="L366">
        <f>IF('03_Helper'!A366="","",'03_Helper'!S366)</f>
        <v/>
      </c>
      <c r="M366">
        <f>IF('03_Helper'!A366="","",'03_Helper'!T366)</f>
        <v/>
      </c>
      <c r="N366">
        <f>IF('03_Helper'!A366="","",'03_Helper'!AA366)</f>
        <v/>
      </c>
      <c r="O366">
        <f>IF('03_Helper'!A366="","",'03_Helper'!AB366)</f>
        <v/>
      </c>
      <c r="P366">
        <f>IF('03_Helper'!A366="","",'03_Helper'!AC366)</f>
        <v/>
      </c>
      <c r="Q366">
        <f>IF('03_Helper'!A366="","",'03_Helper'!AD366)</f>
        <v/>
      </c>
      <c r="R366">
        <f>IF('03_Helper'!A366="","",'03_Helper'!AI366)</f>
        <v/>
      </c>
      <c r="S366">
        <f>IF('03_Helper'!A366="","",'03_Helper'!AJ366)</f>
        <v/>
      </c>
      <c r="T366">
        <f>IF('03_Helper'!A366="","",'03_Helper'!U366)</f>
        <v/>
      </c>
      <c r="U366">
        <f>IF('03_Helper'!A366="","",'03_Helper'!W366)</f>
        <v/>
      </c>
      <c r="V366">
        <f>IF('03_Helper'!A366="","",'03_Helper'!AG366)</f>
        <v/>
      </c>
      <c r="W366">
        <f>IF('03_Helper'!A366="","",'03_Helper'!AK366)</f>
        <v/>
      </c>
      <c r="X366">
        <f>IF('03_Helper'!A366="","",'03_Helper'!K366)</f>
        <v/>
      </c>
      <c r="Y366">
        <f>IF('03_Helper'!A366="","",'03_Helper'!AN366)</f>
        <v/>
      </c>
    </row>
    <row r="367">
      <c r="A367">
        <f>IF('03_Helper'!A367="","",'03_Helper'!B367)</f>
        <v/>
      </c>
      <c r="B367">
        <f>IF('03_Helper'!A367="","",'03_Helper'!C367)</f>
        <v/>
      </c>
      <c r="C367">
        <f>IF('03_Helper'!A367="","",'03_Helper'!G367)</f>
        <v/>
      </c>
      <c r="D367">
        <f>IF('03_Helper'!A367="","",'03_Helper'!E367)</f>
        <v/>
      </c>
      <c r="E367">
        <f>IF('03_Helper'!A367="","",'03_Helper'!D367)</f>
        <v/>
      </c>
      <c r="F367">
        <f>IF('03_Helper'!A367="","",'03_Helper'!H367)</f>
        <v/>
      </c>
      <c r="G367">
        <f>IF('03_Helper'!A367="","",'03_Helper'!X367)</f>
        <v/>
      </c>
      <c r="H367">
        <f>IF('03_Helper'!A367="","",'03_Helper'!Y367)</f>
        <v/>
      </c>
      <c r="I367">
        <f>IF('03_Helper'!A367="","",'03_Helper'!Z367)</f>
        <v/>
      </c>
      <c r="J367">
        <f>IF('03_Helper'!A367="","",'03_Helper'!Q367)</f>
        <v/>
      </c>
      <c r="K367">
        <f>IF('03_Helper'!A367="","",'03_Helper'!R367)</f>
        <v/>
      </c>
      <c r="L367">
        <f>IF('03_Helper'!A367="","",'03_Helper'!S367)</f>
        <v/>
      </c>
      <c r="M367">
        <f>IF('03_Helper'!A367="","",'03_Helper'!T367)</f>
        <v/>
      </c>
      <c r="N367">
        <f>IF('03_Helper'!A367="","",'03_Helper'!AA367)</f>
        <v/>
      </c>
      <c r="O367">
        <f>IF('03_Helper'!A367="","",'03_Helper'!AB367)</f>
        <v/>
      </c>
      <c r="P367">
        <f>IF('03_Helper'!A367="","",'03_Helper'!AC367)</f>
        <v/>
      </c>
      <c r="Q367">
        <f>IF('03_Helper'!A367="","",'03_Helper'!AD367)</f>
        <v/>
      </c>
      <c r="R367">
        <f>IF('03_Helper'!A367="","",'03_Helper'!AI367)</f>
        <v/>
      </c>
      <c r="S367">
        <f>IF('03_Helper'!A367="","",'03_Helper'!AJ367)</f>
        <v/>
      </c>
      <c r="T367">
        <f>IF('03_Helper'!A367="","",'03_Helper'!U367)</f>
        <v/>
      </c>
      <c r="U367">
        <f>IF('03_Helper'!A367="","",'03_Helper'!W367)</f>
        <v/>
      </c>
      <c r="V367">
        <f>IF('03_Helper'!A367="","",'03_Helper'!AG367)</f>
        <v/>
      </c>
      <c r="W367">
        <f>IF('03_Helper'!A367="","",'03_Helper'!AK367)</f>
        <v/>
      </c>
      <c r="X367">
        <f>IF('03_Helper'!A367="","",'03_Helper'!K367)</f>
        <v/>
      </c>
      <c r="Y367">
        <f>IF('03_Helper'!A367="","",'03_Helper'!AN367)</f>
        <v/>
      </c>
    </row>
    <row r="368">
      <c r="A368">
        <f>IF('03_Helper'!A368="","",'03_Helper'!B368)</f>
        <v/>
      </c>
      <c r="B368">
        <f>IF('03_Helper'!A368="","",'03_Helper'!C368)</f>
        <v/>
      </c>
      <c r="C368">
        <f>IF('03_Helper'!A368="","",'03_Helper'!G368)</f>
        <v/>
      </c>
      <c r="D368">
        <f>IF('03_Helper'!A368="","",'03_Helper'!E368)</f>
        <v/>
      </c>
      <c r="E368">
        <f>IF('03_Helper'!A368="","",'03_Helper'!D368)</f>
        <v/>
      </c>
      <c r="F368">
        <f>IF('03_Helper'!A368="","",'03_Helper'!H368)</f>
        <v/>
      </c>
      <c r="G368">
        <f>IF('03_Helper'!A368="","",'03_Helper'!X368)</f>
        <v/>
      </c>
      <c r="H368">
        <f>IF('03_Helper'!A368="","",'03_Helper'!Y368)</f>
        <v/>
      </c>
      <c r="I368">
        <f>IF('03_Helper'!A368="","",'03_Helper'!Z368)</f>
        <v/>
      </c>
      <c r="J368">
        <f>IF('03_Helper'!A368="","",'03_Helper'!Q368)</f>
        <v/>
      </c>
      <c r="K368">
        <f>IF('03_Helper'!A368="","",'03_Helper'!R368)</f>
        <v/>
      </c>
      <c r="L368">
        <f>IF('03_Helper'!A368="","",'03_Helper'!S368)</f>
        <v/>
      </c>
      <c r="M368">
        <f>IF('03_Helper'!A368="","",'03_Helper'!T368)</f>
        <v/>
      </c>
      <c r="N368">
        <f>IF('03_Helper'!A368="","",'03_Helper'!AA368)</f>
        <v/>
      </c>
      <c r="O368">
        <f>IF('03_Helper'!A368="","",'03_Helper'!AB368)</f>
        <v/>
      </c>
      <c r="P368">
        <f>IF('03_Helper'!A368="","",'03_Helper'!AC368)</f>
        <v/>
      </c>
      <c r="Q368">
        <f>IF('03_Helper'!A368="","",'03_Helper'!AD368)</f>
        <v/>
      </c>
      <c r="R368">
        <f>IF('03_Helper'!A368="","",'03_Helper'!AI368)</f>
        <v/>
      </c>
      <c r="S368">
        <f>IF('03_Helper'!A368="","",'03_Helper'!AJ368)</f>
        <v/>
      </c>
      <c r="T368">
        <f>IF('03_Helper'!A368="","",'03_Helper'!U368)</f>
        <v/>
      </c>
      <c r="U368">
        <f>IF('03_Helper'!A368="","",'03_Helper'!W368)</f>
        <v/>
      </c>
      <c r="V368">
        <f>IF('03_Helper'!A368="","",'03_Helper'!AG368)</f>
        <v/>
      </c>
      <c r="W368">
        <f>IF('03_Helper'!A368="","",'03_Helper'!AK368)</f>
        <v/>
      </c>
      <c r="X368">
        <f>IF('03_Helper'!A368="","",'03_Helper'!K368)</f>
        <v/>
      </c>
      <c r="Y368">
        <f>IF('03_Helper'!A368="","",'03_Helper'!AN368)</f>
        <v/>
      </c>
    </row>
    <row r="369">
      <c r="A369">
        <f>IF('03_Helper'!A369="","",'03_Helper'!B369)</f>
        <v/>
      </c>
      <c r="B369">
        <f>IF('03_Helper'!A369="","",'03_Helper'!C369)</f>
        <v/>
      </c>
      <c r="C369">
        <f>IF('03_Helper'!A369="","",'03_Helper'!G369)</f>
        <v/>
      </c>
      <c r="D369">
        <f>IF('03_Helper'!A369="","",'03_Helper'!E369)</f>
        <v/>
      </c>
      <c r="E369">
        <f>IF('03_Helper'!A369="","",'03_Helper'!D369)</f>
        <v/>
      </c>
      <c r="F369">
        <f>IF('03_Helper'!A369="","",'03_Helper'!H369)</f>
        <v/>
      </c>
      <c r="G369">
        <f>IF('03_Helper'!A369="","",'03_Helper'!X369)</f>
        <v/>
      </c>
      <c r="H369">
        <f>IF('03_Helper'!A369="","",'03_Helper'!Y369)</f>
        <v/>
      </c>
      <c r="I369">
        <f>IF('03_Helper'!A369="","",'03_Helper'!Z369)</f>
        <v/>
      </c>
      <c r="J369">
        <f>IF('03_Helper'!A369="","",'03_Helper'!Q369)</f>
        <v/>
      </c>
      <c r="K369">
        <f>IF('03_Helper'!A369="","",'03_Helper'!R369)</f>
        <v/>
      </c>
      <c r="L369">
        <f>IF('03_Helper'!A369="","",'03_Helper'!S369)</f>
        <v/>
      </c>
      <c r="M369">
        <f>IF('03_Helper'!A369="","",'03_Helper'!T369)</f>
        <v/>
      </c>
      <c r="N369">
        <f>IF('03_Helper'!A369="","",'03_Helper'!AA369)</f>
        <v/>
      </c>
      <c r="O369">
        <f>IF('03_Helper'!A369="","",'03_Helper'!AB369)</f>
        <v/>
      </c>
      <c r="P369">
        <f>IF('03_Helper'!A369="","",'03_Helper'!AC369)</f>
        <v/>
      </c>
      <c r="Q369">
        <f>IF('03_Helper'!A369="","",'03_Helper'!AD369)</f>
        <v/>
      </c>
      <c r="R369">
        <f>IF('03_Helper'!A369="","",'03_Helper'!AI369)</f>
        <v/>
      </c>
      <c r="S369">
        <f>IF('03_Helper'!A369="","",'03_Helper'!AJ369)</f>
        <v/>
      </c>
      <c r="T369">
        <f>IF('03_Helper'!A369="","",'03_Helper'!U369)</f>
        <v/>
      </c>
      <c r="U369">
        <f>IF('03_Helper'!A369="","",'03_Helper'!W369)</f>
        <v/>
      </c>
      <c r="V369">
        <f>IF('03_Helper'!A369="","",'03_Helper'!AG369)</f>
        <v/>
      </c>
      <c r="W369">
        <f>IF('03_Helper'!A369="","",'03_Helper'!AK369)</f>
        <v/>
      </c>
      <c r="X369">
        <f>IF('03_Helper'!A369="","",'03_Helper'!K369)</f>
        <v/>
      </c>
      <c r="Y369">
        <f>IF('03_Helper'!A369="","",'03_Helper'!AN369)</f>
        <v/>
      </c>
    </row>
    <row r="370">
      <c r="A370">
        <f>IF('03_Helper'!A370="","",'03_Helper'!B370)</f>
        <v/>
      </c>
      <c r="B370">
        <f>IF('03_Helper'!A370="","",'03_Helper'!C370)</f>
        <v/>
      </c>
      <c r="C370">
        <f>IF('03_Helper'!A370="","",'03_Helper'!G370)</f>
        <v/>
      </c>
      <c r="D370">
        <f>IF('03_Helper'!A370="","",'03_Helper'!E370)</f>
        <v/>
      </c>
      <c r="E370">
        <f>IF('03_Helper'!A370="","",'03_Helper'!D370)</f>
        <v/>
      </c>
      <c r="F370">
        <f>IF('03_Helper'!A370="","",'03_Helper'!H370)</f>
        <v/>
      </c>
      <c r="G370">
        <f>IF('03_Helper'!A370="","",'03_Helper'!X370)</f>
        <v/>
      </c>
      <c r="H370">
        <f>IF('03_Helper'!A370="","",'03_Helper'!Y370)</f>
        <v/>
      </c>
      <c r="I370">
        <f>IF('03_Helper'!A370="","",'03_Helper'!Z370)</f>
        <v/>
      </c>
      <c r="J370">
        <f>IF('03_Helper'!A370="","",'03_Helper'!Q370)</f>
        <v/>
      </c>
      <c r="K370">
        <f>IF('03_Helper'!A370="","",'03_Helper'!R370)</f>
        <v/>
      </c>
      <c r="L370">
        <f>IF('03_Helper'!A370="","",'03_Helper'!S370)</f>
        <v/>
      </c>
      <c r="M370">
        <f>IF('03_Helper'!A370="","",'03_Helper'!T370)</f>
        <v/>
      </c>
      <c r="N370">
        <f>IF('03_Helper'!A370="","",'03_Helper'!AA370)</f>
        <v/>
      </c>
      <c r="O370">
        <f>IF('03_Helper'!A370="","",'03_Helper'!AB370)</f>
        <v/>
      </c>
      <c r="P370">
        <f>IF('03_Helper'!A370="","",'03_Helper'!AC370)</f>
        <v/>
      </c>
      <c r="Q370">
        <f>IF('03_Helper'!A370="","",'03_Helper'!AD370)</f>
        <v/>
      </c>
      <c r="R370">
        <f>IF('03_Helper'!A370="","",'03_Helper'!AI370)</f>
        <v/>
      </c>
      <c r="S370">
        <f>IF('03_Helper'!A370="","",'03_Helper'!AJ370)</f>
        <v/>
      </c>
      <c r="T370">
        <f>IF('03_Helper'!A370="","",'03_Helper'!U370)</f>
        <v/>
      </c>
      <c r="U370">
        <f>IF('03_Helper'!A370="","",'03_Helper'!W370)</f>
        <v/>
      </c>
      <c r="V370">
        <f>IF('03_Helper'!A370="","",'03_Helper'!AG370)</f>
        <v/>
      </c>
      <c r="W370">
        <f>IF('03_Helper'!A370="","",'03_Helper'!AK370)</f>
        <v/>
      </c>
      <c r="X370">
        <f>IF('03_Helper'!A370="","",'03_Helper'!K370)</f>
        <v/>
      </c>
      <c r="Y370">
        <f>IF('03_Helper'!A370="","",'03_Helper'!AN370)</f>
        <v/>
      </c>
    </row>
    <row r="371">
      <c r="A371">
        <f>IF('03_Helper'!A371="","",'03_Helper'!B371)</f>
        <v/>
      </c>
      <c r="B371">
        <f>IF('03_Helper'!A371="","",'03_Helper'!C371)</f>
        <v/>
      </c>
      <c r="C371">
        <f>IF('03_Helper'!A371="","",'03_Helper'!G371)</f>
        <v/>
      </c>
      <c r="D371">
        <f>IF('03_Helper'!A371="","",'03_Helper'!E371)</f>
        <v/>
      </c>
      <c r="E371">
        <f>IF('03_Helper'!A371="","",'03_Helper'!D371)</f>
        <v/>
      </c>
      <c r="F371">
        <f>IF('03_Helper'!A371="","",'03_Helper'!H371)</f>
        <v/>
      </c>
      <c r="G371">
        <f>IF('03_Helper'!A371="","",'03_Helper'!X371)</f>
        <v/>
      </c>
      <c r="H371">
        <f>IF('03_Helper'!A371="","",'03_Helper'!Y371)</f>
        <v/>
      </c>
      <c r="I371">
        <f>IF('03_Helper'!A371="","",'03_Helper'!Z371)</f>
        <v/>
      </c>
      <c r="J371">
        <f>IF('03_Helper'!A371="","",'03_Helper'!Q371)</f>
        <v/>
      </c>
      <c r="K371">
        <f>IF('03_Helper'!A371="","",'03_Helper'!R371)</f>
        <v/>
      </c>
      <c r="L371">
        <f>IF('03_Helper'!A371="","",'03_Helper'!S371)</f>
        <v/>
      </c>
      <c r="M371">
        <f>IF('03_Helper'!A371="","",'03_Helper'!T371)</f>
        <v/>
      </c>
      <c r="N371">
        <f>IF('03_Helper'!A371="","",'03_Helper'!AA371)</f>
        <v/>
      </c>
      <c r="O371">
        <f>IF('03_Helper'!A371="","",'03_Helper'!AB371)</f>
        <v/>
      </c>
      <c r="P371">
        <f>IF('03_Helper'!A371="","",'03_Helper'!AC371)</f>
        <v/>
      </c>
      <c r="Q371">
        <f>IF('03_Helper'!A371="","",'03_Helper'!AD371)</f>
        <v/>
      </c>
      <c r="R371">
        <f>IF('03_Helper'!A371="","",'03_Helper'!AI371)</f>
        <v/>
      </c>
      <c r="S371">
        <f>IF('03_Helper'!A371="","",'03_Helper'!AJ371)</f>
        <v/>
      </c>
      <c r="T371">
        <f>IF('03_Helper'!A371="","",'03_Helper'!U371)</f>
        <v/>
      </c>
      <c r="U371">
        <f>IF('03_Helper'!A371="","",'03_Helper'!W371)</f>
        <v/>
      </c>
      <c r="V371">
        <f>IF('03_Helper'!A371="","",'03_Helper'!AG371)</f>
        <v/>
      </c>
      <c r="W371">
        <f>IF('03_Helper'!A371="","",'03_Helper'!AK371)</f>
        <v/>
      </c>
      <c r="X371">
        <f>IF('03_Helper'!A371="","",'03_Helper'!K371)</f>
        <v/>
      </c>
      <c r="Y371">
        <f>IF('03_Helper'!A371="","",'03_Helper'!AN371)</f>
        <v/>
      </c>
    </row>
    <row r="372">
      <c r="A372">
        <f>IF('03_Helper'!A372="","",'03_Helper'!B372)</f>
        <v/>
      </c>
      <c r="B372">
        <f>IF('03_Helper'!A372="","",'03_Helper'!C372)</f>
        <v/>
      </c>
      <c r="C372">
        <f>IF('03_Helper'!A372="","",'03_Helper'!G372)</f>
        <v/>
      </c>
      <c r="D372">
        <f>IF('03_Helper'!A372="","",'03_Helper'!E372)</f>
        <v/>
      </c>
      <c r="E372">
        <f>IF('03_Helper'!A372="","",'03_Helper'!D372)</f>
        <v/>
      </c>
      <c r="F372">
        <f>IF('03_Helper'!A372="","",'03_Helper'!H372)</f>
        <v/>
      </c>
      <c r="G372">
        <f>IF('03_Helper'!A372="","",'03_Helper'!X372)</f>
        <v/>
      </c>
      <c r="H372">
        <f>IF('03_Helper'!A372="","",'03_Helper'!Y372)</f>
        <v/>
      </c>
      <c r="I372">
        <f>IF('03_Helper'!A372="","",'03_Helper'!Z372)</f>
        <v/>
      </c>
      <c r="J372">
        <f>IF('03_Helper'!A372="","",'03_Helper'!Q372)</f>
        <v/>
      </c>
      <c r="K372">
        <f>IF('03_Helper'!A372="","",'03_Helper'!R372)</f>
        <v/>
      </c>
      <c r="L372">
        <f>IF('03_Helper'!A372="","",'03_Helper'!S372)</f>
        <v/>
      </c>
      <c r="M372">
        <f>IF('03_Helper'!A372="","",'03_Helper'!T372)</f>
        <v/>
      </c>
      <c r="N372">
        <f>IF('03_Helper'!A372="","",'03_Helper'!AA372)</f>
        <v/>
      </c>
      <c r="O372">
        <f>IF('03_Helper'!A372="","",'03_Helper'!AB372)</f>
        <v/>
      </c>
      <c r="P372">
        <f>IF('03_Helper'!A372="","",'03_Helper'!AC372)</f>
        <v/>
      </c>
      <c r="Q372">
        <f>IF('03_Helper'!A372="","",'03_Helper'!AD372)</f>
        <v/>
      </c>
      <c r="R372">
        <f>IF('03_Helper'!A372="","",'03_Helper'!AI372)</f>
        <v/>
      </c>
      <c r="S372">
        <f>IF('03_Helper'!A372="","",'03_Helper'!AJ372)</f>
        <v/>
      </c>
      <c r="T372">
        <f>IF('03_Helper'!A372="","",'03_Helper'!U372)</f>
        <v/>
      </c>
      <c r="U372">
        <f>IF('03_Helper'!A372="","",'03_Helper'!W372)</f>
        <v/>
      </c>
      <c r="V372">
        <f>IF('03_Helper'!A372="","",'03_Helper'!AG372)</f>
        <v/>
      </c>
      <c r="W372">
        <f>IF('03_Helper'!A372="","",'03_Helper'!AK372)</f>
        <v/>
      </c>
      <c r="X372">
        <f>IF('03_Helper'!A372="","",'03_Helper'!K372)</f>
        <v/>
      </c>
      <c r="Y372">
        <f>IF('03_Helper'!A372="","",'03_Helper'!AN372)</f>
        <v/>
      </c>
    </row>
    <row r="373">
      <c r="A373">
        <f>IF('03_Helper'!A373="","",'03_Helper'!B373)</f>
        <v/>
      </c>
      <c r="B373">
        <f>IF('03_Helper'!A373="","",'03_Helper'!C373)</f>
        <v/>
      </c>
      <c r="C373">
        <f>IF('03_Helper'!A373="","",'03_Helper'!G373)</f>
        <v/>
      </c>
      <c r="D373">
        <f>IF('03_Helper'!A373="","",'03_Helper'!E373)</f>
        <v/>
      </c>
      <c r="E373">
        <f>IF('03_Helper'!A373="","",'03_Helper'!D373)</f>
        <v/>
      </c>
      <c r="F373">
        <f>IF('03_Helper'!A373="","",'03_Helper'!H373)</f>
        <v/>
      </c>
      <c r="G373">
        <f>IF('03_Helper'!A373="","",'03_Helper'!X373)</f>
        <v/>
      </c>
      <c r="H373">
        <f>IF('03_Helper'!A373="","",'03_Helper'!Y373)</f>
        <v/>
      </c>
      <c r="I373">
        <f>IF('03_Helper'!A373="","",'03_Helper'!Z373)</f>
        <v/>
      </c>
      <c r="J373">
        <f>IF('03_Helper'!A373="","",'03_Helper'!Q373)</f>
        <v/>
      </c>
      <c r="K373">
        <f>IF('03_Helper'!A373="","",'03_Helper'!R373)</f>
        <v/>
      </c>
      <c r="L373">
        <f>IF('03_Helper'!A373="","",'03_Helper'!S373)</f>
        <v/>
      </c>
      <c r="M373">
        <f>IF('03_Helper'!A373="","",'03_Helper'!T373)</f>
        <v/>
      </c>
      <c r="N373">
        <f>IF('03_Helper'!A373="","",'03_Helper'!AA373)</f>
        <v/>
      </c>
      <c r="O373">
        <f>IF('03_Helper'!A373="","",'03_Helper'!AB373)</f>
        <v/>
      </c>
      <c r="P373">
        <f>IF('03_Helper'!A373="","",'03_Helper'!AC373)</f>
        <v/>
      </c>
      <c r="Q373">
        <f>IF('03_Helper'!A373="","",'03_Helper'!AD373)</f>
        <v/>
      </c>
      <c r="R373">
        <f>IF('03_Helper'!A373="","",'03_Helper'!AI373)</f>
        <v/>
      </c>
      <c r="S373">
        <f>IF('03_Helper'!A373="","",'03_Helper'!AJ373)</f>
        <v/>
      </c>
      <c r="T373">
        <f>IF('03_Helper'!A373="","",'03_Helper'!U373)</f>
        <v/>
      </c>
      <c r="U373">
        <f>IF('03_Helper'!A373="","",'03_Helper'!W373)</f>
        <v/>
      </c>
      <c r="V373">
        <f>IF('03_Helper'!A373="","",'03_Helper'!AG373)</f>
        <v/>
      </c>
      <c r="W373">
        <f>IF('03_Helper'!A373="","",'03_Helper'!AK373)</f>
        <v/>
      </c>
      <c r="X373">
        <f>IF('03_Helper'!A373="","",'03_Helper'!K373)</f>
        <v/>
      </c>
      <c r="Y373">
        <f>IF('03_Helper'!A373="","",'03_Helper'!AN373)</f>
        <v/>
      </c>
    </row>
    <row r="374">
      <c r="A374">
        <f>IF('03_Helper'!A374="","",'03_Helper'!B374)</f>
        <v/>
      </c>
      <c r="B374">
        <f>IF('03_Helper'!A374="","",'03_Helper'!C374)</f>
        <v/>
      </c>
      <c r="C374">
        <f>IF('03_Helper'!A374="","",'03_Helper'!G374)</f>
        <v/>
      </c>
      <c r="D374">
        <f>IF('03_Helper'!A374="","",'03_Helper'!E374)</f>
        <v/>
      </c>
      <c r="E374">
        <f>IF('03_Helper'!A374="","",'03_Helper'!D374)</f>
        <v/>
      </c>
      <c r="F374">
        <f>IF('03_Helper'!A374="","",'03_Helper'!H374)</f>
        <v/>
      </c>
      <c r="G374">
        <f>IF('03_Helper'!A374="","",'03_Helper'!X374)</f>
        <v/>
      </c>
      <c r="H374">
        <f>IF('03_Helper'!A374="","",'03_Helper'!Y374)</f>
        <v/>
      </c>
      <c r="I374">
        <f>IF('03_Helper'!A374="","",'03_Helper'!Z374)</f>
        <v/>
      </c>
      <c r="J374">
        <f>IF('03_Helper'!A374="","",'03_Helper'!Q374)</f>
        <v/>
      </c>
      <c r="K374">
        <f>IF('03_Helper'!A374="","",'03_Helper'!R374)</f>
        <v/>
      </c>
      <c r="L374">
        <f>IF('03_Helper'!A374="","",'03_Helper'!S374)</f>
        <v/>
      </c>
      <c r="M374">
        <f>IF('03_Helper'!A374="","",'03_Helper'!T374)</f>
        <v/>
      </c>
      <c r="N374">
        <f>IF('03_Helper'!A374="","",'03_Helper'!AA374)</f>
        <v/>
      </c>
      <c r="O374">
        <f>IF('03_Helper'!A374="","",'03_Helper'!AB374)</f>
        <v/>
      </c>
      <c r="P374">
        <f>IF('03_Helper'!A374="","",'03_Helper'!AC374)</f>
        <v/>
      </c>
      <c r="Q374">
        <f>IF('03_Helper'!A374="","",'03_Helper'!AD374)</f>
        <v/>
      </c>
      <c r="R374">
        <f>IF('03_Helper'!A374="","",'03_Helper'!AI374)</f>
        <v/>
      </c>
      <c r="S374">
        <f>IF('03_Helper'!A374="","",'03_Helper'!AJ374)</f>
        <v/>
      </c>
      <c r="T374">
        <f>IF('03_Helper'!A374="","",'03_Helper'!U374)</f>
        <v/>
      </c>
      <c r="U374">
        <f>IF('03_Helper'!A374="","",'03_Helper'!W374)</f>
        <v/>
      </c>
      <c r="V374">
        <f>IF('03_Helper'!A374="","",'03_Helper'!AG374)</f>
        <v/>
      </c>
      <c r="W374">
        <f>IF('03_Helper'!A374="","",'03_Helper'!AK374)</f>
        <v/>
      </c>
      <c r="X374">
        <f>IF('03_Helper'!A374="","",'03_Helper'!K374)</f>
        <v/>
      </c>
      <c r="Y374">
        <f>IF('03_Helper'!A374="","",'03_Helper'!AN374)</f>
        <v/>
      </c>
    </row>
    <row r="375">
      <c r="A375">
        <f>IF('03_Helper'!A375="","",'03_Helper'!B375)</f>
        <v/>
      </c>
      <c r="B375">
        <f>IF('03_Helper'!A375="","",'03_Helper'!C375)</f>
        <v/>
      </c>
      <c r="C375">
        <f>IF('03_Helper'!A375="","",'03_Helper'!G375)</f>
        <v/>
      </c>
      <c r="D375">
        <f>IF('03_Helper'!A375="","",'03_Helper'!E375)</f>
        <v/>
      </c>
      <c r="E375">
        <f>IF('03_Helper'!A375="","",'03_Helper'!D375)</f>
        <v/>
      </c>
      <c r="F375">
        <f>IF('03_Helper'!A375="","",'03_Helper'!H375)</f>
        <v/>
      </c>
      <c r="G375">
        <f>IF('03_Helper'!A375="","",'03_Helper'!X375)</f>
        <v/>
      </c>
      <c r="H375">
        <f>IF('03_Helper'!A375="","",'03_Helper'!Y375)</f>
        <v/>
      </c>
      <c r="I375">
        <f>IF('03_Helper'!A375="","",'03_Helper'!Z375)</f>
        <v/>
      </c>
      <c r="J375">
        <f>IF('03_Helper'!A375="","",'03_Helper'!Q375)</f>
        <v/>
      </c>
      <c r="K375">
        <f>IF('03_Helper'!A375="","",'03_Helper'!R375)</f>
        <v/>
      </c>
      <c r="L375">
        <f>IF('03_Helper'!A375="","",'03_Helper'!S375)</f>
        <v/>
      </c>
      <c r="M375">
        <f>IF('03_Helper'!A375="","",'03_Helper'!T375)</f>
        <v/>
      </c>
      <c r="N375">
        <f>IF('03_Helper'!A375="","",'03_Helper'!AA375)</f>
        <v/>
      </c>
      <c r="O375">
        <f>IF('03_Helper'!A375="","",'03_Helper'!AB375)</f>
        <v/>
      </c>
      <c r="P375">
        <f>IF('03_Helper'!A375="","",'03_Helper'!AC375)</f>
        <v/>
      </c>
      <c r="Q375">
        <f>IF('03_Helper'!A375="","",'03_Helper'!AD375)</f>
        <v/>
      </c>
      <c r="R375">
        <f>IF('03_Helper'!A375="","",'03_Helper'!AI375)</f>
        <v/>
      </c>
      <c r="S375">
        <f>IF('03_Helper'!A375="","",'03_Helper'!AJ375)</f>
        <v/>
      </c>
      <c r="T375">
        <f>IF('03_Helper'!A375="","",'03_Helper'!U375)</f>
        <v/>
      </c>
      <c r="U375">
        <f>IF('03_Helper'!A375="","",'03_Helper'!W375)</f>
        <v/>
      </c>
      <c r="V375">
        <f>IF('03_Helper'!A375="","",'03_Helper'!AG375)</f>
        <v/>
      </c>
      <c r="W375">
        <f>IF('03_Helper'!A375="","",'03_Helper'!AK375)</f>
        <v/>
      </c>
      <c r="X375">
        <f>IF('03_Helper'!A375="","",'03_Helper'!K375)</f>
        <v/>
      </c>
      <c r="Y375">
        <f>IF('03_Helper'!A375="","",'03_Helper'!AN375)</f>
        <v/>
      </c>
    </row>
    <row r="376">
      <c r="A376">
        <f>IF('03_Helper'!A376="","",'03_Helper'!B376)</f>
        <v/>
      </c>
      <c r="B376">
        <f>IF('03_Helper'!A376="","",'03_Helper'!C376)</f>
        <v/>
      </c>
      <c r="C376">
        <f>IF('03_Helper'!A376="","",'03_Helper'!G376)</f>
        <v/>
      </c>
      <c r="D376">
        <f>IF('03_Helper'!A376="","",'03_Helper'!E376)</f>
        <v/>
      </c>
      <c r="E376">
        <f>IF('03_Helper'!A376="","",'03_Helper'!D376)</f>
        <v/>
      </c>
      <c r="F376">
        <f>IF('03_Helper'!A376="","",'03_Helper'!H376)</f>
        <v/>
      </c>
      <c r="G376">
        <f>IF('03_Helper'!A376="","",'03_Helper'!X376)</f>
        <v/>
      </c>
      <c r="H376">
        <f>IF('03_Helper'!A376="","",'03_Helper'!Y376)</f>
        <v/>
      </c>
      <c r="I376">
        <f>IF('03_Helper'!A376="","",'03_Helper'!Z376)</f>
        <v/>
      </c>
      <c r="J376">
        <f>IF('03_Helper'!A376="","",'03_Helper'!Q376)</f>
        <v/>
      </c>
      <c r="K376">
        <f>IF('03_Helper'!A376="","",'03_Helper'!R376)</f>
        <v/>
      </c>
      <c r="L376">
        <f>IF('03_Helper'!A376="","",'03_Helper'!S376)</f>
        <v/>
      </c>
      <c r="M376">
        <f>IF('03_Helper'!A376="","",'03_Helper'!T376)</f>
        <v/>
      </c>
      <c r="N376">
        <f>IF('03_Helper'!A376="","",'03_Helper'!AA376)</f>
        <v/>
      </c>
      <c r="O376">
        <f>IF('03_Helper'!A376="","",'03_Helper'!AB376)</f>
        <v/>
      </c>
      <c r="P376">
        <f>IF('03_Helper'!A376="","",'03_Helper'!AC376)</f>
        <v/>
      </c>
      <c r="Q376">
        <f>IF('03_Helper'!A376="","",'03_Helper'!AD376)</f>
        <v/>
      </c>
      <c r="R376">
        <f>IF('03_Helper'!A376="","",'03_Helper'!AI376)</f>
        <v/>
      </c>
      <c r="S376">
        <f>IF('03_Helper'!A376="","",'03_Helper'!AJ376)</f>
        <v/>
      </c>
      <c r="T376">
        <f>IF('03_Helper'!A376="","",'03_Helper'!U376)</f>
        <v/>
      </c>
      <c r="U376">
        <f>IF('03_Helper'!A376="","",'03_Helper'!W376)</f>
        <v/>
      </c>
      <c r="V376">
        <f>IF('03_Helper'!A376="","",'03_Helper'!AG376)</f>
        <v/>
      </c>
      <c r="W376">
        <f>IF('03_Helper'!A376="","",'03_Helper'!AK376)</f>
        <v/>
      </c>
      <c r="X376">
        <f>IF('03_Helper'!A376="","",'03_Helper'!K376)</f>
        <v/>
      </c>
      <c r="Y376">
        <f>IF('03_Helper'!A376="","",'03_Helper'!AN376)</f>
        <v/>
      </c>
    </row>
    <row r="377">
      <c r="A377">
        <f>IF('03_Helper'!A377="","",'03_Helper'!B377)</f>
        <v/>
      </c>
      <c r="B377">
        <f>IF('03_Helper'!A377="","",'03_Helper'!C377)</f>
        <v/>
      </c>
      <c r="C377">
        <f>IF('03_Helper'!A377="","",'03_Helper'!G377)</f>
        <v/>
      </c>
      <c r="D377">
        <f>IF('03_Helper'!A377="","",'03_Helper'!E377)</f>
        <v/>
      </c>
      <c r="E377">
        <f>IF('03_Helper'!A377="","",'03_Helper'!D377)</f>
        <v/>
      </c>
      <c r="F377">
        <f>IF('03_Helper'!A377="","",'03_Helper'!H377)</f>
        <v/>
      </c>
      <c r="G377">
        <f>IF('03_Helper'!A377="","",'03_Helper'!X377)</f>
        <v/>
      </c>
      <c r="H377">
        <f>IF('03_Helper'!A377="","",'03_Helper'!Y377)</f>
        <v/>
      </c>
      <c r="I377">
        <f>IF('03_Helper'!A377="","",'03_Helper'!Z377)</f>
        <v/>
      </c>
      <c r="J377">
        <f>IF('03_Helper'!A377="","",'03_Helper'!Q377)</f>
        <v/>
      </c>
      <c r="K377">
        <f>IF('03_Helper'!A377="","",'03_Helper'!R377)</f>
        <v/>
      </c>
      <c r="L377">
        <f>IF('03_Helper'!A377="","",'03_Helper'!S377)</f>
        <v/>
      </c>
      <c r="M377">
        <f>IF('03_Helper'!A377="","",'03_Helper'!T377)</f>
        <v/>
      </c>
      <c r="N377">
        <f>IF('03_Helper'!A377="","",'03_Helper'!AA377)</f>
        <v/>
      </c>
      <c r="O377">
        <f>IF('03_Helper'!A377="","",'03_Helper'!AB377)</f>
        <v/>
      </c>
      <c r="P377">
        <f>IF('03_Helper'!A377="","",'03_Helper'!AC377)</f>
        <v/>
      </c>
      <c r="Q377">
        <f>IF('03_Helper'!A377="","",'03_Helper'!AD377)</f>
        <v/>
      </c>
      <c r="R377">
        <f>IF('03_Helper'!A377="","",'03_Helper'!AI377)</f>
        <v/>
      </c>
      <c r="S377">
        <f>IF('03_Helper'!A377="","",'03_Helper'!AJ377)</f>
        <v/>
      </c>
      <c r="T377">
        <f>IF('03_Helper'!A377="","",'03_Helper'!U377)</f>
        <v/>
      </c>
      <c r="U377">
        <f>IF('03_Helper'!A377="","",'03_Helper'!W377)</f>
        <v/>
      </c>
      <c r="V377">
        <f>IF('03_Helper'!A377="","",'03_Helper'!AG377)</f>
        <v/>
      </c>
      <c r="W377">
        <f>IF('03_Helper'!A377="","",'03_Helper'!AK377)</f>
        <v/>
      </c>
      <c r="X377">
        <f>IF('03_Helper'!A377="","",'03_Helper'!K377)</f>
        <v/>
      </c>
      <c r="Y377">
        <f>IF('03_Helper'!A377="","",'03_Helper'!AN377)</f>
        <v/>
      </c>
    </row>
    <row r="378">
      <c r="A378">
        <f>IF('03_Helper'!A378="","",'03_Helper'!B378)</f>
        <v/>
      </c>
      <c r="B378">
        <f>IF('03_Helper'!A378="","",'03_Helper'!C378)</f>
        <v/>
      </c>
      <c r="C378">
        <f>IF('03_Helper'!A378="","",'03_Helper'!G378)</f>
        <v/>
      </c>
      <c r="D378">
        <f>IF('03_Helper'!A378="","",'03_Helper'!E378)</f>
        <v/>
      </c>
      <c r="E378">
        <f>IF('03_Helper'!A378="","",'03_Helper'!D378)</f>
        <v/>
      </c>
      <c r="F378">
        <f>IF('03_Helper'!A378="","",'03_Helper'!H378)</f>
        <v/>
      </c>
      <c r="G378">
        <f>IF('03_Helper'!A378="","",'03_Helper'!X378)</f>
        <v/>
      </c>
      <c r="H378">
        <f>IF('03_Helper'!A378="","",'03_Helper'!Y378)</f>
        <v/>
      </c>
      <c r="I378">
        <f>IF('03_Helper'!A378="","",'03_Helper'!Z378)</f>
        <v/>
      </c>
      <c r="J378">
        <f>IF('03_Helper'!A378="","",'03_Helper'!Q378)</f>
        <v/>
      </c>
      <c r="K378">
        <f>IF('03_Helper'!A378="","",'03_Helper'!R378)</f>
        <v/>
      </c>
      <c r="L378">
        <f>IF('03_Helper'!A378="","",'03_Helper'!S378)</f>
        <v/>
      </c>
      <c r="M378">
        <f>IF('03_Helper'!A378="","",'03_Helper'!T378)</f>
        <v/>
      </c>
      <c r="N378">
        <f>IF('03_Helper'!A378="","",'03_Helper'!AA378)</f>
        <v/>
      </c>
      <c r="O378">
        <f>IF('03_Helper'!A378="","",'03_Helper'!AB378)</f>
        <v/>
      </c>
      <c r="P378">
        <f>IF('03_Helper'!A378="","",'03_Helper'!AC378)</f>
        <v/>
      </c>
      <c r="Q378">
        <f>IF('03_Helper'!A378="","",'03_Helper'!AD378)</f>
        <v/>
      </c>
      <c r="R378">
        <f>IF('03_Helper'!A378="","",'03_Helper'!AI378)</f>
        <v/>
      </c>
      <c r="S378">
        <f>IF('03_Helper'!A378="","",'03_Helper'!AJ378)</f>
        <v/>
      </c>
      <c r="T378">
        <f>IF('03_Helper'!A378="","",'03_Helper'!U378)</f>
        <v/>
      </c>
      <c r="U378">
        <f>IF('03_Helper'!A378="","",'03_Helper'!W378)</f>
        <v/>
      </c>
      <c r="V378">
        <f>IF('03_Helper'!A378="","",'03_Helper'!AG378)</f>
        <v/>
      </c>
      <c r="W378">
        <f>IF('03_Helper'!A378="","",'03_Helper'!AK378)</f>
        <v/>
      </c>
      <c r="X378">
        <f>IF('03_Helper'!A378="","",'03_Helper'!K378)</f>
        <v/>
      </c>
      <c r="Y378">
        <f>IF('03_Helper'!A378="","",'03_Helper'!AN378)</f>
        <v/>
      </c>
    </row>
    <row r="379">
      <c r="A379">
        <f>IF('03_Helper'!A379="","",'03_Helper'!B379)</f>
        <v/>
      </c>
      <c r="B379">
        <f>IF('03_Helper'!A379="","",'03_Helper'!C379)</f>
        <v/>
      </c>
      <c r="C379">
        <f>IF('03_Helper'!A379="","",'03_Helper'!G379)</f>
        <v/>
      </c>
      <c r="D379">
        <f>IF('03_Helper'!A379="","",'03_Helper'!E379)</f>
        <v/>
      </c>
      <c r="E379">
        <f>IF('03_Helper'!A379="","",'03_Helper'!D379)</f>
        <v/>
      </c>
      <c r="F379">
        <f>IF('03_Helper'!A379="","",'03_Helper'!H379)</f>
        <v/>
      </c>
      <c r="G379">
        <f>IF('03_Helper'!A379="","",'03_Helper'!X379)</f>
        <v/>
      </c>
      <c r="H379">
        <f>IF('03_Helper'!A379="","",'03_Helper'!Y379)</f>
        <v/>
      </c>
      <c r="I379">
        <f>IF('03_Helper'!A379="","",'03_Helper'!Z379)</f>
        <v/>
      </c>
      <c r="J379">
        <f>IF('03_Helper'!A379="","",'03_Helper'!Q379)</f>
        <v/>
      </c>
      <c r="K379">
        <f>IF('03_Helper'!A379="","",'03_Helper'!R379)</f>
        <v/>
      </c>
      <c r="L379">
        <f>IF('03_Helper'!A379="","",'03_Helper'!S379)</f>
        <v/>
      </c>
      <c r="M379">
        <f>IF('03_Helper'!A379="","",'03_Helper'!T379)</f>
        <v/>
      </c>
      <c r="N379">
        <f>IF('03_Helper'!A379="","",'03_Helper'!AA379)</f>
        <v/>
      </c>
      <c r="O379">
        <f>IF('03_Helper'!A379="","",'03_Helper'!AB379)</f>
        <v/>
      </c>
      <c r="P379">
        <f>IF('03_Helper'!A379="","",'03_Helper'!AC379)</f>
        <v/>
      </c>
      <c r="Q379">
        <f>IF('03_Helper'!A379="","",'03_Helper'!AD379)</f>
        <v/>
      </c>
      <c r="R379">
        <f>IF('03_Helper'!A379="","",'03_Helper'!AI379)</f>
        <v/>
      </c>
      <c r="S379">
        <f>IF('03_Helper'!A379="","",'03_Helper'!AJ379)</f>
        <v/>
      </c>
      <c r="T379">
        <f>IF('03_Helper'!A379="","",'03_Helper'!U379)</f>
        <v/>
      </c>
      <c r="U379">
        <f>IF('03_Helper'!A379="","",'03_Helper'!W379)</f>
        <v/>
      </c>
      <c r="V379">
        <f>IF('03_Helper'!A379="","",'03_Helper'!AG379)</f>
        <v/>
      </c>
      <c r="W379">
        <f>IF('03_Helper'!A379="","",'03_Helper'!AK379)</f>
        <v/>
      </c>
      <c r="X379">
        <f>IF('03_Helper'!A379="","",'03_Helper'!K379)</f>
        <v/>
      </c>
      <c r="Y379">
        <f>IF('03_Helper'!A379="","",'03_Helper'!AN379)</f>
        <v/>
      </c>
    </row>
    <row r="380">
      <c r="A380">
        <f>IF('03_Helper'!A380="","",'03_Helper'!B380)</f>
        <v/>
      </c>
      <c r="B380">
        <f>IF('03_Helper'!A380="","",'03_Helper'!C380)</f>
        <v/>
      </c>
      <c r="C380">
        <f>IF('03_Helper'!A380="","",'03_Helper'!G380)</f>
        <v/>
      </c>
      <c r="D380">
        <f>IF('03_Helper'!A380="","",'03_Helper'!E380)</f>
        <v/>
      </c>
      <c r="E380">
        <f>IF('03_Helper'!A380="","",'03_Helper'!D380)</f>
        <v/>
      </c>
      <c r="F380">
        <f>IF('03_Helper'!A380="","",'03_Helper'!H380)</f>
        <v/>
      </c>
      <c r="G380">
        <f>IF('03_Helper'!A380="","",'03_Helper'!X380)</f>
        <v/>
      </c>
      <c r="H380">
        <f>IF('03_Helper'!A380="","",'03_Helper'!Y380)</f>
        <v/>
      </c>
      <c r="I380">
        <f>IF('03_Helper'!A380="","",'03_Helper'!Z380)</f>
        <v/>
      </c>
      <c r="J380">
        <f>IF('03_Helper'!A380="","",'03_Helper'!Q380)</f>
        <v/>
      </c>
      <c r="K380">
        <f>IF('03_Helper'!A380="","",'03_Helper'!R380)</f>
        <v/>
      </c>
      <c r="L380">
        <f>IF('03_Helper'!A380="","",'03_Helper'!S380)</f>
        <v/>
      </c>
      <c r="M380">
        <f>IF('03_Helper'!A380="","",'03_Helper'!T380)</f>
        <v/>
      </c>
      <c r="N380">
        <f>IF('03_Helper'!A380="","",'03_Helper'!AA380)</f>
        <v/>
      </c>
      <c r="O380">
        <f>IF('03_Helper'!A380="","",'03_Helper'!AB380)</f>
        <v/>
      </c>
      <c r="P380">
        <f>IF('03_Helper'!A380="","",'03_Helper'!AC380)</f>
        <v/>
      </c>
      <c r="Q380">
        <f>IF('03_Helper'!A380="","",'03_Helper'!AD380)</f>
        <v/>
      </c>
      <c r="R380">
        <f>IF('03_Helper'!A380="","",'03_Helper'!AI380)</f>
        <v/>
      </c>
      <c r="S380">
        <f>IF('03_Helper'!A380="","",'03_Helper'!AJ380)</f>
        <v/>
      </c>
      <c r="T380">
        <f>IF('03_Helper'!A380="","",'03_Helper'!U380)</f>
        <v/>
      </c>
      <c r="U380">
        <f>IF('03_Helper'!A380="","",'03_Helper'!W380)</f>
        <v/>
      </c>
      <c r="V380">
        <f>IF('03_Helper'!A380="","",'03_Helper'!AG380)</f>
        <v/>
      </c>
      <c r="W380">
        <f>IF('03_Helper'!A380="","",'03_Helper'!AK380)</f>
        <v/>
      </c>
      <c r="X380">
        <f>IF('03_Helper'!A380="","",'03_Helper'!K380)</f>
        <v/>
      </c>
      <c r="Y380">
        <f>IF('03_Helper'!A380="","",'03_Helper'!AN380)</f>
        <v/>
      </c>
    </row>
    <row r="381">
      <c r="A381">
        <f>IF('03_Helper'!A381="","",'03_Helper'!B381)</f>
        <v/>
      </c>
      <c r="B381">
        <f>IF('03_Helper'!A381="","",'03_Helper'!C381)</f>
        <v/>
      </c>
      <c r="C381">
        <f>IF('03_Helper'!A381="","",'03_Helper'!G381)</f>
        <v/>
      </c>
      <c r="D381">
        <f>IF('03_Helper'!A381="","",'03_Helper'!E381)</f>
        <v/>
      </c>
      <c r="E381">
        <f>IF('03_Helper'!A381="","",'03_Helper'!D381)</f>
        <v/>
      </c>
      <c r="F381">
        <f>IF('03_Helper'!A381="","",'03_Helper'!H381)</f>
        <v/>
      </c>
      <c r="G381">
        <f>IF('03_Helper'!A381="","",'03_Helper'!X381)</f>
        <v/>
      </c>
      <c r="H381">
        <f>IF('03_Helper'!A381="","",'03_Helper'!Y381)</f>
        <v/>
      </c>
      <c r="I381">
        <f>IF('03_Helper'!A381="","",'03_Helper'!Z381)</f>
        <v/>
      </c>
      <c r="J381">
        <f>IF('03_Helper'!A381="","",'03_Helper'!Q381)</f>
        <v/>
      </c>
      <c r="K381">
        <f>IF('03_Helper'!A381="","",'03_Helper'!R381)</f>
        <v/>
      </c>
      <c r="L381">
        <f>IF('03_Helper'!A381="","",'03_Helper'!S381)</f>
        <v/>
      </c>
      <c r="M381">
        <f>IF('03_Helper'!A381="","",'03_Helper'!T381)</f>
        <v/>
      </c>
      <c r="N381">
        <f>IF('03_Helper'!A381="","",'03_Helper'!AA381)</f>
        <v/>
      </c>
      <c r="O381">
        <f>IF('03_Helper'!A381="","",'03_Helper'!AB381)</f>
        <v/>
      </c>
      <c r="P381">
        <f>IF('03_Helper'!A381="","",'03_Helper'!AC381)</f>
        <v/>
      </c>
      <c r="Q381">
        <f>IF('03_Helper'!A381="","",'03_Helper'!AD381)</f>
        <v/>
      </c>
      <c r="R381">
        <f>IF('03_Helper'!A381="","",'03_Helper'!AI381)</f>
        <v/>
      </c>
      <c r="S381">
        <f>IF('03_Helper'!A381="","",'03_Helper'!AJ381)</f>
        <v/>
      </c>
      <c r="T381">
        <f>IF('03_Helper'!A381="","",'03_Helper'!U381)</f>
        <v/>
      </c>
      <c r="U381">
        <f>IF('03_Helper'!A381="","",'03_Helper'!W381)</f>
        <v/>
      </c>
      <c r="V381">
        <f>IF('03_Helper'!A381="","",'03_Helper'!AG381)</f>
        <v/>
      </c>
      <c r="W381">
        <f>IF('03_Helper'!A381="","",'03_Helper'!AK381)</f>
        <v/>
      </c>
      <c r="X381">
        <f>IF('03_Helper'!A381="","",'03_Helper'!K381)</f>
        <v/>
      </c>
      <c r="Y381">
        <f>IF('03_Helper'!A381="","",'03_Helper'!AN381)</f>
        <v/>
      </c>
    </row>
    <row r="382">
      <c r="A382">
        <f>IF('03_Helper'!A382="","",'03_Helper'!B382)</f>
        <v/>
      </c>
      <c r="B382">
        <f>IF('03_Helper'!A382="","",'03_Helper'!C382)</f>
        <v/>
      </c>
      <c r="C382">
        <f>IF('03_Helper'!A382="","",'03_Helper'!G382)</f>
        <v/>
      </c>
      <c r="D382">
        <f>IF('03_Helper'!A382="","",'03_Helper'!E382)</f>
        <v/>
      </c>
      <c r="E382">
        <f>IF('03_Helper'!A382="","",'03_Helper'!D382)</f>
        <v/>
      </c>
      <c r="F382">
        <f>IF('03_Helper'!A382="","",'03_Helper'!H382)</f>
        <v/>
      </c>
      <c r="G382">
        <f>IF('03_Helper'!A382="","",'03_Helper'!X382)</f>
        <v/>
      </c>
      <c r="H382">
        <f>IF('03_Helper'!A382="","",'03_Helper'!Y382)</f>
        <v/>
      </c>
      <c r="I382">
        <f>IF('03_Helper'!A382="","",'03_Helper'!Z382)</f>
        <v/>
      </c>
      <c r="J382">
        <f>IF('03_Helper'!A382="","",'03_Helper'!Q382)</f>
        <v/>
      </c>
      <c r="K382">
        <f>IF('03_Helper'!A382="","",'03_Helper'!R382)</f>
        <v/>
      </c>
      <c r="L382">
        <f>IF('03_Helper'!A382="","",'03_Helper'!S382)</f>
        <v/>
      </c>
      <c r="M382">
        <f>IF('03_Helper'!A382="","",'03_Helper'!T382)</f>
        <v/>
      </c>
      <c r="N382">
        <f>IF('03_Helper'!A382="","",'03_Helper'!AA382)</f>
        <v/>
      </c>
      <c r="O382">
        <f>IF('03_Helper'!A382="","",'03_Helper'!AB382)</f>
        <v/>
      </c>
      <c r="P382">
        <f>IF('03_Helper'!A382="","",'03_Helper'!AC382)</f>
        <v/>
      </c>
      <c r="Q382">
        <f>IF('03_Helper'!A382="","",'03_Helper'!AD382)</f>
        <v/>
      </c>
      <c r="R382">
        <f>IF('03_Helper'!A382="","",'03_Helper'!AI382)</f>
        <v/>
      </c>
      <c r="S382">
        <f>IF('03_Helper'!A382="","",'03_Helper'!AJ382)</f>
        <v/>
      </c>
      <c r="T382">
        <f>IF('03_Helper'!A382="","",'03_Helper'!U382)</f>
        <v/>
      </c>
      <c r="U382">
        <f>IF('03_Helper'!A382="","",'03_Helper'!W382)</f>
        <v/>
      </c>
      <c r="V382">
        <f>IF('03_Helper'!A382="","",'03_Helper'!AG382)</f>
        <v/>
      </c>
      <c r="W382">
        <f>IF('03_Helper'!A382="","",'03_Helper'!AK382)</f>
        <v/>
      </c>
      <c r="X382">
        <f>IF('03_Helper'!A382="","",'03_Helper'!K382)</f>
        <v/>
      </c>
      <c r="Y382">
        <f>IF('03_Helper'!A382="","",'03_Helper'!AN382)</f>
        <v/>
      </c>
    </row>
    <row r="383">
      <c r="A383">
        <f>IF('03_Helper'!A383="","",'03_Helper'!B383)</f>
        <v/>
      </c>
      <c r="B383">
        <f>IF('03_Helper'!A383="","",'03_Helper'!C383)</f>
        <v/>
      </c>
      <c r="C383">
        <f>IF('03_Helper'!A383="","",'03_Helper'!G383)</f>
        <v/>
      </c>
      <c r="D383">
        <f>IF('03_Helper'!A383="","",'03_Helper'!E383)</f>
        <v/>
      </c>
      <c r="E383">
        <f>IF('03_Helper'!A383="","",'03_Helper'!D383)</f>
        <v/>
      </c>
      <c r="F383">
        <f>IF('03_Helper'!A383="","",'03_Helper'!H383)</f>
        <v/>
      </c>
      <c r="G383">
        <f>IF('03_Helper'!A383="","",'03_Helper'!X383)</f>
        <v/>
      </c>
      <c r="H383">
        <f>IF('03_Helper'!A383="","",'03_Helper'!Y383)</f>
        <v/>
      </c>
      <c r="I383">
        <f>IF('03_Helper'!A383="","",'03_Helper'!Z383)</f>
        <v/>
      </c>
      <c r="J383">
        <f>IF('03_Helper'!A383="","",'03_Helper'!Q383)</f>
        <v/>
      </c>
      <c r="K383">
        <f>IF('03_Helper'!A383="","",'03_Helper'!R383)</f>
        <v/>
      </c>
      <c r="L383">
        <f>IF('03_Helper'!A383="","",'03_Helper'!S383)</f>
        <v/>
      </c>
      <c r="M383">
        <f>IF('03_Helper'!A383="","",'03_Helper'!T383)</f>
        <v/>
      </c>
      <c r="N383">
        <f>IF('03_Helper'!A383="","",'03_Helper'!AA383)</f>
        <v/>
      </c>
      <c r="O383">
        <f>IF('03_Helper'!A383="","",'03_Helper'!AB383)</f>
        <v/>
      </c>
      <c r="P383">
        <f>IF('03_Helper'!A383="","",'03_Helper'!AC383)</f>
        <v/>
      </c>
      <c r="Q383">
        <f>IF('03_Helper'!A383="","",'03_Helper'!AD383)</f>
        <v/>
      </c>
      <c r="R383">
        <f>IF('03_Helper'!A383="","",'03_Helper'!AI383)</f>
        <v/>
      </c>
      <c r="S383">
        <f>IF('03_Helper'!A383="","",'03_Helper'!AJ383)</f>
        <v/>
      </c>
      <c r="T383">
        <f>IF('03_Helper'!A383="","",'03_Helper'!U383)</f>
        <v/>
      </c>
      <c r="U383">
        <f>IF('03_Helper'!A383="","",'03_Helper'!W383)</f>
        <v/>
      </c>
      <c r="V383">
        <f>IF('03_Helper'!A383="","",'03_Helper'!AG383)</f>
        <v/>
      </c>
      <c r="W383">
        <f>IF('03_Helper'!A383="","",'03_Helper'!AK383)</f>
        <v/>
      </c>
      <c r="X383">
        <f>IF('03_Helper'!A383="","",'03_Helper'!K383)</f>
        <v/>
      </c>
      <c r="Y383">
        <f>IF('03_Helper'!A383="","",'03_Helper'!AN383)</f>
        <v/>
      </c>
    </row>
    <row r="384">
      <c r="A384">
        <f>IF('03_Helper'!A384="","",'03_Helper'!B384)</f>
        <v/>
      </c>
      <c r="B384">
        <f>IF('03_Helper'!A384="","",'03_Helper'!C384)</f>
        <v/>
      </c>
      <c r="C384">
        <f>IF('03_Helper'!A384="","",'03_Helper'!G384)</f>
        <v/>
      </c>
      <c r="D384">
        <f>IF('03_Helper'!A384="","",'03_Helper'!E384)</f>
        <v/>
      </c>
      <c r="E384">
        <f>IF('03_Helper'!A384="","",'03_Helper'!D384)</f>
        <v/>
      </c>
      <c r="F384">
        <f>IF('03_Helper'!A384="","",'03_Helper'!H384)</f>
        <v/>
      </c>
      <c r="G384">
        <f>IF('03_Helper'!A384="","",'03_Helper'!X384)</f>
        <v/>
      </c>
      <c r="H384">
        <f>IF('03_Helper'!A384="","",'03_Helper'!Y384)</f>
        <v/>
      </c>
      <c r="I384">
        <f>IF('03_Helper'!A384="","",'03_Helper'!Z384)</f>
        <v/>
      </c>
      <c r="J384">
        <f>IF('03_Helper'!A384="","",'03_Helper'!Q384)</f>
        <v/>
      </c>
      <c r="K384">
        <f>IF('03_Helper'!A384="","",'03_Helper'!R384)</f>
        <v/>
      </c>
      <c r="L384">
        <f>IF('03_Helper'!A384="","",'03_Helper'!S384)</f>
        <v/>
      </c>
      <c r="M384">
        <f>IF('03_Helper'!A384="","",'03_Helper'!T384)</f>
        <v/>
      </c>
      <c r="N384">
        <f>IF('03_Helper'!A384="","",'03_Helper'!AA384)</f>
        <v/>
      </c>
      <c r="O384">
        <f>IF('03_Helper'!A384="","",'03_Helper'!AB384)</f>
        <v/>
      </c>
      <c r="P384">
        <f>IF('03_Helper'!A384="","",'03_Helper'!AC384)</f>
        <v/>
      </c>
      <c r="Q384">
        <f>IF('03_Helper'!A384="","",'03_Helper'!AD384)</f>
        <v/>
      </c>
      <c r="R384">
        <f>IF('03_Helper'!A384="","",'03_Helper'!AI384)</f>
        <v/>
      </c>
      <c r="S384">
        <f>IF('03_Helper'!A384="","",'03_Helper'!AJ384)</f>
        <v/>
      </c>
      <c r="T384">
        <f>IF('03_Helper'!A384="","",'03_Helper'!U384)</f>
        <v/>
      </c>
      <c r="U384">
        <f>IF('03_Helper'!A384="","",'03_Helper'!W384)</f>
        <v/>
      </c>
      <c r="V384">
        <f>IF('03_Helper'!A384="","",'03_Helper'!AG384)</f>
        <v/>
      </c>
      <c r="W384">
        <f>IF('03_Helper'!A384="","",'03_Helper'!AK384)</f>
        <v/>
      </c>
      <c r="X384">
        <f>IF('03_Helper'!A384="","",'03_Helper'!K384)</f>
        <v/>
      </c>
      <c r="Y384">
        <f>IF('03_Helper'!A384="","",'03_Helper'!AN384)</f>
        <v/>
      </c>
    </row>
    <row r="385">
      <c r="A385">
        <f>IF('03_Helper'!A385="","",'03_Helper'!B385)</f>
        <v/>
      </c>
      <c r="B385">
        <f>IF('03_Helper'!A385="","",'03_Helper'!C385)</f>
        <v/>
      </c>
      <c r="C385">
        <f>IF('03_Helper'!A385="","",'03_Helper'!G385)</f>
        <v/>
      </c>
      <c r="D385">
        <f>IF('03_Helper'!A385="","",'03_Helper'!E385)</f>
        <v/>
      </c>
      <c r="E385">
        <f>IF('03_Helper'!A385="","",'03_Helper'!D385)</f>
        <v/>
      </c>
      <c r="F385">
        <f>IF('03_Helper'!A385="","",'03_Helper'!H385)</f>
        <v/>
      </c>
      <c r="G385">
        <f>IF('03_Helper'!A385="","",'03_Helper'!X385)</f>
        <v/>
      </c>
      <c r="H385">
        <f>IF('03_Helper'!A385="","",'03_Helper'!Y385)</f>
        <v/>
      </c>
      <c r="I385">
        <f>IF('03_Helper'!A385="","",'03_Helper'!Z385)</f>
        <v/>
      </c>
      <c r="J385">
        <f>IF('03_Helper'!A385="","",'03_Helper'!Q385)</f>
        <v/>
      </c>
      <c r="K385">
        <f>IF('03_Helper'!A385="","",'03_Helper'!R385)</f>
        <v/>
      </c>
      <c r="L385">
        <f>IF('03_Helper'!A385="","",'03_Helper'!S385)</f>
        <v/>
      </c>
      <c r="M385">
        <f>IF('03_Helper'!A385="","",'03_Helper'!T385)</f>
        <v/>
      </c>
      <c r="N385">
        <f>IF('03_Helper'!A385="","",'03_Helper'!AA385)</f>
        <v/>
      </c>
      <c r="O385">
        <f>IF('03_Helper'!A385="","",'03_Helper'!AB385)</f>
        <v/>
      </c>
      <c r="P385">
        <f>IF('03_Helper'!A385="","",'03_Helper'!AC385)</f>
        <v/>
      </c>
      <c r="Q385">
        <f>IF('03_Helper'!A385="","",'03_Helper'!AD385)</f>
        <v/>
      </c>
      <c r="R385">
        <f>IF('03_Helper'!A385="","",'03_Helper'!AI385)</f>
        <v/>
      </c>
      <c r="S385">
        <f>IF('03_Helper'!A385="","",'03_Helper'!AJ385)</f>
        <v/>
      </c>
      <c r="T385">
        <f>IF('03_Helper'!A385="","",'03_Helper'!U385)</f>
        <v/>
      </c>
      <c r="U385">
        <f>IF('03_Helper'!A385="","",'03_Helper'!W385)</f>
        <v/>
      </c>
      <c r="V385">
        <f>IF('03_Helper'!A385="","",'03_Helper'!AG385)</f>
        <v/>
      </c>
      <c r="W385">
        <f>IF('03_Helper'!A385="","",'03_Helper'!AK385)</f>
        <v/>
      </c>
      <c r="X385">
        <f>IF('03_Helper'!A385="","",'03_Helper'!K385)</f>
        <v/>
      </c>
      <c r="Y385">
        <f>IF('03_Helper'!A385="","",'03_Helper'!AN385)</f>
        <v/>
      </c>
    </row>
    <row r="386">
      <c r="A386">
        <f>IF('03_Helper'!A386="","",'03_Helper'!B386)</f>
        <v/>
      </c>
      <c r="B386">
        <f>IF('03_Helper'!A386="","",'03_Helper'!C386)</f>
        <v/>
      </c>
      <c r="C386">
        <f>IF('03_Helper'!A386="","",'03_Helper'!G386)</f>
        <v/>
      </c>
      <c r="D386">
        <f>IF('03_Helper'!A386="","",'03_Helper'!E386)</f>
        <v/>
      </c>
      <c r="E386">
        <f>IF('03_Helper'!A386="","",'03_Helper'!D386)</f>
        <v/>
      </c>
      <c r="F386">
        <f>IF('03_Helper'!A386="","",'03_Helper'!H386)</f>
        <v/>
      </c>
      <c r="G386">
        <f>IF('03_Helper'!A386="","",'03_Helper'!X386)</f>
        <v/>
      </c>
      <c r="H386">
        <f>IF('03_Helper'!A386="","",'03_Helper'!Y386)</f>
        <v/>
      </c>
      <c r="I386">
        <f>IF('03_Helper'!A386="","",'03_Helper'!Z386)</f>
        <v/>
      </c>
      <c r="J386">
        <f>IF('03_Helper'!A386="","",'03_Helper'!Q386)</f>
        <v/>
      </c>
      <c r="K386">
        <f>IF('03_Helper'!A386="","",'03_Helper'!R386)</f>
        <v/>
      </c>
      <c r="L386">
        <f>IF('03_Helper'!A386="","",'03_Helper'!S386)</f>
        <v/>
      </c>
      <c r="M386">
        <f>IF('03_Helper'!A386="","",'03_Helper'!T386)</f>
        <v/>
      </c>
      <c r="N386">
        <f>IF('03_Helper'!A386="","",'03_Helper'!AA386)</f>
        <v/>
      </c>
      <c r="O386">
        <f>IF('03_Helper'!A386="","",'03_Helper'!AB386)</f>
        <v/>
      </c>
      <c r="P386">
        <f>IF('03_Helper'!A386="","",'03_Helper'!AC386)</f>
        <v/>
      </c>
      <c r="Q386">
        <f>IF('03_Helper'!A386="","",'03_Helper'!AD386)</f>
        <v/>
      </c>
      <c r="R386">
        <f>IF('03_Helper'!A386="","",'03_Helper'!AI386)</f>
        <v/>
      </c>
      <c r="S386">
        <f>IF('03_Helper'!A386="","",'03_Helper'!AJ386)</f>
        <v/>
      </c>
      <c r="T386">
        <f>IF('03_Helper'!A386="","",'03_Helper'!U386)</f>
        <v/>
      </c>
      <c r="U386">
        <f>IF('03_Helper'!A386="","",'03_Helper'!W386)</f>
        <v/>
      </c>
      <c r="V386">
        <f>IF('03_Helper'!A386="","",'03_Helper'!AG386)</f>
        <v/>
      </c>
      <c r="W386">
        <f>IF('03_Helper'!A386="","",'03_Helper'!AK386)</f>
        <v/>
      </c>
      <c r="X386">
        <f>IF('03_Helper'!A386="","",'03_Helper'!K386)</f>
        <v/>
      </c>
      <c r="Y386">
        <f>IF('03_Helper'!A386="","",'03_Helper'!AN386)</f>
        <v/>
      </c>
    </row>
    <row r="387">
      <c r="A387">
        <f>IF('03_Helper'!A387="","",'03_Helper'!B387)</f>
        <v/>
      </c>
      <c r="B387">
        <f>IF('03_Helper'!A387="","",'03_Helper'!C387)</f>
        <v/>
      </c>
      <c r="C387">
        <f>IF('03_Helper'!A387="","",'03_Helper'!G387)</f>
        <v/>
      </c>
      <c r="D387">
        <f>IF('03_Helper'!A387="","",'03_Helper'!E387)</f>
        <v/>
      </c>
      <c r="E387">
        <f>IF('03_Helper'!A387="","",'03_Helper'!D387)</f>
        <v/>
      </c>
      <c r="F387">
        <f>IF('03_Helper'!A387="","",'03_Helper'!H387)</f>
        <v/>
      </c>
      <c r="G387">
        <f>IF('03_Helper'!A387="","",'03_Helper'!X387)</f>
        <v/>
      </c>
      <c r="H387">
        <f>IF('03_Helper'!A387="","",'03_Helper'!Y387)</f>
        <v/>
      </c>
      <c r="I387">
        <f>IF('03_Helper'!A387="","",'03_Helper'!Z387)</f>
        <v/>
      </c>
      <c r="J387">
        <f>IF('03_Helper'!A387="","",'03_Helper'!Q387)</f>
        <v/>
      </c>
      <c r="K387">
        <f>IF('03_Helper'!A387="","",'03_Helper'!R387)</f>
        <v/>
      </c>
      <c r="L387">
        <f>IF('03_Helper'!A387="","",'03_Helper'!S387)</f>
        <v/>
      </c>
      <c r="M387">
        <f>IF('03_Helper'!A387="","",'03_Helper'!T387)</f>
        <v/>
      </c>
      <c r="N387">
        <f>IF('03_Helper'!A387="","",'03_Helper'!AA387)</f>
        <v/>
      </c>
      <c r="O387">
        <f>IF('03_Helper'!A387="","",'03_Helper'!AB387)</f>
        <v/>
      </c>
      <c r="P387">
        <f>IF('03_Helper'!A387="","",'03_Helper'!AC387)</f>
        <v/>
      </c>
      <c r="Q387">
        <f>IF('03_Helper'!A387="","",'03_Helper'!AD387)</f>
        <v/>
      </c>
      <c r="R387">
        <f>IF('03_Helper'!A387="","",'03_Helper'!AI387)</f>
        <v/>
      </c>
      <c r="S387">
        <f>IF('03_Helper'!A387="","",'03_Helper'!AJ387)</f>
        <v/>
      </c>
      <c r="T387">
        <f>IF('03_Helper'!A387="","",'03_Helper'!U387)</f>
        <v/>
      </c>
      <c r="U387">
        <f>IF('03_Helper'!A387="","",'03_Helper'!W387)</f>
        <v/>
      </c>
      <c r="V387">
        <f>IF('03_Helper'!A387="","",'03_Helper'!AG387)</f>
        <v/>
      </c>
      <c r="W387">
        <f>IF('03_Helper'!A387="","",'03_Helper'!AK387)</f>
        <v/>
      </c>
      <c r="X387">
        <f>IF('03_Helper'!A387="","",'03_Helper'!K387)</f>
        <v/>
      </c>
      <c r="Y387">
        <f>IF('03_Helper'!A387="","",'03_Helper'!AN387)</f>
        <v/>
      </c>
    </row>
    <row r="388">
      <c r="A388">
        <f>IF('03_Helper'!A388="","",'03_Helper'!B388)</f>
        <v/>
      </c>
      <c r="B388">
        <f>IF('03_Helper'!A388="","",'03_Helper'!C388)</f>
        <v/>
      </c>
      <c r="C388">
        <f>IF('03_Helper'!A388="","",'03_Helper'!G388)</f>
        <v/>
      </c>
      <c r="D388">
        <f>IF('03_Helper'!A388="","",'03_Helper'!E388)</f>
        <v/>
      </c>
      <c r="E388">
        <f>IF('03_Helper'!A388="","",'03_Helper'!D388)</f>
        <v/>
      </c>
      <c r="F388">
        <f>IF('03_Helper'!A388="","",'03_Helper'!H388)</f>
        <v/>
      </c>
      <c r="G388">
        <f>IF('03_Helper'!A388="","",'03_Helper'!X388)</f>
        <v/>
      </c>
      <c r="H388">
        <f>IF('03_Helper'!A388="","",'03_Helper'!Y388)</f>
        <v/>
      </c>
      <c r="I388">
        <f>IF('03_Helper'!A388="","",'03_Helper'!Z388)</f>
        <v/>
      </c>
      <c r="J388">
        <f>IF('03_Helper'!A388="","",'03_Helper'!Q388)</f>
        <v/>
      </c>
      <c r="K388">
        <f>IF('03_Helper'!A388="","",'03_Helper'!R388)</f>
        <v/>
      </c>
      <c r="L388">
        <f>IF('03_Helper'!A388="","",'03_Helper'!S388)</f>
        <v/>
      </c>
      <c r="M388">
        <f>IF('03_Helper'!A388="","",'03_Helper'!T388)</f>
        <v/>
      </c>
      <c r="N388">
        <f>IF('03_Helper'!A388="","",'03_Helper'!AA388)</f>
        <v/>
      </c>
      <c r="O388">
        <f>IF('03_Helper'!A388="","",'03_Helper'!AB388)</f>
        <v/>
      </c>
      <c r="P388">
        <f>IF('03_Helper'!A388="","",'03_Helper'!AC388)</f>
        <v/>
      </c>
      <c r="Q388">
        <f>IF('03_Helper'!A388="","",'03_Helper'!AD388)</f>
        <v/>
      </c>
      <c r="R388">
        <f>IF('03_Helper'!A388="","",'03_Helper'!AI388)</f>
        <v/>
      </c>
      <c r="S388">
        <f>IF('03_Helper'!A388="","",'03_Helper'!AJ388)</f>
        <v/>
      </c>
      <c r="T388">
        <f>IF('03_Helper'!A388="","",'03_Helper'!U388)</f>
        <v/>
      </c>
      <c r="U388">
        <f>IF('03_Helper'!A388="","",'03_Helper'!W388)</f>
        <v/>
      </c>
      <c r="V388">
        <f>IF('03_Helper'!A388="","",'03_Helper'!AG388)</f>
        <v/>
      </c>
      <c r="W388">
        <f>IF('03_Helper'!A388="","",'03_Helper'!AK388)</f>
        <v/>
      </c>
      <c r="X388">
        <f>IF('03_Helper'!A388="","",'03_Helper'!K388)</f>
        <v/>
      </c>
      <c r="Y388">
        <f>IF('03_Helper'!A388="","",'03_Helper'!AN388)</f>
        <v/>
      </c>
    </row>
    <row r="389">
      <c r="A389">
        <f>IF('03_Helper'!A389="","",'03_Helper'!B389)</f>
        <v/>
      </c>
      <c r="B389">
        <f>IF('03_Helper'!A389="","",'03_Helper'!C389)</f>
        <v/>
      </c>
      <c r="C389">
        <f>IF('03_Helper'!A389="","",'03_Helper'!G389)</f>
        <v/>
      </c>
      <c r="D389">
        <f>IF('03_Helper'!A389="","",'03_Helper'!E389)</f>
        <v/>
      </c>
      <c r="E389">
        <f>IF('03_Helper'!A389="","",'03_Helper'!D389)</f>
        <v/>
      </c>
      <c r="F389">
        <f>IF('03_Helper'!A389="","",'03_Helper'!H389)</f>
        <v/>
      </c>
      <c r="G389">
        <f>IF('03_Helper'!A389="","",'03_Helper'!X389)</f>
        <v/>
      </c>
      <c r="H389">
        <f>IF('03_Helper'!A389="","",'03_Helper'!Y389)</f>
        <v/>
      </c>
      <c r="I389">
        <f>IF('03_Helper'!A389="","",'03_Helper'!Z389)</f>
        <v/>
      </c>
      <c r="J389">
        <f>IF('03_Helper'!A389="","",'03_Helper'!Q389)</f>
        <v/>
      </c>
      <c r="K389">
        <f>IF('03_Helper'!A389="","",'03_Helper'!R389)</f>
        <v/>
      </c>
      <c r="L389">
        <f>IF('03_Helper'!A389="","",'03_Helper'!S389)</f>
        <v/>
      </c>
      <c r="M389">
        <f>IF('03_Helper'!A389="","",'03_Helper'!T389)</f>
        <v/>
      </c>
      <c r="N389">
        <f>IF('03_Helper'!A389="","",'03_Helper'!AA389)</f>
        <v/>
      </c>
      <c r="O389">
        <f>IF('03_Helper'!A389="","",'03_Helper'!AB389)</f>
        <v/>
      </c>
      <c r="P389">
        <f>IF('03_Helper'!A389="","",'03_Helper'!AC389)</f>
        <v/>
      </c>
      <c r="Q389">
        <f>IF('03_Helper'!A389="","",'03_Helper'!AD389)</f>
        <v/>
      </c>
      <c r="R389">
        <f>IF('03_Helper'!A389="","",'03_Helper'!AI389)</f>
        <v/>
      </c>
      <c r="S389">
        <f>IF('03_Helper'!A389="","",'03_Helper'!AJ389)</f>
        <v/>
      </c>
      <c r="T389">
        <f>IF('03_Helper'!A389="","",'03_Helper'!U389)</f>
        <v/>
      </c>
      <c r="U389">
        <f>IF('03_Helper'!A389="","",'03_Helper'!W389)</f>
        <v/>
      </c>
      <c r="V389">
        <f>IF('03_Helper'!A389="","",'03_Helper'!AG389)</f>
        <v/>
      </c>
      <c r="W389">
        <f>IF('03_Helper'!A389="","",'03_Helper'!AK389)</f>
        <v/>
      </c>
      <c r="X389">
        <f>IF('03_Helper'!A389="","",'03_Helper'!K389)</f>
        <v/>
      </c>
      <c r="Y389">
        <f>IF('03_Helper'!A389="","",'03_Helper'!AN389)</f>
        <v/>
      </c>
    </row>
    <row r="390">
      <c r="A390">
        <f>IF('03_Helper'!A390="","",'03_Helper'!B390)</f>
        <v/>
      </c>
      <c r="B390">
        <f>IF('03_Helper'!A390="","",'03_Helper'!C390)</f>
        <v/>
      </c>
      <c r="C390">
        <f>IF('03_Helper'!A390="","",'03_Helper'!G390)</f>
        <v/>
      </c>
      <c r="D390">
        <f>IF('03_Helper'!A390="","",'03_Helper'!E390)</f>
        <v/>
      </c>
      <c r="E390">
        <f>IF('03_Helper'!A390="","",'03_Helper'!D390)</f>
        <v/>
      </c>
      <c r="F390">
        <f>IF('03_Helper'!A390="","",'03_Helper'!H390)</f>
        <v/>
      </c>
      <c r="G390">
        <f>IF('03_Helper'!A390="","",'03_Helper'!X390)</f>
        <v/>
      </c>
      <c r="H390">
        <f>IF('03_Helper'!A390="","",'03_Helper'!Y390)</f>
        <v/>
      </c>
      <c r="I390">
        <f>IF('03_Helper'!A390="","",'03_Helper'!Z390)</f>
        <v/>
      </c>
      <c r="J390">
        <f>IF('03_Helper'!A390="","",'03_Helper'!Q390)</f>
        <v/>
      </c>
      <c r="K390">
        <f>IF('03_Helper'!A390="","",'03_Helper'!R390)</f>
        <v/>
      </c>
      <c r="L390">
        <f>IF('03_Helper'!A390="","",'03_Helper'!S390)</f>
        <v/>
      </c>
      <c r="M390">
        <f>IF('03_Helper'!A390="","",'03_Helper'!T390)</f>
        <v/>
      </c>
      <c r="N390">
        <f>IF('03_Helper'!A390="","",'03_Helper'!AA390)</f>
        <v/>
      </c>
      <c r="O390">
        <f>IF('03_Helper'!A390="","",'03_Helper'!AB390)</f>
        <v/>
      </c>
      <c r="P390">
        <f>IF('03_Helper'!A390="","",'03_Helper'!AC390)</f>
        <v/>
      </c>
      <c r="Q390">
        <f>IF('03_Helper'!A390="","",'03_Helper'!AD390)</f>
        <v/>
      </c>
      <c r="R390">
        <f>IF('03_Helper'!A390="","",'03_Helper'!AI390)</f>
        <v/>
      </c>
      <c r="S390">
        <f>IF('03_Helper'!A390="","",'03_Helper'!AJ390)</f>
        <v/>
      </c>
      <c r="T390">
        <f>IF('03_Helper'!A390="","",'03_Helper'!U390)</f>
        <v/>
      </c>
      <c r="U390">
        <f>IF('03_Helper'!A390="","",'03_Helper'!W390)</f>
        <v/>
      </c>
      <c r="V390">
        <f>IF('03_Helper'!A390="","",'03_Helper'!AG390)</f>
        <v/>
      </c>
      <c r="W390">
        <f>IF('03_Helper'!A390="","",'03_Helper'!AK390)</f>
        <v/>
      </c>
      <c r="X390">
        <f>IF('03_Helper'!A390="","",'03_Helper'!K390)</f>
        <v/>
      </c>
      <c r="Y390">
        <f>IF('03_Helper'!A390="","",'03_Helper'!AN390)</f>
        <v/>
      </c>
    </row>
    <row r="391">
      <c r="A391">
        <f>IF('03_Helper'!A391="","",'03_Helper'!B391)</f>
        <v/>
      </c>
      <c r="B391">
        <f>IF('03_Helper'!A391="","",'03_Helper'!C391)</f>
        <v/>
      </c>
      <c r="C391">
        <f>IF('03_Helper'!A391="","",'03_Helper'!G391)</f>
        <v/>
      </c>
      <c r="D391">
        <f>IF('03_Helper'!A391="","",'03_Helper'!E391)</f>
        <v/>
      </c>
      <c r="E391">
        <f>IF('03_Helper'!A391="","",'03_Helper'!D391)</f>
        <v/>
      </c>
      <c r="F391">
        <f>IF('03_Helper'!A391="","",'03_Helper'!H391)</f>
        <v/>
      </c>
      <c r="G391">
        <f>IF('03_Helper'!A391="","",'03_Helper'!X391)</f>
        <v/>
      </c>
      <c r="H391">
        <f>IF('03_Helper'!A391="","",'03_Helper'!Y391)</f>
        <v/>
      </c>
      <c r="I391">
        <f>IF('03_Helper'!A391="","",'03_Helper'!Z391)</f>
        <v/>
      </c>
      <c r="J391">
        <f>IF('03_Helper'!A391="","",'03_Helper'!Q391)</f>
        <v/>
      </c>
      <c r="K391">
        <f>IF('03_Helper'!A391="","",'03_Helper'!R391)</f>
        <v/>
      </c>
      <c r="L391">
        <f>IF('03_Helper'!A391="","",'03_Helper'!S391)</f>
        <v/>
      </c>
      <c r="M391">
        <f>IF('03_Helper'!A391="","",'03_Helper'!T391)</f>
        <v/>
      </c>
      <c r="N391">
        <f>IF('03_Helper'!A391="","",'03_Helper'!AA391)</f>
        <v/>
      </c>
      <c r="O391">
        <f>IF('03_Helper'!A391="","",'03_Helper'!AB391)</f>
        <v/>
      </c>
      <c r="P391">
        <f>IF('03_Helper'!A391="","",'03_Helper'!AC391)</f>
        <v/>
      </c>
      <c r="Q391">
        <f>IF('03_Helper'!A391="","",'03_Helper'!AD391)</f>
        <v/>
      </c>
      <c r="R391">
        <f>IF('03_Helper'!A391="","",'03_Helper'!AI391)</f>
        <v/>
      </c>
      <c r="S391">
        <f>IF('03_Helper'!A391="","",'03_Helper'!AJ391)</f>
        <v/>
      </c>
      <c r="T391">
        <f>IF('03_Helper'!A391="","",'03_Helper'!U391)</f>
        <v/>
      </c>
      <c r="U391">
        <f>IF('03_Helper'!A391="","",'03_Helper'!W391)</f>
        <v/>
      </c>
      <c r="V391">
        <f>IF('03_Helper'!A391="","",'03_Helper'!AG391)</f>
        <v/>
      </c>
      <c r="W391">
        <f>IF('03_Helper'!A391="","",'03_Helper'!AK391)</f>
        <v/>
      </c>
      <c r="X391">
        <f>IF('03_Helper'!A391="","",'03_Helper'!K391)</f>
        <v/>
      </c>
      <c r="Y391">
        <f>IF('03_Helper'!A391="","",'03_Helper'!AN391)</f>
        <v/>
      </c>
    </row>
    <row r="392">
      <c r="A392">
        <f>IF('03_Helper'!A392="","",'03_Helper'!B392)</f>
        <v/>
      </c>
      <c r="B392">
        <f>IF('03_Helper'!A392="","",'03_Helper'!C392)</f>
        <v/>
      </c>
      <c r="C392">
        <f>IF('03_Helper'!A392="","",'03_Helper'!G392)</f>
        <v/>
      </c>
      <c r="D392">
        <f>IF('03_Helper'!A392="","",'03_Helper'!E392)</f>
        <v/>
      </c>
      <c r="E392">
        <f>IF('03_Helper'!A392="","",'03_Helper'!D392)</f>
        <v/>
      </c>
      <c r="F392">
        <f>IF('03_Helper'!A392="","",'03_Helper'!H392)</f>
        <v/>
      </c>
      <c r="G392">
        <f>IF('03_Helper'!A392="","",'03_Helper'!X392)</f>
        <v/>
      </c>
      <c r="H392">
        <f>IF('03_Helper'!A392="","",'03_Helper'!Y392)</f>
        <v/>
      </c>
      <c r="I392">
        <f>IF('03_Helper'!A392="","",'03_Helper'!Z392)</f>
        <v/>
      </c>
      <c r="J392">
        <f>IF('03_Helper'!A392="","",'03_Helper'!Q392)</f>
        <v/>
      </c>
      <c r="K392">
        <f>IF('03_Helper'!A392="","",'03_Helper'!R392)</f>
        <v/>
      </c>
      <c r="L392">
        <f>IF('03_Helper'!A392="","",'03_Helper'!S392)</f>
        <v/>
      </c>
      <c r="M392">
        <f>IF('03_Helper'!A392="","",'03_Helper'!T392)</f>
        <v/>
      </c>
      <c r="N392">
        <f>IF('03_Helper'!A392="","",'03_Helper'!AA392)</f>
        <v/>
      </c>
      <c r="O392">
        <f>IF('03_Helper'!A392="","",'03_Helper'!AB392)</f>
        <v/>
      </c>
      <c r="P392">
        <f>IF('03_Helper'!A392="","",'03_Helper'!AC392)</f>
        <v/>
      </c>
      <c r="Q392">
        <f>IF('03_Helper'!A392="","",'03_Helper'!AD392)</f>
        <v/>
      </c>
      <c r="R392">
        <f>IF('03_Helper'!A392="","",'03_Helper'!AI392)</f>
        <v/>
      </c>
      <c r="S392">
        <f>IF('03_Helper'!A392="","",'03_Helper'!AJ392)</f>
        <v/>
      </c>
      <c r="T392">
        <f>IF('03_Helper'!A392="","",'03_Helper'!U392)</f>
        <v/>
      </c>
      <c r="U392">
        <f>IF('03_Helper'!A392="","",'03_Helper'!W392)</f>
        <v/>
      </c>
      <c r="V392">
        <f>IF('03_Helper'!A392="","",'03_Helper'!AG392)</f>
        <v/>
      </c>
      <c r="W392">
        <f>IF('03_Helper'!A392="","",'03_Helper'!AK392)</f>
        <v/>
      </c>
      <c r="X392">
        <f>IF('03_Helper'!A392="","",'03_Helper'!K392)</f>
        <v/>
      </c>
      <c r="Y392">
        <f>IF('03_Helper'!A392="","",'03_Helper'!AN392)</f>
        <v/>
      </c>
    </row>
    <row r="393">
      <c r="A393">
        <f>IF('03_Helper'!A393="","",'03_Helper'!B393)</f>
        <v/>
      </c>
      <c r="B393">
        <f>IF('03_Helper'!A393="","",'03_Helper'!C393)</f>
        <v/>
      </c>
      <c r="C393">
        <f>IF('03_Helper'!A393="","",'03_Helper'!G393)</f>
        <v/>
      </c>
      <c r="D393">
        <f>IF('03_Helper'!A393="","",'03_Helper'!E393)</f>
        <v/>
      </c>
      <c r="E393">
        <f>IF('03_Helper'!A393="","",'03_Helper'!D393)</f>
        <v/>
      </c>
      <c r="F393">
        <f>IF('03_Helper'!A393="","",'03_Helper'!H393)</f>
        <v/>
      </c>
      <c r="G393">
        <f>IF('03_Helper'!A393="","",'03_Helper'!X393)</f>
        <v/>
      </c>
      <c r="H393">
        <f>IF('03_Helper'!A393="","",'03_Helper'!Y393)</f>
        <v/>
      </c>
      <c r="I393">
        <f>IF('03_Helper'!A393="","",'03_Helper'!Z393)</f>
        <v/>
      </c>
      <c r="J393">
        <f>IF('03_Helper'!A393="","",'03_Helper'!Q393)</f>
        <v/>
      </c>
      <c r="K393">
        <f>IF('03_Helper'!A393="","",'03_Helper'!R393)</f>
        <v/>
      </c>
      <c r="L393">
        <f>IF('03_Helper'!A393="","",'03_Helper'!S393)</f>
        <v/>
      </c>
      <c r="M393">
        <f>IF('03_Helper'!A393="","",'03_Helper'!T393)</f>
        <v/>
      </c>
      <c r="N393">
        <f>IF('03_Helper'!A393="","",'03_Helper'!AA393)</f>
        <v/>
      </c>
      <c r="O393">
        <f>IF('03_Helper'!A393="","",'03_Helper'!AB393)</f>
        <v/>
      </c>
      <c r="P393">
        <f>IF('03_Helper'!A393="","",'03_Helper'!AC393)</f>
        <v/>
      </c>
      <c r="Q393">
        <f>IF('03_Helper'!A393="","",'03_Helper'!AD393)</f>
        <v/>
      </c>
      <c r="R393">
        <f>IF('03_Helper'!A393="","",'03_Helper'!AI393)</f>
        <v/>
      </c>
      <c r="S393">
        <f>IF('03_Helper'!A393="","",'03_Helper'!AJ393)</f>
        <v/>
      </c>
      <c r="T393">
        <f>IF('03_Helper'!A393="","",'03_Helper'!U393)</f>
        <v/>
      </c>
      <c r="U393">
        <f>IF('03_Helper'!A393="","",'03_Helper'!W393)</f>
        <v/>
      </c>
      <c r="V393">
        <f>IF('03_Helper'!A393="","",'03_Helper'!AG393)</f>
        <v/>
      </c>
      <c r="W393">
        <f>IF('03_Helper'!A393="","",'03_Helper'!AK393)</f>
        <v/>
      </c>
      <c r="X393">
        <f>IF('03_Helper'!A393="","",'03_Helper'!K393)</f>
        <v/>
      </c>
      <c r="Y393">
        <f>IF('03_Helper'!A393="","",'03_Helper'!AN393)</f>
        <v/>
      </c>
    </row>
    <row r="394">
      <c r="A394">
        <f>IF('03_Helper'!A394="","",'03_Helper'!B394)</f>
        <v/>
      </c>
      <c r="B394">
        <f>IF('03_Helper'!A394="","",'03_Helper'!C394)</f>
        <v/>
      </c>
      <c r="C394">
        <f>IF('03_Helper'!A394="","",'03_Helper'!G394)</f>
        <v/>
      </c>
      <c r="D394">
        <f>IF('03_Helper'!A394="","",'03_Helper'!E394)</f>
        <v/>
      </c>
      <c r="E394">
        <f>IF('03_Helper'!A394="","",'03_Helper'!D394)</f>
        <v/>
      </c>
      <c r="F394">
        <f>IF('03_Helper'!A394="","",'03_Helper'!H394)</f>
        <v/>
      </c>
      <c r="G394">
        <f>IF('03_Helper'!A394="","",'03_Helper'!X394)</f>
        <v/>
      </c>
      <c r="H394">
        <f>IF('03_Helper'!A394="","",'03_Helper'!Y394)</f>
        <v/>
      </c>
      <c r="I394">
        <f>IF('03_Helper'!A394="","",'03_Helper'!Z394)</f>
        <v/>
      </c>
      <c r="J394">
        <f>IF('03_Helper'!A394="","",'03_Helper'!Q394)</f>
        <v/>
      </c>
      <c r="K394">
        <f>IF('03_Helper'!A394="","",'03_Helper'!R394)</f>
        <v/>
      </c>
      <c r="L394">
        <f>IF('03_Helper'!A394="","",'03_Helper'!S394)</f>
        <v/>
      </c>
      <c r="M394">
        <f>IF('03_Helper'!A394="","",'03_Helper'!T394)</f>
        <v/>
      </c>
      <c r="N394">
        <f>IF('03_Helper'!A394="","",'03_Helper'!AA394)</f>
        <v/>
      </c>
      <c r="O394">
        <f>IF('03_Helper'!A394="","",'03_Helper'!AB394)</f>
        <v/>
      </c>
      <c r="P394">
        <f>IF('03_Helper'!A394="","",'03_Helper'!AC394)</f>
        <v/>
      </c>
      <c r="Q394">
        <f>IF('03_Helper'!A394="","",'03_Helper'!AD394)</f>
        <v/>
      </c>
      <c r="R394">
        <f>IF('03_Helper'!A394="","",'03_Helper'!AI394)</f>
        <v/>
      </c>
      <c r="S394">
        <f>IF('03_Helper'!A394="","",'03_Helper'!AJ394)</f>
        <v/>
      </c>
      <c r="T394">
        <f>IF('03_Helper'!A394="","",'03_Helper'!U394)</f>
        <v/>
      </c>
      <c r="U394">
        <f>IF('03_Helper'!A394="","",'03_Helper'!W394)</f>
        <v/>
      </c>
      <c r="V394">
        <f>IF('03_Helper'!A394="","",'03_Helper'!AG394)</f>
        <v/>
      </c>
      <c r="W394">
        <f>IF('03_Helper'!A394="","",'03_Helper'!AK394)</f>
        <v/>
      </c>
      <c r="X394">
        <f>IF('03_Helper'!A394="","",'03_Helper'!K394)</f>
        <v/>
      </c>
      <c r="Y394">
        <f>IF('03_Helper'!A394="","",'03_Helper'!AN394)</f>
        <v/>
      </c>
    </row>
    <row r="395">
      <c r="A395">
        <f>IF('03_Helper'!A395="","",'03_Helper'!B395)</f>
        <v/>
      </c>
      <c r="B395">
        <f>IF('03_Helper'!A395="","",'03_Helper'!C395)</f>
        <v/>
      </c>
      <c r="C395">
        <f>IF('03_Helper'!A395="","",'03_Helper'!G395)</f>
        <v/>
      </c>
      <c r="D395">
        <f>IF('03_Helper'!A395="","",'03_Helper'!E395)</f>
        <v/>
      </c>
      <c r="E395">
        <f>IF('03_Helper'!A395="","",'03_Helper'!D395)</f>
        <v/>
      </c>
      <c r="F395">
        <f>IF('03_Helper'!A395="","",'03_Helper'!H395)</f>
        <v/>
      </c>
      <c r="G395">
        <f>IF('03_Helper'!A395="","",'03_Helper'!X395)</f>
        <v/>
      </c>
      <c r="H395">
        <f>IF('03_Helper'!A395="","",'03_Helper'!Y395)</f>
        <v/>
      </c>
      <c r="I395">
        <f>IF('03_Helper'!A395="","",'03_Helper'!Z395)</f>
        <v/>
      </c>
      <c r="J395">
        <f>IF('03_Helper'!A395="","",'03_Helper'!Q395)</f>
        <v/>
      </c>
      <c r="K395">
        <f>IF('03_Helper'!A395="","",'03_Helper'!R395)</f>
        <v/>
      </c>
      <c r="L395">
        <f>IF('03_Helper'!A395="","",'03_Helper'!S395)</f>
        <v/>
      </c>
      <c r="M395">
        <f>IF('03_Helper'!A395="","",'03_Helper'!T395)</f>
        <v/>
      </c>
      <c r="N395">
        <f>IF('03_Helper'!A395="","",'03_Helper'!AA395)</f>
        <v/>
      </c>
      <c r="O395">
        <f>IF('03_Helper'!A395="","",'03_Helper'!AB395)</f>
        <v/>
      </c>
      <c r="P395">
        <f>IF('03_Helper'!A395="","",'03_Helper'!AC395)</f>
        <v/>
      </c>
      <c r="Q395">
        <f>IF('03_Helper'!A395="","",'03_Helper'!AD395)</f>
        <v/>
      </c>
      <c r="R395">
        <f>IF('03_Helper'!A395="","",'03_Helper'!AI395)</f>
        <v/>
      </c>
      <c r="S395">
        <f>IF('03_Helper'!A395="","",'03_Helper'!AJ395)</f>
        <v/>
      </c>
      <c r="T395">
        <f>IF('03_Helper'!A395="","",'03_Helper'!U395)</f>
        <v/>
      </c>
      <c r="U395">
        <f>IF('03_Helper'!A395="","",'03_Helper'!W395)</f>
        <v/>
      </c>
      <c r="V395">
        <f>IF('03_Helper'!A395="","",'03_Helper'!AG395)</f>
        <v/>
      </c>
      <c r="W395">
        <f>IF('03_Helper'!A395="","",'03_Helper'!AK395)</f>
        <v/>
      </c>
      <c r="X395">
        <f>IF('03_Helper'!A395="","",'03_Helper'!K395)</f>
        <v/>
      </c>
      <c r="Y395">
        <f>IF('03_Helper'!A395="","",'03_Helper'!AN395)</f>
        <v/>
      </c>
    </row>
    <row r="396">
      <c r="A396">
        <f>IF('03_Helper'!A396="","",'03_Helper'!B396)</f>
        <v/>
      </c>
      <c r="B396">
        <f>IF('03_Helper'!A396="","",'03_Helper'!C396)</f>
        <v/>
      </c>
      <c r="C396">
        <f>IF('03_Helper'!A396="","",'03_Helper'!G396)</f>
        <v/>
      </c>
      <c r="D396">
        <f>IF('03_Helper'!A396="","",'03_Helper'!E396)</f>
        <v/>
      </c>
      <c r="E396">
        <f>IF('03_Helper'!A396="","",'03_Helper'!D396)</f>
        <v/>
      </c>
      <c r="F396">
        <f>IF('03_Helper'!A396="","",'03_Helper'!H396)</f>
        <v/>
      </c>
      <c r="G396">
        <f>IF('03_Helper'!A396="","",'03_Helper'!X396)</f>
        <v/>
      </c>
      <c r="H396">
        <f>IF('03_Helper'!A396="","",'03_Helper'!Y396)</f>
        <v/>
      </c>
      <c r="I396">
        <f>IF('03_Helper'!A396="","",'03_Helper'!Z396)</f>
        <v/>
      </c>
      <c r="J396">
        <f>IF('03_Helper'!A396="","",'03_Helper'!Q396)</f>
        <v/>
      </c>
      <c r="K396">
        <f>IF('03_Helper'!A396="","",'03_Helper'!R396)</f>
        <v/>
      </c>
      <c r="L396">
        <f>IF('03_Helper'!A396="","",'03_Helper'!S396)</f>
        <v/>
      </c>
      <c r="M396">
        <f>IF('03_Helper'!A396="","",'03_Helper'!T396)</f>
        <v/>
      </c>
      <c r="N396">
        <f>IF('03_Helper'!A396="","",'03_Helper'!AA396)</f>
        <v/>
      </c>
      <c r="O396">
        <f>IF('03_Helper'!A396="","",'03_Helper'!AB396)</f>
        <v/>
      </c>
      <c r="P396">
        <f>IF('03_Helper'!A396="","",'03_Helper'!AC396)</f>
        <v/>
      </c>
      <c r="Q396">
        <f>IF('03_Helper'!A396="","",'03_Helper'!AD396)</f>
        <v/>
      </c>
      <c r="R396">
        <f>IF('03_Helper'!A396="","",'03_Helper'!AI396)</f>
        <v/>
      </c>
      <c r="S396">
        <f>IF('03_Helper'!A396="","",'03_Helper'!AJ396)</f>
        <v/>
      </c>
      <c r="T396">
        <f>IF('03_Helper'!A396="","",'03_Helper'!U396)</f>
        <v/>
      </c>
      <c r="U396">
        <f>IF('03_Helper'!A396="","",'03_Helper'!W396)</f>
        <v/>
      </c>
      <c r="V396">
        <f>IF('03_Helper'!A396="","",'03_Helper'!AG396)</f>
        <v/>
      </c>
      <c r="W396">
        <f>IF('03_Helper'!A396="","",'03_Helper'!AK396)</f>
        <v/>
      </c>
      <c r="X396">
        <f>IF('03_Helper'!A396="","",'03_Helper'!K396)</f>
        <v/>
      </c>
      <c r="Y396">
        <f>IF('03_Helper'!A396="","",'03_Helper'!AN396)</f>
        <v/>
      </c>
    </row>
    <row r="397">
      <c r="A397">
        <f>IF('03_Helper'!A397="","",'03_Helper'!B397)</f>
        <v/>
      </c>
      <c r="B397">
        <f>IF('03_Helper'!A397="","",'03_Helper'!C397)</f>
        <v/>
      </c>
      <c r="C397">
        <f>IF('03_Helper'!A397="","",'03_Helper'!G397)</f>
        <v/>
      </c>
      <c r="D397">
        <f>IF('03_Helper'!A397="","",'03_Helper'!E397)</f>
        <v/>
      </c>
      <c r="E397">
        <f>IF('03_Helper'!A397="","",'03_Helper'!D397)</f>
        <v/>
      </c>
      <c r="F397">
        <f>IF('03_Helper'!A397="","",'03_Helper'!H397)</f>
        <v/>
      </c>
      <c r="G397">
        <f>IF('03_Helper'!A397="","",'03_Helper'!X397)</f>
        <v/>
      </c>
      <c r="H397">
        <f>IF('03_Helper'!A397="","",'03_Helper'!Y397)</f>
        <v/>
      </c>
      <c r="I397">
        <f>IF('03_Helper'!A397="","",'03_Helper'!Z397)</f>
        <v/>
      </c>
      <c r="J397">
        <f>IF('03_Helper'!A397="","",'03_Helper'!Q397)</f>
        <v/>
      </c>
      <c r="K397">
        <f>IF('03_Helper'!A397="","",'03_Helper'!R397)</f>
        <v/>
      </c>
      <c r="L397">
        <f>IF('03_Helper'!A397="","",'03_Helper'!S397)</f>
        <v/>
      </c>
      <c r="M397">
        <f>IF('03_Helper'!A397="","",'03_Helper'!T397)</f>
        <v/>
      </c>
      <c r="N397">
        <f>IF('03_Helper'!A397="","",'03_Helper'!AA397)</f>
        <v/>
      </c>
      <c r="O397">
        <f>IF('03_Helper'!A397="","",'03_Helper'!AB397)</f>
        <v/>
      </c>
      <c r="P397">
        <f>IF('03_Helper'!A397="","",'03_Helper'!AC397)</f>
        <v/>
      </c>
      <c r="Q397">
        <f>IF('03_Helper'!A397="","",'03_Helper'!AD397)</f>
        <v/>
      </c>
      <c r="R397">
        <f>IF('03_Helper'!A397="","",'03_Helper'!AI397)</f>
        <v/>
      </c>
      <c r="S397">
        <f>IF('03_Helper'!A397="","",'03_Helper'!AJ397)</f>
        <v/>
      </c>
      <c r="T397">
        <f>IF('03_Helper'!A397="","",'03_Helper'!U397)</f>
        <v/>
      </c>
      <c r="U397">
        <f>IF('03_Helper'!A397="","",'03_Helper'!W397)</f>
        <v/>
      </c>
      <c r="V397">
        <f>IF('03_Helper'!A397="","",'03_Helper'!AG397)</f>
        <v/>
      </c>
      <c r="W397">
        <f>IF('03_Helper'!A397="","",'03_Helper'!AK397)</f>
        <v/>
      </c>
      <c r="X397">
        <f>IF('03_Helper'!A397="","",'03_Helper'!K397)</f>
        <v/>
      </c>
      <c r="Y397">
        <f>IF('03_Helper'!A397="","",'03_Helper'!AN397)</f>
        <v/>
      </c>
    </row>
    <row r="398">
      <c r="A398">
        <f>IF('03_Helper'!A398="","",'03_Helper'!B398)</f>
        <v/>
      </c>
      <c r="B398">
        <f>IF('03_Helper'!A398="","",'03_Helper'!C398)</f>
        <v/>
      </c>
      <c r="C398">
        <f>IF('03_Helper'!A398="","",'03_Helper'!G398)</f>
        <v/>
      </c>
      <c r="D398">
        <f>IF('03_Helper'!A398="","",'03_Helper'!E398)</f>
        <v/>
      </c>
      <c r="E398">
        <f>IF('03_Helper'!A398="","",'03_Helper'!D398)</f>
        <v/>
      </c>
      <c r="F398">
        <f>IF('03_Helper'!A398="","",'03_Helper'!H398)</f>
        <v/>
      </c>
      <c r="G398">
        <f>IF('03_Helper'!A398="","",'03_Helper'!X398)</f>
        <v/>
      </c>
      <c r="H398">
        <f>IF('03_Helper'!A398="","",'03_Helper'!Y398)</f>
        <v/>
      </c>
      <c r="I398">
        <f>IF('03_Helper'!A398="","",'03_Helper'!Z398)</f>
        <v/>
      </c>
      <c r="J398">
        <f>IF('03_Helper'!A398="","",'03_Helper'!Q398)</f>
        <v/>
      </c>
      <c r="K398">
        <f>IF('03_Helper'!A398="","",'03_Helper'!R398)</f>
        <v/>
      </c>
      <c r="L398">
        <f>IF('03_Helper'!A398="","",'03_Helper'!S398)</f>
        <v/>
      </c>
      <c r="M398">
        <f>IF('03_Helper'!A398="","",'03_Helper'!T398)</f>
        <v/>
      </c>
      <c r="N398">
        <f>IF('03_Helper'!A398="","",'03_Helper'!AA398)</f>
        <v/>
      </c>
      <c r="O398">
        <f>IF('03_Helper'!A398="","",'03_Helper'!AB398)</f>
        <v/>
      </c>
      <c r="P398">
        <f>IF('03_Helper'!A398="","",'03_Helper'!AC398)</f>
        <v/>
      </c>
      <c r="Q398">
        <f>IF('03_Helper'!A398="","",'03_Helper'!AD398)</f>
        <v/>
      </c>
      <c r="R398">
        <f>IF('03_Helper'!A398="","",'03_Helper'!AI398)</f>
        <v/>
      </c>
      <c r="S398">
        <f>IF('03_Helper'!A398="","",'03_Helper'!AJ398)</f>
        <v/>
      </c>
      <c r="T398">
        <f>IF('03_Helper'!A398="","",'03_Helper'!U398)</f>
        <v/>
      </c>
      <c r="U398">
        <f>IF('03_Helper'!A398="","",'03_Helper'!W398)</f>
        <v/>
      </c>
      <c r="V398">
        <f>IF('03_Helper'!A398="","",'03_Helper'!AG398)</f>
        <v/>
      </c>
      <c r="W398">
        <f>IF('03_Helper'!A398="","",'03_Helper'!AK398)</f>
        <v/>
      </c>
      <c r="X398">
        <f>IF('03_Helper'!A398="","",'03_Helper'!K398)</f>
        <v/>
      </c>
      <c r="Y398">
        <f>IF('03_Helper'!A398="","",'03_Helper'!AN398)</f>
        <v/>
      </c>
    </row>
    <row r="399">
      <c r="A399">
        <f>IF('03_Helper'!A399="","",'03_Helper'!B399)</f>
        <v/>
      </c>
      <c r="B399">
        <f>IF('03_Helper'!A399="","",'03_Helper'!C399)</f>
        <v/>
      </c>
      <c r="C399">
        <f>IF('03_Helper'!A399="","",'03_Helper'!G399)</f>
        <v/>
      </c>
      <c r="D399">
        <f>IF('03_Helper'!A399="","",'03_Helper'!E399)</f>
        <v/>
      </c>
      <c r="E399">
        <f>IF('03_Helper'!A399="","",'03_Helper'!D399)</f>
        <v/>
      </c>
      <c r="F399">
        <f>IF('03_Helper'!A399="","",'03_Helper'!H399)</f>
        <v/>
      </c>
      <c r="G399">
        <f>IF('03_Helper'!A399="","",'03_Helper'!X399)</f>
        <v/>
      </c>
      <c r="H399">
        <f>IF('03_Helper'!A399="","",'03_Helper'!Y399)</f>
        <v/>
      </c>
      <c r="I399">
        <f>IF('03_Helper'!A399="","",'03_Helper'!Z399)</f>
        <v/>
      </c>
      <c r="J399">
        <f>IF('03_Helper'!A399="","",'03_Helper'!Q399)</f>
        <v/>
      </c>
      <c r="K399">
        <f>IF('03_Helper'!A399="","",'03_Helper'!R399)</f>
        <v/>
      </c>
      <c r="L399">
        <f>IF('03_Helper'!A399="","",'03_Helper'!S399)</f>
        <v/>
      </c>
      <c r="M399">
        <f>IF('03_Helper'!A399="","",'03_Helper'!T399)</f>
        <v/>
      </c>
      <c r="N399">
        <f>IF('03_Helper'!A399="","",'03_Helper'!AA399)</f>
        <v/>
      </c>
      <c r="O399">
        <f>IF('03_Helper'!A399="","",'03_Helper'!AB399)</f>
        <v/>
      </c>
      <c r="P399">
        <f>IF('03_Helper'!A399="","",'03_Helper'!AC399)</f>
        <v/>
      </c>
      <c r="Q399">
        <f>IF('03_Helper'!A399="","",'03_Helper'!AD399)</f>
        <v/>
      </c>
      <c r="R399">
        <f>IF('03_Helper'!A399="","",'03_Helper'!AI399)</f>
        <v/>
      </c>
      <c r="S399">
        <f>IF('03_Helper'!A399="","",'03_Helper'!AJ399)</f>
        <v/>
      </c>
      <c r="T399">
        <f>IF('03_Helper'!A399="","",'03_Helper'!U399)</f>
        <v/>
      </c>
      <c r="U399">
        <f>IF('03_Helper'!A399="","",'03_Helper'!W399)</f>
        <v/>
      </c>
      <c r="V399">
        <f>IF('03_Helper'!A399="","",'03_Helper'!AG399)</f>
        <v/>
      </c>
      <c r="W399">
        <f>IF('03_Helper'!A399="","",'03_Helper'!AK399)</f>
        <v/>
      </c>
      <c r="X399">
        <f>IF('03_Helper'!A399="","",'03_Helper'!K399)</f>
        <v/>
      </c>
      <c r="Y399">
        <f>IF('03_Helper'!A399="","",'03_Helper'!AN399)</f>
        <v/>
      </c>
    </row>
    <row r="400">
      <c r="A400">
        <f>IF('03_Helper'!A400="","",'03_Helper'!B400)</f>
        <v/>
      </c>
      <c r="B400">
        <f>IF('03_Helper'!A400="","",'03_Helper'!C400)</f>
        <v/>
      </c>
      <c r="C400">
        <f>IF('03_Helper'!A400="","",'03_Helper'!G400)</f>
        <v/>
      </c>
      <c r="D400">
        <f>IF('03_Helper'!A400="","",'03_Helper'!E400)</f>
        <v/>
      </c>
      <c r="E400">
        <f>IF('03_Helper'!A400="","",'03_Helper'!D400)</f>
        <v/>
      </c>
      <c r="F400">
        <f>IF('03_Helper'!A400="","",'03_Helper'!H400)</f>
        <v/>
      </c>
      <c r="G400">
        <f>IF('03_Helper'!A400="","",'03_Helper'!X400)</f>
        <v/>
      </c>
      <c r="H400">
        <f>IF('03_Helper'!A400="","",'03_Helper'!Y400)</f>
        <v/>
      </c>
      <c r="I400">
        <f>IF('03_Helper'!A400="","",'03_Helper'!Z400)</f>
        <v/>
      </c>
      <c r="J400">
        <f>IF('03_Helper'!A400="","",'03_Helper'!Q400)</f>
        <v/>
      </c>
      <c r="K400">
        <f>IF('03_Helper'!A400="","",'03_Helper'!R400)</f>
        <v/>
      </c>
      <c r="L400">
        <f>IF('03_Helper'!A400="","",'03_Helper'!S400)</f>
        <v/>
      </c>
      <c r="M400">
        <f>IF('03_Helper'!A400="","",'03_Helper'!T400)</f>
        <v/>
      </c>
      <c r="N400">
        <f>IF('03_Helper'!A400="","",'03_Helper'!AA400)</f>
        <v/>
      </c>
      <c r="O400">
        <f>IF('03_Helper'!A400="","",'03_Helper'!AB400)</f>
        <v/>
      </c>
      <c r="P400">
        <f>IF('03_Helper'!A400="","",'03_Helper'!AC400)</f>
        <v/>
      </c>
      <c r="Q400">
        <f>IF('03_Helper'!A400="","",'03_Helper'!AD400)</f>
        <v/>
      </c>
      <c r="R400">
        <f>IF('03_Helper'!A400="","",'03_Helper'!AI400)</f>
        <v/>
      </c>
      <c r="S400">
        <f>IF('03_Helper'!A400="","",'03_Helper'!AJ400)</f>
        <v/>
      </c>
      <c r="T400">
        <f>IF('03_Helper'!A400="","",'03_Helper'!U400)</f>
        <v/>
      </c>
      <c r="U400">
        <f>IF('03_Helper'!A400="","",'03_Helper'!W400)</f>
        <v/>
      </c>
      <c r="V400">
        <f>IF('03_Helper'!A400="","",'03_Helper'!AG400)</f>
        <v/>
      </c>
      <c r="W400">
        <f>IF('03_Helper'!A400="","",'03_Helper'!AK400)</f>
        <v/>
      </c>
      <c r="X400">
        <f>IF('03_Helper'!A400="","",'03_Helper'!K400)</f>
        <v/>
      </c>
      <c r="Y400">
        <f>IF('03_Helper'!A400="","",'03_Helper'!AN400)</f>
        <v/>
      </c>
    </row>
    <row r="401">
      <c r="A401">
        <f>IF('03_Helper'!A401="","",'03_Helper'!B401)</f>
        <v/>
      </c>
      <c r="B401">
        <f>IF('03_Helper'!A401="","",'03_Helper'!C401)</f>
        <v/>
      </c>
      <c r="C401">
        <f>IF('03_Helper'!A401="","",'03_Helper'!G401)</f>
        <v/>
      </c>
      <c r="D401">
        <f>IF('03_Helper'!A401="","",'03_Helper'!E401)</f>
        <v/>
      </c>
      <c r="E401">
        <f>IF('03_Helper'!A401="","",'03_Helper'!D401)</f>
        <v/>
      </c>
      <c r="F401">
        <f>IF('03_Helper'!A401="","",'03_Helper'!H401)</f>
        <v/>
      </c>
      <c r="G401">
        <f>IF('03_Helper'!A401="","",'03_Helper'!X401)</f>
        <v/>
      </c>
      <c r="H401">
        <f>IF('03_Helper'!A401="","",'03_Helper'!Y401)</f>
        <v/>
      </c>
      <c r="I401">
        <f>IF('03_Helper'!A401="","",'03_Helper'!Z401)</f>
        <v/>
      </c>
      <c r="J401">
        <f>IF('03_Helper'!A401="","",'03_Helper'!Q401)</f>
        <v/>
      </c>
      <c r="K401">
        <f>IF('03_Helper'!A401="","",'03_Helper'!R401)</f>
        <v/>
      </c>
      <c r="L401">
        <f>IF('03_Helper'!A401="","",'03_Helper'!S401)</f>
        <v/>
      </c>
      <c r="M401">
        <f>IF('03_Helper'!A401="","",'03_Helper'!T401)</f>
        <v/>
      </c>
      <c r="N401">
        <f>IF('03_Helper'!A401="","",'03_Helper'!AA401)</f>
        <v/>
      </c>
      <c r="O401">
        <f>IF('03_Helper'!A401="","",'03_Helper'!AB401)</f>
        <v/>
      </c>
      <c r="P401">
        <f>IF('03_Helper'!A401="","",'03_Helper'!AC401)</f>
        <v/>
      </c>
      <c r="Q401">
        <f>IF('03_Helper'!A401="","",'03_Helper'!AD401)</f>
        <v/>
      </c>
      <c r="R401">
        <f>IF('03_Helper'!A401="","",'03_Helper'!AI401)</f>
        <v/>
      </c>
      <c r="S401">
        <f>IF('03_Helper'!A401="","",'03_Helper'!AJ401)</f>
        <v/>
      </c>
      <c r="T401">
        <f>IF('03_Helper'!A401="","",'03_Helper'!U401)</f>
        <v/>
      </c>
      <c r="U401">
        <f>IF('03_Helper'!A401="","",'03_Helper'!W401)</f>
        <v/>
      </c>
      <c r="V401">
        <f>IF('03_Helper'!A401="","",'03_Helper'!AG401)</f>
        <v/>
      </c>
      <c r="W401">
        <f>IF('03_Helper'!A401="","",'03_Helper'!AK401)</f>
        <v/>
      </c>
      <c r="X401">
        <f>IF('03_Helper'!A401="","",'03_Helper'!K401)</f>
        <v/>
      </c>
      <c r="Y401">
        <f>IF('03_Helper'!A401="","",'03_Helper'!AN401)</f>
        <v/>
      </c>
    </row>
    <row r="402">
      <c r="A402">
        <f>IF('03_Helper'!A402="","",'03_Helper'!B402)</f>
        <v/>
      </c>
      <c r="B402">
        <f>IF('03_Helper'!A402="","",'03_Helper'!C402)</f>
        <v/>
      </c>
      <c r="C402">
        <f>IF('03_Helper'!A402="","",'03_Helper'!G402)</f>
        <v/>
      </c>
      <c r="D402">
        <f>IF('03_Helper'!A402="","",'03_Helper'!E402)</f>
        <v/>
      </c>
      <c r="E402">
        <f>IF('03_Helper'!A402="","",'03_Helper'!D402)</f>
        <v/>
      </c>
      <c r="F402">
        <f>IF('03_Helper'!A402="","",'03_Helper'!H402)</f>
        <v/>
      </c>
      <c r="G402">
        <f>IF('03_Helper'!A402="","",'03_Helper'!X402)</f>
        <v/>
      </c>
      <c r="H402">
        <f>IF('03_Helper'!A402="","",'03_Helper'!Y402)</f>
        <v/>
      </c>
      <c r="I402">
        <f>IF('03_Helper'!A402="","",'03_Helper'!Z402)</f>
        <v/>
      </c>
      <c r="J402">
        <f>IF('03_Helper'!A402="","",'03_Helper'!Q402)</f>
        <v/>
      </c>
      <c r="K402">
        <f>IF('03_Helper'!A402="","",'03_Helper'!R402)</f>
        <v/>
      </c>
      <c r="L402">
        <f>IF('03_Helper'!A402="","",'03_Helper'!S402)</f>
        <v/>
      </c>
      <c r="M402">
        <f>IF('03_Helper'!A402="","",'03_Helper'!T402)</f>
        <v/>
      </c>
      <c r="N402">
        <f>IF('03_Helper'!A402="","",'03_Helper'!AA402)</f>
        <v/>
      </c>
      <c r="O402">
        <f>IF('03_Helper'!A402="","",'03_Helper'!AB402)</f>
        <v/>
      </c>
      <c r="P402">
        <f>IF('03_Helper'!A402="","",'03_Helper'!AC402)</f>
        <v/>
      </c>
      <c r="Q402">
        <f>IF('03_Helper'!A402="","",'03_Helper'!AD402)</f>
        <v/>
      </c>
      <c r="R402">
        <f>IF('03_Helper'!A402="","",'03_Helper'!AI402)</f>
        <v/>
      </c>
      <c r="S402">
        <f>IF('03_Helper'!A402="","",'03_Helper'!AJ402)</f>
        <v/>
      </c>
      <c r="T402">
        <f>IF('03_Helper'!A402="","",'03_Helper'!U402)</f>
        <v/>
      </c>
      <c r="U402">
        <f>IF('03_Helper'!A402="","",'03_Helper'!W402)</f>
        <v/>
      </c>
      <c r="V402">
        <f>IF('03_Helper'!A402="","",'03_Helper'!AG402)</f>
        <v/>
      </c>
      <c r="W402">
        <f>IF('03_Helper'!A402="","",'03_Helper'!AK402)</f>
        <v/>
      </c>
      <c r="X402">
        <f>IF('03_Helper'!A402="","",'03_Helper'!K402)</f>
        <v/>
      </c>
      <c r="Y402">
        <f>IF('03_Helper'!A402="","",'03_Helper'!AN402)</f>
        <v/>
      </c>
    </row>
    <row r="403">
      <c r="A403">
        <f>IF('03_Helper'!A403="","",'03_Helper'!B403)</f>
        <v/>
      </c>
      <c r="B403">
        <f>IF('03_Helper'!A403="","",'03_Helper'!C403)</f>
        <v/>
      </c>
      <c r="C403">
        <f>IF('03_Helper'!A403="","",'03_Helper'!G403)</f>
        <v/>
      </c>
      <c r="D403">
        <f>IF('03_Helper'!A403="","",'03_Helper'!E403)</f>
        <v/>
      </c>
      <c r="E403">
        <f>IF('03_Helper'!A403="","",'03_Helper'!D403)</f>
        <v/>
      </c>
      <c r="F403">
        <f>IF('03_Helper'!A403="","",'03_Helper'!H403)</f>
        <v/>
      </c>
      <c r="G403">
        <f>IF('03_Helper'!A403="","",'03_Helper'!X403)</f>
        <v/>
      </c>
      <c r="H403">
        <f>IF('03_Helper'!A403="","",'03_Helper'!Y403)</f>
        <v/>
      </c>
      <c r="I403">
        <f>IF('03_Helper'!A403="","",'03_Helper'!Z403)</f>
        <v/>
      </c>
      <c r="J403">
        <f>IF('03_Helper'!A403="","",'03_Helper'!Q403)</f>
        <v/>
      </c>
      <c r="K403">
        <f>IF('03_Helper'!A403="","",'03_Helper'!R403)</f>
        <v/>
      </c>
      <c r="L403">
        <f>IF('03_Helper'!A403="","",'03_Helper'!S403)</f>
        <v/>
      </c>
      <c r="M403">
        <f>IF('03_Helper'!A403="","",'03_Helper'!T403)</f>
        <v/>
      </c>
      <c r="N403">
        <f>IF('03_Helper'!A403="","",'03_Helper'!AA403)</f>
        <v/>
      </c>
      <c r="O403">
        <f>IF('03_Helper'!A403="","",'03_Helper'!AB403)</f>
        <v/>
      </c>
      <c r="P403">
        <f>IF('03_Helper'!A403="","",'03_Helper'!AC403)</f>
        <v/>
      </c>
      <c r="Q403">
        <f>IF('03_Helper'!A403="","",'03_Helper'!AD403)</f>
        <v/>
      </c>
      <c r="R403">
        <f>IF('03_Helper'!A403="","",'03_Helper'!AI403)</f>
        <v/>
      </c>
      <c r="S403">
        <f>IF('03_Helper'!A403="","",'03_Helper'!AJ403)</f>
        <v/>
      </c>
      <c r="T403">
        <f>IF('03_Helper'!A403="","",'03_Helper'!U403)</f>
        <v/>
      </c>
      <c r="U403">
        <f>IF('03_Helper'!A403="","",'03_Helper'!W403)</f>
        <v/>
      </c>
      <c r="V403">
        <f>IF('03_Helper'!A403="","",'03_Helper'!AG403)</f>
        <v/>
      </c>
      <c r="W403">
        <f>IF('03_Helper'!A403="","",'03_Helper'!AK403)</f>
        <v/>
      </c>
      <c r="X403">
        <f>IF('03_Helper'!A403="","",'03_Helper'!K403)</f>
        <v/>
      </c>
      <c r="Y403">
        <f>IF('03_Helper'!A403="","",'03_Helper'!AN403)</f>
        <v/>
      </c>
    </row>
    <row r="404">
      <c r="A404">
        <f>IF('03_Helper'!A404="","",'03_Helper'!B404)</f>
        <v/>
      </c>
      <c r="B404">
        <f>IF('03_Helper'!A404="","",'03_Helper'!C404)</f>
        <v/>
      </c>
      <c r="C404">
        <f>IF('03_Helper'!A404="","",'03_Helper'!G404)</f>
        <v/>
      </c>
      <c r="D404">
        <f>IF('03_Helper'!A404="","",'03_Helper'!E404)</f>
        <v/>
      </c>
      <c r="E404">
        <f>IF('03_Helper'!A404="","",'03_Helper'!D404)</f>
        <v/>
      </c>
      <c r="F404">
        <f>IF('03_Helper'!A404="","",'03_Helper'!H404)</f>
        <v/>
      </c>
      <c r="G404">
        <f>IF('03_Helper'!A404="","",'03_Helper'!X404)</f>
        <v/>
      </c>
      <c r="H404">
        <f>IF('03_Helper'!A404="","",'03_Helper'!Y404)</f>
        <v/>
      </c>
      <c r="I404">
        <f>IF('03_Helper'!A404="","",'03_Helper'!Z404)</f>
        <v/>
      </c>
      <c r="J404">
        <f>IF('03_Helper'!A404="","",'03_Helper'!Q404)</f>
        <v/>
      </c>
      <c r="K404">
        <f>IF('03_Helper'!A404="","",'03_Helper'!R404)</f>
        <v/>
      </c>
      <c r="L404">
        <f>IF('03_Helper'!A404="","",'03_Helper'!S404)</f>
        <v/>
      </c>
      <c r="M404">
        <f>IF('03_Helper'!A404="","",'03_Helper'!T404)</f>
        <v/>
      </c>
      <c r="N404">
        <f>IF('03_Helper'!A404="","",'03_Helper'!AA404)</f>
        <v/>
      </c>
      <c r="O404">
        <f>IF('03_Helper'!A404="","",'03_Helper'!AB404)</f>
        <v/>
      </c>
      <c r="P404">
        <f>IF('03_Helper'!A404="","",'03_Helper'!AC404)</f>
        <v/>
      </c>
      <c r="Q404">
        <f>IF('03_Helper'!A404="","",'03_Helper'!AD404)</f>
        <v/>
      </c>
      <c r="R404">
        <f>IF('03_Helper'!A404="","",'03_Helper'!AI404)</f>
        <v/>
      </c>
      <c r="S404">
        <f>IF('03_Helper'!A404="","",'03_Helper'!AJ404)</f>
        <v/>
      </c>
      <c r="T404">
        <f>IF('03_Helper'!A404="","",'03_Helper'!U404)</f>
        <v/>
      </c>
      <c r="U404">
        <f>IF('03_Helper'!A404="","",'03_Helper'!W404)</f>
        <v/>
      </c>
      <c r="V404">
        <f>IF('03_Helper'!A404="","",'03_Helper'!AG404)</f>
        <v/>
      </c>
      <c r="W404">
        <f>IF('03_Helper'!A404="","",'03_Helper'!AK404)</f>
        <v/>
      </c>
      <c r="X404">
        <f>IF('03_Helper'!A404="","",'03_Helper'!K404)</f>
        <v/>
      </c>
      <c r="Y404">
        <f>IF('03_Helper'!A404="","",'03_Helper'!AN404)</f>
        <v/>
      </c>
    </row>
    <row r="405">
      <c r="A405">
        <f>IF('03_Helper'!A405="","",'03_Helper'!B405)</f>
        <v/>
      </c>
      <c r="B405">
        <f>IF('03_Helper'!A405="","",'03_Helper'!C405)</f>
        <v/>
      </c>
      <c r="C405">
        <f>IF('03_Helper'!A405="","",'03_Helper'!G405)</f>
        <v/>
      </c>
      <c r="D405">
        <f>IF('03_Helper'!A405="","",'03_Helper'!E405)</f>
        <v/>
      </c>
      <c r="E405">
        <f>IF('03_Helper'!A405="","",'03_Helper'!D405)</f>
        <v/>
      </c>
      <c r="F405">
        <f>IF('03_Helper'!A405="","",'03_Helper'!H405)</f>
        <v/>
      </c>
      <c r="G405">
        <f>IF('03_Helper'!A405="","",'03_Helper'!X405)</f>
        <v/>
      </c>
      <c r="H405">
        <f>IF('03_Helper'!A405="","",'03_Helper'!Y405)</f>
        <v/>
      </c>
      <c r="I405">
        <f>IF('03_Helper'!A405="","",'03_Helper'!Z405)</f>
        <v/>
      </c>
      <c r="J405">
        <f>IF('03_Helper'!A405="","",'03_Helper'!Q405)</f>
        <v/>
      </c>
      <c r="K405">
        <f>IF('03_Helper'!A405="","",'03_Helper'!R405)</f>
        <v/>
      </c>
      <c r="L405">
        <f>IF('03_Helper'!A405="","",'03_Helper'!S405)</f>
        <v/>
      </c>
      <c r="M405">
        <f>IF('03_Helper'!A405="","",'03_Helper'!T405)</f>
        <v/>
      </c>
      <c r="N405">
        <f>IF('03_Helper'!A405="","",'03_Helper'!AA405)</f>
        <v/>
      </c>
      <c r="O405">
        <f>IF('03_Helper'!A405="","",'03_Helper'!AB405)</f>
        <v/>
      </c>
      <c r="P405">
        <f>IF('03_Helper'!A405="","",'03_Helper'!AC405)</f>
        <v/>
      </c>
      <c r="Q405">
        <f>IF('03_Helper'!A405="","",'03_Helper'!AD405)</f>
        <v/>
      </c>
      <c r="R405">
        <f>IF('03_Helper'!A405="","",'03_Helper'!AI405)</f>
        <v/>
      </c>
      <c r="S405">
        <f>IF('03_Helper'!A405="","",'03_Helper'!AJ405)</f>
        <v/>
      </c>
      <c r="T405">
        <f>IF('03_Helper'!A405="","",'03_Helper'!U405)</f>
        <v/>
      </c>
      <c r="U405">
        <f>IF('03_Helper'!A405="","",'03_Helper'!W405)</f>
        <v/>
      </c>
      <c r="V405">
        <f>IF('03_Helper'!A405="","",'03_Helper'!AG405)</f>
        <v/>
      </c>
      <c r="W405">
        <f>IF('03_Helper'!A405="","",'03_Helper'!AK405)</f>
        <v/>
      </c>
      <c r="X405">
        <f>IF('03_Helper'!A405="","",'03_Helper'!K405)</f>
        <v/>
      </c>
      <c r="Y405">
        <f>IF('03_Helper'!A405="","",'03_Helper'!AN405)</f>
        <v/>
      </c>
    </row>
    <row r="406">
      <c r="A406">
        <f>IF('03_Helper'!A406="","",'03_Helper'!B406)</f>
        <v/>
      </c>
      <c r="B406">
        <f>IF('03_Helper'!A406="","",'03_Helper'!C406)</f>
        <v/>
      </c>
      <c r="C406">
        <f>IF('03_Helper'!A406="","",'03_Helper'!G406)</f>
        <v/>
      </c>
      <c r="D406">
        <f>IF('03_Helper'!A406="","",'03_Helper'!E406)</f>
        <v/>
      </c>
      <c r="E406">
        <f>IF('03_Helper'!A406="","",'03_Helper'!D406)</f>
        <v/>
      </c>
      <c r="F406">
        <f>IF('03_Helper'!A406="","",'03_Helper'!H406)</f>
        <v/>
      </c>
      <c r="G406">
        <f>IF('03_Helper'!A406="","",'03_Helper'!X406)</f>
        <v/>
      </c>
      <c r="H406">
        <f>IF('03_Helper'!A406="","",'03_Helper'!Y406)</f>
        <v/>
      </c>
      <c r="I406">
        <f>IF('03_Helper'!A406="","",'03_Helper'!Z406)</f>
        <v/>
      </c>
      <c r="J406">
        <f>IF('03_Helper'!A406="","",'03_Helper'!Q406)</f>
        <v/>
      </c>
      <c r="K406">
        <f>IF('03_Helper'!A406="","",'03_Helper'!R406)</f>
        <v/>
      </c>
      <c r="L406">
        <f>IF('03_Helper'!A406="","",'03_Helper'!S406)</f>
        <v/>
      </c>
      <c r="M406">
        <f>IF('03_Helper'!A406="","",'03_Helper'!T406)</f>
        <v/>
      </c>
      <c r="N406">
        <f>IF('03_Helper'!A406="","",'03_Helper'!AA406)</f>
        <v/>
      </c>
      <c r="O406">
        <f>IF('03_Helper'!A406="","",'03_Helper'!AB406)</f>
        <v/>
      </c>
      <c r="P406">
        <f>IF('03_Helper'!A406="","",'03_Helper'!AC406)</f>
        <v/>
      </c>
      <c r="Q406">
        <f>IF('03_Helper'!A406="","",'03_Helper'!AD406)</f>
        <v/>
      </c>
      <c r="R406">
        <f>IF('03_Helper'!A406="","",'03_Helper'!AI406)</f>
        <v/>
      </c>
      <c r="S406">
        <f>IF('03_Helper'!A406="","",'03_Helper'!AJ406)</f>
        <v/>
      </c>
      <c r="T406">
        <f>IF('03_Helper'!A406="","",'03_Helper'!U406)</f>
        <v/>
      </c>
      <c r="U406">
        <f>IF('03_Helper'!A406="","",'03_Helper'!W406)</f>
        <v/>
      </c>
      <c r="V406">
        <f>IF('03_Helper'!A406="","",'03_Helper'!AG406)</f>
        <v/>
      </c>
      <c r="W406">
        <f>IF('03_Helper'!A406="","",'03_Helper'!AK406)</f>
        <v/>
      </c>
      <c r="X406">
        <f>IF('03_Helper'!A406="","",'03_Helper'!K406)</f>
        <v/>
      </c>
      <c r="Y406">
        <f>IF('03_Helper'!A406="","",'03_Helper'!AN406)</f>
        <v/>
      </c>
    </row>
    <row r="407">
      <c r="A407">
        <f>IF('03_Helper'!A407="","",'03_Helper'!B407)</f>
        <v/>
      </c>
      <c r="B407">
        <f>IF('03_Helper'!A407="","",'03_Helper'!C407)</f>
        <v/>
      </c>
      <c r="C407">
        <f>IF('03_Helper'!A407="","",'03_Helper'!G407)</f>
        <v/>
      </c>
      <c r="D407">
        <f>IF('03_Helper'!A407="","",'03_Helper'!E407)</f>
        <v/>
      </c>
      <c r="E407">
        <f>IF('03_Helper'!A407="","",'03_Helper'!D407)</f>
        <v/>
      </c>
      <c r="F407">
        <f>IF('03_Helper'!A407="","",'03_Helper'!H407)</f>
        <v/>
      </c>
      <c r="G407">
        <f>IF('03_Helper'!A407="","",'03_Helper'!X407)</f>
        <v/>
      </c>
      <c r="H407">
        <f>IF('03_Helper'!A407="","",'03_Helper'!Y407)</f>
        <v/>
      </c>
      <c r="I407">
        <f>IF('03_Helper'!A407="","",'03_Helper'!Z407)</f>
        <v/>
      </c>
      <c r="J407">
        <f>IF('03_Helper'!A407="","",'03_Helper'!Q407)</f>
        <v/>
      </c>
      <c r="K407">
        <f>IF('03_Helper'!A407="","",'03_Helper'!R407)</f>
        <v/>
      </c>
      <c r="L407">
        <f>IF('03_Helper'!A407="","",'03_Helper'!S407)</f>
        <v/>
      </c>
      <c r="M407">
        <f>IF('03_Helper'!A407="","",'03_Helper'!T407)</f>
        <v/>
      </c>
      <c r="N407">
        <f>IF('03_Helper'!A407="","",'03_Helper'!AA407)</f>
        <v/>
      </c>
      <c r="O407">
        <f>IF('03_Helper'!A407="","",'03_Helper'!AB407)</f>
        <v/>
      </c>
      <c r="P407">
        <f>IF('03_Helper'!A407="","",'03_Helper'!AC407)</f>
        <v/>
      </c>
      <c r="Q407">
        <f>IF('03_Helper'!A407="","",'03_Helper'!AD407)</f>
        <v/>
      </c>
      <c r="R407">
        <f>IF('03_Helper'!A407="","",'03_Helper'!AI407)</f>
        <v/>
      </c>
      <c r="S407">
        <f>IF('03_Helper'!A407="","",'03_Helper'!AJ407)</f>
        <v/>
      </c>
      <c r="T407">
        <f>IF('03_Helper'!A407="","",'03_Helper'!U407)</f>
        <v/>
      </c>
      <c r="U407">
        <f>IF('03_Helper'!A407="","",'03_Helper'!W407)</f>
        <v/>
      </c>
      <c r="V407">
        <f>IF('03_Helper'!A407="","",'03_Helper'!AG407)</f>
        <v/>
      </c>
      <c r="W407">
        <f>IF('03_Helper'!A407="","",'03_Helper'!AK407)</f>
        <v/>
      </c>
      <c r="X407">
        <f>IF('03_Helper'!A407="","",'03_Helper'!K407)</f>
        <v/>
      </c>
      <c r="Y407">
        <f>IF('03_Helper'!A407="","",'03_Helper'!AN407)</f>
        <v/>
      </c>
    </row>
    <row r="408">
      <c r="A408">
        <f>IF('03_Helper'!A408="","",'03_Helper'!B408)</f>
        <v/>
      </c>
      <c r="B408">
        <f>IF('03_Helper'!A408="","",'03_Helper'!C408)</f>
        <v/>
      </c>
      <c r="C408">
        <f>IF('03_Helper'!A408="","",'03_Helper'!G408)</f>
        <v/>
      </c>
      <c r="D408">
        <f>IF('03_Helper'!A408="","",'03_Helper'!E408)</f>
        <v/>
      </c>
      <c r="E408">
        <f>IF('03_Helper'!A408="","",'03_Helper'!D408)</f>
        <v/>
      </c>
      <c r="F408">
        <f>IF('03_Helper'!A408="","",'03_Helper'!H408)</f>
        <v/>
      </c>
      <c r="G408">
        <f>IF('03_Helper'!A408="","",'03_Helper'!X408)</f>
        <v/>
      </c>
      <c r="H408">
        <f>IF('03_Helper'!A408="","",'03_Helper'!Y408)</f>
        <v/>
      </c>
      <c r="I408">
        <f>IF('03_Helper'!A408="","",'03_Helper'!Z408)</f>
        <v/>
      </c>
      <c r="J408">
        <f>IF('03_Helper'!A408="","",'03_Helper'!Q408)</f>
        <v/>
      </c>
      <c r="K408">
        <f>IF('03_Helper'!A408="","",'03_Helper'!R408)</f>
        <v/>
      </c>
      <c r="L408">
        <f>IF('03_Helper'!A408="","",'03_Helper'!S408)</f>
        <v/>
      </c>
      <c r="M408">
        <f>IF('03_Helper'!A408="","",'03_Helper'!T408)</f>
        <v/>
      </c>
      <c r="N408">
        <f>IF('03_Helper'!A408="","",'03_Helper'!AA408)</f>
        <v/>
      </c>
      <c r="O408">
        <f>IF('03_Helper'!A408="","",'03_Helper'!AB408)</f>
        <v/>
      </c>
      <c r="P408">
        <f>IF('03_Helper'!A408="","",'03_Helper'!AC408)</f>
        <v/>
      </c>
      <c r="Q408">
        <f>IF('03_Helper'!A408="","",'03_Helper'!AD408)</f>
        <v/>
      </c>
      <c r="R408">
        <f>IF('03_Helper'!A408="","",'03_Helper'!AI408)</f>
        <v/>
      </c>
      <c r="S408">
        <f>IF('03_Helper'!A408="","",'03_Helper'!AJ408)</f>
        <v/>
      </c>
      <c r="T408">
        <f>IF('03_Helper'!A408="","",'03_Helper'!U408)</f>
        <v/>
      </c>
      <c r="U408">
        <f>IF('03_Helper'!A408="","",'03_Helper'!W408)</f>
        <v/>
      </c>
      <c r="V408">
        <f>IF('03_Helper'!A408="","",'03_Helper'!AG408)</f>
        <v/>
      </c>
      <c r="W408">
        <f>IF('03_Helper'!A408="","",'03_Helper'!AK408)</f>
        <v/>
      </c>
      <c r="X408">
        <f>IF('03_Helper'!A408="","",'03_Helper'!K408)</f>
        <v/>
      </c>
      <c r="Y408">
        <f>IF('03_Helper'!A408="","",'03_Helper'!AN408)</f>
        <v/>
      </c>
    </row>
    <row r="409">
      <c r="A409">
        <f>IF('03_Helper'!A409="","",'03_Helper'!B409)</f>
        <v/>
      </c>
      <c r="B409">
        <f>IF('03_Helper'!A409="","",'03_Helper'!C409)</f>
        <v/>
      </c>
      <c r="C409">
        <f>IF('03_Helper'!A409="","",'03_Helper'!G409)</f>
        <v/>
      </c>
      <c r="D409">
        <f>IF('03_Helper'!A409="","",'03_Helper'!E409)</f>
        <v/>
      </c>
      <c r="E409">
        <f>IF('03_Helper'!A409="","",'03_Helper'!D409)</f>
        <v/>
      </c>
      <c r="F409">
        <f>IF('03_Helper'!A409="","",'03_Helper'!H409)</f>
        <v/>
      </c>
      <c r="G409">
        <f>IF('03_Helper'!A409="","",'03_Helper'!X409)</f>
        <v/>
      </c>
      <c r="H409">
        <f>IF('03_Helper'!A409="","",'03_Helper'!Y409)</f>
        <v/>
      </c>
      <c r="I409">
        <f>IF('03_Helper'!A409="","",'03_Helper'!Z409)</f>
        <v/>
      </c>
      <c r="J409">
        <f>IF('03_Helper'!A409="","",'03_Helper'!Q409)</f>
        <v/>
      </c>
      <c r="K409">
        <f>IF('03_Helper'!A409="","",'03_Helper'!R409)</f>
        <v/>
      </c>
      <c r="L409">
        <f>IF('03_Helper'!A409="","",'03_Helper'!S409)</f>
        <v/>
      </c>
      <c r="M409">
        <f>IF('03_Helper'!A409="","",'03_Helper'!T409)</f>
        <v/>
      </c>
      <c r="N409">
        <f>IF('03_Helper'!A409="","",'03_Helper'!AA409)</f>
        <v/>
      </c>
      <c r="O409">
        <f>IF('03_Helper'!A409="","",'03_Helper'!AB409)</f>
        <v/>
      </c>
      <c r="P409">
        <f>IF('03_Helper'!A409="","",'03_Helper'!AC409)</f>
        <v/>
      </c>
      <c r="Q409">
        <f>IF('03_Helper'!A409="","",'03_Helper'!AD409)</f>
        <v/>
      </c>
      <c r="R409">
        <f>IF('03_Helper'!A409="","",'03_Helper'!AI409)</f>
        <v/>
      </c>
      <c r="S409">
        <f>IF('03_Helper'!A409="","",'03_Helper'!AJ409)</f>
        <v/>
      </c>
      <c r="T409">
        <f>IF('03_Helper'!A409="","",'03_Helper'!U409)</f>
        <v/>
      </c>
      <c r="U409">
        <f>IF('03_Helper'!A409="","",'03_Helper'!W409)</f>
        <v/>
      </c>
      <c r="V409">
        <f>IF('03_Helper'!A409="","",'03_Helper'!AG409)</f>
        <v/>
      </c>
      <c r="W409">
        <f>IF('03_Helper'!A409="","",'03_Helper'!AK409)</f>
        <v/>
      </c>
      <c r="X409">
        <f>IF('03_Helper'!A409="","",'03_Helper'!K409)</f>
        <v/>
      </c>
      <c r="Y409">
        <f>IF('03_Helper'!A409="","",'03_Helper'!AN409)</f>
        <v/>
      </c>
    </row>
    <row r="410">
      <c r="A410">
        <f>IF('03_Helper'!A410="","",'03_Helper'!B410)</f>
        <v/>
      </c>
      <c r="B410">
        <f>IF('03_Helper'!A410="","",'03_Helper'!C410)</f>
        <v/>
      </c>
      <c r="C410">
        <f>IF('03_Helper'!A410="","",'03_Helper'!G410)</f>
        <v/>
      </c>
      <c r="D410">
        <f>IF('03_Helper'!A410="","",'03_Helper'!E410)</f>
        <v/>
      </c>
      <c r="E410">
        <f>IF('03_Helper'!A410="","",'03_Helper'!D410)</f>
        <v/>
      </c>
      <c r="F410">
        <f>IF('03_Helper'!A410="","",'03_Helper'!H410)</f>
        <v/>
      </c>
      <c r="G410">
        <f>IF('03_Helper'!A410="","",'03_Helper'!X410)</f>
        <v/>
      </c>
      <c r="H410">
        <f>IF('03_Helper'!A410="","",'03_Helper'!Y410)</f>
        <v/>
      </c>
      <c r="I410">
        <f>IF('03_Helper'!A410="","",'03_Helper'!Z410)</f>
        <v/>
      </c>
      <c r="J410">
        <f>IF('03_Helper'!A410="","",'03_Helper'!Q410)</f>
        <v/>
      </c>
      <c r="K410">
        <f>IF('03_Helper'!A410="","",'03_Helper'!R410)</f>
        <v/>
      </c>
      <c r="L410">
        <f>IF('03_Helper'!A410="","",'03_Helper'!S410)</f>
        <v/>
      </c>
      <c r="M410">
        <f>IF('03_Helper'!A410="","",'03_Helper'!T410)</f>
        <v/>
      </c>
      <c r="N410">
        <f>IF('03_Helper'!A410="","",'03_Helper'!AA410)</f>
        <v/>
      </c>
      <c r="O410">
        <f>IF('03_Helper'!A410="","",'03_Helper'!AB410)</f>
        <v/>
      </c>
      <c r="P410">
        <f>IF('03_Helper'!A410="","",'03_Helper'!AC410)</f>
        <v/>
      </c>
      <c r="Q410">
        <f>IF('03_Helper'!A410="","",'03_Helper'!AD410)</f>
        <v/>
      </c>
      <c r="R410">
        <f>IF('03_Helper'!A410="","",'03_Helper'!AI410)</f>
        <v/>
      </c>
      <c r="S410">
        <f>IF('03_Helper'!A410="","",'03_Helper'!AJ410)</f>
        <v/>
      </c>
      <c r="T410">
        <f>IF('03_Helper'!A410="","",'03_Helper'!U410)</f>
        <v/>
      </c>
      <c r="U410">
        <f>IF('03_Helper'!A410="","",'03_Helper'!W410)</f>
        <v/>
      </c>
      <c r="V410">
        <f>IF('03_Helper'!A410="","",'03_Helper'!AG410)</f>
        <v/>
      </c>
      <c r="W410">
        <f>IF('03_Helper'!A410="","",'03_Helper'!AK410)</f>
        <v/>
      </c>
      <c r="X410">
        <f>IF('03_Helper'!A410="","",'03_Helper'!K410)</f>
        <v/>
      </c>
      <c r="Y410">
        <f>IF('03_Helper'!A410="","",'03_Helper'!AN410)</f>
        <v/>
      </c>
    </row>
    <row r="411">
      <c r="A411">
        <f>IF('03_Helper'!A411="","",'03_Helper'!B411)</f>
        <v/>
      </c>
      <c r="B411">
        <f>IF('03_Helper'!A411="","",'03_Helper'!C411)</f>
        <v/>
      </c>
      <c r="C411">
        <f>IF('03_Helper'!A411="","",'03_Helper'!G411)</f>
        <v/>
      </c>
      <c r="D411">
        <f>IF('03_Helper'!A411="","",'03_Helper'!E411)</f>
        <v/>
      </c>
      <c r="E411">
        <f>IF('03_Helper'!A411="","",'03_Helper'!D411)</f>
        <v/>
      </c>
      <c r="F411">
        <f>IF('03_Helper'!A411="","",'03_Helper'!H411)</f>
        <v/>
      </c>
      <c r="G411">
        <f>IF('03_Helper'!A411="","",'03_Helper'!X411)</f>
        <v/>
      </c>
      <c r="H411">
        <f>IF('03_Helper'!A411="","",'03_Helper'!Y411)</f>
        <v/>
      </c>
      <c r="I411">
        <f>IF('03_Helper'!A411="","",'03_Helper'!Z411)</f>
        <v/>
      </c>
      <c r="J411">
        <f>IF('03_Helper'!A411="","",'03_Helper'!Q411)</f>
        <v/>
      </c>
      <c r="K411">
        <f>IF('03_Helper'!A411="","",'03_Helper'!R411)</f>
        <v/>
      </c>
      <c r="L411">
        <f>IF('03_Helper'!A411="","",'03_Helper'!S411)</f>
        <v/>
      </c>
      <c r="M411">
        <f>IF('03_Helper'!A411="","",'03_Helper'!T411)</f>
        <v/>
      </c>
      <c r="N411">
        <f>IF('03_Helper'!A411="","",'03_Helper'!AA411)</f>
        <v/>
      </c>
      <c r="O411">
        <f>IF('03_Helper'!A411="","",'03_Helper'!AB411)</f>
        <v/>
      </c>
      <c r="P411">
        <f>IF('03_Helper'!A411="","",'03_Helper'!AC411)</f>
        <v/>
      </c>
      <c r="Q411">
        <f>IF('03_Helper'!A411="","",'03_Helper'!AD411)</f>
        <v/>
      </c>
      <c r="R411">
        <f>IF('03_Helper'!A411="","",'03_Helper'!AI411)</f>
        <v/>
      </c>
      <c r="S411">
        <f>IF('03_Helper'!A411="","",'03_Helper'!AJ411)</f>
        <v/>
      </c>
      <c r="T411">
        <f>IF('03_Helper'!A411="","",'03_Helper'!U411)</f>
        <v/>
      </c>
      <c r="U411">
        <f>IF('03_Helper'!A411="","",'03_Helper'!W411)</f>
        <v/>
      </c>
      <c r="V411">
        <f>IF('03_Helper'!A411="","",'03_Helper'!AG411)</f>
        <v/>
      </c>
      <c r="W411">
        <f>IF('03_Helper'!A411="","",'03_Helper'!AK411)</f>
        <v/>
      </c>
      <c r="X411">
        <f>IF('03_Helper'!A411="","",'03_Helper'!K411)</f>
        <v/>
      </c>
      <c r="Y411">
        <f>IF('03_Helper'!A411="","",'03_Helper'!AN411)</f>
        <v/>
      </c>
    </row>
    <row r="412">
      <c r="A412">
        <f>IF('03_Helper'!A412="","",'03_Helper'!B412)</f>
        <v/>
      </c>
      <c r="B412">
        <f>IF('03_Helper'!A412="","",'03_Helper'!C412)</f>
        <v/>
      </c>
      <c r="C412">
        <f>IF('03_Helper'!A412="","",'03_Helper'!G412)</f>
        <v/>
      </c>
      <c r="D412">
        <f>IF('03_Helper'!A412="","",'03_Helper'!E412)</f>
        <v/>
      </c>
      <c r="E412">
        <f>IF('03_Helper'!A412="","",'03_Helper'!D412)</f>
        <v/>
      </c>
      <c r="F412">
        <f>IF('03_Helper'!A412="","",'03_Helper'!H412)</f>
        <v/>
      </c>
      <c r="G412">
        <f>IF('03_Helper'!A412="","",'03_Helper'!X412)</f>
        <v/>
      </c>
      <c r="H412">
        <f>IF('03_Helper'!A412="","",'03_Helper'!Y412)</f>
        <v/>
      </c>
      <c r="I412">
        <f>IF('03_Helper'!A412="","",'03_Helper'!Z412)</f>
        <v/>
      </c>
      <c r="J412">
        <f>IF('03_Helper'!A412="","",'03_Helper'!Q412)</f>
        <v/>
      </c>
      <c r="K412">
        <f>IF('03_Helper'!A412="","",'03_Helper'!R412)</f>
        <v/>
      </c>
      <c r="L412">
        <f>IF('03_Helper'!A412="","",'03_Helper'!S412)</f>
        <v/>
      </c>
      <c r="M412">
        <f>IF('03_Helper'!A412="","",'03_Helper'!T412)</f>
        <v/>
      </c>
      <c r="N412">
        <f>IF('03_Helper'!A412="","",'03_Helper'!AA412)</f>
        <v/>
      </c>
      <c r="O412">
        <f>IF('03_Helper'!A412="","",'03_Helper'!AB412)</f>
        <v/>
      </c>
      <c r="P412">
        <f>IF('03_Helper'!A412="","",'03_Helper'!AC412)</f>
        <v/>
      </c>
      <c r="Q412">
        <f>IF('03_Helper'!A412="","",'03_Helper'!AD412)</f>
        <v/>
      </c>
      <c r="R412">
        <f>IF('03_Helper'!A412="","",'03_Helper'!AI412)</f>
        <v/>
      </c>
      <c r="S412">
        <f>IF('03_Helper'!A412="","",'03_Helper'!AJ412)</f>
        <v/>
      </c>
      <c r="T412">
        <f>IF('03_Helper'!A412="","",'03_Helper'!U412)</f>
        <v/>
      </c>
      <c r="U412">
        <f>IF('03_Helper'!A412="","",'03_Helper'!W412)</f>
        <v/>
      </c>
      <c r="V412">
        <f>IF('03_Helper'!A412="","",'03_Helper'!AG412)</f>
        <v/>
      </c>
      <c r="W412">
        <f>IF('03_Helper'!A412="","",'03_Helper'!AK412)</f>
        <v/>
      </c>
      <c r="X412">
        <f>IF('03_Helper'!A412="","",'03_Helper'!K412)</f>
        <v/>
      </c>
      <c r="Y412">
        <f>IF('03_Helper'!A412="","",'03_Helper'!AN412)</f>
        <v/>
      </c>
    </row>
    <row r="413">
      <c r="A413">
        <f>IF('03_Helper'!A413="","",'03_Helper'!B413)</f>
        <v/>
      </c>
      <c r="B413">
        <f>IF('03_Helper'!A413="","",'03_Helper'!C413)</f>
        <v/>
      </c>
      <c r="C413">
        <f>IF('03_Helper'!A413="","",'03_Helper'!G413)</f>
        <v/>
      </c>
      <c r="D413">
        <f>IF('03_Helper'!A413="","",'03_Helper'!E413)</f>
        <v/>
      </c>
      <c r="E413">
        <f>IF('03_Helper'!A413="","",'03_Helper'!D413)</f>
        <v/>
      </c>
      <c r="F413">
        <f>IF('03_Helper'!A413="","",'03_Helper'!H413)</f>
        <v/>
      </c>
      <c r="G413">
        <f>IF('03_Helper'!A413="","",'03_Helper'!X413)</f>
        <v/>
      </c>
      <c r="H413">
        <f>IF('03_Helper'!A413="","",'03_Helper'!Y413)</f>
        <v/>
      </c>
      <c r="I413">
        <f>IF('03_Helper'!A413="","",'03_Helper'!Z413)</f>
        <v/>
      </c>
      <c r="J413">
        <f>IF('03_Helper'!A413="","",'03_Helper'!Q413)</f>
        <v/>
      </c>
      <c r="K413">
        <f>IF('03_Helper'!A413="","",'03_Helper'!R413)</f>
        <v/>
      </c>
      <c r="L413">
        <f>IF('03_Helper'!A413="","",'03_Helper'!S413)</f>
        <v/>
      </c>
      <c r="M413">
        <f>IF('03_Helper'!A413="","",'03_Helper'!T413)</f>
        <v/>
      </c>
      <c r="N413">
        <f>IF('03_Helper'!A413="","",'03_Helper'!AA413)</f>
        <v/>
      </c>
      <c r="O413">
        <f>IF('03_Helper'!A413="","",'03_Helper'!AB413)</f>
        <v/>
      </c>
      <c r="P413">
        <f>IF('03_Helper'!A413="","",'03_Helper'!AC413)</f>
        <v/>
      </c>
      <c r="Q413">
        <f>IF('03_Helper'!A413="","",'03_Helper'!AD413)</f>
        <v/>
      </c>
      <c r="R413">
        <f>IF('03_Helper'!A413="","",'03_Helper'!AI413)</f>
        <v/>
      </c>
      <c r="S413">
        <f>IF('03_Helper'!A413="","",'03_Helper'!AJ413)</f>
        <v/>
      </c>
      <c r="T413">
        <f>IF('03_Helper'!A413="","",'03_Helper'!U413)</f>
        <v/>
      </c>
      <c r="U413">
        <f>IF('03_Helper'!A413="","",'03_Helper'!W413)</f>
        <v/>
      </c>
      <c r="V413">
        <f>IF('03_Helper'!A413="","",'03_Helper'!AG413)</f>
        <v/>
      </c>
      <c r="W413">
        <f>IF('03_Helper'!A413="","",'03_Helper'!AK413)</f>
        <v/>
      </c>
      <c r="X413">
        <f>IF('03_Helper'!A413="","",'03_Helper'!K413)</f>
        <v/>
      </c>
      <c r="Y413">
        <f>IF('03_Helper'!A413="","",'03_Helper'!AN413)</f>
        <v/>
      </c>
    </row>
    <row r="414">
      <c r="A414">
        <f>IF('03_Helper'!A414="","",'03_Helper'!B414)</f>
        <v/>
      </c>
      <c r="B414">
        <f>IF('03_Helper'!A414="","",'03_Helper'!C414)</f>
        <v/>
      </c>
      <c r="C414">
        <f>IF('03_Helper'!A414="","",'03_Helper'!G414)</f>
        <v/>
      </c>
      <c r="D414">
        <f>IF('03_Helper'!A414="","",'03_Helper'!E414)</f>
        <v/>
      </c>
      <c r="E414">
        <f>IF('03_Helper'!A414="","",'03_Helper'!D414)</f>
        <v/>
      </c>
      <c r="F414">
        <f>IF('03_Helper'!A414="","",'03_Helper'!H414)</f>
        <v/>
      </c>
      <c r="G414">
        <f>IF('03_Helper'!A414="","",'03_Helper'!X414)</f>
        <v/>
      </c>
      <c r="H414">
        <f>IF('03_Helper'!A414="","",'03_Helper'!Y414)</f>
        <v/>
      </c>
      <c r="I414">
        <f>IF('03_Helper'!A414="","",'03_Helper'!Z414)</f>
        <v/>
      </c>
      <c r="J414">
        <f>IF('03_Helper'!A414="","",'03_Helper'!Q414)</f>
        <v/>
      </c>
      <c r="K414">
        <f>IF('03_Helper'!A414="","",'03_Helper'!R414)</f>
        <v/>
      </c>
      <c r="L414">
        <f>IF('03_Helper'!A414="","",'03_Helper'!S414)</f>
        <v/>
      </c>
      <c r="M414">
        <f>IF('03_Helper'!A414="","",'03_Helper'!T414)</f>
        <v/>
      </c>
      <c r="N414">
        <f>IF('03_Helper'!A414="","",'03_Helper'!AA414)</f>
        <v/>
      </c>
      <c r="O414">
        <f>IF('03_Helper'!A414="","",'03_Helper'!AB414)</f>
        <v/>
      </c>
      <c r="P414">
        <f>IF('03_Helper'!A414="","",'03_Helper'!AC414)</f>
        <v/>
      </c>
      <c r="Q414">
        <f>IF('03_Helper'!A414="","",'03_Helper'!AD414)</f>
        <v/>
      </c>
      <c r="R414">
        <f>IF('03_Helper'!A414="","",'03_Helper'!AI414)</f>
        <v/>
      </c>
      <c r="S414">
        <f>IF('03_Helper'!A414="","",'03_Helper'!AJ414)</f>
        <v/>
      </c>
      <c r="T414">
        <f>IF('03_Helper'!A414="","",'03_Helper'!U414)</f>
        <v/>
      </c>
      <c r="U414">
        <f>IF('03_Helper'!A414="","",'03_Helper'!W414)</f>
        <v/>
      </c>
      <c r="V414">
        <f>IF('03_Helper'!A414="","",'03_Helper'!AG414)</f>
        <v/>
      </c>
      <c r="W414">
        <f>IF('03_Helper'!A414="","",'03_Helper'!AK414)</f>
        <v/>
      </c>
      <c r="X414">
        <f>IF('03_Helper'!A414="","",'03_Helper'!K414)</f>
        <v/>
      </c>
      <c r="Y414">
        <f>IF('03_Helper'!A414="","",'03_Helper'!AN414)</f>
        <v/>
      </c>
    </row>
    <row r="415">
      <c r="A415">
        <f>IF('03_Helper'!A415="","",'03_Helper'!B415)</f>
        <v/>
      </c>
      <c r="B415">
        <f>IF('03_Helper'!A415="","",'03_Helper'!C415)</f>
        <v/>
      </c>
      <c r="C415">
        <f>IF('03_Helper'!A415="","",'03_Helper'!G415)</f>
        <v/>
      </c>
      <c r="D415">
        <f>IF('03_Helper'!A415="","",'03_Helper'!E415)</f>
        <v/>
      </c>
      <c r="E415">
        <f>IF('03_Helper'!A415="","",'03_Helper'!D415)</f>
        <v/>
      </c>
      <c r="F415">
        <f>IF('03_Helper'!A415="","",'03_Helper'!H415)</f>
        <v/>
      </c>
      <c r="G415">
        <f>IF('03_Helper'!A415="","",'03_Helper'!X415)</f>
        <v/>
      </c>
      <c r="H415">
        <f>IF('03_Helper'!A415="","",'03_Helper'!Y415)</f>
        <v/>
      </c>
      <c r="I415">
        <f>IF('03_Helper'!A415="","",'03_Helper'!Z415)</f>
        <v/>
      </c>
      <c r="J415">
        <f>IF('03_Helper'!A415="","",'03_Helper'!Q415)</f>
        <v/>
      </c>
      <c r="K415">
        <f>IF('03_Helper'!A415="","",'03_Helper'!R415)</f>
        <v/>
      </c>
      <c r="L415">
        <f>IF('03_Helper'!A415="","",'03_Helper'!S415)</f>
        <v/>
      </c>
      <c r="M415">
        <f>IF('03_Helper'!A415="","",'03_Helper'!T415)</f>
        <v/>
      </c>
      <c r="N415">
        <f>IF('03_Helper'!A415="","",'03_Helper'!AA415)</f>
        <v/>
      </c>
      <c r="O415">
        <f>IF('03_Helper'!A415="","",'03_Helper'!AB415)</f>
        <v/>
      </c>
      <c r="P415">
        <f>IF('03_Helper'!A415="","",'03_Helper'!AC415)</f>
        <v/>
      </c>
      <c r="Q415">
        <f>IF('03_Helper'!A415="","",'03_Helper'!AD415)</f>
        <v/>
      </c>
      <c r="R415">
        <f>IF('03_Helper'!A415="","",'03_Helper'!AI415)</f>
        <v/>
      </c>
      <c r="S415">
        <f>IF('03_Helper'!A415="","",'03_Helper'!AJ415)</f>
        <v/>
      </c>
      <c r="T415">
        <f>IF('03_Helper'!A415="","",'03_Helper'!U415)</f>
        <v/>
      </c>
      <c r="U415">
        <f>IF('03_Helper'!A415="","",'03_Helper'!W415)</f>
        <v/>
      </c>
      <c r="V415">
        <f>IF('03_Helper'!A415="","",'03_Helper'!AG415)</f>
        <v/>
      </c>
      <c r="W415">
        <f>IF('03_Helper'!A415="","",'03_Helper'!AK415)</f>
        <v/>
      </c>
      <c r="X415">
        <f>IF('03_Helper'!A415="","",'03_Helper'!K415)</f>
        <v/>
      </c>
      <c r="Y415">
        <f>IF('03_Helper'!A415="","",'03_Helper'!AN415)</f>
        <v/>
      </c>
    </row>
    <row r="416">
      <c r="A416">
        <f>IF('03_Helper'!A416="","",'03_Helper'!B416)</f>
        <v/>
      </c>
      <c r="B416">
        <f>IF('03_Helper'!A416="","",'03_Helper'!C416)</f>
        <v/>
      </c>
      <c r="C416">
        <f>IF('03_Helper'!A416="","",'03_Helper'!G416)</f>
        <v/>
      </c>
      <c r="D416">
        <f>IF('03_Helper'!A416="","",'03_Helper'!E416)</f>
        <v/>
      </c>
      <c r="E416">
        <f>IF('03_Helper'!A416="","",'03_Helper'!D416)</f>
        <v/>
      </c>
      <c r="F416">
        <f>IF('03_Helper'!A416="","",'03_Helper'!H416)</f>
        <v/>
      </c>
      <c r="G416">
        <f>IF('03_Helper'!A416="","",'03_Helper'!X416)</f>
        <v/>
      </c>
      <c r="H416">
        <f>IF('03_Helper'!A416="","",'03_Helper'!Y416)</f>
        <v/>
      </c>
      <c r="I416">
        <f>IF('03_Helper'!A416="","",'03_Helper'!Z416)</f>
        <v/>
      </c>
      <c r="J416">
        <f>IF('03_Helper'!A416="","",'03_Helper'!Q416)</f>
        <v/>
      </c>
      <c r="K416">
        <f>IF('03_Helper'!A416="","",'03_Helper'!R416)</f>
        <v/>
      </c>
      <c r="L416">
        <f>IF('03_Helper'!A416="","",'03_Helper'!S416)</f>
        <v/>
      </c>
      <c r="M416">
        <f>IF('03_Helper'!A416="","",'03_Helper'!T416)</f>
        <v/>
      </c>
      <c r="N416">
        <f>IF('03_Helper'!A416="","",'03_Helper'!AA416)</f>
        <v/>
      </c>
      <c r="O416">
        <f>IF('03_Helper'!A416="","",'03_Helper'!AB416)</f>
        <v/>
      </c>
      <c r="P416">
        <f>IF('03_Helper'!A416="","",'03_Helper'!AC416)</f>
        <v/>
      </c>
      <c r="Q416">
        <f>IF('03_Helper'!A416="","",'03_Helper'!AD416)</f>
        <v/>
      </c>
      <c r="R416">
        <f>IF('03_Helper'!A416="","",'03_Helper'!AI416)</f>
        <v/>
      </c>
      <c r="S416">
        <f>IF('03_Helper'!A416="","",'03_Helper'!AJ416)</f>
        <v/>
      </c>
      <c r="T416">
        <f>IF('03_Helper'!A416="","",'03_Helper'!U416)</f>
        <v/>
      </c>
      <c r="U416">
        <f>IF('03_Helper'!A416="","",'03_Helper'!W416)</f>
        <v/>
      </c>
      <c r="V416">
        <f>IF('03_Helper'!A416="","",'03_Helper'!AG416)</f>
        <v/>
      </c>
      <c r="W416">
        <f>IF('03_Helper'!A416="","",'03_Helper'!AK416)</f>
        <v/>
      </c>
      <c r="X416">
        <f>IF('03_Helper'!A416="","",'03_Helper'!K416)</f>
        <v/>
      </c>
      <c r="Y416">
        <f>IF('03_Helper'!A416="","",'03_Helper'!AN416)</f>
        <v/>
      </c>
    </row>
    <row r="417">
      <c r="A417">
        <f>IF('03_Helper'!A417="","",'03_Helper'!B417)</f>
        <v/>
      </c>
      <c r="B417">
        <f>IF('03_Helper'!A417="","",'03_Helper'!C417)</f>
        <v/>
      </c>
      <c r="C417">
        <f>IF('03_Helper'!A417="","",'03_Helper'!G417)</f>
        <v/>
      </c>
      <c r="D417">
        <f>IF('03_Helper'!A417="","",'03_Helper'!E417)</f>
        <v/>
      </c>
      <c r="E417">
        <f>IF('03_Helper'!A417="","",'03_Helper'!D417)</f>
        <v/>
      </c>
      <c r="F417">
        <f>IF('03_Helper'!A417="","",'03_Helper'!H417)</f>
        <v/>
      </c>
      <c r="G417">
        <f>IF('03_Helper'!A417="","",'03_Helper'!X417)</f>
        <v/>
      </c>
      <c r="H417">
        <f>IF('03_Helper'!A417="","",'03_Helper'!Y417)</f>
        <v/>
      </c>
      <c r="I417">
        <f>IF('03_Helper'!A417="","",'03_Helper'!Z417)</f>
        <v/>
      </c>
      <c r="J417">
        <f>IF('03_Helper'!A417="","",'03_Helper'!Q417)</f>
        <v/>
      </c>
      <c r="K417">
        <f>IF('03_Helper'!A417="","",'03_Helper'!R417)</f>
        <v/>
      </c>
      <c r="L417">
        <f>IF('03_Helper'!A417="","",'03_Helper'!S417)</f>
        <v/>
      </c>
      <c r="M417">
        <f>IF('03_Helper'!A417="","",'03_Helper'!T417)</f>
        <v/>
      </c>
      <c r="N417">
        <f>IF('03_Helper'!A417="","",'03_Helper'!AA417)</f>
        <v/>
      </c>
      <c r="O417">
        <f>IF('03_Helper'!A417="","",'03_Helper'!AB417)</f>
        <v/>
      </c>
      <c r="P417">
        <f>IF('03_Helper'!A417="","",'03_Helper'!AC417)</f>
        <v/>
      </c>
      <c r="Q417">
        <f>IF('03_Helper'!A417="","",'03_Helper'!AD417)</f>
        <v/>
      </c>
      <c r="R417">
        <f>IF('03_Helper'!A417="","",'03_Helper'!AI417)</f>
        <v/>
      </c>
      <c r="S417">
        <f>IF('03_Helper'!A417="","",'03_Helper'!AJ417)</f>
        <v/>
      </c>
      <c r="T417">
        <f>IF('03_Helper'!A417="","",'03_Helper'!U417)</f>
        <v/>
      </c>
      <c r="U417">
        <f>IF('03_Helper'!A417="","",'03_Helper'!W417)</f>
        <v/>
      </c>
      <c r="V417">
        <f>IF('03_Helper'!A417="","",'03_Helper'!AG417)</f>
        <v/>
      </c>
      <c r="W417">
        <f>IF('03_Helper'!A417="","",'03_Helper'!AK417)</f>
        <v/>
      </c>
      <c r="X417">
        <f>IF('03_Helper'!A417="","",'03_Helper'!K417)</f>
        <v/>
      </c>
      <c r="Y417">
        <f>IF('03_Helper'!A417="","",'03_Helper'!AN417)</f>
        <v/>
      </c>
    </row>
    <row r="418">
      <c r="A418">
        <f>IF('03_Helper'!A418="","",'03_Helper'!B418)</f>
        <v/>
      </c>
      <c r="B418">
        <f>IF('03_Helper'!A418="","",'03_Helper'!C418)</f>
        <v/>
      </c>
      <c r="C418">
        <f>IF('03_Helper'!A418="","",'03_Helper'!G418)</f>
        <v/>
      </c>
      <c r="D418">
        <f>IF('03_Helper'!A418="","",'03_Helper'!E418)</f>
        <v/>
      </c>
      <c r="E418">
        <f>IF('03_Helper'!A418="","",'03_Helper'!D418)</f>
        <v/>
      </c>
      <c r="F418">
        <f>IF('03_Helper'!A418="","",'03_Helper'!H418)</f>
        <v/>
      </c>
      <c r="G418">
        <f>IF('03_Helper'!A418="","",'03_Helper'!X418)</f>
        <v/>
      </c>
      <c r="H418">
        <f>IF('03_Helper'!A418="","",'03_Helper'!Y418)</f>
        <v/>
      </c>
      <c r="I418">
        <f>IF('03_Helper'!A418="","",'03_Helper'!Z418)</f>
        <v/>
      </c>
      <c r="J418">
        <f>IF('03_Helper'!A418="","",'03_Helper'!Q418)</f>
        <v/>
      </c>
      <c r="K418">
        <f>IF('03_Helper'!A418="","",'03_Helper'!R418)</f>
        <v/>
      </c>
      <c r="L418">
        <f>IF('03_Helper'!A418="","",'03_Helper'!S418)</f>
        <v/>
      </c>
      <c r="M418">
        <f>IF('03_Helper'!A418="","",'03_Helper'!T418)</f>
        <v/>
      </c>
      <c r="N418">
        <f>IF('03_Helper'!A418="","",'03_Helper'!AA418)</f>
        <v/>
      </c>
      <c r="O418">
        <f>IF('03_Helper'!A418="","",'03_Helper'!AB418)</f>
        <v/>
      </c>
      <c r="P418">
        <f>IF('03_Helper'!A418="","",'03_Helper'!AC418)</f>
        <v/>
      </c>
      <c r="Q418">
        <f>IF('03_Helper'!A418="","",'03_Helper'!AD418)</f>
        <v/>
      </c>
      <c r="R418">
        <f>IF('03_Helper'!A418="","",'03_Helper'!AI418)</f>
        <v/>
      </c>
      <c r="S418">
        <f>IF('03_Helper'!A418="","",'03_Helper'!AJ418)</f>
        <v/>
      </c>
      <c r="T418">
        <f>IF('03_Helper'!A418="","",'03_Helper'!U418)</f>
        <v/>
      </c>
      <c r="U418">
        <f>IF('03_Helper'!A418="","",'03_Helper'!W418)</f>
        <v/>
      </c>
      <c r="V418">
        <f>IF('03_Helper'!A418="","",'03_Helper'!AG418)</f>
        <v/>
      </c>
      <c r="W418">
        <f>IF('03_Helper'!A418="","",'03_Helper'!AK418)</f>
        <v/>
      </c>
      <c r="X418">
        <f>IF('03_Helper'!A418="","",'03_Helper'!K418)</f>
        <v/>
      </c>
      <c r="Y418">
        <f>IF('03_Helper'!A418="","",'03_Helper'!AN418)</f>
        <v/>
      </c>
    </row>
    <row r="419">
      <c r="A419">
        <f>IF('03_Helper'!A419="","",'03_Helper'!B419)</f>
        <v/>
      </c>
      <c r="B419">
        <f>IF('03_Helper'!A419="","",'03_Helper'!C419)</f>
        <v/>
      </c>
      <c r="C419">
        <f>IF('03_Helper'!A419="","",'03_Helper'!G419)</f>
        <v/>
      </c>
      <c r="D419">
        <f>IF('03_Helper'!A419="","",'03_Helper'!E419)</f>
        <v/>
      </c>
      <c r="E419">
        <f>IF('03_Helper'!A419="","",'03_Helper'!D419)</f>
        <v/>
      </c>
      <c r="F419">
        <f>IF('03_Helper'!A419="","",'03_Helper'!H419)</f>
        <v/>
      </c>
      <c r="G419">
        <f>IF('03_Helper'!A419="","",'03_Helper'!X419)</f>
        <v/>
      </c>
      <c r="H419">
        <f>IF('03_Helper'!A419="","",'03_Helper'!Y419)</f>
        <v/>
      </c>
      <c r="I419">
        <f>IF('03_Helper'!A419="","",'03_Helper'!Z419)</f>
        <v/>
      </c>
      <c r="J419">
        <f>IF('03_Helper'!A419="","",'03_Helper'!Q419)</f>
        <v/>
      </c>
      <c r="K419">
        <f>IF('03_Helper'!A419="","",'03_Helper'!R419)</f>
        <v/>
      </c>
      <c r="L419">
        <f>IF('03_Helper'!A419="","",'03_Helper'!S419)</f>
        <v/>
      </c>
      <c r="M419">
        <f>IF('03_Helper'!A419="","",'03_Helper'!T419)</f>
        <v/>
      </c>
      <c r="N419">
        <f>IF('03_Helper'!A419="","",'03_Helper'!AA419)</f>
        <v/>
      </c>
      <c r="O419">
        <f>IF('03_Helper'!A419="","",'03_Helper'!AB419)</f>
        <v/>
      </c>
      <c r="P419">
        <f>IF('03_Helper'!A419="","",'03_Helper'!AC419)</f>
        <v/>
      </c>
      <c r="Q419">
        <f>IF('03_Helper'!A419="","",'03_Helper'!AD419)</f>
        <v/>
      </c>
      <c r="R419">
        <f>IF('03_Helper'!A419="","",'03_Helper'!AI419)</f>
        <v/>
      </c>
      <c r="S419">
        <f>IF('03_Helper'!A419="","",'03_Helper'!AJ419)</f>
        <v/>
      </c>
      <c r="T419">
        <f>IF('03_Helper'!A419="","",'03_Helper'!U419)</f>
        <v/>
      </c>
      <c r="U419">
        <f>IF('03_Helper'!A419="","",'03_Helper'!W419)</f>
        <v/>
      </c>
      <c r="V419">
        <f>IF('03_Helper'!A419="","",'03_Helper'!AG419)</f>
        <v/>
      </c>
      <c r="W419">
        <f>IF('03_Helper'!A419="","",'03_Helper'!AK419)</f>
        <v/>
      </c>
      <c r="X419">
        <f>IF('03_Helper'!A419="","",'03_Helper'!K419)</f>
        <v/>
      </c>
      <c r="Y419">
        <f>IF('03_Helper'!A419="","",'03_Helper'!AN419)</f>
        <v/>
      </c>
    </row>
    <row r="420">
      <c r="A420">
        <f>IF('03_Helper'!A420="","",'03_Helper'!B420)</f>
        <v/>
      </c>
      <c r="B420">
        <f>IF('03_Helper'!A420="","",'03_Helper'!C420)</f>
        <v/>
      </c>
      <c r="C420">
        <f>IF('03_Helper'!A420="","",'03_Helper'!G420)</f>
        <v/>
      </c>
      <c r="D420">
        <f>IF('03_Helper'!A420="","",'03_Helper'!E420)</f>
        <v/>
      </c>
      <c r="E420">
        <f>IF('03_Helper'!A420="","",'03_Helper'!D420)</f>
        <v/>
      </c>
      <c r="F420">
        <f>IF('03_Helper'!A420="","",'03_Helper'!H420)</f>
        <v/>
      </c>
      <c r="G420">
        <f>IF('03_Helper'!A420="","",'03_Helper'!X420)</f>
        <v/>
      </c>
      <c r="H420">
        <f>IF('03_Helper'!A420="","",'03_Helper'!Y420)</f>
        <v/>
      </c>
      <c r="I420">
        <f>IF('03_Helper'!A420="","",'03_Helper'!Z420)</f>
        <v/>
      </c>
      <c r="J420">
        <f>IF('03_Helper'!A420="","",'03_Helper'!Q420)</f>
        <v/>
      </c>
      <c r="K420">
        <f>IF('03_Helper'!A420="","",'03_Helper'!R420)</f>
        <v/>
      </c>
      <c r="L420">
        <f>IF('03_Helper'!A420="","",'03_Helper'!S420)</f>
        <v/>
      </c>
      <c r="M420">
        <f>IF('03_Helper'!A420="","",'03_Helper'!T420)</f>
        <v/>
      </c>
      <c r="N420">
        <f>IF('03_Helper'!A420="","",'03_Helper'!AA420)</f>
        <v/>
      </c>
      <c r="O420">
        <f>IF('03_Helper'!A420="","",'03_Helper'!AB420)</f>
        <v/>
      </c>
      <c r="P420">
        <f>IF('03_Helper'!A420="","",'03_Helper'!AC420)</f>
        <v/>
      </c>
      <c r="Q420">
        <f>IF('03_Helper'!A420="","",'03_Helper'!AD420)</f>
        <v/>
      </c>
      <c r="R420">
        <f>IF('03_Helper'!A420="","",'03_Helper'!AI420)</f>
        <v/>
      </c>
      <c r="S420">
        <f>IF('03_Helper'!A420="","",'03_Helper'!AJ420)</f>
        <v/>
      </c>
      <c r="T420">
        <f>IF('03_Helper'!A420="","",'03_Helper'!U420)</f>
        <v/>
      </c>
      <c r="U420">
        <f>IF('03_Helper'!A420="","",'03_Helper'!W420)</f>
        <v/>
      </c>
      <c r="V420">
        <f>IF('03_Helper'!A420="","",'03_Helper'!AG420)</f>
        <v/>
      </c>
      <c r="W420">
        <f>IF('03_Helper'!A420="","",'03_Helper'!AK420)</f>
        <v/>
      </c>
      <c r="X420">
        <f>IF('03_Helper'!A420="","",'03_Helper'!K420)</f>
        <v/>
      </c>
      <c r="Y420">
        <f>IF('03_Helper'!A420="","",'03_Helper'!AN420)</f>
        <v/>
      </c>
    </row>
    <row r="421">
      <c r="A421">
        <f>IF('03_Helper'!A421="","",'03_Helper'!B421)</f>
        <v/>
      </c>
      <c r="B421">
        <f>IF('03_Helper'!A421="","",'03_Helper'!C421)</f>
        <v/>
      </c>
      <c r="C421">
        <f>IF('03_Helper'!A421="","",'03_Helper'!G421)</f>
        <v/>
      </c>
      <c r="D421">
        <f>IF('03_Helper'!A421="","",'03_Helper'!E421)</f>
        <v/>
      </c>
      <c r="E421">
        <f>IF('03_Helper'!A421="","",'03_Helper'!D421)</f>
        <v/>
      </c>
      <c r="F421">
        <f>IF('03_Helper'!A421="","",'03_Helper'!H421)</f>
        <v/>
      </c>
      <c r="G421">
        <f>IF('03_Helper'!A421="","",'03_Helper'!X421)</f>
        <v/>
      </c>
      <c r="H421">
        <f>IF('03_Helper'!A421="","",'03_Helper'!Y421)</f>
        <v/>
      </c>
      <c r="I421">
        <f>IF('03_Helper'!A421="","",'03_Helper'!Z421)</f>
        <v/>
      </c>
      <c r="J421">
        <f>IF('03_Helper'!A421="","",'03_Helper'!Q421)</f>
        <v/>
      </c>
      <c r="K421">
        <f>IF('03_Helper'!A421="","",'03_Helper'!R421)</f>
        <v/>
      </c>
      <c r="L421">
        <f>IF('03_Helper'!A421="","",'03_Helper'!S421)</f>
        <v/>
      </c>
      <c r="M421">
        <f>IF('03_Helper'!A421="","",'03_Helper'!T421)</f>
        <v/>
      </c>
      <c r="N421">
        <f>IF('03_Helper'!A421="","",'03_Helper'!AA421)</f>
        <v/>
      </c>
      <c r="O421">
        <f>IF('03_Helper'!A421="","",'03_Helper'!AB421)</f>
        <v/>
      </c>
      <c r="P421">
        <f>IF('03_Helper'!A421="","",'03_Helper'!AC421)</f>
        <v/>
      </c>
      <c r="Q421">
        <f>IF('03_Helper'!A421="","",'03_Helper'!AD421)</f>
        <v/>
      </c>
      <c r="R421">
        <f>IF('03_Helper'!A421="","",'03_Helper'!AI421)</f>
        <v/>
      </c>
      <c r="S421">
        <f>IF('03_Helper'!A421="","",'03_Helper'!AJ421)</f>
        <v/>
      </c>
      <c r="T421">
        <f>IF('03_Helper'!A421="","",'03_Helper'!U421)</f>
        <v/>
      </c>
      <c r="U421">
        <f>IF('03_Helper'!A421="","",'03_Helper'!W421)</f>
        <v/>
      </c>
      <c r="V421">
        <f>IF('03_Helper'!A421="","",'03_Helper'!AG421)</f>
        <v/>
      </c>
      <c r="W421">
        <f>IF('03_Helper'!A421="","",'03_Helper'!AK421)</f>
        <v/>
      </c>
      <c r="X421">
        <f>IF('03_Helper'!A421="","",'03_Helper'!K421)</f>
        <v/>
      </c>
      <c r="Y421">
        <f>IF('03_Helper'!A421="","",'03_Helper'!AN421)</f>
        <v/>
      </c>
    </row>
    <row r="422">
      <c r="A422">
        <f>IF('03_Helper'!A422="","",'03_Helper'!B422)</f>
        <v/>
      </c>
      <c r="B422">
        <f>IF('03_Helper'!A422="","",'03_Helper'!C422)</f>
        <v/>
      </c>
      <c r="C422">
        <f>IF('03_Helper'!A422="","",'03_Helper'!G422)</f>
        <v/>
      </c>
      <c r="D422">
        <f>IF('03_Helper'!A422="","",'03_Helper'!E422)</f>
        <v/>
      </c>
      <c r="E422">
        <f>IF('03_Helper'!A422="","",'03_Helper'!D422)</f>
        <v/>
      </c>
      <c r="F422">
        <f>IF('03_Helper'!A422="","",'03_Helper'!H422)</f>
        <v/>
      </c>
      <c r="G422">
        <f>IF('03_Helper'!A422="","",'03_Helper'!X422)</f>
        <v/>
      </c>
      <c r="H422">
        <f>IF('03_Helper'!A422="","",'03_Helper'!Y422)</f>
        <v/>
      </c>
      <c r="I422">
        <f>IF('03_Helper'!A422="","",'03_Helper'!Z422)</f>
        <v/>
      </c>
      <c r="J422">
        <f>IF('03_Helper'!A422="","",'03_Helper'!Q422)</f>
        <v/>
      </c>
      <c r="K422">
        <f>IF('03_Helper'!A422="","",'03_Helper'!R422)</f>
        <v/>
      </c>
      <c r="L422">
        <f>IF('03_Helper'!A422="","",'03_Helper'!S422)</f>
        <v/>
      </c>
      <c r="M422">
        <f>IF('03_Helper'!A422="","",'03_Helper'!T422)</f>
        <v/>
      </c>
      <c r="N422">
        <f>IF('03_Helper'!A422="","",'03_Helper'!AA422)</f>
        <v/>
      </c>
      <c r="O422">
        <f>IF('03_Helper'!A422="","",'03_Helper'!AB422)</f>
        <v/>
      </c>
      <c r="P422">
        <f>IF('03_Helper'!A422="","",'03_Helper'!AC422)</f>
        <v/>
      </c>
      <c r="Q422">
        <f>IF('03_Helper'!A422="","",'03_Helper'!AD422)</f>
        <v/>
      </c>
      <c r="R422">
        <f>IF('03_Helper'!A422="","",'03_Helper'!AI422)</f>
        <v/>
      </c>
      <c r="S422">
        <f>IF('03_Helper'!A422="","",'03_Helper'!AJ422)</f>
        <v/>
      </c>
      <c r="T422">
        <f>IF('03_Helper'!A422="","",'03_Helper'!U422)</f>
        <v/>
      </c>
      <c r="U422">
        <f>IF('03_Helper'!A422="","",'03_Helper'!W422)</f>
        <v/>
      </c>
      <c r="V422">
        <f>IF('03_Helper'!A422="","",'03_Helper'!AG422)</f>
        <v/>
      </c>
      <c r="W422">
        <f>IF('03_Helper'!A422="","",'03_Helper'!AK422)</f>
        <v/>
      </c>
      <c r="X422">
        <f>IF('03_Helper'!A422="","",'03_Helper'!K422)</f>
        <v/>
      </c>
      <c r="Y422">
        <f>IF('03_Helper'!A422="","",'03_Helper'!AN422)</f>
        <v/>
      </c>
    </row>
    <row r="423">
      <c r="A423">
        <f>IF('03_Helper'!A423="","",'03_Helper'!B423)</f>
        <v/>
      </c>
      <c r="B423">
        <f>IF('03_Helper'!A423="","",'03_Helper'!C423)</f>
        <v/>
      </c>
      <c r="C423">
        <f>IF('03_Helper'!A423="","",'03_Helper'!G423)</f>
        <v/>
      </c>
      <c r="D423">
        <f>IF('03_Helper'!A423="","",'03_Helper'!E423)</f>
        <v/>
      </c>
      <c r="E423">
        <f>IF('03_Helper'!A423="","",'03_Helper'!D423)</f>
        <v/>
      </c>
      <c r="F423">
        <f>IF('03_Helper'!A423="","",'03_Helper'!H423)</f>
        <v/>
      </c>
      <c r="G423">
        <f>IF('03_Helper'!A423="","",'03_Helper'!X423)</f>
        <v/>
      </c>
      <c r="H423">
        <f>IF('03_Helper'!A423="","",'03_Helper'!Y423)</f>
        <v/>
      </c>
      <c r="I423">
        <f>IF('03_Helper'!A423="","",'03_Helper'!Z423)</f>
        <v/>
      </c>
      <c r="J423">
        <f>IF('03_Helper'!A423="","",'03_Helper'!Q423)</f>
        <v/>
      </c>
      <c r="K423">
        <f>IF('03_Helper'!A423="","",'03_Helper'!R423)</f>
        <v/>
      </c>
      <c r="L423">
        <f>IF('03_Helper'!A423="","",'03_Helper'!S423)</f>
        <v/>
      </c>
      <c r="M423">
        <f>IF('03_Helper'!A423="","",'03_Helper'!T423)</f>
        <v/>
      </c>
      <c r="N423">
        <f>IF('03_Helper'!A423="","",'03_Helper'!AA423)</f>
        <v/>
      </c>
      <c r="O423">
        <f>IF('03_Helper'!A423="","",'03_Helper'!AB423)</f>
        <v/>
      </c>
      <c r="P423">
        <f>IF('03_Helper'!A423="","",'03_Helper'!AC423)</f>
        <v/>
      </c>
      <c r="Q423">
        <f>IF('03_Helper'!A423="","",'03_Helper'!AD423)</f>
        <v/>
      </c>
      <c r="R423">
        <f>IF('03_Helper'!A423="","",'03_Helper'!AI423)</f>
        <v/>
      </c>
      <c r="S423">
        <f>IF('03_Helper'!A423="","",'03_Helper'!AJ423)</f>
        <v/>
      </c>
      <c r="T423">
        <f>IF('03_Helper'!A423="","",'03_Helper'!U423)</f>
        <v/>
      </c>
      <c r="U423">
        <f>IF('03_Helper'!A423="","",'03_Helper'!W423)</f>
        <v/>
      </c>
      <c r="V423">
        <f>IF('03_Helper'!A423="","",'03_Helper'!AG423)</f>
        <v/>
      </c>
      <c r="W423">
        <f>IF('03_Helper'!A423="","",'03_Helper'!AK423)</f>
        <v/>
      </c>
      <c r="X423">
        <f>IF('03_Helper'!A423="","",'03_Helper'!K423)</f>
        <v/>
      </c>
      <c r="Y423">
        <f>IF('03_Helper'!A423="","",'03_Helper'!AN423)</f>
        <v/>
      </c>
    </row>
    <row r="424">
      <c r="A424">
        <f>IF('03_Helper'!A424="","",'03_Helper'!B424)</f>
        <v/>
      </c>
      <c r="B424">
        <f>IF('03_Helper'!A424="","",'03_Helper'!C424)</f>
        <v/>
      </c>
      <c r="C424">
        <f>IF('03_Helper'!A424="","",'03_Helper'!G424)</f>
        <v/>
      </c>
      <c r="D424">
        <f>IF('03_Helper'!A424="","",'03_Helper'!E424)</f>
        <v/>
      </c>
      <c r="E424">
        <f>IF('03_Helper'!A424="","",'03_Helper'!D424)</f>
        <v/>
      </c>
      <c r="F424">
        <f>IF('03_Helper'!A424="","",'03_Helper'!H424)</f>
        <v/>
      </c>
      <c r="G424">
        <f>IF('03_Helper'!A424="","",'03_Helper'!X424)</f>
        <v/>
      </c>
      <c r="H424">
        <f>IF('03_Helper'!A424="","",'03_Helper'!Y424)</f>
        <v/>
      </c>
      <c r="I424">
        <f>IF('03_Helper'!A424="","",'03_Helper'!Z424)</f>
        <v/>
      </c>
      <c r="J424">
        <f>IF('03_Helper'!A424="","",'03_Helper'!Q424)</f>
        <v/>
      </c>
      <c r="K424">
        <f>IF('03_Helper'!A424="","",'03_Helper'!R424)</f>
        <v/>
      </c>
      <c r="L424">
        <f>IF('03_Helper'!A424="","",'03_Helper'!S424)</f>
        <v/>
      </c>
      <c r="M424">
        <f>IF('03_Helper'!A424="","",'03_Helper'!T424)</f>
        <v/>
      </c>
      <c r="N424">
        <f>IF('03_Helper'!A424="","",'03_Helper'!AA424)</f>
        <v/>
      </c>
      <c r="O424">
        <f>IF('03_Helper'!A424="","",'03_Helper'!AB424)</f>
        <v/>
      </c>
      <c r="P424">
        <f>IF('03_Helper'!A424="","",'03_Helper'!AC424)</f>
        <v/>
      </c>
      <c r="Q424">
        <f>IF('03_Helper'!A424="","",'03_Helper'!AD424)</f>
        <v/>
      </c>
      <c r="R424">
        <f>IF('03_Helper'!A424="","",'03_Helper'!AI424)</f>
        <v/>
      </c>
      <c r="S424">
        <f>IF('03_Helper'!A424="","",'03_Helper'!AJ424)</f>
        <v/>
      </c>
      <c r="T424">
        <f>IF('03_Helper'!A424="","",'03_Helper'!U424)</f>
        <v/>
      </c>
      <c r="U424">
        <f>IF('03_Helper'!A424="","",'03_Helper'!W424)</f>
        <v/>
      </c>
      <c r="V424">
        <f>IF('03_Helper'!A424="","",'03_Helper'!AG424)</f>
        <v/>
      </c>
      <c r="W424">
        <f>IF('03_Helper'!A424="","",'03_Helper'!AK424)</f>
        <v/>
      </c>
      <c r="X424">
        <f>IF('03_Helper'!A424="","",'03_Helper'!K424)</f>
        <v/>
      </c>
      <c r="Y424">
        <f>IF('03_Helper'!A424="","",'03_Helper'!AN424)</f>
        <v/>
      </c>
    </row>
    <row r="425">
      <c r="A425">
        <f>IF('03_Helper'!A425="","",'03_Helper'!B425)</f>
        <v/>
      </c>
      <c r="B425">
        <f>IF('03_Helper'!A425="","",'03_Helper'!C425)</f>
        <v/>
      </c>
      <c r="C425">
        <f>IF('03_Helper'!A425="","",'03_Helper'!G425)</f>
        <v/>
      </c>
      <c r="D425">
        <f>IF('03_Helper'!A425="","",'03_Helper'!E425)</f>
        <v/>
      </c>
      <c r="E425">
        <f>IF('03_Helper'!A425="","",'03_Helper'!D425)</f>
        <v/>
      </c>
      <c r="F425">
        <f>IF('03_Helper'!A425="","",'03_Helper'!H425)</f>
        <v/>
      </c>
      <c r="G425">
        <f>IF('03_Helper'!A425="","",'03_Helper'!X425)</f>
        <v/>
      </c>
      <c r="H425">
        <f>IF('03_Helper'!A425="","",'03_Helper'!Y425)</f>
        <v/>
      </c>
      <c r="I425">
        <f>IF('03_Helper'!A425="","",'03_Helper'!Z425)</f>
        <v/>
      </c>
      <c r="J425">
        <f>IF('03_Helper'!A425="","",'03_Helper'!Q425)</f>
        <v/>
      </c>
      <c r="K425">
        <f>IF('03_Helper'!A425="","",'03_Helper'!R425)</f>
        <v/>
      </c>
      <c r="L425">
        <f>IF('03_Helper'!A425="","",'03_Helper'!S425)</f>
        <v/>
      </c>
      <c r="M425">
        <f>IF('03_Helper'!A425="","",'03_Helper'!T425)</f>
        <v/>
      </c>
      <c r="N425">
        <f>IF('03_Helper'!A425="","",'03_Helper'!AA425)</f>
        <v/>
      </c>
      <c r="O425">
        <f>IF('03_Helper'!A425="","",'03_Helper'!AB425)</f>
        <v/>
      </c>
      <c r="P425">
        <f>IF('03_Helper'!A425="","",'03_Helper'!AC425)</f>
        <v/>
      </c>
      <c r="Q425">
        <f>IF('03_Helper'!A425="","",'03_Helper'!AD425)</f>
        <v/>
      </c>
      <c r="R425">
        <f>IF('03_Helper'!A425="","",'03_Helper'!AI425)</f>
        <v/>
      </c>
      <c r="S425">
        <f>IF('03_Helper'!A425="","",'03_Helper'!AJ425)</f>
        <v/>
      </c>
      <c r="T425">
        <f>IF('03_Helper'!A425="","",'03_Helper'!U425)</f>
        <v/>
      </c>
      <c r="U425">
        <f>IF('03_Helper'!A425="","",'03_Helper'!W425)</f>
        <v/>
      </c>
      <c r="V425">
        <f>IF('03_Helper'!A425="","",'03_Helper'!AG425)</f>
        <v/>
      </c>
      <c r="W425">
        <f>IF('03_Helper'!A425="","",'03_Helper'!AK425)</f>
        <v/>
      </c>
      <c r="X425">
        <f>IF('03_Helper'!A425="","",'03_Helper'!K425)</f>
        <v/>
      </c>
      <c r="Y425">
        <f>IF('03_Helper'!A425="","",'03_Helper'!AN425)</f>
        <v/>
      </c>
    </row>
    <row r="426">
      <c r="A426">
        <f>IF('03_Helper'!A426="","",'03_Helper'!B426)</f>
        <v/>
      </c>
      <c r="B426">
        <f>IF('03_Helper'!A426="","",'03_Helper'!C426)</f>
        <v/>
      </c>
      <c r="C426">
        <f>IF('03_Helper'!A426="","",'03_Helper'!G426)</f>
        <v/>
      </c>
      <c r="D426">
        <f>IF('03_Helper'!A426="","",'03_Helper'!E426)</f>
        <v/>
      </c>
      <c r="E426">
        <f>IF('03_Helper'!A426="","",'03_Helper'!D426)</f>
        <v/>
      </c>
      <c r="F426">
        <f>IF('03_Helper'!A426="","",'03_Helper'!H426)</f>
        <v/>
      </c>
      <c r="G426">
        <f>IF('03_Helper'!A426="","",'03_Helper'!X426)</f>
        <v/>
      </c>
      <c r="H426">
        <f>IF('03_Helper'!A426="","",'03_Helper'!Y426)</f>
        <v/>
      </c>
      <c r="I426">
        <f>IF('03_Helper'!A426="","",'03_Helper'!Z426)</f>
        <v/>
      </c>
      <c r="J426">
        <f>IF('03_Helper'!A426="","",'03_Helper'!Q426)</f>
        <v/>
      </c>
      <c r="K426">
        <f>IF('03_Helper'!A426="","",'03_Helper'!R426)</f>
        <v/>
      </c>
      <c r="L426">
        <f>IF('03_Helper'!A426="","",'03_Helper'!S426)</f>
        <v/>
      </c>
      <c r="M426">
        <f>IF('03_Helper'!A426="","",'03_Helper'!T426)</f>
        <v/>
      </c>
      <c r="N426">
        <f>IF('03_Helper'!A426="","",'03_Helper'!AA426)</f>
        <v/>
      </c>
      <c r="O426">
        <f>IF('03_Helper'!A426="","",'03_Helper'!AB426)</f>
        <v/>
      </c>
      <c r="P426">
        <f>IF('03_Helper'!A426="","",'03_Helper'!AC426)</f>
        <v/>
      </c>
      <c r="Q426">
        <f>IF('03_Helper'!A426="","",'03_Helper'!AD426)</f>
        <v/>
      </c>
      <c r="R426">
        <f>IF('03_Helper'!A426="","",'03_Helper'!AI426)</f>
        <v/>
      </c>
      <c r="S426">
        <f>IF('03_Helper'!A426="","",'03_Helper'!AJ426)</f>
        <v/>
      </c>
      <c r="T426">
        <f>IF('03_Helper'!A426="","",'03_Helper'!U426)</f>
        <v/>
      </c>
      <c r="U426">
        <f>IF('03_Helper'!A426="","",'03_Helper'!W426)</f>
        <v/>
      </c>
      <c r="V426">
        <f>IF('03_Helper'!A426="","",'03_Helper'!AG426)</f>
        <v/>
      </c>
      <c r="W426">
        <f>IF('03_Helper'!A426="","",'03_Helper'!AK426)</f>
        <v/>
      </c>
      <c r="X426">
        <f>IF('03_Helper'!A426="","",'03_Helper'!K426)</f>
        <v/>
      </c>
      <c r="Y426">
        <f>IF('03_Helper'!A426="","",'03_Helper'!AN426)</f>
        <v/>
      </c>
    </row>
    <row r="427">
      <c r="A427">
        <f>IF('03_Helper'!A427="","",'03_Helper'!B427)</f>
        <v/>
      </c>
      <c r="B427">
        <f>IF('03_Helper'!A427="","",'03_Helper'!C427)</f>
        <v/>
      </c>
      <c r="C427">
        <f>IF('03_Helper'!A427="","",'03_Helper'!G427)</f>
        <v/>
      </c>
      <c r="D427">
        <f>IF('03_Helper'!A427="","",'03_Helper'!E427)</f>
        <v/>
      </c>
      <c r="E427">
        <f>IF('03_Helper'!A427="","",'03_Helper'!D427)</f>
        <v/>
      </c>
      <c r="F427">
        <f>IF('03_Helper'!A427="","",'03_Helper'!H427)</f>
        <v/>
      </c>
      <c r="G427">
        <f>IF('03_Helper'!A427="","",'03_Helper'!X427)</f>
        <v/>
      </c>
      <c r="H427">
        <f>IF('03_Helper'!A427="","",'03_Helper'!Y427)</f>
        <v/>
      </c>
      <c r="I427">
        <f>IF('03_Helper'!A427="","",'03_Helper'!Z427)</f>
        <v/>
      </c>
      <c r="J427">
        <f>IF('03_Helper'!A427="","",'03_Helper'!Q427)</f>
        <v/>
      </c>
      <c r="K427">
        <f>IF('03_Helper'!A427="","",'03_Helper'!R427)</f>
        <v/>
      </c>
      <c r="L427">
        <f>IF('03_Helper'!A427="","",'03_Helper'!S427)</f>
        <v/>
      </c>
      <c r="M427">
        <f>IF('03_Helper'!A427="","",'03_Helper'!T427)</f>
        <v/>
      </c>
      <c r="N427">
        <f>IF('03_Helper'!A427="","",'03_Helper'!AA427)</f>
        <v/>
      </c>
      <c r="O427">
        <f>IF('03_Helper'!A427="","",'03_Helper'!AB427)</f>
        <v/>
      </c>
      <c r="P427">
        <f>IF('03_Helper'!A427="","",'03_Helper'!AC427)</f>
        <v/>
      </c>
      <c r="Q427">
        <f>IF('03_Helper'!A427="","",'03_Helper'!AD427)</f>
        <v/>
      </c>
      <c r="R427">
        <f>IF('03_Helper'!A427="","",'03_Helper'!AI427)</f>
        <v/>
      </c>
      <c r="S427">
        <f>IF('03_Helper'!A427="","",'03_Helper'!AJ427)</f>
        <v/>
      </c>
      <c r="T427">
        <f>IF('03_Helper'!A427="","",'03_Helper'!U427)</f>
        <v/>
      </c>
      <c r="U427">
        <f>IF('03_Helper'!A427="","",'03_Helper'!W427)</f>
        <v/>
      </c>
      <c r="V427">
        <f>IF('03_Helper'!A427="","",'03_Helper'!AG427)</f>
        <v/>
      </c>
      <c r="W427">
        <f>IF('03_Helper'!A427="","",'03_Helper'!AK427)</f>
        <v/>
      </c>
      <c r="X427">
        <f>IF('03_Helper'!A427="","",'03_Helper'!K427)</f>
        <v/>
      </c>
      <c r="Y427">
        <f>IF('03_Helper'!A427="","",'03_Helper'!AN427)</f>
        <v/>
      </c>
    </row>
    <row r="428">
      <c r="A428">
        <f>IF('03_Helper'!A428="","",'03_Helper'!B428)</f>
        <v/>
      </c>
      <c r="B428">
        <f>IF('03_Helper'!A428="","",'03_Helper'!C428)</f>
        <v/>
      </c>
      <c r="C428">
        <f>IF('03_Helper'!A428="","",'03_Helper'!G428)</f>
        <v/>
      </c>
      <c r="D428">
        <f>IF('03_Helper'!A428="","",'03_Helper'!E428)</f>
        <v/>
      </c>
      <c r="E428">
        <f>IF('03_Helper'!A428="","",'03_Helper'!D428)</f>
        <v/>
      </c>
      <c r="F428">
        <f>IF('03_Helper'!A428="","",'03_Helper'!H428)</f>
        <v/>
      </c>
      <c r="G428">
        <f>IF('03_Helper'!A428="","",'03_Helper'!X428)</f>
        <v/>
      </c>
      <c r="H428">
        <f>IF('03_Helper'!A428="","",'03_Helper'!Y428)</f>
        <v/>
      </c>
      <c r="I428">
        <f>IF('03_Helper'!A428="","",'03_Helper'!Z428)</f>
        <v/>
      </c>
      <c r="J428">
        <f>IF('03_Helper'!A428="","",'03_Helper'!Q428)</f>
        <v/>
      </c>
      <c r="K428">
        <f>IF('03_Helper'!A428="","",'03_Helper'!R428)</f>
        <v/>
      </c>
      <c r="L428">
        <f>IF('03_Helper'!A428="","",'03_Helper'!S428)</f>
        <v/>
      </c>
      <c r="M428">
        <f>IF('03_Helper'!A428="","",'03_Helper'!T428)</f>
        <v/>
      </c>
      <c r="N428">
        <f>IF('03_Helper'!A428="","",'03_Helper'!AA428)</f>
        <v/>
      </c>
      <c r="O428">
        <f>IF('03_Helper'!A428="","",'03_Helper'!AB428)</f>
        <v/>
      </c>
      <c r="P428">
        <f>IF('03_Helper'!A428="","",'03_Helper'!AC428)</f>
        <v/>
      </c>
      <c r="Q428">
        <f>IF('03_Helper'!A428="","",'03_Helper'!AD428)</f>
        <v/>
      </c>
      <c r="R428">
        <f>IF('03_Helper'!A428="","",'03_Helper'!AI428)</f>
        <v/>
      </c>
      <c r="S428">
        <f>IF('03_Helper'!A428="","",'03_Helper'!AJ428)</f>
        <v/>
      </c>
      <c r="T428">
        <f>IF('03_Helper'!A428="","",'03_Helper'!U428)</f>
        <v/>
      </c>
      <c r="U428">
        <f>IF('03_Helper'!A428="","",'03_Helper'!W428)</f>
        <v/>
      </c>
      <c r="V428">
        <f>IF('03_Helper'!A428="","",'03_Helper'!AG428)</f>
        <v/>
      </c>
      <c r="W428">
        <f>IF('03_Helper'!A428="","",'03_Helper'!AK428)</f>
        <v/>
      </c>
      <c r="X428">
        <f>IF('03_Helper'!A428="","",'03_Helper'!K428)</f>
        <v/>
      </c>
      <c r="Y428">
        <f>IF('03_Helper'!A428="","",'03_Helper'!AN428)</f>
        <v/>
      </c>
    </row>
    <row r="429">
      <c r="A429">
        <f>IF('03_Helper'!A429="","",'03_Helper'!B429)</f>
        <v/>
      </c>
      <c r="B429">
        <f>IF('03_Helper'!A429="","",'03_Helper'!C429)</f>
        <v/>
      </c>
      <c r="C429">
        <f>IF('03_Helper'!A429="","",'03_Helper'!G429)</f>
        <v/>
      </c>
      <c r="D429">
        <f>IF('03_Helper'!A429="","",'03_Helper'!E429)</f>
        <v/>
      </c>
      <c r="E429">
        <f>IF('03_Helper'!A429="","",'03_Helper'!D429)</f>
        <v/>
      </c>
      <c r="F429">
        <f>IF('03_Helper'!A429="","",'03_Helper'!H429)</f>
        <v/>
      </c>
      <c r="G429">
        <f>IF('03_Helper'!A429="","",'03_Helper'!X429)</f>
        <v/>
      </c>
      <c r="H429">
        <f>IF('03_Helper'!A429="","",'03_Helper'!Y429)</f>
        <v/>
      </c>
      <c r="I429">
        <f>IF('03_Helper'!A429="","",'03_Helper'!Z429)</f>
        <v/>
      </c>
      <c r="J429">
        <f>IF('03_Helper'!A429="","",'03_Helper'!Q429)</f>
        <v/>
      </c>
      <c r="K429">
        <f>IF('03_Helper'!A429="","",'03_Helper'!R429)</f>
        <v/>
      </c>
      <c r="L429">
        <f>IF('03_Helper'!A429="","",'03_Helper'!S429)</f>
        <v/>
      </c>
      <c r="M429">
        <f>IF('03_Helper'!A429="","",'03_Helper'!T429)</f>
        <v/>
      </c>
      <c r="N429">
        <f>IF('03_Helper'!A429="","",'03_Helper'!AA429)</f>
        <v/>
      </c>
      <c r="O429">
        <f>IF('03_Helper'!A429="","",'03_Helper'!AB429)</f>
        <v/>
      </c>
      <c r="P429">
        <f>IF('03_Helper'!A429="","",'03_Helper'!AC429)</f>
        <v/>
      </c>
      <c r="Q429">
        <f>IF('03_Helper'!A429="","",'03_Helper'!AD429)</f>
        <v/>
      </c>
      <c r="R429">
        <f>IF('03_Helper'!A429="","",'03_Helper'!AI429)</f>
        <v/>
      </c>
      <c r="S429">
        <f>IF('03_Helper'!A429="","",'03_Helper'!AJ429)</f>
        <v/>
      </c>
      <c r="T429">
        <f>IF('03_Helper'!A429="","",'03_Helper'!U429)</f>
        <v/>
      </c>
      <c r="U429">
        <f>IF('03_Helper'!A429="","",'03_Helper'!W429)</f>
        <v/>
      </c>
      <c r="V429">
        <f>IF('03_Helper'!A429="","",'03_Helper'!AG429)</f>
        <v/>
      </c>
      <c r="W429">
        <f>IF('03_Helper'!A429="","",'03_Helper'!AK429)</f>
        <v/>
      </c>
      <c r="X429">
        <f>IF('03_Helper'!A429="","",'03_Helper'!K429)</f>
        <v/>
      </c>
      <c r="Y429">
        <f>IF('03_Helper'!A429="","",'03_Helper'!AN429)</f>
        <v/>
      </c>
    </row>
    <row r="430">
      <c r="A430">
        <f>IF('03_Helper'!A430="","",'03_Helper'!B430)</f>
        <v/>
      </c>
      <c r="B430">
        <f>IF('03_Helper'!A430="","",'03_Helper'!C430)</f>
        <v/>
      </c>
      <c r="C430">
        <f>IF('03_Helper'!A430="","",'03_Helper'!G430)</f>
        <v/>
      </c>
      <c r="D430">
        <f>IF('03_Helper'!A430="","",'03_Helper'!E430)</f>
        <v/>
      </c>
      <c r="E430">
        <f>IF('03_Helper'!A430="","",'03_Helper'!D430)</f>
        <v/>
      </c>
      <c r="F430">
        <f>IF('03_Helper'!A430="","",'03_Helper'!H430)</f>
        <v/>
      </c>
      <c r="G430">
        <f>IF('03_Helper'!A430="","",'03_Helper'!X430)</f>
        <v/>
      </c>
      <c r="H430">
        <f>IF('03_Helper'!A430="","",'03_Helper'!Y430)</f>
        <v/>
      </c>
      <c r="I430">
        <f>IF('03_Helper'!A430="","",'03_Helper'!Z430)</f>
        <v/>
      </c>
      <c r="J430">
        <f>IF('03_Helper'!A430="","",'03_Helper'!Q430)</f>
        <v/>
      </c>
      <c r="K430">
        <f>IF('03_Helper'!A430="","",'03_Helper'!R430)</f>
        <v/>
      </c>
      <c r="L430">
        <f>IF('03_Helper'!A430="","",'03_Helper'!S430)</f>
        <v/>
      </c>
      <c r="M430">
        <f>IF('03_Helper'!A430="","",'03_Helper'!T430)</f>
        <v/>
      </c>
      <c r="N430">
        <f>IF('03_Helper'!A430="","",'03_Helper'!AA430)</f>
        <v/>
      </c>
      <c r="O430">
        <f>IF('03_Helper'!A430="","",'03_Helper'!AB430)</f>
        <v/>
      </c>
      <c r="P430">
        <f>IF('03_Helper'!A430="","",'03_Helper'!AC430)</f>
        <v/>
      </c>
      <c r="Q430">
        <f>IF('03_Helper'!A430="","",'03_Helper'!AD430)</f>
        <v/>
      </c>
      <c r="R430">
        <f>IF('03_Helper'!A430="","",'03_Helper'!AI430)</f>
        <v/>
      </c>
      <c r="S430">
        <f>IF('03_Helper'!A430="","",'03_Helper'!AJ430)</f>
        <v/>
      </c>
      <c r="T430">
        <f>IF('03_Helper'!A430="","",'03_Helper'!U430)</f>
        <v/>
      </c>
      <c r="U430">
        <f>IF('03_Helper'!A430="","",'03_Helper'!W430)</f>
        <v/>
      </c>
      <c r="V430">
        <f>IF('03_Helper'!A430="","",'03_Helper'!AG430)</f>
        <v/>
      </c>
      <c r="W430">
        <f>IF('03_Helper'!A430="","",'03_Helper'!AK430)</f>
        <v/>
      </c>
      <c r="X430">
        <f>IF('03_Helper'!A430="","",'03_Helper'!K430)</f>
        <v/>
      </c>
      <c r="Y430">
        <f>IF('03_Helper'!A430="","",'03_Helper'!AN430)</f>
        <v/>
      </c>
    </row>
    <row r="431">
      <c r="A431">
        <f>IF('03_Helper'!A431="","",'03_Helper'!B431)</f>
        <v/>
      </c>
      <c r="B431">
        <f>IF('03_Helper'!A431="","",'03_Helper'!C431)</f>
        <v/>
      </c>
      <c r="C431">
        <f>IF('03_Helper'!A431="","",'03_Helper'!G431)</f>
        <v/>
      </c>
      <c r="D431">
        <f>IF('03_Helper'!A431="","",'03_Helper'!E431)</f>
        <v/>
      </c>
      <c r="E431">
        <f>IF('03_Helper'!A431="","",'03_Helper'!D431)</f>
        <v/>
      </c>
      <c r="F431">
        <f>IF('03_Helper'!A431="","",'03_Helper'!H431)</f>
        <v/>
      </c>
      <c r="G431">
        <f>IF('03_Helper'!A431="","",'03_Helper'!X431)</f>
        <v/>
      </c>
      <c r="H431">
        <f>IF('03_Helper'!A431="","",'03_Helper'!Y431)</f>
        <v/>
      </c>
      <c r="I431">
        <f>IF('03_Helper'!A431="","",'03_Helper'!Z431)</f>
        <v/>
      </c>
      <c r="J431">
        <f>IF('03_Helper'!A431="","",'03_Helper'!Q431)</f>
        <v/>
      </c>
      <c r="K431">
        <f>IF('03_Helper'!A431="","",'03_Helper'!R431)</f>
        <v/>
      </c>
      <c r="L431">
        <f>IF('03_Helper'!A431="","",'03_Helper'!S431)</f>
        <v/>
      </c>
      <c r="M431">
        <f>IF('03_Helper'!A431="","",'03_Helper'!T431)</f>
        <v/>
      </c>
      <c r="N431">
        <f>IF('03_Helper'!A431="","",'03_Helper'!AA431)</f>
        <v/>
      </c>
      <c r="O431">
        <f>IF('03_Helper'!A431="","",'03_Helper'!AB431)</f>
        <v/>
      </c>
      <c r="P431">
        <f>IF('03_Helper'!A431="","",'03_Helper'!AC431)</f>
        <v/>
      </c>
      <c r="Q431">
        <f>IF('03_Helper'!A431="","",'03_Helper'!AD431)</f>
        <v/>
      </c>
      <c r="R431">
        <f>IF('03_Helper'!A431="","",'03_Helper'!AI431)</f>
        <v/>
      </c>
      <c r="S431">
        <f>IF('03_Helper'!A431="","",'03_Helper'!AJ431)</f>
        <v/>
      </c>
      <c r="T431">
        <f>IF('03_Helper'!A431="","",'03_Helper'!U431)</f>
        <v/>
      </c>
      <c r="U431">
        <f>IF('03_Helper'!A431="","",'03_Helper'!W431)</f>
        <v/>
      </c>
      <c r="V431">
        <f>IF('03_Helper'!A431="","",'03_Helper'!AG431)</f>
        <v/>
      </c>
      <c r="W431">
        <f>IF('03_Helper'!A431="","",'03_Helper'!AK431)</f>
        <v/>
      </c>
      <c r="X431">
        <f>IF('03_Helper'!A431="","",'03_Helper'!K431)</f>
        <v/>
      </c>
      <c r="Y431">
        <f>IF('03_Helper'!A431="","",'03_Helper'!AN431)</f>
        <v/>
      </c>
    </row>
    <row r="432">
      <c r="A432">
        <f>IF('03_Helper'!A432="","",'03_Helper'!B432)</f>
        <v/>
      </c>
      <c r="B432">
        <f>IF('03_Helper'!A432="","",'03_Helper'!C432)</f>
        <v/>
      </c>
      <c r="C432">
        <f>IF('03_Helper'!A432="","",'03_Helper'!G432)</f>
        <v/>
      </c>
      <c r="D432">
        <f>IF('03_Helper'!A432="","",'03_Helper'!E432)</f>
        <v/>
      </c>
      <c r="E432">
        <f>IF('03_Helper'!A432="","",'03_Helper'!D432)</f>
        <v/>
      </c>
      <c r="F432">
        <f>IF('03_Helper'!A432="","",'03_Helper'!H432)</f>
        <v/>
      </c>
      <c r="G432">
        <f>IF('03_Helper'!A432="","",'03_Helper'!X432)</f>
        <v/>
      </c>
      <c r="H432">
        <f>IF('03_Helper'!A432="","",'03_Helper'!Y432)</f>
        <v/>
      </c>
      <c r="I432">
        <f>IF('03_Helper'!A432="","",'03_Helper'!Z432)</f>
        <v/>
      </c>
      <c r="J432">
        <f>IF('03_Helper'!A432="","",'03_Helper'!Q432)</f>
        <v/>
      </c>
      <c r="K432">
        <f>IF('03_Helper'!A432="","",'03_Helper'!R432)</f>
        <v/>
      </c>
      <c r="L432">
        <f>IF('03_Helper'!A432="","",'03_Helper'!S432)</f>
        <v/>
      </c>
      <c r="M432">
        <f>IF('03_Helper'!A432="","",'03_Helper'!T432)</f>
        <v/>
      </c>
      <c r="N432">
        <f>IF('03_Helper'!A432="","",'03_Helper'!AA432)</f>
        <v/>
      </c>
      <c r="O432">
        <f>IF('03_Helper'!A432="","",'03_Helper'!AB432)</f>
        <v/>
      </c>
      <c r="P432">
        <f>IF('03_Helper'!A432="","",'03_Helper'!AC432)</f>
        <v/>
      </c>
      <c r="Q432">
        <f>IF('03_Helper'!A432="","",'03_Helper'!AD432)</f>
        <v/>
      </c>
      <c r="R432">
        <f>IF('03_Helper'!A432="","",'03_Helper'!AI432)</f>
        <v/>
      </c>
      <c r="S432">
        <f>IF('03_Helper'!A432="","",'03_Helper'!AJ432)</f>
        <v/>
      </c>
      <c r="T432">
        <f>IF('03_Helper'!A432="","",'03_Helper'!U432)</f>
        <v/>
      </c>
      <c r="U432">
        <f>IF('03_Helper'!A432="","",'03_Helper'!W432)</f>
        <v/>
      </c>
      <c r="V432">
        <f>IF('03_Helper'!A432="","",'03_Helper'!AG432)</f>
        <v/>
      </c>
      <c r="W432">
        <f>IF('03_Helper'!A432="","",'03_Helper'!AK432)</f>
        <v/>
      </c>
      <c r="X432">
        <f>IF('03_Helper'!A432="","",'03_Helper'!K432)</f>
        <v/>
      </c>
      <c r="Y432">
        <f>IF('03_Helper'!A432="","",'03_Helper'!AN432)</f>
        <v/>
      </c>
    </row>
    <row r="433">
      <c r="A433">
        <f>IF('03_Helper'!A433="","",'03_Helper'!B433)</f>
        <v/>
      </c>
      <c r="B433">
        <f>IF('03_Helper'!A433="","",'03_Helper'!C433)</f>
        <v/>
      </c>
      <c r="C433">
        <f>IF('03_Helper'!A433="","",'03_Helper'!G433)</f>
        <v/>
      </c>
      <c r="D433">
        <f>IF('03_Helper'!A433="","",'03_Helper'!E433)</f>
        <v/>
      </c>
      <c r="E433">
        <f>IF('03_Helper'!A433="","",'03_Helper'!D433)</f>
        <v/>
      </c>
      <c r="F433">
        <f>IF('03_Helper'!A433="","",'03_Helper'!H433)</f>
        <v/>
      </c>
      <c r="G433">
        <f>IF('03_Helper'!A433="","",'03_Helper'!X433)</f>
        <v/>
      </c>
      <c r="H433">
        <f>IF('03_Helper'!A433="","",'03_Helper'!Y433)</f>
        <v/>
      </c>
      <c r="I433">
        <f>IF('03_Helper'!A433="","",'03_Helper'!Z433)</f>
        <v/>
      </c>
      <c r="J433">
        <f>IF('03_Helper'!A433="","",'03_Helper'!Q433)</f>
        <v/>
      </c>
      <c r="K433">
        <f>IF('03_Helper'!A433="","",'03_Helper'!R433)</f>
        <v/>
      </c>
      <c r="L433">
        <f>IF('03_Helper'!A433="","",'03_Helper'!S433)</f>
        <v/>
      </c>
      <c r="M433">
        <f>IF('03_Helper'!A433="","",'03_Helper'!T433)</f>
        <v/>
      </c>
      <c r="N433">
        <f>IF('03_Helper'!A433="","",'03_Helper'!AA433)</f>
        <v/>
      </c>
      <c r="O433">
        <f>IF('03_Helper'!A433="","",'03_Helper'!AB433)</f>
        <v/>
      </c>
      <c r="P433">
        <f>IF('03_Helper'!A433="","",'03_Helper'!AC433)</f>
        <v/>
      </c>
      <c r="Q433">
        <f>IF('03_Helper'!A433="","",'03_Helper'!AD433)</f>
        <v/>
      </c>
      <c r="R433">
        <f>IF('03_Helper'!A433="","",'03_Helper'!AI433)</f>
        <v/>
      </c>
      <c r="S433">
        <f>IF('03_Helper'!A433="","",'03_Helper'!AJ433)</f>
        <v/>
      </c>
      <c r="T433">
        <f>IF('03_Helper'!A433="","",'03_Helper'!U433)</f>
        <v/>
      </c>
      <c r="U433">
        <f>IF('03_Helper'!A433="","",'03_Helper'!W433)</f>
        <v/>
      </c>
      <c r="V433">
        <f>IF('03_Helper'!A433="","",'03_Helper'!AG433)</f>
        <v/>
      </c>
      <c r="W433">
        <f>IF('03_Helper'!A433="","",'03_Helper'!AK433)</f>
        <v/>
      </c>
      <c r="X433">
        <f>IF('03_Helper'!A433="","",'03_Helper'!K433)</f>
        <v/>
      </c>
      <c r="Y433">
        <f>IF('03_Helper'!A433="","",'03_Helper'!AN433)</f>
        <v/>
      </c>
    </row>
    <row r="434">
      <c r="A434">
        <f>IF('03_Helper'!A434="","",'03_Helper'!B434)</f>
        <v/>
      </c>
      <c r="B434">
        <f>IF('03_Helper'!A434="","",'03_Helper'!C434)</f>
        <v/>
      </c>
      <c r="C434">
        <f>IF('03_Helper'!A434="","",'03_Helper'!G434)</f>
        <v/>
      </c>
      <c r="D434">
        <f>IF('03_Helper'!A434="","",'03_Helper'!E434)</f>
        <v/>
      </c>
      <c r="E434">
        <f>IF('03_Helper'!A434="","",'03_Helper'!D434)</f>
        <v/>
      </c>
      <c r="F434">
        <f>IF('03_Helper'!A434="","",'03_Helper'!H434)</f>
        <v/>
      </c>
      <c r="G434">
        <f>IF('03_Helper'!A434="","",'03_Helper'!X434)</f>
        <v/>
      </c>
      <c r="H434">
        <f>IF('03_Helper'!A434="","",'03_Helper'!Y434)</f>
        <v/>
      </c>
      <c r="I434">
        <f>IF('03_Helper'!A434="","",'03_Helper'!Z434)</f>
        <v/>
      </c>
      <c r="J434">
        <f>IF('03_Helper'!A434="","",'03_Helper'!Q434)</f>
        <v/>
      </c>
      <c r="K434">
        <f>IF('03_Helper'!A434="","",'03_Helper'!R434)</f>
        <v/>
      </c>
      <c r="L434">
        <f>IF('03_Helper'!A434="","",'03_Helper'!S434)</f>
        <v/>
      </c>
      <c r="M434">
        <f>IF('03_Helper'!A434="","",'03_Helper'!T434)</f>
        <v/>
      </c>
      <c r="N434">
        <f>IF('03_Helper'!A434="","",'03_Helper'!AA434)</f>
        <v/>
      </c>
      <c r="O434">
        <f>IF('03_Helper'!A434="","",'03_Helper'!AB434)</f>
        <v/>
      </c>
      <c r="P434">
        <f>IF('03_Helper'!A434="","",'03_Helper'!AC434)</f>
        <v/>
      </c>
      <c r="Q434">
        <f>IF('03_Helper'!A434="","",'03_Helper'!AD434)</f>
        <v/>
      </c>
      <c r="R434">
        <f>IF('03_Helper'!A434="","",'03_Helper'!AI434)</f>
        <v/>
      </c>
      <c r="S434">
        <f>IF('03_Helper'!A434="","",'03_Helper'!AJ434)</f>
        <v/>
      </c>
      <c r="T434">
        <f>IF('03_Helper'!A434="","",'03_Helper'!U434)</f>
        <v/>
      </c>
      <c r="U434">
        <f>IF('03_Helper'!A434="","",'03_Helper'!W434)</f>
        <v/>
      </c>
      <c r="V434">
        <f>IF('03_Helper'!A434="","",'03_Helper'!AG434)</f>
        <v/>
      </c>
      <c r="W434">
        <f>IF('03_Helper'!A434="","",'03_Helper'!AK434)</f>
        <v/>
      </c>
      <c r="X434">
        <f>IF('03_Helper'!A434="","",'03_Helper'!K434)</f>
        <v/>
      </c>
      <c r="Y434">
        <f>IF('03_Helper'!A434="","",'03_Helper'!AN434)</f>
        <v/>
      </c>
    </row>
    <row r="435">
      <c r="A435">
        <f>IF('03_Helper'!A435="","",'03_Helper'!B435)</f>
        <v/>
      </c>
      <c r="B435">
        <f>IF('03_Helper'!A435="","",'03_Helper'!C435)</f>
        <v/>
      </c>
      <c r="C435">
        <f>IF('03_Helper'!A435="","",'03_Helper'!G435)</f>
        <v/>
      </c>
      <c r="D435">
        <f>IF('03_Helper'!A435="","",'03_Helper'!E435)</f>
        <v/>
      </c>
      <c r="E435">
        <f>IF('03_Helper'!A435="","",'03_Helper'!D435)</f>
        <v/>
      </c>
      <c r="F435">
        <f>IF('03_Helper'!A435="","",'03_Helper'!H435)</f>
        <v/>
      </c>
      <c r="G435">
        <f>IF('03_Helper'!A435="","",'03_Helper'!X435)</f>
        <v/>
      </c>
      <c r="H435">
        <f>IF('03_Helper'!A435="","",'03_Helper'!Y435)</f>
        <v/>
      </c>
      <c r="I435">
        <f>IF('03_Helper'!A435="","",'03_Helper'!Z435)</f>
        <v/>
      </c>
      <c r="J435">
        <f>IF('03_Helper'!A435="","",'03_Helper'!Q435)</f>
        <v/>
      </c>
      <c r="K435">
        <f>IF('03_Helper'!A435="","",'03_Helper'!R435)</f>
        <v/>
      </c>
      <c r="L435">
        <f>IF('03_Helper'!A435="","",'03_Helper'!S435)</f>
        <v/>
      </c>
      <c r="M435">
        <f>IF('03_Helper'!A435="","",'03_Helper'!T435)</f>
        <v/>
      </c>
      <c r="N435">
        <f>IF('03_Helper'!A435="","",'03_Helper'!AA435)</f>
        <v/>
      </c>
      <c r="O435">
        <f>IF('03_Helper'!A435="","",'03_Helper'!AB435)</f>
        <v/>
      </c>
      <c r="P435">
        <f>IF('03_Helper'!A435="","",'03_Helper'!AC435)</f>
        <v/>
      </c>
      <c r="Q435">
        <f>IF('03_Helper'!A435="","",'03_Helper'!AD435)</f>
        <v/>
      </c>
      <c r="R435">
        <f>IF('03_Helper'!A435="","",'03_Helper'!AI435)</f>
        <v/>
      </c>
      <c r="S435">
        <f>IF('03_Helper'!A435="","",'03_Helper'!AJ435)</f>
        <v/>
      </c>
      <c r="T435">
        <f>IF('03_Helper'!A435="","",'03_Helper'!U435)</f>
        <v/>
      </c>
      <c r="U435">
        <f>IF('03_Helper'!A435="","",'03_Helper'!W435)</f>
        <v/>
      </c>
      <c r="V435">
        <f>IF('03_Helper'!A435="","",'03_Helper'!AG435)</f>
        <v/>
      </c>
      <c r="W435">
        <f>IF('03_Helper'!A435="","",'03_Helper'!AK435)</f>
        <v/>
      </c>
      <c r="X435">
        <f>IF('03_Helper'!A435="","",'03_Helper'!K435)</f>
        <v/>
      </c>
      <c r="Y435">
        <f>IF('03_Helper'!A435="","",'03_Helper'!AN435)</f>
        <v/>
      </c>
    </row>
    <row r="436">
      <c r="A436">
        <f>IF('03_Helper'!A436="","",'03_Helper'!B436)</f>
        <v/>
      </c>
      <c r="B436">
        <f>IF('03_Helper'!A436="","",'03_Helper'!C436)</f>
        <v/>
      </c>
      <c r="C436">
        <f>IF('03_Helper'!A436="","",'03_Helper'!G436)</f>
        <v/>
      </c>
      <c r="D436">
        <f>IF('03_Helper'!A436="","",'03_Helper'!E436)</f>
        <v/>
      </c>
      <c r="E436">
        <f>IF('03_Helper'!A436="","",'03_Helper'!D436)</f>
        <v/>
      </c>
      <c r="F436">
        <f>IF('03_Helper'!A436="","",'03_Helper'!H436)</f>
        <v/>
      </c>
      <c r="G436">
        <f>IF('03_Helper'!A436="","",'03_Helper'!X436)</f>
        <v/>
      </c>
      <c r="H436">
        <f>IF('03_Helper'!A436="","",'03_Helper'!Y436)</f>
        <v/>
      </c>
      <c r="I436">
        <f>IF('03_Helper'!A436="","",'03_Helper'!Z436)</f>
        <v/>
      </c>
      <c r="J436">
        <f>IF('03_Helper'!A436="","",'03_Helper'!Q436)</f>
        <v/>
      </c>
      <c r="K436">
        <f>IF('03_Helper'!A436="","",'03_Helper'!R436)</f>
        <v/>
      </c>
      <c r="L436">
        <f>IF('03_Helper'!A436="","",'03_Helper'!S436)</f>
        <v/>
      </c>
      <c r="M436">
        <f>IF('03_Helper'!A436="","",'03_Helper'!T436)</f>
        <v/>
      </c>
      <c r="N436">
        <f>IF('03_Helper'!A436="","",'03_Helper'!AA436)</f>
        <v/>
      </c>
      <c r="O436">
        <f>IF('03_Helper'!A436="","",'03_Helper'!AB436)</f>
        <v/>
      </c>
      <c r="P436">
        <f>IF('03_Helper'!A436="","",'03_Helper'!AC436)</f>
        <v/>
      </c>
      <c r="Q436">
        <f>IF('03_Helper'!A436="","",'03_Helper'!AD436)</f>
        <v/>
      </c>
      <c r="R436">
        <f>IF('03_Helper'!A436="","",'03_Helper'!AI436)</f>
        <v/>
      </c>
      <c r="S436">
        <f>IF('03_Helper'!A436="","",'03_Helper'!AJ436)</f>
        <v/>
      </c>
      <c r="T436">
        <f>IF('03_Helper'!A436="","",'03_Helper'!U436)</f>
        <v/>
      </c>
      <c r="U436">
        <f>IF('03_Helper'!A436="","",'03_Helper'!W436)</f>
        <v/>
      </c>
      <c r="V436">
        <f>IF('03_Helper'!A436="","",'03_Helper'!AG436)</f>
        <v/>
      </c>
      <c r="W436">
        <f>IF('03_Helper'!A436="","",'03_Helper'!AK436)</f>
        <v/>
      </c>
      <c r="X436">
        <f>IF('03_Helper'!A436="","",'03_Helper'!K436)</f>
        <v/>
      </c>
      <c r="Y436">
        <f>IF('03_Helper'!A436="","",'03_Helper'!AN436)</f>
        <v/>
      </c>
    </row>
    <row r="437">
      <c r="A437">
        <f>IF('03_Helper'!A437="","",'03_Helper'!B437)</f>
        <v/>
      </c>
      <c r="B437">
        <f>IF('03_Helper'!A437="","",'03_Helper'!C437)</f>
        <v/>
      </c>
      <c r="C437">
        <f>IF('03_Helper'!A437="","",'03_Helper'!G437)</f>
        <v/>
      </c>
      <c r="D437">
        <f>IF('03_Helper'!A437="","",'03_Helper'!E437)</f>
        <v/>
      </c>
      <c r="E437">
        <f>IF('03_Helper'!A437="","",'03_Helper'!D437)</f>
        <v/>
      </c>
      <c r="F437">
        <f>IF('03_Helper'!A437="","",'03_Helper'!H437)</f>
        <v/>
      </c>
      <c r="G437">
        <f>IF('03_Helper'!A437="","",'03_Helper'!X437)</f>
        <v/>
      </c>
      <c r="H437">
        <f>IF('03_Helper'!A437="","",'03_Helper'!Y437)</f>
        <v/>
      </c>
      <c r="I437">
        <f>IF('03_Helper'!A437="","",'03_Helper'!Z437)</f>
        <v/>
      </c>
      <c r="J437">
        <f>IF('03_Helper'!A437="","",'03_Helper'!Q437)</f>
        <v/>
      </c>
      <c r="K437">
        <f>IF('03_Helper'!A437="","",'03_Helper'!R437)</f>
        <v/>
      </c>
      <c r="L437">
        <f>IF('03_Helper'!A437="","",'03_Helper'!S437)</f>
        <v/>
      </c>
      <c r="M437">
        <f>IF('03_Helper'!A437="","",'03_Helper'!T437)</f>
        <v/>
      </c>
      <c r="N437">
        <f>IF('03_Helper'!A437="","",'03_Helper'!AA437)</f>
        <v/>
      </c>
      <c r="O437">
        <f>IF('03_Helper'!A437="","",'03_Helper'!AB437)</f>
        <v/>
      </c>
      <c r="P437">
        <f>IF('03_Helper'!A437="","",'03_Helper'!AC437)</f>
        <v/>
      </c>
      <c r="Q437">
        <f>IF('03_Helper'!A437="","",'03_Helper'!AD437)</f>
        <v/>
      </c>
      <c r="R437">
        <f>IF('03_Helper'!A437="","",'03_Helper'!AI437)</f>
        <v/>
      </c>
      <c r="S437">
        <f>IF('03_Helper'!A437="","",'03_Helper'!AJ437)</f>
        <v/>
      </c>
      <c r="T437">
        <f>IF('03_Helper'!A437="","",'03_Helper'!U437)</f>
        <v/>
      </c>
      <c r="U437">
        <f>IF('03_Helper'!A437="","",'03_Helper'!W437)</f>
        <v/>
      </c>
      <c r="V437">
        <f>IF('03_Helper'!A437="","",'03_Helper'!AG437)</f>
        <v/>
      </c>
      <c r="W437">
        <f>IF('03_Helper'!A437="","",'03_Helper'!AK437)</f>
        <v/>
      </c>
      <c r="X437">
        <f>IF('03_Helper'!A437="","",'03_Helper'!K437)</f>
        <v/>
      </c>
      <c r="Y437">
        <f>IF('03_Helper'!A437="","",'03_Helper'!AN437)</f>
        <v/>
      </c>
    </row>
    <row r="438">
      <c r="A438">
        <f>IF('03_Helper'!A438="","",'03_Helper'!B438)</f>
        <v/>
      </c>
      <c r="B438">
        <f>IF('03_Helper'!A438="","",'03_Helper'!C438)</f>
        <v/>
      </c>
      <c r="C438">
        <f>IF('03_Helper'!A438="","",'03_Helper'!G438)</f>
        <v/>
      </c>
      <c r="D438">
        <f>IF('03_Helper'!A438="","",'03_Helper'!E438)</f>
        <v/>
      </c>
      <c r="E438">
        <f>IF('03_Helper'!A438="","",'03_Helper'!D438)</f>
        <v/>
      </c>
      <c r="F438">
        <f>IF('03_Helper'!A438="","",'03_Helper'!H438)</f>
        <v/>
      </c>
      <c r="G438">
        <f>IF('03_Helper'!A438="","",'03_Helper'!X438)</f>
        <v/>
      </c>
      <c r="H438">
        <f>IF('03_Helper'!A438="","",'03_Helper'!Y438)</f>
        <v/>
      </c>
      <c r="I438">
        <f>IF('03_Helper'!A438="","",'03_Helper'!Z438)</f>
        <v/>
      </c>
      <c r="J438">
        <f>IF('03_Helper'!A438="","",'03_Helper'!Q438)</f>
        <v/>
      </c>
      <c r="K438">
        <f>IF('03_Helper'!A438="","",'03_Helper'!R438)</f>
        <v/>
      </c>
      <c r="L438">
        <f>IF('03_Helper'!A438="","",'03_Helper'!S438)</f>
        <v/>
      </c>
      <c r="M438">
        <f>IF('03_Helper'!A438="","",'03_Helper'!T438)</f>
        <v/>
      </c>
      <c r="N438">
        <f>IF('03_Helper'!A438="","",'03_Helper'!AA438)</f>
        <v/>
      </c>
      <c r="O438">
        <f>IF('03_Helper'!A438="","",'03_Helper'!AB438)</f>
        <v/>
      </c>
      <c r="P438">
        <f>IF('03_Helper'!A438="","",'03_Helper'!AC438)</f>
        <v/>
      </c>
      <c r="Q438">
        <f>IF('03_Helper'!A438="","",'03_Helper'!AD438)</f>
        <v/>
      </c>
      <c r="R438">
        <f>IF('03_Helper'!A438="","",'03_Helper'!AI438)</f>
        <v/>
      </c>
      <c r="S438">
        <f>IF('03_Helper'!A438="","",'03_Helper'!AJ438)</f>
        <v/>
      </c>
      <c r="T438">
        <f>IF('03_Helper'!A438="","",'03_Helper'!U438)</f>
        <v/>
      </c>
      <c r="U438">
        <f>IF('03_Helper'!A438="","",'03_Helper'!W438)</f>
        <v/>
      </c>
      <c r="V438">
        <f>IF('03_Helper'!A438="","",'03_Helper'!AG438)</f>
        <v/>
      </c>
      <c r="W438">
        <f>IF('03_Helper'!A438="","",'03_Helper'!AK438)</f>
        <v/>
      </c>
      <c r="X438">
        <f>IF('03_Helper'!A438="","",'03_Helper'!K438)</f>
        <v/>
      </c>
      <c r="Y438">
        <f>IF('03_Helper'!A438="","",'03_Helper'!AN438)</f>
        <v/>
      </c>
    </row>
    <row r="439">
      <c r="A439">
        <f>IF('03_Helper'!A439="","",'03_Helper'!B439)</f>
        <v/>
      </c>
      <c r="B439">
        <f>IF('03_Helper'!A439="","",'03_Helper'!C439)</f>
        <v/>
      </c>
      <c r="C439">
        <f>IF('03_Helper'!A439="","",'03_Helper'!G439)</f>
        <v/>
      </c>
      <c r="D439">
        <f>IF('03_Helper'!A439="","",'03_Helper'!E439)</f>
        <v/>
      </c>
      <c r="E439">
        <f>IF('03_Helper'!A439="","",'03_Helper'!D439)</f>
        <v/>
      </c>
      <c r="F439">
        <f>IF('03_Helper'!A439="","",'03_Helper'!H439)</f>
        <v/>
      </c>
      <c r="G439">
        <f>IF('03_Helper'!A439="","",'03_Helper'!X439)</f>
        <v/>
      </c>
      <c r="H439">
        <f>IF('03_Helper'!A439="","",'03_Helper'!Y439)</f>
        <v/>
      </c>
      <c r="I439">
        <f>IF('03_Helper'!A439="","",'03_Helper'!Z439)</f>
        <v/>
      </c>
      <c r="J439">
        <f>IF('03_Helper'!A439="","",'03_Helper'!Q439)</f>
        <v/>
      </c>
      <c r="K439">
        <f>IF('03_Helper'!A439="","",'03_Helper'!R439)</f>
        <v/>
      </c>
      <c r="L439">
        <f>IF('03_Helper'!A439="","",'03_Helper'!S439)</f>
        <v/>
      </c>
      <c r="M439">
        <f>IF('03_Helper'!A439="","",'03_Helper'!T439)</f>
        <v/>
      </c>
      <c r="N439">
        <f>IF('03_Helper'!A439="","",'03_Helper'!AA439)</f>
        <v/>
      </c>
      <c r="O439">
        <f>IF('03_Helper'!A439="","",'03_Helper'!AB439)</f>
        <v/>
      </c>
      <c r="P439">
        <f>IF('03_Helper'!A439="","",'03_Helper'!AC439)</f>
        <v/>
      </c>
      <c r="Q439">
        <f>IF('03_Helper'!A439="","",'03_Helper'!AD439)</f>
        <v/>
      </c>
      <c r="R439">
        <f>IF('03_Helper'!A439="","",'03_Helper'!AI439)</f>
        <v/>
      </c>
      <c r="S439">
        <f>IF('03_Helper'!A439="","",'03_Helper'!AJ439)</f>
        <v/>
      </c>
      <c r="T439">
        <f>IF('03_Helper'!A439="","",'03_Helper'!U439)</f>
        <v/>
      </c>
      <c r="U439">
        <f>IF('03_Helper'!A439="","",'03_Helper'!W439)</f>
        <v/>
      </c>
      <c r="V439">
        <f>IF('03_Helper'!A439="","",'03_Helper'!AG439)</f>
        <v/>
      </c>
      <c r="W439">
        <f>IF('03_Helper'!A439="","",'03_Helper'!AK439)</f>
        <v/>
      </c>
      <c r="X439">
        <f>IF('03_Helper'!A439="","",'03_Helper'!K439)</f>
        <v/>
      </c>
      <c r="Y439">
        <f>IF('03_Helper'!A439="","",'03_Helper'!AN439)</f>
        <v/>
      </c>
    </row>
    <row r="440">
      <c r="A440">
        <f>IF('03_Helper'!A440="","",'03_Helper'!B440)</f>
        <v/>
      </c>
      <c r="B440">
        <f>IF('03_Helper'!A440="","",'03_Helper'!C440)</f>
        <v/>
      </c>
      <c r="C440">
        <f>IF('03_Helper'!A440="","",'03_Helper'!G440)</f>
        <v/>
      </c>
      <c r="D440">
        <f>IF('03_Helper'!A440="","",'03_Helper'!E440)</f>
        <v/>
      </c>
      <c r="E440">
        <f>IF('03_Helper'!A440="","",'03_Helper'!D440)</f>
        <v/>
      </c>
      <c r="F440">
        <f>IF('03_Helper'!A440="","",'03_Helper'!H440)</f>
        <v/>
      </c>
      <c r="G440">
        <f>IF('03_Helper'!A440="","",'03_Helper'!X440)</f>
        <v/>
      </c>
      <c r="H440">
        <f>IF('03_Helper'!A440="","",'03_Helper'!Y440)</f>
        <v/>
      </c>
      <c r="I440">
        <f>IF('03_Helper'!A440="","",'03_Helper'!Z440)</f>
        <v/>
      </c>
      <c r="J440">
        <f>IF('03_Helper'!A440="","",'03_Helper'!Q440)</f>
        <v/>
      </c>
      <c r="K440">
        <f>IF('03_Helper'!A440="","",'03_Helper'!R440)</f>
        <v/>
      </c>
      <c r="L440">
        <f>IF('03_Helper'!A440="","",'03_Helper'!S440)</f>
        <v/>
      </c>
      <c r="M440">
        <f>IF('03_Helper'!A440="","",'03_Helper'!T440)</f>
        <v/>
      </c>
      <c r="N440">
        <f>IF('03_Helper'!A440="","",'03_Helper'!AA440)</f>
        <v/>
      </c>
      <c r="O440">
        <f>IF('03_Helper'!A440="","",'03_Helper'!AB440)</f>
        <v/>
      </c>
      <c r="P440">
        <f>IF('03_Helper'!A440="","",'03_Helper'!AC440)</f>
        <v/>
      </c>
      <c r="Q440">
        <f>IF('03_Helper'!A440="","",'03_Helper'!AD440)</f>
        <v/>
      </c>
      <c r="R440">
        <f>IF('03_Helper'!A440="","",'03_Helper'!AI440)</f>
        <v/>
      </c>
      <c r="S440">
        <f>IF('03_Helper'!A440="","",'03_Helper'!AJ440)</f>
        <v/>
      </c>
      <c r="T440">
        <f>IF('03_Helper'!A440="","",'03_Helper'!U440)</f>
        <v/>
      </c>
      <c r="U440">
        <f>IF('03_Helper'!A440="","",'03_Helper'!W440)</f>
        <v/>
      </c>
      <c r="V440">
        <f>IF('03_Helper'!A440="","",'03_Helper'!AG440)</f>
        <v/>
      </c>
      <c r="W440">
        <f>IF('03_Helper'!A440="","",'03_Helper'!AK440)</f>
        <v/>
      </c>
      <c r="X440">
        <f>IF('03_Helper'!A440="","",'03_Helper'!K440)</f>
        <v/>
      </c>
      <c r="Y440">
        <f>IF('03_Helper'!A440="","",'03_Helper'!AN440)</f>
        <v/>
      </c>
    </row>
    <row r="441">
      <c r="A441">
        <f>IF('03_Helper'!A441="","",'03_Helper'!B441)</f>
        <v/>
      </c>
      <c r="B441">
        <f>IF('03_Helper'!A441="","",'03_Helper'!C441)</f>
        <v/>
      </c>
      <c r="C441">
        <f>IF('03_Helper'!A441="","",'03_Helper'!G441)</f>
        <v/>
      </c>
      <c r="D441">
        <f>IF('03_Helper'!A441="","",'03_Helper'!E441)</f>
        <v/>
      </c>
      <c r="E441">
        <f>IF('03_Helper'!A441="","",'03_Helper'!D441)</f>
        <v/>
      </c>
      <c r="F441">
        <f>IF('03_Helper'!A441="","",'03_Helper'!H441)</f>
        <v/>
      </c>
      <c r="G441">
        <f>IF('03_Helper'!A441="","",'03_Helper'!X441)</f>
        <v/>
      </c>
      <c r="H441">
        <f>IF('03_Helper'!A441="","",'03_Helper'!Y441)</f>
        <v/>
      </c>
      <c r="I441">
        <f>IF('03_Helper'!A441="","",'03_Helper'!Z441)</f>
        <v/>
      </c>
      <c r="J441">
        <f>IF('03_Helper'!A441="","",'03_Helper'!Q441)</f>
        <v/>
      </c>
      <c r="K441">
        <f>IF('03_Helper'!A441="","",'03_Helper'!R441)</f>
        <v/>
      </c>
      <c r="L441">
        <f>IF('03_Helper'!A441="","",'03_Helper'!S441)</f>
        <v/>
      </c>
      <c r="M441">
        <f>IF('03_Helper'!A441="","",'03_Helper'!T441)</f>
        <v/>
      </c>
      <c r="N441">
        <f>IF('03_Helper'!A441="","",'03_Helper'!AA441)</f>
        <v/>
      </c>
      <c r="O441">
        <f>IF('03_Helper'!A441="","",'03_Helper'!AB441)</f>
        <v/>
      </c>
      <c r="P441">
        <f>IF('03_Helper'!A441="","",'03_Helper'!AC441)</f>
        <v/>
      </c>
      <c r="Q441">
        <f>IF('03_Helper'!A441="","",'03_Helper'!AD441)</f>
        <v/>
      </c>
      <c r="R441">
        <f>IF('03_Helper'!A441="","",'03_Helper'!AI441)</f>
        <v/>
      </c>
      <c r="S441">
        <f>IF('03_Helper'!A441="","",'03_Helper'!AJ441)</f>
        <v/>
      </c>
      <c r="T441">
        <f>IF('03_Helper'!A441="","",'03_Helper'!U441)</f>
        <v/>
      </c>
      <c r="U441">
        <f>IF('03_Helper'!A441="","",'03_Helper'!W441)</f>
        <v/>
      </c>
      <c r="V441">
        <f>IF('03_Helper'!A441="","",'03_Helper'!AG441)</f>
        <v/>
      </c>
      <c r="W441">
        <f>IF('03_Helper'!A441="","",'03_Helper'!AK441)</f>
        <v/>
      </c>
      <c r="X441">
        <f>IF('03_Helper'!A441="","",'03_Helper'!K441)</f>
        <v/>
      </c>
      <c r="Y441">
        <f>IF('03_Helper'!A441="","",'03_Helper'!AN441)</f>
        <v/>
      </c>
    </row>
    <row r="442">
      <c r="A442">
        <f>IF('03_Helper'!A442="","",'03_Helper'!B442)</f>
        <v/>
      </c>
      <c r="B442">
        <f>IF('03_Helper'!A442="","",'03_Helper'!C442)</f>
        <v/>
      </c>
      <c r="C442">
        <f>IF('03_Helper'!A442="","",'03_Helper'!G442)</f>
        <v/>
      </c>
      <c r="D442">
        <f>IF('03_Helper'!A442="","",'03_Helper'!E442)</f>
        <v/>
      </c>
      <c r="E442">
        <f>IF('03_Helper'!A442="","",'03_Helper'!D442)</f>
        <v/>
      </c>
      <c r="F442">
        <f>IF('03_Helper'!A442="","",'03_Helper'!H442)</f>
        <v/>
      </c>
      <c r="G442">
        <f>IF('03_Helper'!A442="","",'03_Helper'!X442)</f>
        <v/>
      </c>
      <c r="H442">
        <f>IF('03_Helper'!A442="","",'03_Helper'!Y442)</f>
        <v/>
      </c>
      <c r="I442">
        <f>IF('03_Helper'!A442="","",'03_Helper'!Z442)</f>
        <v/>
      </c>
      <c r="J442">
        <f>IF('03_Helper'!A442="","",'03_Helper'!Q442)</f>
        <v/>
      </c>
      <c r="K442">
        <f>IF('03_Helper'!A442="","",'03_Helper'!R442)</f>
        <v/>
      </c>
      <c r="L442">
        <f>IF('03_Helper'!A442="","",'03_Helper'!S442)</f>
        <v/>
      </c>
      <c r="M442">
        <f>IF('03_Helper'!A442="","",'03_Helper'!T442)</f>
        <v/>
      </c>
      <c r="N442">
        <f>IF('03_Helper'!A442="","",'03_Helper'!AA442)</f>
        <v/>
      </c>
      <c r="O442">
        <f>IF('03_Helper'!A442="","",'03_Helper'!AB442)</f>
        <v/>
      </c>
      <c r="P442">
        <f>IF('03_Helper'!A442="","",'03_Helper'!AC442)</f>
        <v/>
      </c>
      <c r="Q442">
        <f>IF('03_Helper'!A442="","",'03_Helper'!AD442)</f>
        <v/>
      </c>
      <c r="R442">
        <f>IF('03_Helper'!A442="","",'03_Helper'!AI442)</f>
        <v/>
      </c>
      <c r="S442">
        <f>IF('03_Helper'!A442="","",'03_Helper'!AJ442)</f>
        <v/>
      </c>
      <c r="T442">
        <f>IF('03_Helper'!A442="","",'03_Helper'!U442)</f>
        <v/>
      </c>
      <c r="U442">
        <f>IF('03_Helper'!A442="","",'03_Helper'!W442)</f>
        <v/>
      </c>
      <c r="V442">
        <f>IF('03_Helper'!A442="","",'03_Helper'!AG442)</f>
        <v/>
      </c>
      <c r="W442">
        <f>IF('03_Helper'!A442="","",'03_Helper'!AK442)</f>
        <v/>
      </c>
      <c r="X442">
        <f>IF('03_Helper'!A442="","",'03_Helper'!K442)</f>
        <v/>
      </c>
      <c r="Y442">
        <f>IF('03_Helper'!A442="","",'03_Helper'!AN442)</f>
        <v/>
      </c>
    </row>
    <row r="443">
      <c r="A443">
        <f>IF('03_Helper'!A443="","",'03_Helper'!B443)</f>
        <v/>
      </c>
      <c r="B443">
        <f>IF('03_Helper'!A443="","",'03_Helper'!C443)</f>
        <v/>
      </c>
      <c r="C443">
        <f>IF('03_Helper'!A443="","",'03_Helper'!G443)</f>
        <v/>
      </c>
      <c r="D443">
        <f>IF('03_Helper'!A443="","",'03_Helper'!E443)</f>
        <v/>
      </c>
      <c r="E443">
        <f>IF('03_Helper'!A443="","",'03_Helper'!D443)</f>
        <v/>
      </c>
      <c r="F443">
        <f>IF('03_Helper'!A443="","",'03_Helper'!H443)</f>
        <v/>
      </c>
      <c r="G443">
        <f>IF('03_Helper'!A443="","",'03_Helper'!X443)</f>
        <v/>
      </c>
      <c r="H443">
        <f>IF('03_Helper'!A443="","",'03_Helper'!Y443)</f>
        <v/>
      </c>
      <c r="I443">
        <f>IF('03_Helper'!A443="","",'03_Helper'!Z443)</f>
        <v/>
      </c>
      <c r="J443">
        <f>IF('03_Helper'!A443="","",'03_Helper'!Q443)</f>
        <v/>
      </c>
      <c r="K443">
        <f>IF('03_Helper'!A443="","",'03_Helper'!R443)</f>
        <v/>
      </c>
      <c r="L443">
        <f>IF('03_Helper'!A443="","",'03_Helper'!S443)</f>
        <v/>
      </c>
      <c r="M443">
        <f>IF('03_Helper'!A443="","",'03_Helper'!T443)</f>
        <v/>
      </c>
      <c r="N443">
        <f>IF('03_Helper'!A443="","",'03_Helper'!AA443)</f>
        <v/>
      </c>
      <c r="O443">
        <f>IF('03_Helper'!A443="","",'03_Helper'!AB443)</f>
        <v/>
      </c>
      <c r="P443">
        <f>IF('03_Helper'!A443="","",'03_Helper'!AC443)</f>
        <v/>
      </c>
      <c r="Q443">
        <f>IF('03_Helper'!A443="","",'03_Helper'!AD443)</f>
        <v/>
      </c>
      <c r="R443">
        <f>IF('03_Helper'!A443="","",'03_Helper'!AI443)</f>
        <v/>
      </c>
      <c r="S443">
        <f>IF('03_Helper'!A443="","",'03_Helper'!AJ443)</f>
        <v/>
      </c>
      <c r="T443">
        <f>IF('03_Helper'!A443="","",'03_Helper'!U443)</f>
        <v/>
      </c>
      <c r="U443">
        <f>IF('03_Helper'!A443="","",'03_Helper'!W443)</f>
        <v/>
      </c>
      <c r="V443">
        <f>IF('03_Helper'!A443="","",'03_Helper'!AG443)</f>
        <v/>
      </c>
      <c r="W443">
        <f>IF('03_Helper'!A443="","",'03_Helper'!AK443)</f>
        <v/>
      </c>
      <c r="X443">
        <f>IF('03_Helper'!A443="","",'03_Helper'!K443)</f>
        <v/>
      </c>
      <c r="Y443">
        <f>IF('03_Helper'!A443="","",'03_Helper'!AN443)</f>
        <v/>
      </c>
    </row>
    <row r="444">
      <c r="A444">
        <f>IF('03_Helper'!A444="","",'03_Helper'!B444)</f>
        <v/>
      </c>
      <c r="B444">
        <f>IF('03_Helper'!A444="","",'03_Helper'!C444)</f>
        <v/>
      </c>
      <c r="C444">
        <f>IF('03_Helper'!A444="","",'03_Helper'!G444)</f>
        <v/>
      </c>
      <c r="D444">
        <f>IF('03_Helper'!A444="","",'03_Helper'!E444)</f>
        <v/>
      </c>
      <c r="E444">
        <f>IF('03_Helper'!A444="","",'03_Helper'!D444)</f>
        <v/>
      </c>
      <c r="F444">
        <f>IF('03_Helper'!A444="","",'03_Helper'!H444)</f>
        <v/>
      </c>
      <c r="G444">
        <f>IF('03_Helper'!A444="","",'03_Helper'!X444)</f>
        <v/>
      </c>
      <c r="H444">
        <f>IF('03_Helper'!A444="","",'03_Helper'!Y444)</f>
        <v/>
      </c>
      <c r="I444">
        <f>IF('03_Helper'!A444="","",'03_Helper'!Z444)</f>
        <v/>
      </c>
      <c r="J444">
        <f>IF('03_Helper'!A444="","",'03_Helper'!Q444)</f>
        <v/>
      </c>
      <c r="K444">
        <f>IF('03_Helper'!A444="","",'03_Helper'!R444)</f>
        <v/>
      </c>
      <c r="L444">
        <f>IF('03_Helper'!A444="","",'03_Helper'!S444)</f>
        <v/>
      </c>
      <c r="M444">
        <f>IF('03_Helper'!A444="","",'03_Helper'!T444)</f>
        <v/>
      </c>
      <c r="N444">
        <f>IF('03_Helper'!A444="","",'03_Helper'!AA444)</f>
        <v/>
      </c>
      <c r="O444">
        <f>IF('03_Helper'!A444="","",'03_Helper'!AB444)</f>
        <v/>
      </c>
      <c r="P444">
        <f>IF('03_Helper'!A444="","",'03_Helper'!AC444)</f>
        <v/>
      </c>
      <c r="Q444">
        <f>IF('03_Helper'!A444="","",'03_Helper'!AD444)</f>
        <v/>
      </c>
      <c r="R444">
        <f>IF('03_Helper'!A444="","",'03_Helper'!AI444)</f>
        <v/>
      </c>
      <c r="S444">
        <f>IF('03_Helper'!A444="","",'03_Helper'!AJ444)</f>
        <v/>
      </c>
      <c r="T444">
        <f>IF('03_Helper'!A444="","",'03_Helper'!U444)</f>
        <v/>
      </c>
      <c r="U444">
        <f>IF('03_Helper'!A444="","",'03_Helper'!W444)</f>
        <v/>
      </c>
      <c r="V444">
        <f>IF('03_Helper'!A444="","",'03_Helper'!AG444)</f>
        <v/>
      </c>
      <c r="W444">
        <f>IF('03_Helper'!A444="","",'03_Helper'!AK444)</f>
        <v/>
      </c>
      <c r="X444">
        <f>IF('03_Helper'!A444="","",'03_Helper'!K444)</f>
        <v/>
      </c>
      <c r="Y444">
        <f>IF('03_Helper'!A444="","",'03_Helper'!AN444)</f>
        <v/>
      </c>
    </row>
    <row r="445">
      <c r="A445">
        <f>IF('03_Helper'!A445="","",'03_Helper'!B445)</f>
        <v/>
      </c>
      <c r="B445">
        <f>IF('03_Helper'!A445="","",'03_Helper'!C445)</f>
        <v/>
      </c>
      <c r="C445">
        <f>IF('03_Helper'!A445="","",'03_Helper'!G445)</f>
        <v/>
      </c>
      <c r="D445">
        <f>IF('03_Helper'!A445="","",'03_Helper'!E445)</f>
        <v/>
      </c>
      <c r="E445">
        <f>IF('03_Helper'!A445="","",'03_Helper'!D445)</f>
        <v/>
      </c>
      <c r="F445">
        <f>IF('03_Helper'!A445="","",'03_Helper'!H445)</f>
        <v/>
      </c>
      <c r="G445">
        <f>IF('03_Helper'!A445="","",'03_Helper'!X445)</f>
        <v/>
      </c>
      <c r="H445">
        <f>IF('03_Helper'!A445="","",'03_Helper'!Y445)</f>
        <v/>
      </c>
      <c r="I445">
        <f>IF('03_Helper'!A445="","",'03_Helper'!Z445)</f>
        <v/>
      </c>
      <c r="J445">
        <f>IF('03_Helper'!A445="","",'03_Helper'!Q445)</f>
        <v/>
      </c>
      <c r="K445">
        <f>IF('03_Helper'!A445="","",'03_Helper'!R445)</f>
        <v/>
      </c>
      <c r="L445">
        <f>IF('03_Helper'!A445="","",'03_Helper'!S445)</f>
        <v/>
      </c>
      <c r="M445">
        <f>IF('03_Helper'!A445="","",'03_Helper'!T445)</f>
        <v/>
      </c>
      <c r="N445">
        <f>IF('03_Helper'!A445="","",'03_Helper'!AA445)</f>
        <v/>
      </c>
      <c r="O445">
        <f>IF('03_Helper'!A445="","",'03_Helper'!AB445)</f>
        <v/>
      </c>
      <c r="P445">
        <f>IF('03_Helper'!A445="","",'03_Helper'!AC445)</f>
        <v/>
      </c>
      <c r="Q445">
        <f>IF('03_Helper'!A445="","",'03_Helper'!AD445)</f>
        <v/>
      </c>
      <c r="R445">
        <f>IF('03_Helper'!A445="","",'03_Helper'!AI445)</f>
        <v/>
      </c>
      <c r="S445">
        <f>IF('03_Helper'!A445="","",'03_Helper'!AJ445)</f>
        <v/>
      </c>
      <c r="T445">
        <f>IF('03_Helper'!A445="","",'03_Helper'!U445)</f>
        <v/>
      </c>
      <c r="U445">
        <f>IF('03_Helper'!A445="","",'03_Helper'!W445)</f>
        <v/>
      </c>
      <c r="V445">
        <f>IF('03_Helper'!A445="","",'03_Helper'!AG445)</f>
        <v/>
      </c>
      <c r="W445">
        <f>IF('03_Helper'!A445="","",'03_Helper'!AK445)</f>
        <v/>
      </c>
      <c r="X445">
        <f>IF('03_Helper'!A445="","",'03_Helper'!K445)</f>
        <v/>
      </c>
      <c r="Y445">
        <f>IF('03_Helper'!A445="","",'03_Helper'!AN445)</f>
        <v/>
      </c>
    </row>
    <row r="446">
      <c r="A446">
        <f>IF('03_Helper'!A446="","",'03_Helper'!B446)</f>
        <v/>
      </c>
      <c r="B446">
        <f>IF('03_Helper'!A446="","",'03_Helper'!C446)</f>
        <v/>
      </c>
      <c r="C446">
        <f>IF('03_Helper'!A446="","",'03_Helper'!G446)</f>
        <v/>
      </c>
      <c r="D446">
        <f>IF('03_Helper'!A446="","",'03_Helper'!E446)</f>
        <v/>
      </c>
      <c r="E446">
        <f>IF('03_Helper'!A446="","",'03_Helper'!D446)</f>
        <v/>
      </c>
      <c r="F446">
        <f>IF('03_Helper'!A446="","",'03_Helper'!H446)</f>
        <v/>
      </c>
      <c r="G446">
        <f>IF('03_Helper'!A446="","",'03_Helper'!X446)</f>
        <v/>
      </c>
      <c r="H446">
        <f>IF('03_Helper'!A446="","",'03_Helper'!Y446)</f>
        <v/>
      </c>
      <c r="I446">
        <f>IF('03_Helper'!A446="","",'03_Helper'!Z446)</f>
        <v/>
      </c>
      <c r="J446">
        <f>IF('03_Helper'!A446="","",'03_Helper'!Q446)</f>
        <v/>
      </c>
      <c r="K446">
        <f>IF('03_Helper'!A446="","",'03_Helper'!R446)</f>
        <v/>
      </c>
      <c r="L446">
        <f>IF('03_Helper'!A446="","",'03_Helper'!S446)</f>
        <v/>
      </c>
      <c r="M446">
        <f>IF('03_Helper'!A446="","",'03_Helper'!T446)</f>
        <v/>
      </c>
      <c r="N446">
        <f>IF('03_Helper'!A446="","",'03_Helper'!AA446)</f>
        <v/>
      </c>
      <c r="O446">
        <f>IF('03_Helper'!A446="","",'03_Helper'!AB446)</f>
        <v/>
      </c>
      <c r="P446">
        <f>IF('03_Helper'!A446="","",'03_Helper'!AC446)</f>
        <v/>
      </c>
      <c r="Q446">
        <f>IF('03_Helper'!A446="","",'03_Helper'!AD446)</f>
        <v/>
      </c>
      <c r="R446">
        <f>IF('03_Helper'!A446="","",'03_Helper'!AI446)</f>
        <v/>
      </c>
      <c r="S446">
        <f>IF('03_Helper'!A446="","",'03_Helper'!AJ446)</f>
        <v/>
      </c>
      <c r="T446">
        <f>IF('03_Helper'!A446="","",'03_Helper'!U446)</f>
        <v/>
      </c>
      <c r="U446">
        <f>IF('03_Helper'!A446="","",'03_Helper'!W446)</f>
        <v/>
      </c>
      <c r="V446">
        <f>IF('03_Helper'!A446="","",'03_Helper'!AG446)</f>
        <v/>
      </c>
      <c r="W446">
        <f>IF('03_Helper'!A446="","",'03_Helper'!AK446)</f>
        <v/>
      </c>
      <c r="X446">
        <f>IF('03_Helper'!A446="","",'03_Helper'!K446)</f>
        <v/>
      </c>
      <c r="Y446">
        <f>IF('03_Helper'!A446="","",'03_Helper'!AN446)</f>
        <v/>
      </c>
    </row>
    <row r="447">
      <c r="A447">
        <f>IF('03_Helper'!A447="","",'03_Helper'!B447)</f>
        <v/>
      </c>
      <c r="B447">
        <f>IF('03_Helper'!A447="","",'03_Helper'!C447)</f>
        <v/>
      </c>
      <c r="C447">
        <f>IF('03_Helper'!A447="","",'03_Helper'!G447)</f>
        <v/>
      </c>
      <c r="D447">
        <f>IF('03_Helper'!A447="","",'03_Helper'!E447)</f>
        <v/>
      </c>
      <c r="E447">
        <f>IF('03_Helper'!A447="","",'03_Helper'!D447)</f>
        <v/>
      </c>
      <c r="F447">
        <f>IF('03_Helper'!A447="","",'03_Helper'!H447)</f>
        <v/>
      </c>
      <c r="G447">
        <f>IF('03_Helper'!A447="","",'03_Helper'!X447)</f>
        <v/>
      </c>
      <c r="H447">
        <f>IF('03_Helper'!A447="","",'03_Helper'!Y447)</f>
        <v/>
      </c>
      <c r="I447">
        <f>IF('03_Helper'!A447="","",'03_Helper'!Z447)</f>
        <v/>
      </c>
      <c r="J447">
        <f>IF('03_Helper'!A447="","",'03_Helper'!Q447)</f>
        <v/>
      </c>
      <c r="K447">
        <f>IF('03_Helper'!A447="","",'03_Helper'!R447)</f>
        <v/>
      </c>
      <c r="L447">
        <f>IF('03_Helper'!A447="","",'03_Helper'!S447)</f>
        <v/>
      </c>
      <c r="M447">
        <f>IF('03_Helper'!A447="","",'03_Helper'!T447)</f>
        <v/>
      </c>
      <c r="N447">
        <f>IF('03_Helper'!A447="","",'03_Helper'!AA447)</f>
        <v/>
      </c>
      <c r="O447">
        <f>IF('03_Helper'!A447="","",'03_Helper'!AB447)</f>
        <v/>
      </c>
      <c r="P447">
        <f>IF('03_Helper'!A447="","",'03_Helper'!AC447)</f>
        <v/>
      </c>
      <c r="Q447">
        <f>IF('03_Helper'!A447="","",'03_Helper'!AD447)</f>
        <v/>
      </c>
      <c r="R447">
        <f>IF('03_Helper'!A447="","",'03_Helper'!AI447)</f>
        <v/>
      </c>
      <c r="S447">
        <f>IF('03_Helper'!A447="","",'03_Helper'!AJ447)</f>
        <v/>
      </c>
      <c r="T447">
        <f>IF('03_Helper'!A447="","",'03_Helper'!U447)</f>
        <v/>
      </c>
      <c r="U447">
        <f>IF('03_Helper'!A447="","",'03_Helper'!W447)</f>
        <v/>
      </c>
      <c r="V447">
        <f>IF('03_Helper'!A447="","",'03_Helper'!AG447)</f>
        <v/>
      </c>
      <c r="W447">
        <f>IF('03_Helper'!A447="","",'03_Helper'!AK447)</f>
        <v/>
      </c>
      <c r="X447">
        <f>IF('03_Helper'!A447="","",'03_Helper'!K447)</f>
        <v/>
      </c>
      <c r="Y447">
        <f>IF('03_Helper'!A447="","",'03_Helper'!AN447)</f>
        <v/>
      </c>
    </row>
    <row r="448">
      <c r="A448">
        <f>IF('03_Helper'!A448="","",'03_Helper'!B448)</f>
        <v/>
      </c>
      <c r="B448">
        <f>IF('03_Helper'!A448="","",'03_Helper'!C448)</f>
        <v/>
      </c>
      <c r="C448">
        <f>IF('03_Helper'!A448="","",'03_Helper'!G448)</f>
        <v/>
      </c>
      <c r="D448">
        <f>IF('03_Helper'!A448="","",'03_Helper'!E448)</f>
        <v/>
      </c>
      <c r="E448">
        <f>IF('03_Helper'!A448="","",'03_Helper'!D448)</f>
        <v/>
      </c>
      <c r="F448">
        <f>IF('03_Helper'!A448="","",'03_Helper'!H448)</f>
        <v/>
      </c>
      <c r="G448">
        <f>IF('03_Helper'!A448="","",'03_Helper'!X448)</f>
        <v/>
      </c>
      <c r="H448">
        <f>IF('03_Helper'!A448="","",'03_Helper'!Y448)</f>
        <v/>
      </c>
      <c r="I448">
        <f>IF('03_Helper'!A448="","",'03_Helper'!Z448)</f>
        <v/>
      </c>
      <c r="J448">
        <f>IF('03_Helper'!A448="","",'03_Helper'!Q448)</f>
        <v/>
      </c>
      <c r="K448">
        <f>IF('03_Helper'!A448="","",'03_Helper'!R448)</f>
        <v/>
      </c>
      <c r="L448">
        <f>IF('03_Helper'!A448="","",'03_Helper'!S448)</f>
        <v/>
      </c>
      <c r="M448">
        <f>IF('03_Helper'!A448="","",'03_Helper'!T448)</f>
        <v/>
      </c>
      <c r="N448">
        <f>IF('03_Helper'!A448="","",'03_Helper'!AA448)</f>
        <v/>
      </c>
      <c r="O448">
        <f>IF('03_Helper'!A448="","",'03_Helper'!AB448)</f>
        <v/>
      </c>
      <c r="P448">
        <f>IF('03_Helper'!A448="","",'03_Helper'!AC448)</f>
        <v/>
      </c>
      <c r="Q448">
        <f>IF('03_Helper'!A448="","",'03_Helper'!AD448)</f>
        <v/>
      </c>
      <c r="R448">
        <f>IF('03_Helper'!A448="","",'03_Helper'!AI448)</f>
        <v/>
      </c>
      <c r="S448">
        <f>IF('03_Helper'!A448="","",'03_Helper'!AJ448)</f>
        <v/>
      </c>
      <c r="T448">
        <f>IF('03_Helper'!A448="","",'03_Helper'!U448)</f>
        <v/>
      </c>
      <c r="U448">
        <f>IF('03_Helper'!A448="","",'03_Helper'!W448)</f>
        <v/>
      </c>
      <c r="V448">
        <f>IF('03_Helper'!A448="","",'03_Helper'!AG448)</f>
        <v/>
      </c>
      <c r="W448">
        <f>IF('03_Helper'!A448="","",'03_Helper'!AK448)</f>
        <v/>
      </c>
      <c r="X448">
        <f>IF('03_Helper'!A448="","",'03_Helper'!K448)</f>
        <v/>
      </c>
      <c r="Y448">
        <f>IF('03_Helper'!A448="","",'03_Helper'!AN448)</f>
        <v/>
      </c>
    </row>
    <row r="449">
      <c r="A449">
        <f>IF('03_Helper'!A449="","",'03_Helper'!B449)</f>
        <v/>
      </c>
      <c r="B449">
        <f>IF('03_Helper'!A449="","",'03_Helper'!C449)</f>
        <v/>
      </c>
      <c r="C449">
        <f>IF('03_Helper'!A449="","",'03_Helper'!G449)</f>
        <v/>
      </c>
      <c r="D449">
        <f>IF('03_Helper'!A449="","",'03_Helper'!E449)</f>
        <v/>
      </c>
      <c r="E449">
        <f>IF('03_Helper'!A449="","",'03_Helper'!D449)</f>
        <v/>
      </c>
      <c r="F449">
        <f>IF('03_Helper'!A449="","",'03_Helper'!H449)</f>
        <v/>
      </c>
      <c r="G449">
        <f>IF('03_Helper'!A449="","",'03_Helper'!X449)</f>
        <v/>
      </c>
      <c r="H449">
        <f>IF('03_Helper'!A449="","",'03_Helper'!Y449)</f>
        <v/>
      </c>
      <c r="I449">
        <f>IF('03_Helper'!A449="","",'03_Helper'!Z449)</f>
        <v/>
      </c>
      <c r="J449">
        <f>IF('03_Helper'!A449="","",'03_Helper'!Q449)</f>
        <v/>
      </c>
      <c r="K449">
        <f>IF('03_Helper'!A449="","",'03_Helper'!R449)</f>
        <v/>
      </c>
      <c r="L449">
        <f>IF('03_Helper'!A449="","",'03_Helper'!S449)</f>
        <v/>
      </c>
      <c r="M449">
        <f>IF('03_Helper'!A449="","",'03_Helper'!T449)</f>
        <v/>
      </c>
      <c r="N449">
        <f>IF('03_Helper'!A449="","",'03_Helper'!AA449)</f>
        <v/>
      </c>
      <c r="O449">
        <f>IF('03_Helper'!A449="","",'03_Helper'!AB449)</f>
        <v/>
      </c>
      <c r="P449">
        <f>IF('03_Helper'!A449="","",'03_Helper'!AC449)</f>
        <v/>
      </c>
      <c r="Q449">
        <f>IF('03_Helper'!A449="","",'03_Helper'!AD449)</f>
        <v/>
      </c>
      <c r="R449">
        <f>IF('03_Helper'!A449="","",'03_Helper'!AI449)</f>
        <v/>
      </c>
      <c r="S449">
        <f>IF('03_Helper'!A449="","",'03_Helper'!AJ449)</f>
        <v/>
      </c>
      <c r="T449">
        <f>IF('03_Helper'!A449="","",'03_Helper'!U449)</f>
        <v/>
      </c>
      <c r="U449">
        <f>IF('03_Helper'!A449="","",'03_Helper'!W449)</f>
        <v/>
      </c>
      <c r="V449">
        <f>IF('03_Helper'!A449="","",'03_Helper'!AG449)</f>
        <v/>
      </c>
      <c r="W449">
        <f>IF('03_Helper'!A449="","",'03_Helper'!AK449)</f>
        <v/>
      </c>
      <c r="X449">
        <f>IF('03_Helper'!A449="","",'03_Helper'!K449)</f>
        <v/>
      </c>
      <c r="Y449">
        <f>IF('03_Helper'!A449="","",'03_Helper'!AN449)</f>
        <v/>
      </c>
    </row>
    <row r="450">
      <c r="A450">
        <f>IF('03_Helper'!A450="","",'03_Helper'!B450)</f>
        <v/>
      </c>
      <c r="B450">
        <f>IF('03_Helper'!A450="","",'03_Helper'!C450)</f>
        <v/>
      </c>
      <c r="C450">
        <f>IF('03_Helper'!A450="","",'03_Helper'!G450)</f>
        <v/>
      </c>
      <c r="D450">
        <f>IF('03_Helper'!A450="","",'03_Helper'!E450)</f>
        <v/>
      </c>
      <c r="E450">
        <f>IF('03_Helper'!A450="","",'03_Helper'!D450)</f>
        <v/>
      </c>
      <c r="F450">
        <f>IF('03_Helper'!A450="","",'03_Helper'!H450)</f>
        <v/>
      </c>
      <c r="G450">
        <f>IF('03_Helper'!A450="","",'03_Helper'!X450)</f>
        <v/>
      </c>
      <c r="H450">
        <f>IF('03_Helper'!A450="","",'03_Helper'!Y450)</f>
        <v/>
      </c>
      <c r="I450">
        <f>IF('03_Helper'!A450="","",'03_Helper'!Z450)</f>
        <v/>
      </c>
      <c r="J450">
        <f>IF('03_Helper'!A450="","",'03_Helper'!Q450)</f>
        <v/>
      </c>
      <c r="K450">
        <f>IF('03_Helper'!A450="","",'03_Helper'!R450)</f>
        <v/>
      </c>
      <c r="L450">
        <f>IF('03_Helper'!A450="","",'03_Helper'!S450)</f>
        <v/>
      </c>
      <c r="M450">
        <f>IF('03_Helper'!A450="","",'03_Helper'!T450)</f>
        <v/>
      </c>
      <c r="N450">
        <f>IF('03_Helper'!A450="","",'03_Helper'!AA450)</f>
        <v/>
      </c>
      <c r="O450">
        <f>IF('03_Helper'!A450="","",'03_Helper'!AB450)</f>
        <v/>
      </c>
      <c r="P450">
        <f>IF('03_Helper'!A450="","",'03_Helper'!AC450)</f>
        <v/>
      </c>
      <c r="Q450">
        <f>IF('03_Helper'!A450="","",'03_Helper'!AD450)</f>
        <v/>
      </c>
      <c r="R450">
        <f>IF('03_Helper'!A450="","",'03_Helper'!AI450)</f>
        <v/>
      </c>
      <c r="S450">
        <f>IF('03_Helper'!A450="","",'03_Helper'!AJ450)</f>
        <v/>
      </c>
      <c r="T450">
        <f>IF('03_Helper'!A450="","",'03_Helper'!U450)</f>
        <v/>
      </c>
      <c r="U450">
        <f>IF('03_Helper'!A450="","",'03_Helper'!W450)</f>
        <v/>
      </c>
      <c r="V450">
        <f>IF('03_Helper'!A450="","",'03_Helper'!AG450)</f>
        <v/>
      </c>
      <c r="W450">
        <f>IF('03_Helper'!A450="","",'03_Helper'!AK450)</f>
        <v/>
      </c>
      <c r="X450">
        <f>IF('03_Helper'!A450="","",'03_Helper'!K450)</f>
        <v/>
      </c>
      <c r="Y450">
        <f>IF('03_Helper'!A450="","",'03_Helper'!AN450)</f>
        <v/>
      </c>
    </row>
    <row r="451">
      <c r="A451">
        <f>IF('03_Helper'!A451="","",'03_Helper'!B451)</f>
        <v/>
      </c>
      <c r="B451">
        <f>IF('03_Helper'!A451="","",'03_Helper'!C451)</f>
        <v/>
      </c>
      <c r="C451">
        <f>IF('03_Helper'!A451="","",'03_Helper'!G451)</f>
        <v/>
      </c>
      <c r="D451">
        <f>IF('03_Helper'!A451="","",'03_Helper'!E451)</f>
        <v/>
      </c>
      <c r="E451">
        <f>IF('03_Helper'!A451="","",'03_Helper'!D451)</f>
        <v/>
      </c>
      <c r="F451">
        <f>IF('03_Helper'!A451="","",'03_Helper'!H451)</f>
        <v/>
      </c>
      <c r="G451">
        <f>IF('03_Helper'!A451="","",'03_Helper'!X451)</f>
        <v/>
      </c>
      <c r="H451">
        <f>IF('03_Helper'!A451="","",'03_Helper'!Y451)</f>
        <v/>
      </c>
      <c r="I451">
        <f>IF('03_Helper'!A451="","",'03_Helper'!Z451)</f>
        <v/>
      </c>
      <c r="J451">
        <f>IF('03_Helper'!A451="","",'03_Helper'!Q451)</f>
        <v/>
      </c>
      <c r="K451">
        <f>IF('03_Helper'!A451="","",'03_Helper'!R451)</f>
        <v/>
      </c>
      <c r="L451">
        <f>IF('03_Helper'!A451="","",'03_Helper'!S451)</f>
        <v/>
      </c>
      <c r="M451">
        <f>IF('03_Helper'!A451="","",'03_Helper'!T451)</f>
        <v/>
      </c>
      <c r="N451">
        <f>IF('03_Helper'!A451="","",'03_Helper'!AA451)</f>
        <v/>
      </c>
      <c r="O451">
        <f>IF('03_Helper'!A451="","",'03_Helper'!AB451)</f>
        <v/>
      </c>
      <c r="P451">
        <f>IF('03_Helper'!A451="","",'03_Helper'!AC451)</f>
        <v/>
      </c>
      <c r="Q451">
        <f>IF('03_Helper'!A451="","",'03_Helper'!AD451)</f>
        <v/>
      </c>
      <c r="R451">
        <f>IF('03_Helper'!A451="","",'03_Helper'!AI451)</f>
        <v/>
      </c>
      <c r="S451">
        <f>IF('03_Helper'!A451="","",'03_Helper'!AJ451)</f>
        <v/>
      </c>
      <c r="T451">
        <f>IF('03_Helper'!A451="","",'03_Helper'!U451)</f>
        <v/>
      </c>
      <c r="U451">
        <f>IF('03_Helper'!A451="","",'03_Helper'!W451)</f>
        <v/>
      </c>
      <c r="V451">
        <f>IF('03_Helper'!A451="","",'03_Helper'!AG451)</f>
        <v/>
      </c>
      <c r="W451">
        <f>IF('03_Helper'!A451="","",'03_Helper'!AK451)</f>
        <v/>
      </c>
      <c r="X451">
        <f>IF('03_Helper'!A451="","",'03_Helper'!K451)</f>
        <v/>
      </c>
      <c r="Y451">
        <f>IF('03_Helper'!A451="","",'03_Helper'!AN451)</f>
        <v/>
      </c>
    </row>
    <row r="452">
      <c r="A452">
        <f>IF('03_Helper'!A452="","",'03_Helper'!B452)</f>
        <v/>
      </c>
      <c r="B452">
        <f>IF('03_Helper'!A452="","",'03_Helper'!C452)</f>
        <v/>
      </c>
      <c r="C452">
        <f>IF('03_Helper'!A452="","",'03_Helper'!G452)</f>
        <v/>
      </c>
      <c r="D452">
        <f>IF('03_Helper'!A452="","",'03_Helper'!E452)</f>
        <v/>
      </c>
      <c r="E452">
        <f>IF('03_Helper'!A452="","",'03_Helper'!D452)</f>
        <v/>
      </c>
      <c r="F452">
        <f>IF('03_Helper'!A452="","",'03_Helper'!H452)</f>
        <v/>
      </c>
      <c r="G452">
        <f>IF('03_Helper'!A452="","",'03_Helper'!X452)</f>
        <v/>
      </c>
      <c r="H452">
        <f>IF('03_Helper'!A452="","",'03_Helper'!Y452)</f>
        <v/>
      </c>
      <c r="I452">
        <f>IF('03_Helper'!A452="","",'03_Helper'!Z452)</f>
        <v/>
      </c>
      <c r="J452">
        <f>IF('03_Helper'!A452="","",'03_Helper'!Q452)</f>
        <v/>
      </c>
      <c r="K452">
        <f>IF('03_Helper'!A452="","",'03_Helper'!R452)</f>
        <v/>
      </c>
      <c r="L452">
        <f>IF('03_Helper'!A452="","",'03_Helper'!S452)</f>
        <v/>
      </c>
      <c r="M452">
        <f>IF('03_Helper'!A452="","",'03_Helper'!T452)</f>
        <v/>
      </c>
      <c r="N452">
        <f>IF('03_Helper'!A452="","",'03_Helper'!AA452)</f>
        <v/>
      </c>
      <c r="O452">
        <f>IF('03_Helper'!A452="","",'03_Helper'!AB452)</f>
        <v/>
      </c>
      <c r="P452">
        <f>IF('03_Helper'!A452="","",'03_Helper'!AC452)</f>
        <v/>
      </c>
      <c r="Q452">
        <f>IF('03_Helper'!A452="","",'03_Helper'!AD452)</f>
        <v/>
      </c>
      <c r="R452">
        <f>IF('03_Helper'!A452="","",'03_Helper'!AI452)</f>
        <v/>
      </c>
      <c r="S452">
        <f>IF('03_Helper'!A452="","",'03_Helper'!AJ452)</f>
        <v/>
      </c>
      <c r="T452">
        <f>IF('03_Helper'!A452="","",'03_Helper'!U452)</f>
        <v/>
      </c>
      <c r="U452">
        <f>IF('03_Helper'!A452="","",'03_Helper'!W452)</f>
        <v/>
      </c>
      <c r="V452">
        <f>IF('03_Helper'!A452="","",'03_Helper'!AG452)</f>
        <v/>
      </c>
      <c r="W452">
        <f>IF('03_Helper'!A452="","",'03_Helper'!AK452)</f>
        <v/>
      </c>
      <c r="X452">
        <f>IF('03_Helper'!A452="","",'03_Helper'!K452)</f>
        <v/>
      </c>
      <c r="Y452">
        <f>IF('03_Helper'!A452="","",'03_Helper'!AN452)</f>
        <v/>
      </c>
    </row>
    <row r="453">
      <c r="A453">
        <f>IF('03_Helper'!A453="","",'03_Helper'!B453)</f>
        <v/>
      </c>
      <c r="B453">
        <f>IF('03_Helper'!A453="","",'03_Helper'!C453)</f>
        <v/>
      </c>
      <c r="C453">
        <f>IF('03_Helper'!A453="","",'03_Helper'!G453)</f>
        <v/>
      </c>
      <c r="D453">
        <f>IF('03_Helper'!A453="","",'03_Helper'!E453)</f>
        <v/>
      </c>
      <c r="E453">
        <f>IF('03_Helper'!A453="","",'03_Helper'!D453)</f>
        <v/>
      </c>
      <c r="F453">
        <f>IF('03_Helper'!A453="","",'03_Helper'!H453)</f>
        <v/>
      </c>
      <c r="G453">
        <f>IF('03_Helper'!A453="","",'03_Helper'!X453)</f>
        <v/>
      </c>
      <c r="H453">
        <f>IF('03_Helper'!A453="","",'03_Helper'!Y453)</f>
        <v/>
      </c>
      <c r="I453">
        <f>IF('03_Helper'!A453="","",'03_Helper'!Z453)</f>
        <v/>
      </c>
      <c r="J453">
        <f>IF('03_Helper'!A453="","",'03_Helper'!Q453)</f>
        <v/>
      </c>
      <c r="K453">
        <f>IF('03_Helper'!A453="","",'03_Helper'!R453)</f>
        <v/>
      </c>
      <c r="L453">
        <f>IF('03_Helper'!A453="","",'03_Helper'!S453)</f>
        <v/>
      </c>
      <c r="M453">
        <f>IF('03_Helper'!A453="","",'03_Helper'!T453)</f>
        <v/>
      </c>
      <c r="N453">
        <f>IF('03_Helper'!A453="","",'03_Helper'!AA453)</f>
        <v/>
      </c>
      <c r="O453">
        <f>IF('03_Helper'!A453="","",'03_Helper'!AB453)</f>
        <v/>
      </c>
      <c r="P453">
        <f>IF('03_Helper'!A453="","",'03_Helper'!AC453)</f>
        <v/>
      </c>
      <c r="Q453">
        <f>IF('03_Helper'!A453="","",'03_Helper'!AD453)</f>
        <v/>
      </c>
      <c r="R453">
        <f>IF('03_Helper'!A453="","",'03_Helper'!AI453)</f>
        <v/>
      </c>
      <c r="S453">
        <f>IF('03_Helper'!A453="","",'03_Helper'!AJ453)</f>
        <v/>
      </c>
      <c r="T453">
        <f>IF('03_Helper'!A453="","",'03_Helper'!U453)</f>
        <v/>
      </c>
      <c r="U453">
        <f>IF('03_Helper'!A453="","",'03_Helper'!W453)</f>
        <v/>
      </c>
      <c r="V453">
        <f>IF('03_Helper'!A453="","",'03_Helper'!AG453)</f>
        <v/>
      </c>
      <c r="W453">
        <f>IF('03_Helper'!A453="","",'03_Helper'!AK453)</f>
        <v/>
      </c>
      <c r="X453">
        <f>IF('03_Helper'!A453="","",'03_Helper'!K453)</f>
        <v/>
      </c>
      <c r="Y453">
        <f>IF('03_Helper'!A453="","",'03_Helper'!AN453)</f>
        <v/>
      </c>
    </row>
    <row r="454">
      <c r="A454">
        <f>IF('03_Helper'!A454="","",'03_Helper'!B454)</f>
        <v/>
      </c>
      <c r="B454">
        <f>IF('03_Helper'!A454="","",'03_Helper'!C454)</f>
        <v/>
      </c>
      <c r="C454">
        <f>IF('03_Helper'!A454="","",'03_Helper'!G454)</f>
        <v/>
      </c>
      <c r="D454">
        <f>IF('03_Helper'!A454="","",'03_Helper'!E454)</f>
        <v/>
      </c>
      <c r="E454">
        <f>IF('03_Helper'!A454="","",'03_Helper'!D454)</f>
        <v/>
      </c>
      <c r="F454">
        <f>IF('03_Helper'!A454="","",'03_Helper'!H454)</f>
        <v/>
      </c>
      <c r="G454">
        <f>IF('03_Helper'!A454="","",'03_Helper'!X454)</f>
        <v/>
      </c>
      <c r="H454">
        <f>IF('03_Helper'!A454="","",'03_Helper'!Y454)</f>
        <v/>
      </c>
      <c r="I454">
        <f>IF('03_Helper'!A454="","",'03_Helper'!Z454)</f>
        <v/>
      </c>
      <c r="J454">
        <f>IF('03_Helper'!A454="","",'03_Helper'!Q454)</f>
        <v/>
      </c>
      <c r="K454">
        <f>IF('03_Helper'!A454="","",'03_Helper'!R454)</f>
        <v/>
      </c>
      <c r="L454">
        <f>IF('03_Helper'!A454="","",'03_Helper'!S454)</f>
        <v/>
      </c>
      <c r="M454">
        <f>IF('03_Helper'!A454="","",'03_Helper'!T454)</f>
        <v/>
      </c>
      <c r="N454">
        <f>IF('03_Helper'!A454="","",'03_Helper'!AA454)</f>
        <v/>
      </c>
      <c r="O454">
        <f>IF('03_Helper'!A454="","",'03_Helper'!AB454)</f>
        <v/>
      </c>
      <c r="P454">
        <f>IF('03_Helper'!A454="","",'03_Helper'!AC454)</f>
        <v/>
      </c>
      <c r="Q454">
        <f>IF('03_Helper'!A454="","",'03_Helper'!AD454)</f>
        <v/>
      </c>
      <c r="R454">
        <f>IF('03_Helper'!A454="","",'03_Helper'!AI454)</f>
        <v/>
      </c>
      <c r="S454">
        <f>IF('03_Helper'!A454="","",'03_Helper'!AJ454)</f>
        <v/>
      </c>
      <c r="T454">
        <f>IF('03_Helper'!A454="","",'03_Helper'!U454)</f>
        <v/>
      </c>
      <c r="U454">
        <f>IF('03_Helper'!A454="","",'03_Helper'!W454)</f>
        <v/>
      </c>
      <c r="V454">
        <f>IF('03_Helper'!A454="","",'03_Helper'!AG454)</f>
        <v/>
      </c>
      <c r="W454">
        <f>IF('03_Helper'!A454="","",'03_Helper'!AK454)</f>
        <v/>
      </c>
      <c r="X454">
        <f>IF('03_Helper'!A454="","",'03_Helper'!K454)</f>
        <v/>
      </c>
      <c r="Y454">
        <f>IF('03_Helper'!A454="","",'03_Helper'!AN454)</f>
        <v/>
      </c>
    </row>
    <row r="455">
      <c r="A455">
        <f>IF('03_Helper'!A455="","",'03_Helper'!B455)</f>
        <v/>
      </c>
      <c r="B455">
        <f>IF('03_Helper'!A455="","",'03_Helper'!C455)</f>
        <v/>
      </c>
      <c r="C455">
        <f>IF('03_Helper'!A455="","",'03_Helper'!G455)</f>
        <v/>
      </c>
      <c r="D455">
        <f>IF('03_Helper'!A455="","",'03_Helper'!E455)</f>
        <v/>
      </c>
      <c r="E455">
        <f>IF('03_Helper'!A455="","",'03_Helper'!D455)</f>
        <v/>
      </c>
      <c r="F455">
        <f>IF('03_Helper'!A455="","",'03_Helper'!H455)</f>
        <v/>
      </c>
      <c r="G455">
        <f>IF('03_Helper'!A455="","",'03_Helper'!X455)</f>
        <v/>
      </c>
      <c r="H455">
        <f>IF('03_Helper'!A455="","",'03_Helper'!Y455)</f>
        <v/>
      </c>
      <c r="I455">
        <f>IF('03_Helper'!A455="","",'03_Helper'!Z455)</f>
        <v/>
      </c>
      <c r="J455">
        <f>IF('03_Helper'!A455="","",'03_Helper'!Q455)</f>
        <v/>
      </c>
      <c r="K455">
        <f>IF('03_Helper'!A455="","",'03_Helper'!R455)</f>
        <v/>
      </c>
      <c r="L455">
        <f>IF('03_Helper'!A455="","",'03_Helper'!S455)</f>
        <v/>
      </c>
      <c r="M455">
        <f>IF('03_Helper'!A455="","",'03_Helper'!T455)</f>
        <v/>
      </c>
      <c r="N455">
        <f>IF('03_Helper'!A455="","",'03_Helper'!AA455)</f>
        <v/>
      </c>
      <c r="O455">
        <f>IF('03_Helper'!A455="","",'03_Helper'!AB455)</f>
        <v/>
      </c>
      <c r="P455">
        <f>IF('03_Helper'!A455="","",'03_Helper'!AC455)</f>
        <v/>
      </c>
      <c r="Q455">
        <f>IF('03_Helper'!A455="","",'03_Helper'!AD455)</f>
        <v/>
      </c>
      <c r="R455">
        <f>IF('03_Helper'!A455="","",'03_Helper'!AI455)</f>
        <v/>
      </c>
      <c r="S455">
        <f>IF('03_Helper'!A455="","",'03_Helper'!AJ455)</f>
        <v/>
      </c>
      <c r="T455">
        <f>IF('03_Helper'!A455="","",'03_Helper'!U455)</f>
        <v/>
      </c>
      <c r="U455">
        <f>IF('03_Helper'!A455="","",'03_Helper'!W455)</f>
        <v/>
      </c>
      <c r="V455">
        <f>IF('03_Helper'!A455="","",'03_Helper'!AG455)</f>
        <v/>
      </c>
      <c r="W455">
        <f>IF('03_Helper'!A455="","",'03_Helper'!AK455)</f>
        <v/>
      </c>
      <c r="X455">
        <f>IF('03_Helper'!A455="","",'03_Helper'!K455)</f>
        <v/>
      </c>
      <c r="Y455">
        <f>IF('03_Helper'!A455="","",'03_Helper'!AN455)</f>
        <v/>
      </c>
    </row>
    <row r="456">
      <c r="A456">
        <f>IF('03_Helper'!A456="","",'03_Helper'!B456)</f>
        <v/>
      </c>
      <c r="B456">
        <f>IF('03_Helper'!A456="","",'03_Helper'!C456)</f>
        <v/>
      </c>
      <c r="C456">
        <f>IF('03_Helper'!A456="","",'03_Helper'!G456)</f>
        <v/>
      </c>
      <c r="D456">
        <f>IF('03_Helper'!A456="","",'03_Helper'!E456)</f>
        <v/>
      </c>
      <c r="E456">
        <f>IF('03_Helper'!A456="","",'03_Helper'!D456)</f>
        <v/>
      </c>
      <c r="F456">
        <f>IF('03_Helper'!A456="","",'03_Helper'!H456)</f>
        <v/>
      </c>
      <c r="G456">
        <f>IF('03_Helper'!A456="","",'03_Helper'!X456)</f>
        <v/>
      </c>
      <c r="H456">
        <f>IF('03_Helper'!A456="","",'03_Helper'!Y456)</f>
        <v/>
      </c>
      <c r="I456">
        <f>IF('03_Helper'!A456="","",'03_Helper'!Z456)</f>
        <v/>
      </c>
      <c r="J456">
        <f>IF('03_Helper'!A456="","",'03_Helper'!Q456)</f>
        <v/>
      </c>
      <c r="K456">
        <f>IF('03_Helper'!A456="","",'03_Helper'!R456)</f>
        <v/>
      </c>
      <c r="L456">
        <f>IF('03_Helper'!A456="","",'03_Helper'!S456)</f>
        <v/>
      </c>
      <c r="M456">
        <f>IF('03_Helper'!A456="","",'03_Helper'!T456)</f>
        <v/>
      </c>
      <c r="N456">
        <f>IF('03_Helper'!A456="","",'03_Helper'!AA456)</f>
        <v/>
      </c>
      <c r="O456">
        <f>IF('03_Helper'!A456="","",'03_Helper'!AB456)</f>
        <v/>
      </c>
      <c r="P456">
        <f>IF('03_Helper'!A456="","",'03_Helper'!AC456)</f>
        <v/>
      </c>
      <c r="Q456">
        <f>IF('03_Helper'!A456="","",'03_Helper'!AD456)</f>
        <v/>
      </c>
      <c r="R456">
        <f>IF('03_Helper'!A456="","",'03_Helper'!AI456)</f>
        <v/>
      </c>
      <c r="S456">
        <f>IF('03_Helper'!A456="","",'03_Helper'!AJ456)</f>
        <v/>
      </c>
      <c r="T456">
        <f>IF('03_Helper'!A456="","",'03_Helper'!U456)</f>
        <v/>
      </c>
      <c r="U456">
        <f>IF('03_Helper'!A456="","",'03_Helper'!W456)</f>
        <v/>
      </c>
      <c r="V456">
        <f>IF('03_Helper'!A456="","",'03_Helper'!AG456)</f>
        <v/>
      </c>
      <c r="W456">
        <f>IF('03_Helper'!A456="","",'03_Helper'!AK456)</f>
        <v/>
      </c>
      <c r="X456">
        <f>IF('03_Helper'!A456="","",'03_Helper'!K456)</f>
        <v/>
      </c>
      <c r="Y456">
        <f>IF('03_Helper'!A456="","",'03_Helper'!AN456)</f>
        <v/>
      </c>
    </row>
    <row r="457">
      <c r="A457">
        <f>IF('03_Helper'!A457="","",'03_Helper'!B457)</f>
        <v/>
      </c>
      <c r="B457">
        <f>IF('03_Helper'!A457="","",'03_Helper'!C457)</f>
        <v/>
      </c>
      <c r="C457">
        <f>IF('03_Helper'!A457="","",'03_Helper'!G457)</f>
        <v/>
      </c>
      <c r="D457">
        <f>IF('03_Helper'!A457="","",'03_Helper'!E457)</f>
        <v/>
      </c>
      <c r="E457">
        <f>IF('03_Helper'!A457="","",'03_Helper'!D457)</f>
        <v/>
      </c>
      <c r="F457">
        <f>IF('03_Helper'!A457="","",'03_Helper'!H457)</f>
        <v/>
      </c>
      <c r="G457">
        <f>IF('03_Helper'!A457="","",'03_Helper'!X457)</f>
        <v/>
      </c>
      <c r="H457">
        <f>IF('03_Helper'!A457="","",'03_Helper'!Y457)</f>
        <v/>
      </c>
      <c r="I457">
        <f>IF('03_Helper'!A457="","",'03_Helper'!Z457)</f>
        <v/>
      </c>
      <c r="J457">
        <f>IF('03_Helper'!A457="","",'03_Helper'!Q457)</f>
        <v/>
      </c>
      <c r="K457">
        <f>IF('03_Helper'!A457="","",'03_Helper'!R457)</f>
        <v/>
      </c>
      <c r="L457">
        <f>IF('03_Helper'!A457="","",'03_Helper'!S457)</f>
        <v/>
      </c>
      <c r="M457">
        <f>IF('03_Helper'!A457="","",'03_Helper'!T457)</f>
        <v/>
      </c>
      <c r="N457">
        <f>IF('03_Helper'!A457="","",'03_Helper'!AA457)</f>
        <v/>
      </c>
      <c r="O457">
        <f>IF('03_Helper'!A457="","",'03_Helper'!AB457)</f>
        <v/>
      </c>
      <c r="P457">
        <f>IF('03_Helper'!A457="","",'03_Helper'!AC457)</f>
        <v/>
      </c>
      <c r="Q457">
        <f>IF('03_Helper'!A457="","",'03_Helper'!AD457)</f>
        <v/>
      </c>
      <c r="R457">
        <f>IF('03_Helper'!A457="","",'03_Helper'!AI457)</f>
        <v/>
      </c>
      <c r="S457">
        <f>IF('03_Helper'!A457="","",'03_Helper'!AJ457)</f>
        <v/>
      </c>
      <c r="T457">
        <f>IF('03_Helper'!A457="","",'03_Helper'!U457)</f>
        <v/>
      </c>
      <c r="U457">
        <f>IF('03_Helper'!A457="","",'03_Helper'!W457)</f>
        <v/>
      </c>
      <c r="V457">
        <f>IF('03_Helper'!A457="","",'03_Helper'!AG457)</f>
        <v/>
      </c>
      <c r="W457">
        <f>IF('03_Helper'!A457="","",'03_Helper'!AK457)</f>
        <v/>
      </c>
      <c r="X457">
        <f>IF('03_Helper'!A457="","",'03_Helper'!K457)</f>
        <v/>
      </c>
      <c r="Y457">
        <f>IF('03_Helper'!A457="","",'03_Helper'!AN457)</f>
        <v/>
      </c>
    </row>
    <row r="458">
      <c r="A458">
        <f>IF('03_Helper'!A458="","",'03_Helper'!B458)</f>
        <v/>
      </c>
      <c r="B458">
        <f>IF('03_Helper'!A458="","",'03_Helper'!C458)</f>
        <v/>
      </c>
      <c r="C458">
        <f>IF('03_Helper'!A458="","",'03_Helper'!G458)</f>
        <v/>
      </c>
      <c r="D458">
        <f>IF('03_Helper'!A458="","",'03_Helper'!E458)</f>
        <v/>
      </c>
      <c r="E458">
        <f>IF('03_Helper'!A458="","",'03_Helper'!D458)</f>
        <v/>
      </c>
      <c r="F458">
        <f>IF('03_Helper'!A458="","",'03_Helper'!H458)</f>
        <v/>
      </c>
      <c r="G458">
        <f>IF('03_Helper'!A458="","",'03_Helper'!X458)</f>
        <v/>
      </c>
      <c r="H458">
        <f>IF('03_Helper'!A458="","",'03_Helper'!Y458)</f>
        <v/>
      </c>
      <c r="I458">
        <f>IF('03_Helper'!A458="","",'03_Helper'!Z458)</f>
        <v/>
      </c>
      <c r="J458">
        <f>IF('03_Helper'!A458="","",'03_Helper'!Q458)</f>
        <v/>
      </c>
      <c r="K458">
        <f>IF('03_Helper'!A458="","",'03_Helper'!R458)</f>
        <v/>
      </c>
      <c r="L458">
        <f>IF('03_Helper'!A458="","",'03_Helper'!S458)</f>
        <v/>
      </c>
      <c r="M458">
        <f>IF('03_Helper'!A458="","",'03_Helper'!T458)</f>
        <v/>
      </c>
      <c r="N458">
        <f>IF('03_Helper'!A458="","",'03_Helper'!AA458)</f>
        <v/>
      </c>
      <c r="O458">
        <f>IF('03_Helper'!A458="","",'03_Helper'!AB458)</f>
        <v/>
      </c>
      <c r="P458">
        <f>IF('03_Helper'!A458="","",'03_Helper'!AC458)</f>
        <v/>
      </c>
      <c r="Q458">
        <f>IF('03_Helper'!A458="","",'03_Helper'!AD458)</f>
        <v/>
      </c>
      <c r="R458">
        <f>IF('03_Helper'!A458="","",'03_Helper'!AI458)</f>
        <v/>
      </c>
      <c r="S458">
        <f>IF('03_Helper'!A458="","",'03_Helper'!AJ458)</f>
        <v/>
      </c>
      <c r="T458">
        <f>IF('03_Helper'!A458="","",'03_Helper'!U458)</f>
        <v/>
      </c>
      <c r="U458">
        <f>IF('03_Helper'!A458="","",'03_Helper'!W458)</f>
        <v/>
      </c>
      <c r="V458">
        <f>IF('03_Helper'!A458="","",'03_Helper'!AG458)</f>
        <v/>
      </c>
      <c r="W458">
        <f>IF('03_Helper'!A458="","",'03_Helper'!AK458)</f>
        <v/>
      </c>
      <c r="X458">
        <f>IF('03_Helper'!A458="","",'03_Helper'!K458)</f>
        <v/>
      </c>
      <c r="Y458">
        <f>IF('03_Helper'!A458="","",'03_Helper'!AN458)</f>
        <v/>
      </c>
    </row>
    <row r="459">
      <c r="A459">
        <f>IF('03_Helper'!A459="","",'03_Helper'!B459)</f>
        <v/>
      </c>
      <c r="B459">
        <f>IF('03_Helper'!A459="","",'03_Helper'!C459)</f>
        <v/>
      </c>
      <c r="C459">
        <f>IF('03_Helper'!A459="","",'03_Helper'!G459)</f>
        <v/>
      </c>
      <c r="D459">
        <f>IF('03_Helper'!A459="","",'03_Helper'!E459)</f>
        <v/>
      </c>
      <c r="E459">
        <f>IF('03_Helper'!A459="","",'03_Helper'!D459)</f>
        <v/>
      </c>
      <c r="F459">
        <f>IF('03_Helper'!A459="","",'03_Helper'!H459)</f>
        <v/>
      </c>
      <c r="G459">
        <f>IF('03_Helper'!A459="","",'03_Helper'!X459)</f>
        <v/>
      </c>
      <c r="H459">
        <f>IF('03_Helper'!A459="","",'03_Helper'!Y459)</f>
        <v/>
      </c>
      <c r="I459">
        <f>IF('03_Helper'!A459="","",'03_Helper'!Z459)</f>
        <v/>
      </c>
      <c r="J459">
        <f>IF('03_Helper'!A459="","",'03_Helper'!Q459)</f>
        <v/>
      </c>
      <c r="K459">
        <f>IF('03_Helper'!A459="","",'03_Helper'!R459)</f>
        <v/>
      </c>
      <c r="L459">
        <f>IF('03_Helper'!A459="","",'03_Helper'!S459)</f>
        <v/>
      </c>
      <c r="M459">
        <f>IF('03_Helper'!A459="","",'03_Helper'!T459)</f>
        <v/>
      </c>
      <c r="N459">
        <f>IF('03_Helper'!A459="","",'03_Helper'!AA459)</f>
        <v/>
      </c>
      <c r="O459">
        <f>IF('03_Helper'!A459="","",'03_Helper'!AB459)</f>
        <v/>
      </c>
      <c r="P459">
        <f>IF('03_Helper'!A459="","",'03_Helper'!AC459)</f>
        <v/>
      </c>
      <c r="Q459">
        <f>IF('03_Helper'!A459="","",'03_Helper'!AD459)</f>
        <v/>
      </c>
      <c r="R459">
        <f>IF('03_Helper'!A459="","",'03_Helper'!AI459)</f>
        <v/>
      </c>
      <c r="S459">
        <f>IF('03_Helper'!A459="","",'03_Helper'!AJ459)</f>
        <v/>
      </c>
      <c r="T459">
        <f>IF('03_Helper'!A459="","",'03_Helper'!U459)</f>
        <v/>
      </c>
      <c r="U459">
        <f>IF('03_Helper'!A459="","",'03_Helper'!W459)</f>
        <v/>
      </c>
      <c r="V459">
        <f>IF('03_Helper'!A459="","",'03_Helper'!AG459)</f>
        <v/>
      </c>
      <c r="W459">
        <f>IF('03_Helper'!A459="","",'03_Helper'!AK459)</f>
        <v/>
      </c>
      <c r="X459">
        <f>IF('03_Helper'!A459="","",'03_Helper'!K459)</f>
        <v/>
      </c>
      <c r="Y459">
        <f>IF('03_Helper'!A459="","",'03_Helper'!AN459)</f>
        <v/>
      </c>
    </row>
    <row r="460">
      <c r="A460">
        <f>IF('03_Helper'!A460="","",'03_Helper'!B460)</f>
        <v/>
      </c>
      <c r="B460">
        <f>IF('03_Helper'!A460="","",'03_Helper'!C460)</f>
        <v/>
      </c>
      <c r="C460">
        <f>IF('03_Helper'!A460="","",'03_Helper'!G460)</f>
        <v/>
      </c>
      <c r="D460">
        <f>IF('03_Helper'!A460="","",'03_Helper'!E460)</f>
        <v/>
      </c>
      <c r="E460">
        <f>IF('03_Helper'!A460="","",'03_Helper'!D460)</f>
        <v/>
      </c>
      <c r="F460">
        <f>IF('03_Helper'!A460="","",'03_Helper'!H460)</f>
        <v/>
      </c>
      <c r="G460">
        <f>IF('03_Helper'!A460="","",'03_Helper'!X460)</f>
        <v/>
      </c>
      <c r="H460">
        <f>IF('03_Helper'!A460="","",'03_Helper'!Y460)</f>
        <v/>
      </c>
      <c r="I460">
        <f>IF('03_Helper'!A460="","",'03_Helper'!Z460)</f>
        <v/>
      </c>
      <c r="J460">
        <f>IF('03_Helper'!A460="","",'03_Helper'!Q460)</f>
        <v/>
      </c>
      <c r="K460">
        <f>IF('03_Helper'!A460="","",'03_Helper'!R460)</f>
        <v/>
      </c>
      <c r="L460">
        <f>IF('03_Helper'!A460="","",'03_Helper'!S460)</f>
        <v/>
      </c>
      <c r="M460">
        <f>IF('03_Helper'!A460="","",'03_Helper'!T460)</f>
        <v/>
      </c>
      <c r="N460">
        <f>IF('03_Helper'!A460="","",'03_Helper'!AA460)</f>
        <v/>
      </c>
      <c r="O460">
        <f>IF('03_Helper'!A460="","",'03_Helper'!AB460)</f>
        <v/>
      </c>
      <c r="P460">
        <f>IF('03_Helper'!A460="","",'03_Helper'!AC460)</f>
        <v/>
      </c>
      <c r="Q460">
        <f>IF('03_Helper'!A460="","",'03_Helper'!AD460)</f>
        <v/>
      </c>
      <c r="R460">
        <f>IF('03_Helper'!A460="","",'03_Helper'!AI460)</f>
        <v/>
      </c>
      <c r="S460">
        <f>IF('03_Helper'!A460="","",'03_Helper'!AJ460)</f>
        <v/>
      </c>
      <c r="T460">
        <f>IF('03_Helper'!A460="","",'03_Helper'!U460)</f>
        <v/>
      </c>
      <c r="U460">
        <f>IF('03_Helper'!A460="","",'03_Helper'!W460)</f>
        <v/>
      </c>
      <c r="V460">
        <f>IF('03_Helper'!A460="","",'03_Helper'!AG460)</f>
        <v/>
      </c>
      <c r="W460">
        <f>IF('03_Helper'!A460="","",'03_Helper'!AK460)</f>
        <v/>
      </c>
      <c r="X460">
        <f>IF('03_Helper'!A460="","",'03_Helper'!K460)</f>
        <v/>
      </c>
      <c r="Y460">
        <f>IF('03_Helper'!A460="","",'03_Helper'!AN460)</f>
        <v/>
      </c>
    </row>
    <row r="461">
      <c r="A461">
        <f>IF('03_Helper'!A461="","",'03_Helper'!B461)</f>
        <v/>
      </c>
      <c r="B461">
        <f>IF('03_Helper'!A461="","",'03_Helper'!C461)</f>
        <v/>
      </c>
      <c r="C461">
        <f>IF('03_Helper'!A461="","",'03_Helper'!G461)</f>
        <v/>
      </c>
      <c r="D461">
        <f>IF('03_Helper'!A461="","",'03_Helper'!E461)</f>
        <v/>
      </c>
      <c r="E461">
        <f>IF('03_Helper'!A461="","",'03_Helper'!D461)</f>
        <v/>
      </c>
      <c r="F461">
        <f>IF('03_Helper'!A461="","",'03_Helper'!H461)</f>
        <v/>
      </c>
      <c r="G461">
        <f>IF('03_Helper'!A461="","",'03_Helper'!X461)</f>
        <v/>
      </c>
      <c r="H461">
        <f>IF('03_Helper'!A461="","",'03_Helper'!Y461)</f>
        <v/>
      </c>
      <c r="I461">
        <f>IF('03_Helper'!A461="","",'03_Helper'!Z461)</f>
        <v/>
      </c>
      <c r="J461">
        <f>IF('03_Helper'!A461="","",'03_Helper'!Q461)</f>
        <v/>
      </c>
      <c r="K461">
        <f>IF('03_Helper'!A461="","",'03_Helper'!R461)</f>
        <v/>
      </c>
      <c r="L461">
        <f>IF('03_Helper'!A461="","",'03_Helper'!S461)</f>
        <v/>
      </c>
      <c r="M461">
        <f>IF('03_Helper'!A461="","",'03_Helper'!T461)</f>
        <v/>
      </c>
      <c r="N461">
        <f>IF('03_Helper'!A461="","",'03_Helper'!AA461)</f>
        <v/>
      </c>
      <c r="O461">
        <f>IF('03_Helper'!A461="","",'03_Helper'!AB461)</f>
        <v/>
      </c>
      <c r="P461">
        <f>IF('03_Helper'!A461="","",'03_Helper'!AC461)</f>
        <v/>
      </c>
      <c r="Q461">
        <f>IF('03_Helper'!A461="","",'03_Helper'!AD461)</f>
        <v/>
      </c>
      <c r="R461">
        <f>IF('03_Helper'!A461="","",'03_Helper'!AI461)</f>
        <v/>
      </c>
      <c r="S461">
        <f>IF('03_Helper'!A461="","",'03_Helper'!AJ461)</f>
        <v/>
      </c>
      <c r="T461">
        <f>IF('03_Helper'!A461="","",'03_Helper'!U461)</f>
        <v/>
      </c>
      <c r="U461">
        <f>IF('03_Helper'!A461="","",'03_Helper'!W461)</f>
        <v/>
      </c>
      <c r="V461">
        <f>IF('03_Helper'!A461="","",'03_Helper'!AG461)</f>
        <v/>
      </c>
      <c r="W461">
        <f>IF('03_Helper'!A461="","",'03_Helper'!AK461)</f>
        <v/>
      </c>
      <c r="X461">
        <f>IF('03_Helper'!A461="","",'03_Helper'!K461)</f>
        <v/>
      </c>
      <c r="Y461">
        <f>IF('03_Helper'!A461="","",'03_Helper'!AN461)</f>
        <v/>
      </c>
    </row>
    <row r="462">
      <c r="A462">
        <f>IF('03_Helper'!A462="","",'03_Helper'!B462)</f>
        <v/>
      </c>
      <c r="B462">
        <f>IF('03_Helper'!A462="","",'03_Helper'!C462)</f>
        <v/>
      </c>
      <c r="C462">
        <f>IF('03_Helper'!A462="","",'03_Helper'!G462)</f>
        <v/>
      </c>
      <c r="D462">
        <f>IF('03_Helper'!A462="","",'03_Helper'!E462)</f>
        <v/>
      </c>
      <c r="E462">
        <f>IF('03_Helper'!A462="","",'03_Helper'!D462)</f>
        <v/>
      </c>
      <c r="F462">
        <f>IF('03_Helper'!A462="","",'03_Helper'!H462)</f>
        <v/>
      </c>
      <c r="G462">
        <f>IF('03_Helper'!A462="","",'03_Helper'!X462)</f>
        <v/>
      </c>
      <c r="H462">
        <f>IF('03_Helper'!A462="","",'03_Helper'!Y462)</f>
        <v/>
      </c>
      <c r="I462">
        <f>IF('03_Helper'!A462="","",'03_Helper'!Z462)</f>
        <v/>
      </c>
      <c r="J462">
        <f>IF('03_Helper'!A462="","",'03_Helper'!Q462)</f>
        <v/>
      </c>
      <c r="K462">
        <f>IF('03_Helper'!A462="","",'03_Helper'!R462)</f>
        <v/>
      </c>
      <c r="L462">
        <f>IF('03_Helper'!A462="","",'03_Helper'!S462)</f>
        <v/>
      </c>
      <c r="M462">
        <f>IF('03_Helper'!A462="","",'03_Helper'!T462)</f>
        <v/>
      </c>
      <c r="N462">
        <f>IF('03_Helper'!A462="","",'03_Helper'!AA462)</f>
        <v/>
      </c>
      <c r="O462">
        <f>IF('03_Helper'!A462="","",'03_Helper'!AB462)</f>
        <v/>
      </c>
      <c r="P462">
        <f>IF('03_Helper'!A462="","",'03_Helper'!AC462)</f>
        <v/>
      </c>
      <c r="Q462">
        <f>IF('03_Helper'!A462="","",'03_Helper'!AD462)</f>
        <v/>
      </c>
      <c r="R462">
        <f>IF('03_Helper'!A462="","",'03_Helper'!AI462)</f>
        <v/>
      </c>
      <c r="S462">
        <f>IF('03_Helper'!A462="","",'03_Helper'!AJ462)</f>
        <v/>
      </c>
      <c r="T462">
        <f>IF('03_Helper'!A462="","",'03_Helper'!U462)</f>
        <v/>
      </c>
      <c r="U462">
        <f>IF('03_Helper'!A462="","",'03_Helper'!W462)</f>
        <v/>
      </c>
      <c r="V462">
        <f>IF('03_Helper'!A462="","",'03_Helper'!AG462)</f>
        <v/>
      </c>
      <c r="W462">
        <f>IF('03_Helper'!A462="","",'03_Helper'!AK462)</f>
        <v/>
      </c>
      <c r="X462">
        <f>IF('03_Helper'!A462="","",'03_Helper'!K462)</f>
        <v/>
      </c>
      <c r="Y462">
        <f>IF('03_Helper'!A462="","",'03_Helper'!AN462)</f>
        <v/>
      </c>
    </row>
    <row r="463">
      <c r="A463">
        <f>IF('03_Helper'!A463="","",'03_Helper'!B463)</f>
        <v/>
      </c>
      <c r="B463">
        <f>IF('03_Helper'!A463="","",'03_Helper'!C463)</f>
        <v/>
      </c>
      <c r="C463">
        <f>IF('03_Helper'!A463="","",'03_Helper'!G463)</f>
        <v/>
      </c>
      <c r="D463">
        <f>IF('03_Helper'!A463="","",'03_Helper'!E463)</f>
        <v/>
      </c>
      <c r="E463">
        <f>IF('03_Helper'!A463="","",'03_Helper'!D463)</f>
        <v/>
      </c>
      <c r="F463">
        <f>IF('03_Helper'!A463="","",'03_Helper'!H463)</f>
        <v/>
      </c>
      <c r="G463">
        <f>IF('03_Helper'!A463="","",'03_Helper'!X463)</f>
        <v/>
      </c>
      <c r="H463">
        <f>IF('03_Helper'!A463="","",'03_Helper'!Y463)</f>
        <v/>
      </c>
      <c r="I463">
        <f>IF('03_Helper'!A463="","",'03_Helper'!Z463)</f>
        <v/>
      </c>
      <c r="J463">
        <f>IF('03_Helper'!A463="","",'03_Helper'!Q463)</f>
        <v/>
      </c>
      <c r="K463">
        <f>IF('03_Helper'!A463="","",'03_Helper'!R463)</f>
        <v/>
      </c>
      <c r="L463">
        <f>IF('03_Helper'!A463="","",'03_Helper'!S463)</f>
        <v/>
      </c>
      <c r="M463">
        <f>IF('03_Helper'!A463="","",'03_Helper'!T463)</f>
        <v/>
      </c>
      <c r="N463">
        <f>IF('03_Helper'!A463="","",'03_Helper'!AA463)</f>
        <v/>
      </c>
      <c r="O463">
        <f>IF('03_Helper'!A463="","",'03_Helper'!AB463)</f>
        <v/>
      </c>
      <c r="P463">
        <f>IF('03_Helper'!A463="","",'03_Helper'!AC463)</f>
        <v/>
      </c>
      <c r="Q463">
        <f>IF('03_Helper'!A463="","",'03_Helper'!AD463)</f>
        <v/>
      </c>
      <c r="R463">
        <f>IF('03_Helper'!A463="","",'03_Helper'!AI463)</f>
        <v/>
      </c>
      <c r="S463">
        <f>IF('03_Helper'!A463="","",'03_Helper'!AJ463)</f>
        <v/>
      </c>
      <c r="T463">
        <f>IF('03_Helper'!A463="","",'03_Helper'!U463)</f>
        <v/>
      </c>
      <c r="U463">
        <f>IF('03_Helper'!A463="","",'03_Helper'!W463)</f>
        <v/>
      </c>
      <c r="V463">
        <f>IF('03_Helper'!A463="","",'03_Helper'!AG463)</f>
        <v/>
      </c>
      <c r="W463">
        <f>IF('03_Helper'!A463="","",'03_Helper'!AK463)</f>
        <v/>
      </c>
      <c r="X463">
        <f>IF('03_Helper'!A463="","",'03_Helper'!K463)</f>
        <v/>
      </c>
      <c r="Y463">
        <f>IF('03_Helper'!A463="","",'03_Helper'!AN463)</f>
        <v/>
      </c>
    </row>
    <row r="464">
      <c r="A464">
        <f>IF('03_Helper'!A464="","",'03_Helper'!B464)</f>
        <v/>
      </c>
      <c r="B464">
        <f>IF('03_Helper'!A464="","",'03_Helper'!C464)</f>
        <v/>
      </c>
      <c r="C464">
        <f>IF('03_Helper'!A464="","",'03_Helper'!G464)</f>
        <v/>
      </c>
      <c r="D464">
        <f>IF('03_Helper'!A464="","",'03_Helper'!E464)</f>
        <v/>
      </c>
      <c r="E464">
        <f>IF('03_Helper'!A464="","",'03_Helper'!D464)</f>
        <v/>
      </c>
      <c r="F464">
        <f>IF('03_Helper'!A464="","",'03_Helper'!H464)</f>
        <v/>
      </c>
      <c r="G464">
        <f>IF('03_Helper'!A464="","",'03_Helper'!X464)</f>
        <v/>
      </c>
      <c r="H464">
        <f>IF('03_Helper'!A464="","",'03_Helper'!Y464)</f>
        <v/>
      </c>
      <c r="I464">
        <f>IF('03_Helper'!A464="","",'03_Helper'!Z464)</f>
        <v/>
      </c>
      <c r="J464">
        <f>IF('03_Helper'!A464="","",'03_Helper'!Q464)</f>
        <v/>
      </c>
      <c r="K464">
        <f>IF('03_Helper'!A464="","",'03_Helper'!R464)</f>
        <v/>
      </c>
      <c r="L464">
        <f>IF('03_Helper'!A464="","",'03_Helper'!S464)</f>
        <v/>
      </c>
      <c r="M464">
        <f>IF('03_Helper'!A464="","",'03_Helper'!T464)</f>
        <v/>
      </c>
      <c r="N464">
        <f>IF('03_Helper'!A464="","",'03_Helper'!AA464)</f>
        <v/>
      </c>
      <c r="O464">
        <f>IF('03_Helper'!A464="","",'03_Helper'!AB464)</f>
        <v/>
      </c>
      <c r="P464">
        <f>IF('03_Helper'!A464="","",'03_Helper'!AC464)</f>
        <v/>
      </c>
      <c r="Q464">
        <f>IF('03_Helper'!A464="","",'03_Helper'!AD464)</f>
        <v/>
      </c>
      <c r="R464">
        <f>IF('03_Helper'!A464="","",'03_Helper'!AI464)</f>
        <v/>
      </c>
      <c r="S464">
        <f>IF('03_Helper'!A464="","",'03_Helper'!AJ464)</f>
        <v/>
      </c>
      <c r="T464">
        <f>IF('03_Helper'!A464="","",'03_Helper'!U464)</f>
        <v/>
      </c>
      <c r="U464">
        <f>IF('03_Helper'!A464="","",'03_Helper'!W464)</f>
        <v/>
      </c>
      <c r="V464">
        <f>IF('03_Helper'!A464="","",'03_Helper'!AG464)</f>
        <v/>
      </c>
      <c r="W464">
        <f>IF('03_Helper'!A464="","",'03_Helper'!AK464)</f>
        <v/>
      </c>
      <c r="X464">
        <f>IF('03_Helper'!A464="","",'03_Helper'!K464)</f>
        <v/>
      </c>
      <c r="Y464">
        <f>IF('03_Helper'!A464="","",'03_Helper'!AN464)</f>
        <v/>
      </c>
    </row>
    <row r="465">
      <c r="A465">
        <f>IF('03_Helper'!A465="","",'03_Helper'!B465)</f>
        <v/>
      </c>
      <c r="B465">
        <f>IF('03_Helper'!A465="","",'03_Helper'!C465)</f>
        <v/>
      </c>
      <c r="C465">
        <f>IF('03_Helper'!A465="","",'03_Helper'!G465)</f>
        <v/>
      </c>
      <c r="D465">
        <f>IF('03_Helper'!A465="","",'03_Helper'!E465)</f>
        <v/>
      </c>
      <c r="E465">
        <f>IF('03_Helper'!A465="","",'03_Helper'!D465)</f>
        <v/>
      </c>
      <c r="F465">
        <f>IF('03_Helper'!A465="","",'03_Helper'!H465)</f>
        <v/>
      </c>
      <c r="G465">
        <f>IF('03_Helper'!A465="","",'03_Helper'!X465)</f>
        <v/>
      </c>
      <c r="H465">
        <f>IF('03_Helper'!A465="","",'03_Helper'!Y465)</f>
        <v/>
      </c>
      <c r="I465">
        <f>IF('03_Helper'!A465="","",'03_Helper'!Z465)</f>
        <v/>
      </c>
      <c r="J465">
        <f>IF('03_Helper'!A465="","",'03_Helper'!Q465)</f>
        <v/>
      </c>
      <c r="K465">
        <f>IF('03_Helper'!A465="","",'03_Helper'!R465)</f>
        <v/>
      </c>
      <c r="L465">
        <f>IF('03_Helper'!A465="","",'03_Helper'!S465)</f>
        <v/>
      </c>
      <c r="M465">
        <f>IF('03_Helper'!A465="","",'03_Helper'!T465)</f>
        <v/>
      </c>
      <c r="N465">
        <f>IF('03_Helper'!A465="","",'03_Helper'!AA465)</f>
        <v/>
      </c>
      <c r="O465">
        <f>IF('03_Helper'!A465="","",'03_Helper'!AB465)</f>
        <v/>
      </c>
      <c r="P465">
        <f>IF('03_Helper'!A465="","",'03_Helper'!AC465)</f>
        <v/>
      </c>
      <c r="Q465">
        <f>IF('03_Helper'!A465="","",'03_Helper'!AD465)</f>
        <v/>
      </c>
      <c r="R465">
        <f>IF('03_Helper'!A465="","",'03_Helper'!AI465)</f>
        <v/>
      </c>
      <c r="S465">
        <f>IF('03_Helper'!A465="","",'03_Helper'!AJ465)</f>
        <v/>
      </c>
      <c r="T465">
        <f>IF('03_Helper'!A465="","",'03_Helper'!U465)</f>
        <v/>
      </c>
      <c r="U465">
        <f>IF('03_Helper'!A465="","",'03_Helper'!W465)</f>
        <v/>
      </c>
      <c r="V465">
        <f>IF('03_Helper'!A465="","",'03_Helper'!AG465)</f>
        <v/>
      </c>
      <c r="W465">
        <f>IF('03_Helper'!A465="","",'03_Helper'!AK465)</f>
        <v/>
      </c>
      <c r="X465">
        <f>IF('03_Helper'!A465="","",'03_Helper'!K465)</f>
        <v/>
      </c>
      <c r="Y465">
        <f>IF('03_Helper'!A465="","",'03_Helper'!AN465)</f>
        <v/>
      </c>
    </row>
    <row r="466">
      <c r="A466">
        <f>IF('03_Helper'!A466="","",'03_Helper'!B466)</f>
        <v/>
      </c>
      <c r="B466">
        <f>IF('03_Helper'!A466="","",'03_Helper'!C466)</f>
        <v/>
      </c>
      <c r="C466">
        <f>IF('03_Helper'!A466="","",'03_Helper'!G466)</f>
        <v/>
      </c>
      <c r="D466">
        <f>IF('03_Helper'!A466="","",'03_Helper'!E466)</f>
        <v/>
      </c>
      <c r="E466">
        <f>IF('03_Helper'!A466="","",'03_Helper'!D466)</f>
        <v/>
      </c>
      <c r="F466">
        <f>IF('03_Helper'!A466="","",'03_Helper'!H466)</f>
        <v/>
      </c>
      <c r="G466">
        <f>IF('03_Helper'!A466="","",'03_Helper'!X466)</f>
        <v/>
      </c>
      <c r="H466">
        <f>IF('03_Helper'!A466="","",'03_Helper'!Y466)</f>
        <v/>
      </c>
      <c r="I466">
        <f>IF('03_Helper'!A466="","",'03_Helper'!Z466)</f>
        <v/>
      </c>
      <c r="J466">
        <f>IF('03_Helper'!A466="","",'03_Helper'!Q466)</f>
        <v/>
      </c>
      <c r="K466">
        <f>IF('03_Helper'!A466="","",'03_Helper'!R466)</f>
        <v/>
      </c>
      <c r="L466">
        <f>IF('03_Helper'!A466="","",'03_Helper'!S466)</f>
        <v/>
      </c>
      <c r="M466">
        <f>IF('03_Helper'!A466="","",'03_Helper'!T466)</f>
        <v/>
      </c>
      <c r="N466">
        <f>IF('03_Helper'!A466="","",'03_Helper'!AA466)</f>
        <v/>
      </c>
      <c r="O466">
        <f>IF('03_Helper'!A466="","",'03_Helper'!AB466)</f>
        <v/>
      </c>
      <c r="P466">
        <f>IF('03_Helper'!A466="","",'03_Helper'!AC466)</f>
        <v/>
      </c>
      <c r="Q466">
        <f>IF('03_Helper'!A466="","",'03_Helper'!AD466)</f>
        <v/>
      </c>
      <c r="R466">
        <f>IF('03_Helper'!A466="","",'03_Helper'!AI466)</f>
        <v/>
      </c>
      <c r="S466">
        <f>IF('03_Helper'!A466="","",'03_Helper'!AJ466)</f>
        <v/>
      </c>
      <c r="T466">
        <f>IF('03_Helper'!A466="","",'03_Helper'!U466)</f>
        <v/>
      </c>
      <c r="U466">
        <f>IF('03_Helper'!A466="","",'03_Helper'!W466)</f>
        <v/>
      </c>
      <c r="V466">
        <f>IF('03_Helper'!A466="","",'03_Helper'!AG466)</f>
        <v/>
      </c>
      <c r="W466">
        <f>IF('03_Helper'!A466="","",'03_Helper'!AK466)</f>
        <v/>
      </c>
      <c r="X466">
        <f>IF('03_Helper'!A466="","",'03_Helper'!K466)</f>
        <v/>
      </c>
      <c r="Y466">
        <f>IF('03_Helper'!A466="","",'03_Helper'!AN466)</f>
        <v/>
      </c>
    </row>
    <row r="467">
      <c r="A467">
        <f>IF('03_Helper'!A467="","",'03_Helper'!B467)</f>
        <v/>
      </c>
      <c r="B467">
        <f>IF('03_Helper'!A467="","",'03_Helper'!C467)</f>
        <v/>
      </c>
      <c r="C467">
        <f>IF('03_Helper'!A467="","",'03_Helper'!G467)</f>
        <v/>
      </c>
      <c r="D467">
        <f>IF('03_Helper'!A467="","",'03_Helper'!E467)</f>
        <v/>
      </c>
      <c r="E467">
        <f>IF('03_Helper'!A467="","",'03_Helper'!D467)</f>
        <v/>
      </c>
      <c r="F467">
        <f>IF('03_Helper'!A467="","",'03_Helper'!H467)</f>
        <v/>
      </c>
      <c r="G467">
        <f>IF('03_Helper'!A467="","",'03_Helper'!X467)</f>
        <v/>
      </c>
      <c r="H467">
        <f>IF('03_Helper'!A467="","",'03_Helper'!Y467)</f>
        <v/>
      </c>
      <c r="I467">
        <f>IF('03_Helper'!A467="","",'03_Helper'!Z467)</f>
        <v/>
      </c>
      <c r="J467">
        <f>IF('03_Helper'!A467="","",'03_Helper'!Q467)</f>
        <v/>
      </c>
      <c r="K467">
        <f>IF('03_Helper'!A467="","",'03_Helper'!R467)</f>
        <v/>
      </c>
      <c r="L467">
        <f>IF('03_Helper'!A467="","",'03_Helper'!S467)</f>
        <v/>
      </c>
      <c r="M467">
        <f>IF('03_Helper'!A467="","",'03_Helper'!T467)</f>
        <v/>
      </c>
      <c r="N467">
        <f>IF('03_Helper'!A467="","",'03_Helper'!AA467)</f>
        <v/>
      </c>
      <c r="O467">
        <f>IF('03_Helper'!A467="","",'03_Helper'!AB467)</f>
        <v/>
      </c>
      <c r="P467">
        <f>IF('03_Helper'!A467="","",'03_Helper'!AC467)</f>
        <v/>
      </c>
      <c r="Q467">
        <f>IF('03_Helper'!A467="","",'03_Helper'!AD467)</f>
        <v/>
      </c>
      <c r="R467">
        <f>IF('03_Helper'!A467="","",'03_Helper'!AI467)</f>
        <v/>
      </c>
      <c r="S467">
        <f>IF('03_Helper'!A467="","",'03_Helper'!AJ467)</f>
        <v/>
      </c>
      <c r="T467">
        <f>IF('03_Helper'!A467="","",'03_Helper'!U467)</f>
        <v/>
      </c>
      <c r="U467">
        <f>IF('03_Helper'!A467="","",'03_Helper'!W467)</f>
        <v/>
      </c>
      <c r="V467">
        <f>IF('03_Helper'!A467="","",'03_Helper'!AG467)</f>
        <v/>
      </c>
      <c r="W467">
        <f>IF('03_Helper'!A467="","",'03_Helper'!AK467)</f>
        <v/>
      </c>
      <c r="X467">
        <f>IF('03_Helper'!A467="","",'03_Helper'!K467)</f>
        <v/>
      </c>
      <c r="Y467">
        <f>IF('03_Helper'!A467="","",'03_Helper'!AN467)</f>
        <v/>
      </c>
    </row>
    <row r="468">
      <c r="A468">
        <f>IF('03_Helper'!A468="","",'03_Helper'!B468)</f>
        <v/>
      </c>
      <c r="B468">
        <f>IF('03_Helper'!A468="","",'03_Helper'!C468)</f>
        <v/>
      </c>
      <c r="C468">
        <f>IF('03_Helper'!A468="","",'03_Helper'!G468)</f>
        <v/>
      </c>
      <c r="D468">
        <f>IF('03_Helper'!A468="","",'03_Helper'!E468)</f>
        <v/>
      </c>
      <c r="E468">
        <f>IF('03_Helper'!A468="","",'03_Helper'!D468)</f>
        <v/>
      </c>
      <c r="F468">
        <f>IF('03_Helper'!A468="","",'03_Helper'!H468)</f>
        <v/>
      </c>
      <c r="G468">
        <f>IF('03_Helper'!A468="","",'03_Helper'!X468)</f>
        <v/>
      </c>
      <c r="H468">
        <f>IF('03_Helper'!A468="","",'03_Helper'!Y468)</f>
        <v/>
      </c>
      <c r="I468">
        <f>IF('03_Helper'!A468="","",'03_Helper'!Z468)</f>
        <v/>
      </c>
      <c r="J468">
        <f>IF('03_Helper'!A468="","",'03_Helper'!Q468)</f>
        <v/>
      </c>
      <c r="K468">
        <f>IF('03_Helper'!A468="","",'03_Helper'!R468)</f>
        <v/>
      </c>
      <c r="L468">
        <f>IF('03_Helper'!A468="","",'03_Helper'!S468)</f>
        <v/>
      </c>
      <c r="M468">
        <f>IF('03_Helper'!A468="","",'03_Helper'!T468)</f>
        <v/>
      </c>
      <c r="N468">
        <f>IF('03_Helper'!A468="","",'03_Helper'!AA468)</f>
        <v/>
      </c>
      <c r="O468">
        <f>IF('03_Helper'!A468="","",'03_Helper'!AB468)</f>
        <v/>
      </c>
      <c r="P468">
        <f>IF('03_Helper'!A468="","",'03_Helper'!AC468)</f>
        <v/>
      </c>
      <c r="Q468">
        <f>IF('03_Helper'!A468="","",'03_Helper'!AD468)</f>
        <v/>
      </c>
      <c r="R468">
        <f>IF('03_Helper'!A468="","",'03_Helper'!AI468)</f>
        <v/>
      </c>
      <c r="S468">
        <f>IF('03_Helper'!A468="","",'03_Helper'!AJ468)</f>
        <v/>
      </c>
      <c r="T468">
        <f>IF('03_Helper'!A468="","",'03_Helper'!U468)</f>
        <v/>
      </c>
      <c r="U468">
        <f>IF('03_Helper'!A468="","",'03_Helper'!W468)</f>
        <v/>
      </c>
      <c r="V468">
        <f>IF('03_Helper'!A468="","",'03_Helper'!AG468)</f>
        <v/>
      </c>
      <c r="W468">
        <f>IF('03_Helper'!A468="","",'03_Helper'!AK468)</f>
        <v/>
      </c>
      <c r="X468">
        <f>IF('03_Helper'!A468="","",'03_Helper'!K468)</f>
        <v/>
      </c>
      <c r="Y468">
        <f>IF('03_Helper'!A468="","",'03_Helper'!AN468)</f>
        <v/>
      </c>
    </row>
    <row r="469">
      <c r="A469">
        <f>IF('03_Helper'!A469="","",'03_Helper'!B469)</f>
        <v/>
      </c>
      <c r="B469">
        <f>IF('03_Helper'!A469="","",'03_Helper'!C469)</f>
        <v/>
      </c>
      <c r="C469">
        <f>IF('03_Helper'!A469="","",'03_Helper'!G469)</f>
        <v/>
      </c>
      <c r="D469">
        <f>IF('03_Helper'!A469="","",'03_Helper'!E469)</f>
        <v/>
      </c>
      <c r="E469">
        <f>IF('03_Helper'!A469="","",'03_Helper'!D469)</f>
        <v/>
      </c>
      <c r="F469">
        <f>IF('03_Helper'!A469="","",'03_Helper'!H469)</f>
        <v/>
      </c>
      <c r="G469">
        <f>IF('03_Helper'!A469="","",'03_Helper'!X469)</f>
        <v/>
      </c>
      <c r="H469">
        <f>IF('03_Helper'!A469="","",'03_Helper'!Y469)</f>
        <v/>
      </c>
      <c r="I469">
        <f>IF('03_Helper'!A469="","",'03_Helper'!Z469)</f>
        <v/>
      </c>
      <c r="J469">
        <f>IF('03_Helper'!A469="","",'03_Helper'!Q469)</f>
        <v/>
      </c>
      <c r="K469">
        <f>IF('03_Helper'!A469="","",'03_Helper'!R469)</f>
        <v/>
      </c>
      <c r="L469">
        <f>IF('03_Helper'!A469="","",'03_Helper'!S469)</f>
        <v/>
      </c>
      <c r="M469">
        <f>IF('03_Helper'!A469="","",'03_Helper'!T469)</f>
        <v/>
      </c>
      <c r="N469">
        <f>IF('03_Helper'!A469="","",'03_Helper'!AA469)</f>
        <v/>
      </c>
      <c r="O469">
        <f>IF('03_Helper'!A469="","",'03_Helper'!AB469)</f>
        <v/>
      </c>
      <c r="P469">
        <f>IF('03_Helper'!A469="","",'03_Helper'!AC469)</f>
        <v/>
      </c>
      <c r="Q469">
        <f>IF('03_Helper'!A469="","",'03_Helper'!AD469)</f>
        <v/>
      </c>
      <c r="R469">
        <f>IF('03_Helper'!A469="","",'03_Helper'!AI469)</f>
        <v/>
      </c>
      <c r="S469">
        <f>IF('03_Helper'!A469="","",'03_Helper'!AJ469)</f>
        <v/>
      </c>
      <c r="T469">
        <f>IF('03_Helper'!A469="","",'03_Helper'!U469)</f>
        <v/>
      </c>
      <c r="U469">
        <f>IF('03_Helper'!A469="","",'03_Helper'!W469)</f>
        <v/>
      </c>
      <c r="V469">
        <f>IF('03_Helper'!A469="","",'03_Helper'!AG469)</f>
        <v/>
      </c>
      <c r="W469">
        <f>IF('03_Helper'!A469="","",'03_Helper'!AK469)</f>
        <v/>
      </c>
      <c r="X469">
        <f>IF('03_Helper'!A469="","",'03_Helper'!K469)</f>
        <v/>
      </c>
      <c r="Y469">
        <f>IF('03_Helper'!A469="","",'03_Helper'!AN469)</f>
        <v/>
      </c>
    </row>
    <row r="470">
      <c r="A470">
        <f>IF('03_Helper'!A470="","",'03_Helper'!B470)</f>
        <v/>
      </c>
      <c r="B470">
        <f>IF('03_Helper'!A470="","",'03_Helper'!C470)</f>
        <v/>
      </c>
      <c r="C470">
        <f>IF('03_Helper'!A470="","",'03_Helper'!G470)</f>
        <v/>
      </c>
      <c r="D470">
        <f>IF('03_Helper'!A470="","",'03_Helper'!E470)</f>
        <v/>
      </c>
      <c r="E470">
        <f>IF('03_Helper'!A470="","",'03_Helper'!D470)</f>
        <v/>
      </c>
      <c r="F470">
        <f>IF('03_Helper'!A470="","",'03_Helper'!H470)</f>
        <v/>
      </c>
      <c r="G470">
        <f>IF('03_Helper'!A470="","",'03_Helper'!X470)</f>
        <v/>
      </c>
      <c r="H470">
        <f>IF('03_Helper'!A470="","",'03_Helper'!Y470)</f>
        <v/>
      </c>
      <c r="I470">
        <f>IF('03_Helper'!A470="","",'03_Helper'!Z470)</f>
        <v/>
      </c>
      <c r="J470">
        <f>IF('03_Helper'!A470="","",'03_Helper'!Q470)</f>
        <v/>
      </c>
      <c r="K470">
        <f>IF('03_Helper'!A470="","",'03_Helper'!R470)</f>
        <v/>
      </c>
      <c r="L470">
        <f>IF('03_Helper'!A470="","",'03_Helper'!S470)</f>
        <v/>
      </c>
      <c r="M470">
        <f>IF('03_Helper'!A470="","",'03_Helper'!T470)</f>
        <v/>
      </c>
      <c r="N470">
        <f>IF('03_Helper'!A470="","",'03_Helper'!AA470)</f>
        <v/>
      </c>
      <c r="O470">
        <f>IF('03_Helper'!A470="","",'03_Helper'!AB470)</f>
        <v/>
      </c>
      <c r="P470">
        <f>IF('03_Helper'!A470="","",'03_Helper'!AC470)</f>
        <v/>
      </c>
      <c r="Q470">
        <f>IF('03_Helper'!A470="","",'03_Helper'!AD470)</f>
        <v/>
      </c>
      <c r="R470">
        <f>IF('03_Helper'!A470="","",'03_Helper'!AI470)</f>
        <v/>
      </c>
      <c r="S470">
        <f>IF('03_Helper'!A470="","",'03_Helper'!AJ470)</f>
        <v/>
      </c>
      <c r="T470">
        <f>IF('03_Helper'!A470="","",'03_Helper'!U470)</f>
        <v/>
      </c>
      <c r="U470">
        <f>IF('03_Helper'!A470="","",'03_Helper'!W470)</f>
        <v/>
      </c>
      <c r="V470">
        <f>IF('03_Helper'!A470="","",'03_Helper'!AG470)</f>
        <v/>
      </c>
      <c r="W470">
        <f>IF('03_Helper'!A470="","",'03_Helper'!AK470)</f>
        <v/>
      </c>
      <c r="X470">
        <f>IF('03_Helper'!A470="","",'03_Helper'!K470)</f>
        <v/>
      </c>
      <c r="Y470">
        <f>IF('03_Helper'!A470="","",'03_Helper'!AN470)</f>
        <v/>
      </c>
    </row>
    <row r="471">
      <c r="A471">
        <f>IF('03_Helper'!A471="","",'03_Helper'!B471)</f>
        <v/>
      </c>
      <c r="B471">
        <f>IF('03_Helper'!A471="","",'03_Helper'!C471)</f>
        <v/>
      </c>
      <c r="C471">
        <f>IF('03_Helper'!A471="","",'03_Helper'!G471)</f>
        <v/>
      </c>
      <c r="D471">
        <f>IF('03_Helper'!A471="","",'03_Helper'!E471)</f>
        <v/>
      </c>
      <c r="E471">
        <f>IF('03_Helper'!A471="","",'03_Helper'!D471)</f>
        <v/>
      </c>
      <c r="F471">
        <f>IF('03_Helper'!A471="","",'03_Helper'!H471)</f>
        <v/>
      </c>
      <c r="G471">
        <f>IF('03_Helper'!A471="","",'03_Helper'!X471)</f>
        <v/>
      </c>
      <c r="H471">
        <f>IF('03_Helper'!A471="","",'03_Helper'!Y471)</f>
        <v/>
      </c>
      <c r="I471">
        <f>IF('03_Helper'!A471="","",'03_Helper'!Z471)</f>
        <v/>
      </c>
      <c r="J471">
        <f>IF('03_Helper'!A471="","",'03_Helper'!Q471)</f>
        <v/>
      </c>
      <c r="K471">
        <f>IF('03_Helper'!A471="","",'03_Helper'!R471)</f>
        <v/>
      </c>
      <c r="L471">
        <f>IF('03_Helper'!A471="","",'03_Helper'!S471)</f>
        <v/>
      </c>
      <c r="M471">
        <f>IF('03_Helper'!A471="","",'03_Helper'!T471)</f>
        <v/>
      </c>
      <c r="N471">
        <f>IF('03_Helper'!A471="","",'03_Helper'!AA471)</f>
        <v/>
      </c>
      <c r="O471">
        <f>IF('03_Helper'!A471="","",'03_Helper'!AB471)</f>
        <v/>
      </c>
      <c r="P471">
        <f>IF('03_Helper'!A471="","",'03_Helper'!AC471)</f>
        <v/>
      </c>
      <c r="Q471">
        <f>IF('03_Helper'!A471="","",'03_Helper'!AD471)</f>
        <v/>
      </c>
      <c r="R471">
        <f>IF('03_Helper'!A471="","",'03_Helper'!AI471)</f>
        <v/>
      </c>
      <c r="S471">
        <f>IF('03_Helper'!A471="","",'03_Helper'!AJ471)</f>
        <v/>
      </c>
      <c r="T471">
        <f>IF('03_Helper'!A471="","",'03_Helper'!U471)</f>
        <v/>
      </c>
      <c r="U471">
        <f>IF('03_Helper'!A471="","",'03_Helper'!W471)</f>
        <v/>
      </c>
      <c r="V471">
        <f>IF('03_Helper'!A471="","",'03_Helper'!AG471)</f>
        <v/>
      </c>
      <c r="W471">
        <f>IF('03_Helper'!A471="","",'03_Helper'!AK471)</f>
        <v/>
      </c>
      <c r="X471">
        <f>IF('03_Helper'!A471="","",'03_Helper'!K471)</f>
        <v/>
      </c>
      <c r="Y471">
        <f>IF('03_Helper'!A471="","",'03_Helper'!AN471)</f>
        <v/>
      </c>
    </row>
    <row r="472">
      <c r="A472">
        <f>IF('03_Helper'!A472="","",'03_Helper'!B472)</f>
        <v/>
      </c>
      <c r="B472">
        <f>IF('03_Helper'!A472="","",'03_Helper'!C472)</f>
        <v/>
      </c>
      <c r="C472">
        <f>IF('03_Helper'!A472="","",'03_Helper'!G472)</f>
        <v/>
      </c>
      <c r="D472">
        <f>IF('03_Helper'!A472="","",'03_Helper'!E472)</f>
        <v/>
      </c>
      <c r="E472">
        <f>IF('03_Helper'!A472="","",'03_Helper'!D472)</f>
        <v/>
      </c>
      <c r="F472">
        <f>IF('03_Helper'!A472="","",'03_Helper'!H472)</f>
        <v/>
      </c>
      <c r="G472">
        <f>IF('03_Helper'!A472="","",'03_Helper'!X472)</f>
        <v/>
      </c>
      <c r="H472">
        <f>IF('03_Helper'!A472="","",'03_Helper'!Y472)</f>
        <v/>
      </c>
      <c r="I472">
        <f>IF('03_Helper'!A472="","",'03_Helper'!Z472)</f>
        <v/>
      </c>
      <c r="J472">
        <f>IF('03_Helper'!A472="","",'03_Helper'!Q472)</f>
        <v/>
      </c>
      <c r="K472">
        <f>IF('03_Helper'!A472="","",'03_Helper'!R472)</f>
        <v/>
      </c>
      <c r="L472">
        <f>IF('03_Helper'!A472="","",'03_Helper'!S472)</f>
        <v/>
      </c>
      <c r="M472">
        <f>IF('03_Helper'!A472="","",'03_Helper'!T472)</f>
        <v/>
      </c>
      <c r="N472">
        <f>IF('03_Helper'!A472="","",'03_Helper'!AA472)</f>
        <v/>
      </c>
      <c r="O472">
        <f>IF('03_Helper'!A472="","",'03_Helper'!AB472)</f>
        <v/>
      </c>
      <c r="P472">
        <f>IF('03_Helper'!A472="","",'03_Helper'!AC472)</f>
        <v/>
      </c>
      <c r="Q472">
        <f>IF('03_Helper'!A472="","",'03_Helper'!AD472)</f>
        <v/>
      </c>
      <c r="R472">
        <f>IF('03_Helper'!A472="","",'03_Helper'!AI472)</f>
        <v/>
      </c>
      <c r="S472">
        <f>IF('03_Helper'!A472="","",'03_Helper'!AJ472)</f>
        <v/>
      </c>
      <c r="T472">
        <f>IF('03_Helper'!A472="","",'03_Helper'!U472)</f>
        <v/>
      </c>
      <c r="U472">
        <f>IF('03_Helper'!A472="","",'03_Helper'!W472)</f>
        <v/>
      </c>
      <c r="V472">
        <f>IF('03_Helper'!A472="","",'03_Helper'!AG472)</f>
        <v/>
      </c>
      <c r="W472">
        <f>IF('03_Helper'!A472="","",'03_Helper'!AK472)</f>
        <v/>
      </c>
      <c r="X472">
        <f>IF('03_Helper'!A472="","",'03_Helper'!K472)</f>
        <v/>
      </c>
      <c r="Y472">
        <f>IF('03_Helper'!A472="","",'03_Helper'!AN472)</f>
        <v/>
      </c>
    </row>
    <row r="473">
      <c r="A473">
        <f>IF('03_Helper'!A473="","",'03_Helper'!B473)</f>
        <v/>
      </c>
      <c r="B473">
        <f>IF('03_Helper'!A473="","",'03_Helper'!C473)</f>
        <v/>
      </c>
      <c r="C473">
        <f>IF('03_Helper'!A473="","",'03_Helper'!G473)</f>
        <v/>
      </c>
      <c r="D473">
        <f>IF('03_Helper'!A473="","",'03_Helper'!E473)</f>
        <v/>
      </c>
      <c r="E473">
        <f>IF('03_Helper'!A473="","",'03_Helper'!D473)</f>
        <v/>
      </c>
      <c r="F473">
        <f>IF('03_Helper'!A473="","",'03_Helper'!H473)</f>
        <v/>
      </c>
      <c r="G473">
        <f>IF('03_Helper'!A473="","",'03_Helper'!X473)</f>
        <v/>
      </c>
      <c r="H473">
        <f>IF('03_Helper'!A473="","",'03_Helper'!Y473)</f>
        <v/>
      </c>
      <c r="I473">
        <f>IF('03_Helper'!A473="","",'03_Helper'!Z473)</f>
        <v/>
      </c>
      <c r="J473">
        <f>IF('03_Helper'!A473="","",'03_Helper'!Q473)</f>
        <v/>
      </c>
      <c r="K473">
        <f>IF('03_Helper'!A473="","",'03_Helper'!R473)</f>
        <v/>
      </c>
      <c r="L473">
        <f>IF('03_Helper'!A473="","",'03_Helper'!S473)</f>
        <v/>
      </c>
      <c r="M473">
        <f>IF('03_Helper'!A473="","",'03_Helper'!T473)</f>
        <v/>
      </c>
      <c r="N473">
        <f>IF('03_Helper'!A473="","",'03_Helper'!AA473)</f>
        <v/>
      </c>
      <c r="O473">
        <f>IF('03_Helper'!A473="","",'03_Helper'!AB473)</f>
        <v/>
      </c>
      <c r="P473">
        <f>IF('03_Helper'!A473="","",'03_Helper'!AC473)</f>
        <v/>
      </c>
      <c r="Q473">
        <f>IF('03_Helper'!A473="","",'03_Helper'!AD473)</f>
        <v/>
      </c>
      <c r="R473">
        <f>IF('03_Helper'!A473="","",'03_Helper'!AI473)</f>
        <v/>
      </c>
      <c r="S473">
        <f>IF('03_Helper'!A473="","",'03_Helper'!AJ473)</f>
        <v/>
      </c>
      <c r="T473">
        <f>IF('03_Helper'!A473="","",'03_Helper'!U473)</f>
        <v/>
      </c>
      <c r="U473">
        <f>IF('03_Helper'!A473="","",'03_Helper'!W473)</f>
        <v/>
      </c>
      <c r="V473">
        <f>IF('03_Helper'!A473="","",'03_Helper'!AG473)</f>
        <v/>
      </c>
      <c r="W473">
        <f>IF('03_Helper'!A473="","",'03_Helper'!AK473)</f>
        <v/>
      </c>
      <c r="X473">
        <f>IF('03_Helper'!A473="","",'03_Helper'!K473)</f>
        <v/>
      </c>
      <c r="Y473">
        <f>IF('03_Helper'!A473="","",'03_Helper'!AN473)</f>
        <v/>
      </c>
    </row>
    <row r="474">
      <c r="A474">
        <f>IF('03_Helper'!A474="","",'03_Helper'!B474)</f>
        <v/>
      </c>
      <c r="B474">
        <f>IF('03_Helper'!A474="","",'03_Helper'!C474)</f>
        <v/>
      </c>
      <c r="C474">
        <f>IF('03_Helper'!A474="","",'03_Helper'!G474)</f>
        <v/>
      </c>
      <c r="D474">
        <f>IF('03_Helper'!A474="","",'03_Helper'!E474)</f>
        <v/>
      </c>
      <c r="E474">
        <f>IF('03_Helper'!A474="","",'03_Helper'!D474)</f>
        <v/>
      </c>
      <c r="F474">
        <f>IF('03_Helper'!A474="","",'03_Helper'!H474)</f>
        <v/>
      </c>
      <c r="G474">
        <f>IF('03_Helper'!A474="","",'03_Helper'!X474)</f>
        <v/>
      </c>
      <c r="H474">
        <f>IF('03_Helper'!A474="","",'03_Helper'!Y474)</f>
        <v/>
      </c>
      <c r="I474">
        <f>IF('03_Helper'!A474="","",'03_Helper'!Z474)</f>
        <v/>
      </c>
      <c r="J474">
        <f>IF('03_Helper'!A474="","",'03_Helper'!Q474)</f>
        <v/>
      </c>
      <c r="K474">
        <f>IF('03_Helper'!A474="","",'03_Helper'!R474)</f>
        <v/>
      </c>
      <c r="L474">
        <f>IF('03_Helper'!A474="","",'03_Helper'!S474)</f>
        <v/>
      </c>
      <c r="M474">
        <f>IF('03_Helper'!A474="","",'03_Helper'!T474)</f>
        <v/>
      </c>
      <c r="N474">
        <f>IF('03_Helper'!A474="","",'03_Helper'!AA474)</f>
        <v/>
      </c>
      <c r="O474">
        <f>IF('03_Helper'!A474="","",'03_Helper'!AB474)</f>
        <v/>
      </c>
      <c r="P474">
        <f>IF('03_Helper'!A474="","",'03_Helper'!AC474)</f>
        <v/>
      </c>
      <c r="Q474">
        <f>IF('03_Helper'!A474="","",'03_Helper'!AD474)</f>
        <v/>
      </c>
      <c r="R474">
        <f>IF('03_Helper'!A474="","",'03_Helper'!AI474)</f>
        <v/>
      </c>
      <c r="S474">
        <f>IF('03_Helper'!A474="","",'03_Helper'!AJ474)</f>
        <v/>
      </c>
      <c r="T474">
        <f>IF('03_Helper'!A474="","",'03_Helper'!U474)</f>
        <v/>
      </c>
      <c r="U474">
        <f>IF('03_Helper'!A474="","",'03_Helper'!W474)</f>
        <v/>
      </c>
      <c r="V474">
        <f>IF('03_Helper'!A474="","",'03_Helper'!AG474)</f>
        <v/>
      </c>
      <c r="W474">
        <f>IF('03_Helper'!A474="","",'03_Helper'!AK474)</f>
        <v/>
      </c>
      <c r="X474">
        <f>IF('03_Helper'!A474="","",'03_Helper'!K474)</f>
        <v/>
      </c>
      <c r="Y474">
        <f>IF('03_Helper'!A474="","",'03_Helper'!AN474)</f>
        <v/>
      </c>
    </row>
    <row r="475">
      <c r="A475">
        <f>IF('03_Helper'!A475="","",'03_Helper'!B475)</f>
        <v/>
      </c>
      <c r="B475">
        <f>IF('03_Helper'!A475="","",'03_Helper'!C475)</f>
        <v/>
      </c>
      <c r="C475">
        <f>IF('03_Helper'!A475="","",'03_Helper'!G475)</f>
        <v/>
      </c>
      <c r="D475">
        <f>IF('03_Helper'!A475="","",'03_Helper'!E475)</f>
        <v/>
      </c>
      <c r="E475">
        <f>IF('03_Helper'!A475="","",'03_Helper'!D475)</f>
        <v/>
      </c>
      <c r="F475">
        <f>IF('03_Helper'!A475="","",'03_Helper'!H475)</f>
        <v/>
      </c>
      <c r="G475">
        <f>IF('03_Helper'!A475="","",'03_Helper'!X475)</f>
        <v/>
      </c>
      <c r="H475">
        <f>IF('03_Helper'!A475="","",'03_Helper'!Y475)</f>
        <v/>
      </c>
      <c r="I475">
        <f>IF('03_Helper'!A475="","",'03_Helper'!Z475)</f>
        <v/>
      </c>
      <c r="J475">
        <f>IF('03_Helper'!A475="","",'03_Helper'!Q475)</f>
        <v/>
      </c>
      <c r="K475">
        <f>IF('03_Helper'!A475="","",'03_Helper'!R475)</f>
        <v/>
      </c>
      <c r="L475">
        <f>IF('03_Helper'!A475="","",'03_Helper'!S475)</f>
        <v/>
      </c>
      <c r="M475">
        <f>IF('03_Helper'!A475="","",'03_Helper'!T475)</f>
        <v/>
      </c>
      <c r="N475">
        <f>IF('03_Helper'!A475="","",'03_Helper'!AA475)</f>
        <v/>
      </c>
      <c r="O475">
        <f>IF('03_Helper'!A475="","",'03_Helper'!AB475)</f>
        <v/>
      </c>
      <c r="P475">
        <f>IF('03_Helper'!A475="","",'03_Helper'!AC475)</f>
        <v/>
      </c>
      <c r="Q475">
        <f>IF('03_Helper'!A475="","",'03_Helper'!AD475)</f>
        <v/>
      </c>
      <c r="R475">
        <f>IF('03_Helper'!A475="","",'03_Helper'!AI475)</f>
        <v/>
      </c>
      <c r="S475">
        <f>IF('03_Helper'!A475="","",'03_Helper'!AJ475)</f>
        <v/>
      </c>
      <c r="T475">
        <f>IF('03_Helper'!A475="","",'03_Helper'!U475)</f>
        <v/>
      </c>
      <c r="U475">
        <f>IF('03_Helper'!A475="","",'03_Helper'!W475)</f>
        <v/>
      </c>
      <c r="V475">
        <f>IF('03_Helper'!A475="","",'03_Helper'!AG475)</f>
        <v/>
      </c>
      <c r="W475">
        <f>IF('03_Helper'!A475="","",'03_Helper'!AK475)</f>
        <v/>
      </c>
      <c r="X475">
        <f>IF('03_Helper'!A475="","",'03_Helper'!K475)</f>
        <v/>
      </c>
      <c r="Y475">
        <f>IF('03_Helper'!A475="","",'03_Helper'!AN475)</f>
        <v/>
      </c>
    </row>
    <row r="476">
      <c r="A476">
        <f>IF('03_Helper'!A476="","",'03_Helper'!B476)</f>
        <v/>
      </c>
      <c r="B476">
        <f>IF('03_Helper'!A476="","",'03_Helper'!C476)</f>
        <v/>
      </c>
      <c r="C476">
        <f>IF('03_Helper'!A476="","",'03_Helper'!G476)</f>
        <v/>
      </c>
      <c r="D476">
        <f>IF('03_Helper'!A476="","",'03_Helper'!E476)</f>
        <v/>
      </c>
      <c r="E476">
        <f>IF('03_Helper'!A476="","",'03_Helper'!D476)</f>
        <v/>
      </c>
      <c r="F476">
        <f>IF('03_Helper'!A476="","",'03_Helper'!H476)</f>
        <v/>
      </c>
      <c r="G476">
        <f>IF('03_Helper'!A476="","",'03_Helper'!X476)</f>
        <v/>
      </c>
      <c r="H476">
        <f>IF('03_Helper'!A476="","",'03_Helper'!Y476)</f>
        <v/>
      </c>
      <c r="I476">
        <f>IF('03_Helper'!A476="","",'03_Helper'!Z476)</f>
        <v/>
      </c>
      <c r="J476">
        <f>IF('03_Helper'!A476="","",'03_Helper'!Q476)</f>
        <v/>
      </c>
      <c r="K476">
        <f>IF('03_Helper'!A476="","",'03_Helper'!R476)</f>
        <v/>
      </c>
      <c r="L476">
        <f>IF('03_Helper'!A476="","",'03_Helper'!S476)</f>
        <v/>
      </c>
      <c r="M476">
        <f>IF('03_Helper'!A476="","",'03_Helper'!T476)</f>
        <v/>
      </c>
      <c r="N476">
        <f>IF('03_Helper'!A476="","",'03_Helper'!AA476)</f>
        <v/>
      </c>
      <c r="O476">
        <f>IF('03_Helper'!A476="","",'03_Helper'!AB476)</f>
        <v/>
      </c>
      <c r="P476">
        <f>IF('03_Helper'!A476="","",'03_Helper'!AC476)</f>
        <v/>
      </c>
      <c r="Q476">
        <f>IF('03_Helper'!A476="","",'03_Helper'!AD476)</f>
        <v/>
      </c>
      <c r="R476">
        <f>IF('03_Helper'!A476="","",'03_Helper'!AI476)</f>
        <v/>
      </c>
      <c r="S476">
        <f>IF('03_Helper'!A476="","",'03_Helper'!AJ476)</f>
        <v/>
      </c>
      <c r="T476">
        <f>IF('03_Helper'!A476="","",'03_Helper'!U476)</f>
        <v/>
      </c>
      <c r="U476">
        <f>IF('03_Helper'!A476="","",'03_Helper'!W476)</f>
        <v/>
      </c>
      <c r="V476">
        <f>IF('03_Helper'!A476="","",'03_Helper'!AG476)</f>
        <v/>
      </c>
      <c r="W476">
        <f>IF('03_Helper'!A476="","",'03_Helper'!AK476)</f>
        <v/>
      </c>
      <c r="X476">
        <f>IF('03_Helper'!A476="","",'03_Helper'!K476)</f>
        <v/>
      </c>
      <c r="Y476">
        <f>IF('03_Helper'!A476="","",'03_Helper'!AN476)</f>
        <v/>
      </c>
    </row>
    <row r="477">
      <c r="A477">
        <f>IF('03_Helper'!A477="","",'03_Helper'!B477)</f>
        <v/>
      </c>
      <c r="B477">
        <f>IF('03_Helper'!A477="","",'03_Helper'!C477)</f>
        <v/>
      </c>
      <c r="C477">
        <f>IF('03_Helper'!A477="","",'03_Helper'!G477)</f>
        <v/>
      </c>
      <c r="D477">
        <f>IF('03_Helper'!A477="","",'03_Helper'!E477)</f>
        <v/>
      </c>
      <c r="E477">
        <f>IF('03_Helper'!A477="","",'03_Helper'!D477)</f>
        <v/>
      </c>
      <c r="F477">
        <f>IF('03_Helper'!A477="","",'03_Helper'!H477)</f>
        <v/>
      </c>
      <c r="G477">
        <f>IF('03_Helper'!A477="","",'03_Helper'!X477)</f>
        <v/>
      </c>
      <c r="H477">
        <f>IF('03_Helper'!A477="","",'03_Helper'!Y477)</f>
        <v/>
      </c>
      <c r="I477">
        <f>IF('03_Helper'!A477="","",'03_Helper'!Z477)</f>
        <v/>
      </c>
      <c r="J477">
        <f>IF('03_Helper'!A477="","",'03_Helper'!Q477)</f>
        <v/>
      </c>
      <c r="K477">
        <f>IF('03_Helper'!A477="","",'03_Helper'!R477)</f>
        <v/>
      </c>
      <c r="L477">
        <f>IF('03_Helper'!A477="","",'03_Helper'!S477)</f>
        <v/>
      </c>
      <c r="M477">
        <f>IF('03_Helper'!A477="","",'03_Helper'!T477)</f>
        <v/>
      </c>
      <c r="N477">
        <f>IF('03_Helper'!A477="","",'03_Helper'!AA477)</f>
        <v/>
      </c>
      <c r="O477">
        <f>IF('03_Helper'!A477="","",'03_Helper'!AB477)</f>
        <v/>
      </c>
      <c r="P477">
        <f>IF('03_Helper'!A477="","",'03_Helper'!AC477)</f>
        <v/>
      </c>
      <c r="Q477">
        <f>IF('03_Helper'!A477="","",'03_Helper'!AD477)</f>
        <v/>
      </c>
      <c r="R477">
        <f>IF('03_Helper'!A477="","",'03_Helper'!AI477)</f>
        <v/>
      </c>
      <c r="S477">
        <f>IF('03_Helper'!A477="","",'03_Helper'!AJ477)</f>
        <v/>
      </c>
      <c r="T477">
        <f>IF('03_Helper'!A477="","",'03_Helper'!U477)</f>
        <v/>
      </c>
      <c r="U477">
        <f>IF('03_Helper'!A477="","",'03_Helper'!W477)</f>
        <v/>
      </c>
      <c r="V477">
        <f>IF('03_Helper'!A477="","",'03_Helper'!AG477)</f>
        <v/>
      </c>
      <c r="W477">
        <f>IF('03_Helper'!A477="","",'03_Helper'!AK477)</f>
        <v/>
      </c>
      <c r="X477">
        <f>IF('03_Helper'!A477="","",'03_Helper'!K477)</f>
        <v/>
      </c>
      <c r="Y477">
        <f>IF('03_Helper'!A477="","",'03_Helper'!AN477)</f>
        <v/>
      </c>
    </row>
    <row r="478">
      <c r="A478">
        <f>IF('03_Helper'!A478="","",'03_Helper'!B478)</f>
        <v/>
      </c>
      <c r="B478">
        <f>IF('03_Helper'!A478="","",'03_Helper'!C478)</f>
        <v/>
      </c>
      <c r="C478">
        <f>IF('03_Helper'!A478="","",'03_Helper'!G478)</f>
        <v/>
      </c>
      <c r="D478">
        <f>IF('03_Helper'!A478="","",'03_Helper'!E478)</f>
        <v/>
      </c>
      <c r="E478">
        <f>IF('03_Helper'!A478="","",'03_Helper'!D478)</f>
        <v/>
      </c>
      <c r="F478">
        <f>IF('03_Helper'!A478="","",'03_Helper'!H478)</f>
        <v/>
      </c>
      <c r="G478">
        <f>IF('03_Helper'!A478="","",'03_Helper'!X478)</f>
        <v/>
      </c>
      <c r="H478">
        <f>IF('03_Helper'!A478="","",'03_Helper'!Y478)</f>
        <v/>
      </c>
      <c r="I478">
        <f>IF('03_Helper'!A478="","",'03_Helper'!Z478)</f>
        <v/>
      </c>
      <c r="J478">
        <f>IF('03_Helper'!A478="","",'03_Helper'!Q478)</f>
        <v/>
      </c>
      <c r="K478">
        <f>IF('03_Helper'!A478="","",'03_Helper'!R478)</f>
        <v/>
      </c>
      <c r="L478">
        <f>IF('03_Helper'!A478="","",'03_Helper'!S478)</f>
        <v/>
      </c>
      <c r="M478">
        <f>IF('03_Helper'!A478="","",'03_Helper'!T478)</f>
        <v/>
      </c>
      <c r="N478">
        <f>IF('03_Helper'!A478="","",'03_Helper'!AA478)</f>
        <v/>
      </c>
      <c r="O478">
        <f>IF('03_Helper'!A478="","",'03_Helper'!AB478)</f>
        <v/>
      </c>
      <c r="P478">
        <f>IF('03_Helper'!A478="","",'03_Helper'!AC478)</f>
        <v/>
      </c>
      <c r="Q478">
        <f>IF('03_Helper'!A478="","",'03_Helper'!AD478)</f>
        <v/>
      </c>
      <c r="R478">
        <f>IF('03_Helper'!A478="","",'03_Helper'!AI478)</f>
        <v/>
      </c>
      <c r="S478">
        <f>IF('03_Helper'!A478="","",'03_Helper'!AJ478)</f>
        <v/>
      </c>
      <c r="T478">
        <f>IF('03_Helper'!A478="","",'03_Helper'!U478)</f>
        <v/>
      </c>
      <c r="U478">
        <f>IF('03_Helper'!A478="","",'03_Helper'!W478)</f>
        <v/>
      </c>
      <c r="V478">
        <f>IF('03_Helper'!A478="","",'03_Helper'!AG478)</f>
        <v/>
      </c>
      <c r="W478">
        <f>IF('03_Helper'!A478="","",'03_Helper'!AK478)</f>
        <v/>
      </c>
      <c r="X478">
        <f>IF('03_Helper'!A478="","",'03_Helper'!K478)</f>
        <v/>
      </c>
      <c r="Y478">
        <f>IF('03_Helper'!A478="","",'03_Helper'!AN478)</f>
        <v/>
      </c>
    </row>
    <row r="479">
      <c r="A479">
        <f>IF('03_Helper'!A479="","",'03_Helper'!B479)</f>
        <v/>
      </c>
      <c r="B479">
        <f>IF('03_Helper'!A479="","",'03_Helper'!C479)</f>
        <v/>
      </c>
      <c r="C479">
        <f>IF('03_Helper'!A479="","",'03_Helper'!G479)</f>
        <v/>
      </c>
      <c r="D479">
        <f>IF('03_Helper'!A479="","",'03_Helper'!E479)</f>
        <v/>
      </c>
      <c r="E479">
        <f>IF('03_Helper'!A479="","",'03_Helper'!D479)</f>
        <v/>
      </c>
      <c r="F479">
        <f>IF('03_Helper'!A479="","",'03_Helper'!H479)</f>
        <v/>
      </c>
      <c r="G479">
        <f>IF('03_Helper'!A479="","",'03_Helper'!X479)</f>
        <v/>
      </c>
      <c r="H479">
        <f>IF('03_Helper'!A479="","",'03_Helper'!Y479)</f>
        <v/>
      </c>
      <c r="I479">
        <f>IF('03_Helper'!A479="","",'03_Helper'!Z479)</f>
        <v/>
      </c>
      <c r="J479">
        <f>IF('03_Helper'!A479="","",'03_Helper'!Q479)</f>
        <v/>
      </c>
      <c r="K479">
        <f>IF('03_Helper'!A479="","",'03_Helper'!R479)</f>
        <v/>
      </c>
      <c r="L479">
        <f>IF('03_Helper'!A479="","",'03_Helper'!S479)</f>
        <v/>
      </c>
      <c r="M479">
        <f>IF('03_Helper'!A479="","",'03_Helper'!T479)</f>
        <v/>
      </c>
      <c r="N479">
        <f>IF('03_Helper'!A479="","",'03_Helper'!AA479)</f>
        <v/>
      </c>
      <c r="O479">
        <f>IF('03_Helper'!A479="","",'03_Helper'!AB479)</f>
        <v/>
      </c>
      <c r="P479">
        <f>IF('03_Helper'!A479="","",'03_Helper'!AC479)</f>
        <v/>
      </c>
      <c r="Q479">
        <f>IF('03_Helper'!A479="","",'03_Helper'!AD479)</f>
        <v/>
      </c>
      <c r="R479">
        <f>IF('03_Helper'!A479="","",'03_Helper'!AI479)</f>
        <v/>
      </c>
      <c r="S479">
        <f>IF('03_Helper'!A479="","",'03_Helper'!AJ479)</f>
        <v/>
      </c>
      <c r="T479">
        <f>IF('03_Helper'!A479="","",'03_Helper'!U479)</f>
        <v/>
      </c>
      <c r="U479">
        <f>IF('03_Helper'!A479="","",'03_Helper'!W479)</f>
        <v/>
      </c>
      <c r="V479">
        <f>IF('03_Helper'!A479="","",'03_Helper'!AG479)</f>
        <v/>
      </c>
      <c r="W479">
        <f>IF('03_Helper'!A479="","",'03_Helper'!AK479)</f>
        <v/>
      </c>
      <c r="X479">
        <f>IF('03_Helper'!A479="","",'03_Helper'!K479)</f>
        <v/>
      </c>
      <c r="Y479">
        <f>IF('03_Helper'!A479="","",'03_Helper'!AN479)</f>
        <v/>
      </c>
    </row>
    <row r="480">
      <c r="A480">
        <f>IF('03_Helper'!A480="","",'03_Helper'!B480)</f>
        <v/>
      </c>
      <c r="B480">
        <f>IF('03_Helper'!A480="","",'03_Helper'!C480)</f>
        <v/>
      </c>
      <c r="C480">
        <f>IF('03_Helper'!A480="","",'03_Helper'!G480)</f>
        <v/>
      </c>
      <c r="D480">
        <f>IF('03_Helper'!A480="","",'03_Helper'!E480)</f>
        <v/>
      </c>
      <c r="E480">
        <f>IF('03_Helper'!A480="","",'03_Helper'!D480)</f>
        <v/>
      </c>
      <c r="F480">
        <f>IF('03_Helper'!A480="","",'03_Helper'!H480)</f>
        <v/>
      </c>
      <c r="G480">
        <f>IF('03_Helper'!A480="","",'03_Helper'!X480)</f>
        <v/>
      </c>
      <c r="H480">
        <f>IF('03_Helper'!A480="","",'03_Helper'!Y480)</f>
        <v/>
      </c>
      <c r="I480">
        <f>IF('03_Helper'!A480="","",'03_Helper'!Z480)</f>
        <v/>
      </c>
      <c r="J480">
        <f>IF('03_Helper'!A480="","",'03_Helper'!Q480)</f>
        <v/>
      </c>
      <c r="K480">
        <f>IF('03_Helper'!A480="","",'03_Helper'!R480)</f>
        <v/>
      </c>
      <c r="L480">
        <f>IF('03_Helper'!A480="","",'03_Helper'!S480)</f>
        <v/>
      </c>
      <c r="M480">
        <f>IF('03_Helper'!A480="","",'03_Helper'!T480)</f>
        <v/>
      </c>
      <c r="N480">
        <f>IF('03_Helper'!A480="","",'03_Helper'!AA480)</f>
        <v/>
      </c>
      <c r="O480">
        <f>IF('03_Helper'!A480="","",'03_Helper'!AB480)</f>
        <v/>
      </c>
      <c r="P480">
        <f>IF('03_Helper'!A480="","",'03_Helper'!AC480)</f>
        <v/>
      </c>
      <c r="Q480">
        <f>IF('03_Helper'!A480="","",'03_Helper'!AD480)</f>
        <v/>
      </c>
      <c r="R480">
        <f>IF('03_Helper'!A480="","",'03_Helper'!AI480)</f>
        <v/>
      </c>
      <c r="S480">
        <f>IF('03_Helper'!A480="","",'03_Helper'!AJ480)</f>
        <v/>
      </c>
      <c r="T480">
        <f>IF('03_Helper'!A480="","",'03_Helper'!U480)</f>
        <v/>
      </c>
      <c r="U480">
        <f>IF('03_Helper'!A480="","",'03_Helper'!W480)</f>
        <v/>
      </c>
      <c r="V480">
        <f>IF('03_Helper'!A480="","",'03_Helper'!AG480)</f>
        <v/>
      </c>
      <c r="W480">
        <f>IF('03_Helper'!A480="","",'03_Helper'!AK480)</f>
        <v/>
      </c>
      <c r="X480">
        <f>IF('03_Helper'!A480="","",'03_Helper'!K480)</f>
        <v/>
      </c>
      <c r="Y480">
        <f>IF('03_Helper'!A480="","",'03_Helper'!AN480)</f>
        <v/>
      </c>
    </row>
    <row r="481">
      <c r="A481">
        <f>IF('03_Helper'!A481="","",'03_Helper'!B481)</f>
        <v/>
      </c>
      <c r="B481">
        <f>IF('03_Helper'!A481="","",'03_Helper'!C481)</f>
        <v/>
      </c>
      <c r="C481">
        <f>IF('03_Helper'!A481="","",'03_Helper'!G481)</f>
        <v/>
      </c>
      <c r="D481">
        <f>IF('03_Helper'!A481="","",'03_Helper'!E481)</f>
        <v/>
      </c>
      <c r="E481">
        <f>IF('03_Helper'!A481="","",'03_Helper'!D481)</f>
        <v/>
      </c>
      <c r="F481">
        <f>IF('03_Helper'!A481="","",'03_Helper'!H481)</f>
        <v/>
      </c>
      <c r="G481">
        <f>IF('03_Helper'!A481="","",'03_Helper'!X481)</f>
        <v/>
      </c>
      <c r="H481">
        <f>IF('03_Helper'!A481="","",'03_Helper'!Y481)</f>
        <v/>
      </c>
      <c r="I481">
        <f>IF('03_Helper'!A481="","",'03_Helper'!Z481)</f>
        <v/>
      </c>
      <c r="J481">
        <f>IF('03_Helper'!A481="","",'03_Helper'!Q481)</f>
        <v/>
      </c>
      <c r="K481">
        <f>IF('03_Helper'!A481="","",'03_Helper'!R481)</f>
        <v/>
      </c>
      <c r="L481">
        <f>IF('03_Helper'!A481="","",'03_Helper'!S481)</f>
        <v/>
      </c>
      <c r="M481">
        <f>IF('03_Helper'!A481="","",'03_Helper'!T481)</f>
        <v/>
      </c>
      <c r="N481">
        <f>IF('03_Helper'!A481="","",'03_Helper'!AA481)</f>
        <v/>
      </c>
      <c r="O481">
        <f>IF('03_Helper'!A481="","",'03_Helper'!AB481)</f>
        <v/>
      </c>
      <c r="P481">
        <f>IF('03_Helper'!A481="","",'03_Helper'!AC481)</f>
        <v/>
      </c>
      <c r="Q481">
        <f>IF('03_Helper'!A481="","",'03_Helper'!AD481)</f>
        <v/>
      </c>
      <c r="R481">
        <f>IF('03_Helper'!A481="","",'03_Helper'!AI481)</f>
        <v/>
      </c>
      <c r="S481">
        <f>IF('03_Helper'!A481="","",'03_Helper'!AJ481)</f>
        <v/>
      </c>
      <c r="T481">
        <f>IF('03_Helper'!A481="","",'03_Helper'!U481)</f>
        <v/>
      </c>
      <c r="U481">
        <f>IF('03_Helper'!A481="","",'03_Helper'!W481)</f>
        <v/>
      </c>
      <c r="V481">
        <f>IF('03_Helper'!A481="","",'03_Helper'!AG481)</f>
        <v/>
      </c>
      <c r="W481">
        <f>IF('03_Helper'!A481="","",'03_Helper'!AK481)</f>
        <v/>
      </c>
      <c r="X481">
        <f>IF('03_Helper'!A481="","",'03_Helper'!K481)</f>
        <v/>
      </c>
      <c r="Y481">
        <f>IF('03_Helper'!A481="","",'03_Helper'!AN481)</f>
        <v/>
      </c>
    </row>
    <row r="482">
      <c r="A482">
        <f>IF('03_Helper'!A482="","",'03_Helper'!B482)</f>
        <v/>
      </c>
      <c r="B482">
        <f>IF('03_Helper'!A482="","",'03_Helper'!C482)</f>
        <v/>
      </c>
      <c r="C482">
        <f>IF('03_Helper'!A482="","",'03_Helper'!G482)</f>
        <v/>
      </c>
      <c r="D482">
        <f>IF('03_Helper'!A482="","",'03_Helper'!E482)</f>
        <v/>
      </c>
      <c r="E482">
        <f>IF('03_Helper'!A482="","",'03_Helper'!D482)</f>
        <v/>
      </c>
      <c r="F482">
        <f>IF('03_Helper'!A482="","",'03_Helper'!H482)</f>
        <v/>
      </c>
      <c r="G482">
        <f>IF('03_Helper'!A482="","",'03_Helper'!X482)</f>
        <v/>
      </c>
      <c r="H482">
        <f>IF('03_Helper'!A482="","",'03_Helper'!Y482)</f>
        <v/>
      </c>
      <c r="I482">
        <f>IF('03_Helper'!A482="","",'03_Helper'!Z482)</f>
        <v/>
      </c>
      <c r="J482">
        <f>IF('03_Helper'!A482="","",'03_Helper'!Q482)</f>
        <v/>
      </c>
      <c r="K482">
        <f>IF('03_Helper'!A482="","",'03_Helper'!R482)</f>
        <v/>
      </c>
      <c r="L482">
        <f>IF('03_Helper'!A482="","",'03_Helper'!S482)</f>
        <v/>
      </c>
      <c r="M482">
        <f>IF('03_Helper'!A482="","",'03_Helper'!T482)</f>
        <v/>
      </c>
      <c r="N482">
        <f>IF('03_Helper'!A482="","",'03_Helper'!AA482)</f>
        <v/>
      </c>
      <c r="O482">
        <f>IF('03_Helper'!A482="","",'03_Helper'!AB482)</f>
        <v/>
      </c>
      <c r="P482">
        <f>IF('03_Helper'!A482="","",'03_Helper'!AC482)</f>
        <v/>
      </c>
      <c r="Q482">
        <f>IF('03_Helper'!A482="","",'03_Helper'!AD482)</f>
        <v/>
      </c>
      <c r="R482">
        <f>IF('03_Helper'!A482="","",'03_Helper'!AI482)</f>
        <v/>
      </c>
      <c r="S482">
        <f>IF('03_Helper'!A482="","",'03_Helper'!AJ482)</f>
        <v/>
      </c>
      <c r="T482">
        <f>IF('03_Helper'!A482="","",'03_Helper'!U482)</f>
        <v/>
      </c>
      <c r="U482">
        <f>IF('03_Helper'!A482="","",'03_Helper'!W482)</f>
        <v/>
      </c>
      <c r="V482">
        <f>IF('03_Helper'!A482="","",'03_Helper'!AG482)</f>
        <v/>
      </c>
      <c r="W482">
        <f>IF('03_Helper'!A482="","",'03_Helper'!AK482)</f>
        <v/>
      </c>
      <c r="X482">
        <f>IF('03_Helper'!A482="","",'03_Helper'!K482)</f>
        <v/>
      </c>
      <c r="Y482">
        <f>IF('03_Helper'!A482="","",'03_Helper'!AN482)</f>
        <v/>
      </c>
    </row>
    <row r="483">
      <c r="A483">
        <f>IF('03_Helper'!A483="","",'03_Helper'!B483)</f>
        <v/>
      </c>
      <c r="B483">
        <f>IF('03_Helper'!A483="","",'03_Helper'!C483)</f>
        <v/>
      </c>
      <c r="C483">
        <f>IF('03_Helper'!A483="","",'03_Helper'!G483)</f>
        <v/>
      </c>
      <c r="D483">
        <f>IF('03_Helper'!A483="","",'03_Helper'!E483)</f>
        <v/>
      </c>
      <c r="E483">
        <f>IF('03_Helper'!A483="","",'03_Helper'!D483)</f>
        <v/>
      </c>
      <c r="F483">
        <f>IF('03_Helper'!A483="","",'03_Helper'!H483)</f>
        <v/>
      </c>
      <c r="G483">
        <f>IF('03_Helper'!A483="","",'03_Helper'!X483)</f>
        <v/>
      </c>
      <c r="H483">
        <f>IF('03_Helper'!A483="","",'03_Helper'!Y483)</f>
        <v/>
      </c>
      <c r="I483">
        <f>IF('03_Helper'!A483="","",'03_Helper'!Z483)</f>
        <v/>
      </c>
      <c r="J483">
        <f>IF('03_Helper'!A483="","",'03_Helper'!Q483)</f>
        <v/>
      </c>
      <c r="K483">
        <f>IF('03_Helper'!A483="","",'03_Helper'!R483)</f>
        <v/>
      </c>
      <c r="L483">
        <f>IF('03_Helper'!A483="","",'03_Helper'!S483)</f>
        <v/>
      </c>
      <c r="M483">
        <f>IF('03_Helper'!A483="","",'03_Helper'!T483)</f>
        <v/>
      </c>
      <c r="N483">
        <f>IF('03_Helper'!A483="","",'03_Helper'!AA483)</f>
        <v/>
      </c>
      <c r="O483">
        <f>IF('03_Helper'!A483="","",'03_Helper'!AB483)</f>
        <v/>
      </c>
      <c r="P483">
        <f>IF('03_Helper'!A483="","",'03_Helper'!AC483)</f>
        <v/>
      </c>
      <c r="Q483">
        <f>IF('03_Helper'!A483="","",'03_Helper'!AD483)</f>
        <v/>
      </c>
      <c r="R483">
        <f>IF('03_Helper'!A483="","",'03_Helper'!AI483)</f>
        <v/>
      </c>
      <c r="S483">
        <f>IF('03_Helper'!A483="","",'03_Helper'!AJ483)</f>
        <v/>
      </c>
      <c r="T483">
        <f>IF('03_Helper'!A483="","",'03_Helper'!U483)</f>
        <v/>
      </c>
      <c r="U483">
        <f>IF('03_Helper'!A483="","",'03_Helper'!W483)</f>
        <v/>
      </c>
      <c r="V483">
        <f>IF('03_Helper'!A483="","",'03_Helper'!AG483)</f>
        <v/>
      </c>
      <c r="W483">
        <f>IF('03_Helper'!A483="","",'03_Helper'!AK483)</f>
        <v/>
      </c>
      <c r="X483">
        <f>IF('03_Helper'!A483="","",'03_Helper'!K483)</f>
        <v/>
      </c>
      <c r="Y483">
        <f>IF('03_Helper'!A483="","",'03_Helper'!AN483)</f>
        <v/>
      </c>
    </row>
    <row r="484">
      <c r="A484">
        <f>IF('03_Helper'!A484="","",'03_Helper'!B484)</f>
        <v/>
      </c>
      <c r="B484">
        <f>IF('03_Helper'!A484="","",'03_Helper'!C484)</f>
        <v/>
      </c>
      <c r="C484">
        <f>IF('03_Helper'!A484="","",'03_Helper'!G484)</f>
        <v/>
      </c>
      <c r="D484">
        <f>IF('03_Helper'!A484="","",'03_Helper'!E484)</f>
        <v/>
      </c>
      <c r="E484">
        <f>IF('03_Helper'!A484="","",'03_Helper'!D484)</f>
        <v/>
      </c>
      <c r="F484">
        <f>IF('03_Helper'!A484="","",'03_Helper'!H484)</f>
        <v/>
      </c>
      <c r="G484">
        <f>IF('03_Helper'!A484="","",'03_Helper'!X484)</f>
        <v/>
      </c>
      <c r="H484">
        <f>IF('03_Helper'!A484="","",'03_Helper'!Y484)</f>
        <v/>
      </c>
      <c r="I484">
        <f>IF('03_Helper'!A484="","",'03_Helper'!Z484)</f>
        <v/>
      </c>
      <c r="J484">
        <f>IF('03_Helper'!A484="","",'03_Helper'!Q484)</f>
        <v/>
      </c>
      <c r="K484">
        <f>IF('03_Helper'!A484="","",'03_Helper'!R484)</f>
        <v/>
      </c>
      <c r="L484">
        <f>IF('03_Helper'!A484="","",'03_Helper'!S484)</f>
        <v/>
      </c>
      <c r="M484">
        <f>IF('03_Helper'!A484="","",'03_Helper'!T484)</f>
        <v/>
      </c>
      <c r="N484">
        <f>IF('03_Helper'!A484="","",'03_Helper'!AA484)</f>
        <v/>
      </c>
      <c r="O484">
        <f>IF('03_Helper'!A484="","",'03_Helper'!AB484)</f>
        <v/>
      </c>
      <c r="P484">
        <f>IF('03_Helper'!A484="","",'03_Helper'!AC484)</f>
        <v/>
      </c>
      <c r="Q484">
        <f>IF('03_Helper'!A484="","",'03_Helper'!AD484)</f>
        <v/>
      </c>
      <c r="R484">
        <f>IF('03_Helper'!A484="","",'03_Helper'!AI484)</f>
        <v/>
      </c>
      <c r="S484">
        <f>IF('03_Helper'!A484="","",'03_Helper'!AJ484)</f>
        <v/>
      </c>
      <c r="T484">
        <f>IF('03_Helper'!A484="","",'03_Helper'!U484)</f>
        <v/>
      </c>
      <c r="U484">
        <f>IF('03_Helper'!A484="","",'03_Helper'!W484)</f>
        <v/>
      </c>
      <c r="V484">
        <f>IF('03_Helper'!A484="","",'03_Helper'!AG484)</f>
        <v/>
      </c>
      <c r="W484">
        <f>IF('03_Helper'!A484="","",'03_Helper'!AK484)</f>
        <v/>
      </c>
      <c r="X484">
        <f>IF('03_Helper'!A484="","",'03_Helper'!K484)</f>
        <v/>
      </c>
      <c r="Y484">
        <f>IF('03_Helper'!A484="","",'03_Helper'!AN484)</f>
        <v/>
      </c>
    </row>
    <row r="485">
      <c r="A485">
        <f>IF('03_Helper'!A485="","",'03_Helper'!B485)</f>
        <v/>
      </c>
      <c r="B485">
        <f>IF('03_Helper'!A485="","",'03_Helper'!C485)</f>
        <v/>
      </c>
      <c r="C485">
        <f>IF('03_Helper'!A485="","",'03_Helper'!G485)</f>
        <v/>
      </c>
      <c r="D485">
        <f>IF('03_Helper'!A485="","",'03_Helper'!E485)</f>
        <v/>
      </c>
      <c r="E485">
        <f>IF('03_Helper'!A485="","",'03_Helper'!D485)</f>
        <v/>
      </c>
      <c r="F485">
        <f>IF('03_Helper'!A485="","",'03_Helper'!H485)</f>
        <v/>
      </c>
      <c r="G485">
        <f>IF('03_Helper'!A485="","",'03_Helper'!X485)</f>
        <v/>
      </c>
      <c r="H485">
        <f>IF('03_Helper'!A485="","",'03_Helper'!Y485)</f>
        <v/>
      </c>
      <c r="I485">
        <f>IF('03_Helper'!A485="","",'03_Helper'!Z485)</f>
        <v/>
      </c>
      <c r="J485">
        <f>IF('03_Helper'!A485="","",'03_Helper'!Q485)</f>
        <v/>
      </c>
      <c r="K485">
        <f>IF('03_Helper'!A485="","",'03_Helper'!R485)</f>
        <v/>
      </c>
      <c r="L485">
        <f>IF('03_Helper'!A485="","",'03_Helper'!S485)</f>
        <v/>
      </c>
      <c r="M485">
        <f>IF('03_Helper'!A485="","",'03_Helper'!T485)</f>
        <v/>
      </c>
      <c r="N485">
        <f>IF('03_Helper'!A485="","",'03_Helper'!AA485)</f>
        <v/>
      </c>
      <c r="O485">
        <f>IF('03_Helper'!A485="","",'03_Helper'!AB485)</f>
        <v/>
      </c>
      <c r="P485">
        <f>IF('03_Helper'!A485="","",'03_Helper'!AC485)</f>
        <v/>
      </c>
      <c r="Q485">
        <f>IF('03_Helper'!A485="","",'03_Helper'!AD485)</f>
        <v/>
      </c>
      <c r="R485">
        <f>IF('03_Helper'!A485="","",'03_Helper'!AI485)</f>
        <v/>
      </c>
      <c r="S485">
        <f>IF('03_Helper'!A485="","",'03_Helper'!AJ485)</f>
        <v/>
      </c>
      <c r="T485">
        <f>IF('03_Helper'!A485="","",'03_Helper'!U485)</f>
        <v/>
      </c>
      <c r="U485">
        <f>IF('03_Helper'!A485="","",'03_Helper'!W485)</f>
        <v/>
      </c>
      <c r="V485">
        <f>IF('03_Helper'!A485="","",'03_Helper'!AG485)</f>
        <v/>
      </c>
      <c r="W485">
        <f>IF('03_Helper'!A485="","",'03_Helper'!AK485)</f>
        <v/>
      </c>
      <c r="X485">
        <f>IF('03_Helper'!A485="","",'03_Helper'!K485)</f>
        <v/>
      </c>
      <c r="Y485">
        <f>IF('03_Helper'!A485="","",'03_Helper'!AN485)</f>
        <v/>
      </c>
    </row>
    <row r="486">
      <c r="A486">
        <f>IF('03_Helper'!A486="","",'03_Helper'!B486)</f>
        <v/>
      </c>
      <c r="B486">
        <f>IF('03_Helper'!A486="","",'03_Helper'!C486)</f>
        <v/>
      </c>
      <c r="C486">
        <f>IF('03_Helper'!A486="","",'03_Helper'!G486)</f>
        <v/>
      </c>
      <c r="D486">
        <f>IF('03_Helper'!A486="","",'03_Helper'!E486)</f>
        <v/>
      </c>
      <c r="E486">
        <f>IF('03_Helper'!A486="","",'03_Helper'!D486)</f>
        <v/>
      </c>
      <c r="F486">
        <f>IF('03_Helper'!A486="","",'03_Helper'!H486)</f>
        <v/>
      </c>
      <c r="G486">
        <f>IF('03_Helper'!A486="","",'03_Helper'!X486)</f>
        <v/>
      </c>
      <c r="H486">
        <f>IF('03_Helper'!A486="","",'03_Helper'!Y486)</f>
        <v/>
      </c>
      <c r="I486">
        <f>IF('03_Helper'!A486="","",'03_Helper'!Z486)</f>
        <v/>
      </c>
      <c r="J486">
        <f>IF('03_Helper'!A486="","",'03_Helper'!Q486)</f>
        <v/>
      </c>
      <c r="K486">
        <f>IF('03_Helper'!A486="","",'03_Helper'!R486)</f>
        <v/>
      </c>
      <c r="L486">
        <f>IF('03_Helper'!A486="","",'03_Helper'!S486)</f>
        <v/>
      </c>
      <c r="M486">
        <f>IF('03_Helper'!A486="","",'03_Helper'!T486)</f>
        <v/>
      </c>
      <c r="N486">
        <f>IF('03_Helper'!A486="","",'03_Helper'!AA486)</f>
        <v/>
      </c>
      <c r="O486">
        <f>IF('03_Helper'!A486="","",'03_Helper'!AB486)</f>
        <v/>
      </c>
      <c r="P486">
        <f>IF('03_Helper'!A486="","",'03_Helper'!AC486)</f>
        <v/>
      </c>
      <c r="Q486">
        <f>IF('03_Helper'!A486="","",'03_Helper'!AD486)</f>
        <v/>
      </c>
      <c r="R486">
        <f>IF('03_Helper'!A486="","",'03_Helper'!AI486)</f>
        <v/>
      </c>
      <c r="S486">
        <f>IF('03_Helper'!A486="","",'03_Helper'!AJ486)</f>
        <v/>
      </c>
      <c r="T486">
        <f>IF('03_Helper'!A486="","",'03_Helper'!U486)</f>
        <v/>
      </c>
      <c r="U486">
        <f>IF('03_Helper'!A486="","",'03_Helper'!W486)</f>
        <v/>
      </c>
      <c r="V486">
        <f>IF('03_Helper'!A486="","",'03_Helper'!AG486)</f>
        <v/>
      </c>
      <c r="W486">
        <f>IF('03_Helper'!A486="","",'03_Helper'!AK486)</f>
        <v/>
      </c>
      <c r="X486">
        <f>IF('03_Helper'!A486="","",'03_Helper'!K486)</f>
        <v/>
      </c>
      <c r="Y486">
        <f>IF('03_Helper'!A486="","",'03_Helper'!AN486)</f>
        <v/>
      </c>
    </row>
    <row r="487">
      <c r="A487">
        <f>IF('03_Helper'!A487="","",'03_Helper'!B487)</f>
        <v/>
      </c>
      <c r="B487">
        <f>IF('03_Helper'!A487="","",'03_Helper'!C487)</f>
        <v/>
      </c>
      <c r="C487">
        <f>IF('03_Helper'!A487="","",'03_Helper'!G487)</f>
        <v/>
      </c>
      <c r="D487">
        <f>IF('03_Helper'!A487="","",'03_Helper'!E487)</f>
        <v/>
      </c>
      <c r="E487">
        <f>IF('03_Helper'!A487="","",'03_Helper'!D487)</f>
        <v/>
      </c>
      <c r="F487">
        <f>IF('03_Helper'!A487="","",'03_Helper'!H487)</f>
        <v/>
      </c>
      <c r="G487">
        <f>IF('03_Helper'!A487="","",'03_Helper'!X487)</f>
        <v/>
      </c>
      <c r="H487">
        <f>IF('03_Helper'!A487="","",'03_Helper'!Y487)</f>
        <v/>
      </c>
      <c r="I487">
        <f>IF('03_Helper'!A487="","",'03_Helper'!Z487)</f>
        <v/>
      </c>
      <c r="J487">
        <f>IF('03_Helper'!A487="","",'03_Helper'!Q487)</f>
        <v/>
      </c>
      <c r="K487">
        <f>IF('03_Helper'!A487="","",'03_Helper'!R487)</f>
        <v/>
      </c>
      <c r="L487">
        <f>IF('03_Helper'!A487="","",'03_Helper'!S487)</f>
        <v/>
      </c>
      <c r="M487">
        <f>IF('03_Helper'!A487="","",'03_Helper'!T487)</f>
        <v/>
      </c>
      <c r="N487">
        <f>IF('03_Helper'!A487="","",'03_Helper'!AA487)</f>
        <v/>
      </c>
      <c r="O487">
        <f>IF('03_Helper'!A487="","",'03_Helper'!AB487)</f>
        <v/>
      </c>
      <c r="P487">
        <f>IF('03_Helper'!A487="","",'03_Helper'!AC487)</f>
        <v/>
      </c>
      <c r="Q487">
        <f>IF('03_Helper'!A487="","",'03_Helper'!AD487)</f>
        <v/>
      </c>
      <c r="R487">
        <f>IF('03_Helper'!A487="","",'03_Helper'!AI487)</f>
        <v/>
      </c>
      <c r="S487">
        <f>IF('03_Helper'!A487="","",'03_Helper'!AJ487)</f>
        <v/>
      </c>
      <c r="T487">
        <f>IF('03_Helper'!A487="","",'03_Helper'!U487)</f>
        <v/>
      </c>
      <c r="U487">
        <f>IF('03_Helper'!A487="","",'03_Helper'!W487)</f>
        <v/>
      </c>
      <c r="V487">
        <f>IF('03_Helper'!A487="","",'03_Helper'!AG487)</f>
        <v/>
      </c>
      <c r="W487">
        <f>IF('03_Helper'!A487="","",'03_Helper'!AK487)</f>
        <v/>
      </c>
      <c r="X487">
        <f>IF('03_Helper'!A487="","",'03_Helper'!K487)</f>
        <v/>
      </c>
      <c r="Y487">
        <f>IF('03_Helper'!A487="","",'03_Helper'!AN487)</f>
        <v/>
      </c>
    </row>
    <row r="488">
      <c r="A488">
        <f>IF('03_Helper'!A488="","",'03_Helper'!B488)</f>
        <v/>
      </c>
      <c r="B488">
        <f>IF('03_Helper'!A488="","",'03_Helper'!C488)</f>
        <v/>
      </c>
      <c r="C488">
        <f>IF('03_Helper'!A488="","",'03_Helper'!G488)</f>
        <v/>
      </c>
      <c r="D488">
        <f>IF('03_Helper'!A488="","",'03_Helper'!E488)</f>
        <v/>
      </c>
      <c r="E488">
        <f>IF('03_Helper'!A488="","",'03_Helper'!D488)</f>
        <v/>
      </c>
      <c r="F488">
        <f>IF('03_Helper'!A488="","",'03_Helper'!H488)</f>
        <v/>
      </c>
      <c r="G488">
        <f>IF('03_Helper'!A488="","",'03_Helper'!X488)</f>
        <v/>
      </c>
      <c r="H488">
        <f>IF('03_Helper'!A488="","",'03_Helper'!Y488)</f>
        <v/>
      </c>
      <c r="I488">
        <f>IF('03_Helper'!A488="","",'03_Helper'!Z488)</f>
        <v/>
      </c>
      <c r="J488">
        <f>IF('03_Helper'!A488="","",'03_Helper'!Q488)</f>
        <v/>
      </c>
      <c r="K488">
        <f>IF('03_Helper'!A488="","",'03_Helper'!R488)</f>
        <v/>
      </c>
      <c r="L488">
        <f>IF('03_Helper'!A488="","",'03_Helper'!S488)</f>
        <v/>
      </c>
      <c r="M488">
        <f>IF('03_Helper'!A488="","",'03_Helper'!T488)</f>
        <v/>
      </c>
      <c r="N488">
        <f>IF('03_Helper'!A488="","",'03_Helper'!AA488)</f>
        <v/>
      </c>
      <c r="O488">
        <f>IF('03_Helper'!A488="","",'03_Helper'!AB488)</f>
        <v/>
      </c>
      <c r="P488">
        <f>IF('03_Helper'!A488="","",'03_Helper'!AC488)</f>
        <v/>
      </c>
      <c r="Q488">
        <f>IF('03_Helper'!A488="","",'03_Helper'!AD488)</f>
        <v/>
      </c>
      <c r="R488">
        <f>IF('03_Helper'!A488="","",'03_Helper'!AI488)</f>
        <v/>
      </c>
      <c r="S488">
        <f>IF('03_Helper'!A488="","",'03_Helper'!AJ488)</f>
        <v/>
      </c>
      <c r="T488">
        <f>IF('03_Helper'!A488="","",'03_Helper'!U488)</f>
        <v/>
      </c>
      <c r="U488">
        <f>IF('03_Helper'!A488="","",'03_Helper'!W488)</f>
        <v/>
      </c>
      <c r="V488">
        <f>IF('03_Helper'!A488="","",'03_Helper'!AG488)</f>
        <v/>
      </c>
      <c r="W488">
        <f>IF('03_Helper'!A488="","",'03_Helper'!AK488)</f>
        <v/>
      </c>
      <c r="X488">
        <f>IF('03_Helper'!A488="","",'03_Helper'!K488)</f>
        <v/>
      </c>
      <c r="Y488">
        <f>IF('03_Helper'!A488="","",'03_Helper'!AN488)</f>
        <v/>
      </c>
    </row>
    <row r="489">
      <c r="A489">
        <f>IF('03_Helper'!A489="","",'03_Helper'!B489)</f>
        <v/>
      </c>
      <c r="B489">
        <f>IF('03_Helper'!A489="","",'03_Helper'!C489)</f>
        <v/>
      </c>
      <c r="C489">
        <f>IF('03_Helper'!A489="","",'03_Helper'!G489)</f>
        <v/>
      </c>
      <c r="D489">
        <f>IF('03_Helper'!A489="","",'03_Helper'!E489)</f>
        <v/>
      </c>
      <c r="E489">
        <f>IF('03_Helper'!A489="","",'03_Helper'!D489)</f>
        <v/>
      </c>
      <c r="F489">
        <f>IF('03_Helper'!A489="","",'03_Helper'!H489)</f>
        <v/>
      </c>
      <c r="G489">
        <f>IF('03_Helper'!A489="","",'03_Helper'!X489)</f>
        <v/>
      </c>
      <c r="H489">
        <f>IF('03_Helper'!A489="","",'03_Helper'!Y489)</f>
        <v/>
      </c>
      <c r="I489">
        <f>IF('03_Helper'!A489="","",'03_Helper'!Z489)</f>
        <v/>
      </c>
      <c r="J489">
        <f>IF('03_Helper'!A489="","",'03_Helper'!Q489)</f>
        <v/>
      </c>
      <c r="K489">
        <f>IF('03_Helper'!A489="","",'03_Helper'!R489)</f>
        <v/>
      </c>
      <c r="L489">
        <f>IF('03_Helper'!A489="","",'03_Helper'!S489)</f>
        <v/>
      </c>
      <c r="M489">
        <f>IF('03_Helper'!A489="","",'03_Helper'!T489)</f>
        <v/>
      </c>
      <c r="N489">
        <f>IF('03_Helper'!A489="","",'03_Helper'!AA489)</f>
        <v/>
      </c>
      <c r="O489">
        <f>IF('03_Helper'!A489="","",'03_Helper'!AB489)</f>
        <v/>
      </c>
      <c r="P489">
        <f>IF('03_Helper'!A489="","",'03_Helper'!AC489)</f>
        <v/>
      </c>
      <c r="Q489">
        <f>IF('03_Helper'!A489="","",'03_Helper'!AD489)</f>
        <v/>
      </c>
      <c r="R489">
        <f>IF('03_Helper'!A489="","",'03_Helper'!AI489)</f>
        <v/>
      </c>
      <c r="S489">
        <f>IF('03_Helper'!A489="","",'03_Helper'!AJ489)</f>
        <v/>
      </c>
      <c r="T489">
        <f>IF('03_Helper'!A489="","",'03_Helper'!U489)</f>
        <v/>
      </c>
      <c r="U489">
        <f>IF('03_Helper'!A489="","",'03_Helper'!W489)</f>
        <v/>
      </c>
      <c r="V489">
        <f>IF('03_Helper'!A489="","",'03_Helper'!AG489)</f>
        <v/>
      </c>
      <c r="W489">
        <f>IF('03_Helper'!A489="","",'03_Helper'!AK489)</f>
        <v/>
      </c>
      <c r="X489">
        <f>IF('03_Helper'!A489="","",'03_Helper'!K489)</f>
        <v/>
      </c>
      <c r="Y489">
        <f>IF('03_Helper'!A489="","",'03_Helper'!AN489)</f>
        <v/>
      </c>
    </row>
    <row r="490">
      <c r="A490">
        <f>IF('03_Helper'!A490="","",'03_Helper'!B490)</f>
        <v/>
      </c>
      <c r="B490">
        <f>IF('03_Helper'!A490="","",'03_Helper'!C490)</f>
        <v/>
      </c>
      <c r="C490">
        <f>IF('03_Helper'!A490="","",'03_Helper'!G490)</f>
        <v/>
      </c>
      <c r="D490">
        <f>IF('03_Helper'!A490="","",'03_Helper'!E490)</f>
        <v/>
      </c>
      <c r="E490">
        <f>IF('03_Helper'!A490="","",'03_Helper'!D490)</f>
        <v/>
      </c>
      <c r="F490">
        <f>IF('03_Helper'!A490="","",'03_Helper'!H490)</f>
        <v/>
      </c>
      <c r="G490">
        <f>IF('03_Helper'!A490="","",'03_Helper'!X490)</f>
        <v/>
      </c>
      <c r="H490">
        <f>IF('03_Helper'!A490="","",'03_Helper'!Y490)</f>
        <v/>
      </c>
      <c r="I490">
        <f>IF('03_Helper'!A490="","",'03_Helper'!Z490)</f>
        <v/>
      </c>
      <c r="J490">
        <f>IF('03_Helper'!A490="","",'03_Helper'!Q490)</f>
        <v/>
      </c>
      <c r="K490">
        <f>IF('03_Helper'!A490="","",'03_Helper'!R490)</f>
        <v/>
      </c>
      <c r="L490">
        <f>IF('03_Helper'!A490="","",'03_Helper'!S490)</f>
        <v/>
      </c>
      <c r="M490">
        <f>IF('03_Helper'!A490="","",'03_Helper'!T490)</f>
        <v/>
      </c>
      <c r="N490">
        <f>IF('03_Helper'!A490="","",'03_Helper'!AA490)</f>
        <v/>
      </c>
      <c r="O490">
        <f>IF('03_Helper'!A490="","",'03_Helper'!AB490)</f>
        <v/>
      </c>
      <c r="P490">
        <f>IF('03_Helper'!A490="","",'03_Helper'!AC490)</f>
        <v/>
      </c>
      <c r="Q490">
        <f>IF('03_Helper'!A490="","",'03_Helper'!AD490)</f>
        <v/>
      </c>
      <c r="R490">
        <f>IF('03_Helper'!A490="","",'03_Helper'!AI490)</f>
        <v/>
      </c>
      <c r="S490">
        <f>IF('03_Helper'!A490="","",'03_Helper'!AJ490)</f>
        <v/>
      </c>
      <c r="T490">
        <f>IF('03_Helper'!A490="","",'03_Helper'!U490)</f>
        <v/>
      </c>
      <c r="U490">
        <f>IF('03_Helper'!A490="","",'03_Helper'!W490)</f>
        <v/>
      </c>
      <c r="V490">
        <f>IF('03_Helper'!A490="","",'03_Helper'!AG490)</f>
        <v/>
      </c>
      <c r="W490">
        <f>IF('03_Helper'!A490="","",'03_Helper'!AK490)</f>
        <v/>
      </c>
      <c r="X490">
        <f>IF('03_Helper'!A490="","",'03_Helper'!K490)</f>
        <v/>
      </c>
      <c r="Y490">
        <f>IF('03_Helper'!A490="","",'03_Helper'!AN490)</f>
        <v/>
      </c>
    </row>
    <row r="491">
      <c r="A491">
        <f>IF('03_Helper'!A491="","",'03_Helper'!B491)</f>
        <v/>
      </c>
      <c r="B491">
        <f>IF('03_Helper'!A491="","",'03_Helper'!C491)</f>
        <v/>
      </c>
      <c r="C491">
        <f>IF('03_Helper'!A491="","",'03_Helper'!G491)</f>
        <v/>
      </c>
      <c r="D491">
        <f>IF('03_Helper'!A491="","",'03_Helper'!E491)</f>
        <v/>
      </c>
      <c r="E491">
        <f>IF('03_Helper'!A491="","",'03_Helper'!D491)</f>
        <v/>
      </c>
      <c r="F491">
        <f>IF('03_Helper'!A491="","",'03_Helper'!H491)</f>
        <v/>
      </c>
      <c r="G491">
        <f>IF('03_Helper'!A491="","",'03_Helper'!X491)</f>
        <v/>
      </c>
      <c r="H491">
        <f>IF('03_Helper'!A491="","",'03_Helper'!Y491)</f>
        <v/>
      </c>
      <c r="I491">
        <f>IF('03_Helper'!A491="","",'03_Helper'!Z491)</f>
        <v/>
      </c>
      <c r="J491">
        <f>IF('03_Helper'!A491="","",'03_Helper'!Q491)</f>
        <v/>
      </c>
      <c r="K491">
        <f>IF('03_Helper'!A491="","",'03_Helper'!R491)</f>
        <v/>
      </c>
      <c r="L491">
        <f>IF('03_Helper'!A491="","",'03_Helper'!S491)</f>
        <v/>
      </c>
      <c r="M491">
        <f>IF('03_Helper'!A491="","",'03_Helper'!T491)</f>
        <v/>
      </c>
      <c r="N491">
        <f>IF('03_Helper'!A491="","",'03_Helper'!AA491)</f>
        <v/>
      </c>
      <c r="O491">
        <f>IF('03_Helper'!A491="","",'03_Helper'!AB491)</f>
        <v/>
      </c>
      <c r="P491">
        <f>IF('03_Helper'!A491="","",'03_Helper'!AC491)</f>
        <v/>
      </c>
      <c r="Q491">
        <f>IF('03_Helper'!A491="","",'03_Helper'!AD491)</f>
        <v/>
      </c>
      <c r="R491">
        <f>IF('03_Helper'!A491="","",'03_Helper'!AI491)</f>
        <v/>
      </c>
      <c r="S491">
        <f>IF('03_Helper'!A491="","",'03_Helper'!AJ491)</f>
        <v/>
      </c>
      <c r="T491">
        <f>IF('03_Helper'!A491="","",'03_Helper'!U491)</f>
        <v/>
      </c>
      <c r="U491">
        <f>IF('03_Helper'!A491="","",'03_Helper'!W491)</f>
        <v/>
      </c>
      <c r="V491">
        <f>IF('03_Helper'!A491="","",'03_Helper'!AG491)</f>
        <v/>
      </c>
      <c r="W491">
        <f>IF('03_Helper'!A491="","",'03_Helper'!AK491)</f>
        <v/>
      </c>
      <c r="X491">
        <f>IF('03_Helper'!A491="","",'03_Helper'!K491)</f>
        <v/>
      </c>
      <c r="Y491">
        <f>IF('03_Helper'!A491="","",'03_Helper'!AN491)</f>
        <v/>
      </c>
    </row>
    <row r="492">
      <c r="A492">
        <f>IF('03_Helper'!A492="","",'03_Helper'!B492)</f>
        <v/>
      </c>
      <c r="B492">
        <f>IF('03_Helper'!A492="","",'03_Helper'!C492)</f>
        <v/>
      </c>
      <c r="C492">
        <f>IF('03_Helper'!A492="","",'03_Helper'!G492)</f>
        <v/>
      </c>
      <c r="D492">
        <f>IF('03_Helper'!A492="","",'03_Helper'!E492)</f>
        <v/>
      </c>
      <c r="E492">
        <f>IF('03_Helper'!A492="","",'03_Helper'!D492)</f>
        <v/>
      </c>
      <c r="F492">
        <f>IF('03_Helper'!A492="","",'03_Helper'!H492)</f>
        <v/>
      </c>
      <c r="G492">
        <f>IF('03_Helper'!A492="","",'03_Helper'!X492)</f>
        <v/>
      </c>
      <c r="H492">
        <f>IF('03_Helper'!A492="","",'03_Helper'!Y492)</f>
        <v/>
      </c>
      <c r="I492">
        <f>IF('03_Helper'!A492="","",'03_Helper'!Z492)</f>
        <v/>
      </c>
      <c r="J492">
        <f>IF('03_Helper'!A492="","",'03_Helper'!Q492)</f>
        <v/>
      </c>
      <c r="K492">
        <f>IF('03_Helper'!A492="","",'03_Helper'!R492)</f>
        <v/>
      </c>
      <c r="L492">
        <f>IF('03_Helper'!A492="","",'03_Helper'!S492)</f>
        <v/>
      </c>
      <c r="M492">
        <f>IF('03_Helper'!A492="","",'03_Helper'!T492)</f>
        <v/>
      </c>
      <c r="N492">
        <f>IF('03_Helper'!A492="","",'03_Helper'!AA492)</f>
        <v/>
      </c>
      <c r="O492">
        <f>IF('03_Helper'!A492="","",'03_Helper'!AB492)</f>
        <v/>
      </c>
      <c r="P492">
        <f>IF('03_Helper'!A492="","",'03_Helper'!AC492)</f>
        <v/>
      </c>
      <c r="Q492">
        <f>IF('03_Helper'!A492="","",'03_Helper'!AD492)</f>
        <v/>
      </c>
      <c r="R492">
        <f>IF('03_Helper'!A492="","",'03_Helper'!AI492)</f>
        <v/>
      </c>
      <c r="S492">
        <f>IF('03_Helper'!A492="","",'03_Helper'!AJ492)</f>
        <v/>
      </c>
      <c r="T492">
        <f>IF('03_Helper'!A492="","",'03_Helper'!U492)</f>
        <v/>
      </c>
      <c r="U492">
        <f>IF('03_Helper'!A492="","",'03_Helper'!W492)</f>
        <v/>
      </c>
      <c r="V492">
        <f>IF('03_Helper'!A492="","",'03_Helper'!AG492)</f>
        <v/>
      </c>
      <c r="W492">
        <f>IF('03_Helper'!A492="","",'03_Helper'!AK492)</f>
        <v/>
      </c>
      <c r="X492">
        <f>IF('03_Helper'!A492="","",'03_Helper'!K492)</f>
        <v/>
      </c>
      <c r="Y492">
        <f>IF('03_Helper'!A492="","",'03_Helper'!AN492)</f>
        <v/>
      </c>
    </row>
    <row r="493">
      <c r="A493">
        <f>IF('03_Helper'!A493="","",'03_Helper'!B493)</f>
        <v/>
      </c>
      <c r="B493">
        <f>IF('03_Helper'!A493="","",'03_Helper'!C493)</f>
        <v/>
      </c>
      <c r="C493">
        <f>IF('03_Helper'!A493="","",'03_Helper'!G493)</f>
        <v/>
      </c>
      <c r="D493">
        <f>IF('03_Helper'!A493="","",'03_Helper'!E493)</f>
        <v/>
      </c>
      <c r="E493">
        <f>IF('03_Helper'!A493="","",'03_Helper'!D493)</f>
        <v/>
      </c>
      <c r="F493">
        <f>IF('03_Helper'!A493="","",'03_Helper'!H493)</f>
        <v/>
      </c>
      <c r="G493">
        <f>IF('03_Helper'!A493="","",'03_Helper'!X493)</f>
        <v/>
      </c>
      <c r="H493">
        <f>IF('03_Helper'!A493="","",'03_Helper'!Y493)</f>
        <v/>
      </c>
      <c r="I493">
        <f>IF('03_Helper'!A493="","",'03_Helper'!Z493)</f>
        <v/>
      </c>
      <c r="J493">
        <f>IF('03_Helper'!A493="","",'03_Helper'!Q493)</f>
        <v/>
      </c>
      <c r="K493">
        <f>IF('03_Helper'!A493="","",'03_Helper'!R493)</f>
        <v/>
      </c>
      <c r="L493">
        <f>IF('03_Helper'!A493="","",'03_Helper'!S493)</f>
        <v/>
      </c>
      <c r="M493">
        <f>IF('03_Helper'!A493="","",'03_Helper'!T493)</f>
        <v/>
      </c>
      <c r="N493">
        <f>IF('03_Helper'!A493="","",'03_Helper'!AA493)</f>
        <v/>
      </c>
      <c r="O493">
        <f>IF('03_Helper'!A493="","",'03_Helper'!AB493)</f>
        <v/>
      </c>
      <c r="P493">
        <f>IF('03_Helper'!A493="","",'03_Helper'!AC493)</f>
        <v/>
      </c>
      <c r="Q493">
        <f>IF('03_Helper'!A493="","",'03_Helper'!AD493)</f>
        <v/>
      </c>
      <c r="R493">
        <f>IF('03_Helper'!A493="","",'03_Helper'!AI493)</f>
        <v/>
      </c>
      <c r="S493">
        <f>IF('03_Helper'!A493="","",'03_Helper'!AJ493)</f>
        <v/>
      </c>
      <c r="T493">
        <f>IF('03_Helper'!A493="","",'03_Helper'!U493)</f>
        <v/>
      </c>
      <c r="U493">
        <f>IF('03_Helper'!A493="","",'03_Helper'!W493)</f>
        <v/>
      </c>
      <c r="V493">
        <f>IF('03_Helper'!A493="","",'03_Helper'!AG493)</f>
        <v/>
      </c>
      <c r="W493">
        <f>IF('03_Helper'!A493="","",'03_Helper'!AK493)</f>
        <v/>
      </c>
      <c r="X493">
        <f>IF('03_Helper'!A493="","",'03_Helper'!K493)</f>
        <v/>
      </c>
      <c r="Y493">
        <f>IF('03_Helper'!A493="","",'03_Helper'!AN493)</f>
        <v/>
      </c>
    </row>
  </sheetData>
  <autoFilter ref="A1:Y493"/>
  <pageMargins left="0.75" right="0.75" top="1" bottom="1" header="0.5" footer="0.5"/>
</worksheet>
</file>

<file path=xl/worksheets/sheet6.xml><?xml version="1.0" encoding="utf-8"?>
<worksheet xmlns="http://schemas.openxmlformats.org/spreadsheetml/2006/main">
  <sheetPr>
    <tabColor rgb="000F766E"/>
    <outlinePr summaryBelow="1" summaryRight="1"/>
    <pageSetUpPr/>
  </sheetPr>
  <dimension ref="A1:L37"/>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5" t="inlineStr">
        <is>
          <t>VENDOR INTELLIGENCE</t>
        </is>
      </c>
    </row>
    <row r="2">
      <c r="A2" s="6" t="inlineStr">
        <is>
          <t>Unique Students = distinct students shared/processing with vendor. Applications = Shared-to Yes (or status token). Never sum Applications as student headcount.</t>
        </is>
      </c>
    </row>
    <row r="4">
      <c r="A4" s="29" t="inlineStr">
        <is>
          <t>Vendor</t>
        </is>
      </c>
      <c r="B4" s="29" t="inlineStr">
        <is>
          <t>Active</t>
        </is>
      </c>
      <c r="C4" s="29" t="inlineStr">
        <is>
          <t>Unique Students (Shared)</t>
        </is>
      </c>
      <c r="D4" s="29" t="inlineStr">
        <is>
          <t>Applications (Shared Yes)</t>
        </is>
      </c>
      <c r="E4" s="29" t="inlineStr">
        <is>
          <t>In Loan Status / Processing</t>
        </is>
      </c>
      <c r="F4" s="29" t="inlineStr">
        <is>
          <t>Sanctioned (status)</t>
        </is>
      </c>
      <c r="G4" s="29" t="inlineStr">
        <is>
          <t>Docs Pending</t>
        </is>
      </c>
      <c r="H4" s="29" t="inlineStr">
        <is>
          <t>Pipeline Students (Latest=Yes ∩ vendor)</t>
        </is>
      </c>
      <c r="I4" s="29" t="inlineStr">
        <is>
          <t>Critical Cases</t>
        </is>
      </c>
      <c r="J4" s="29" t="inlineStr">
        <is>
          <t>Approval %</t>
        </is>
      </c>
      <c r="K4" s="29" t="inlineStr">
        <is>
          <t>Disbursement % (of shared)</t>
        </is>
      </c>
      <c r="L4" s="29" t="inlineStr">
        <is>
          <t>Vendor Share % of Apps</t>
        </is>
      </c>
    </row>
    <row r="5">
      <c r="A5" s="9" t="inlineStr">
        <is>
          <t>ICICI</t>
        </is>
      </c>
      <c r="B5" s="9" t="inlineStr">
        <is>
          <t>Yes</t>
        </is>
      </c>
      <c r="C5" s="9">
        <f>COUNTIF('03_Helper'!L:L,1)</f>
        <v/>
      </c>
      <c r="D5" s="9">
        <f>C5</f>
        <v/>
      </c>
      <c r="E5" s="9">
        <f>COUNTIF('03_Helper'!AP:AP,1)</f>
        <v/>
      </c>
      <c r="F5" s="9">
        <f>COUNTIFS('03_Helper'!L:L,1,'03_Helper'!AU:AU,1)</f>
        <v/>
      </c>
      <c r="G5" s="9">
        <f>COUNTIFS('03_Helper'!L:L,1,'03_Helper'!AV:AV,1)</f>
        <v/>
      </c>
      <c r="H5" s="9">
        <f>COUNTIFS('03_Helper'!L:L,1,'03_Helper'!AK:AK,"Yes")</f>
        <v/>
      </c>
      <c r="I5" s="9">
        <f>COUNTIFS('03_Helper'!L:L,1,'03_Helper'!AB:AB,"Yes")</f>
        <v/>
      </c>
      <c r="J5" s="51">
        <f>IF(C5=0,0,F5/C5)</f>
        <v/>
      </c>
      <c r="K5" s="51">
        <f>IF(C5=0,0,COUNTIFS('03_Helper'!L:L,1,'03_Helper'!X:X,"Disbursed")/C5)</f>
        <v/>
      </c>
      <c r="L5" s="51">
        <f>IF(SUM($D$5:$D$9)=0,0,D5/SUM($D$5:$D$9))</f>
        <v/>
      </c>
    </row>
    <row r="6">
      <c r="A6" s="9" t="inlineStr">
        <is>
          <t>Propelld</t>
        </is>
      </c>
      <c r="B6" s="9" t="inlineStr">
        <is>
          <t>Yes</t>
        </is>
      </c>
      <c r="C6" s="9">
        <f>COUNTIF('03_Helper'!M:M,1)</f>
        <v/>
      </c>
      <c r="D6" s="9">
        <f>C6</f>
        <v/>
      </c>
      <c r="E6" s="9">
        <f>COUNTIF('03_Helper'!AQ:AQ,1)</f>
        <v/>
      </c>
      <c r="F6" s="9">
        <f>COUNTIFS('03_Helper'!M:M,1,'03_Helper'!AU:AU,1)</f>
        <v/>
      </c>
      <c r="G6" s="9">
        <f>COUNTIFS('03_Helper'!M:M,1,'03_Helper'!AV:AV,1)</f>
        <v/>
      </c>
      <c r="H6" s="9">
        <f>COUNTIFS('03_Helper'!M:M,1,'03_Helper'!AK:AK,"Yes")</f>
        <v/>
      </c>
      <c r="I6" s="9">
        <f>COUNTIFS('03_Helper'!M:M,1,'03_Helper'!AB:AB,"Yes")</f>
        <v/>
      </c>
      <c r="J6" s="51">
        <f>IF(C6=0,0,F6/C6)</f>
        <v/>
      </c>
      <c r="K6" s="51">
        <f>IF(C6=0,0,COUNTIFS('03_Helper'!M:M,1,'03_Helper'!X:X,"Disbursed")/C6)</f>
        <v/>
      </c>
      <c r="L6" s="51">
        <f>IF(SUM($D$5:$D$9)=0,0,D6/SUM($D$5:$D$9))</f>
        <v/>
      </c>
    </row>
    <row r="7">
      <c r="A7" s="9" t="inlineStr">
        <is>
          <t>Study4Buddy</t>
        </is>
      </c>
      <c r="B7" s="9" t="inlineStr">
        <is>
          <t>Yes</t>
        </is>
      </c>
      <c r="C7" s="9">
        <f>COUNTIF('03_Helper'!N:N,1)</f>
        <v/>
      </c>
      <c r="D7" s="9">
        <f>C7</f>
        <v/>
      </c>
      <c r="E7" s="9" t="n">
        <v>0</v>
      </c>
      <c r="F7" s="9">
        <f>COUNTIFS('03_Helper'!N:N,1,'03_Helper'!AU:AU,1)</f>
        <v/>
      </c>
      <c r="G7" s="9">
        <f>COUNTIFS('03_Helper'!N:N,1,'03_Helper'!AV:AV,1)</f>
        <v/>
      </c>
      <c r="H7" s="9">
        <f>COUNTIFS('03_Helper'!N:N,1,'03_Helper'!AK:AK,"Yes")</f>
        <v/>
      </c>
      <c r="I7" s="9">
        <f>COUNTIFS('03_Helper'!N:N,1,'03_Helper'!AB:AB,"Yes")</f>
        <v/>
      </c>
      <c r="J7" s="51">
        <f>IF(C7=0,0,F7/C7)</f>
        <v/>
      </c>
      <c r="K7" s="51">
        <f>IF(C7=0,0,COUNTIFS('03_Helper'!N:N,1,'03_Helper'!X:X,"Disbursed")/C7)</f>
        <v/>
      </c>
      <c r="L7" s="51">
        <f>IF(SUM($D$5:$D$9)=0,0,D7/SUM($D$5:$D$9))</f>
        <v/>
      </c>
    </row>
    <row r="8">
      <c r="A8" s="9" t="inlineStr">
        <is>
          <t>Poonawala Fincorp</t>
        </is>
      </c>
      <c r="B8" s="9" t="inlineStr">
        <is>
          <t>Yes</t>
        </is>
      </c>
      <c r="C8" s="9">
        <f>COUNTIF('03_Helper'!O:O,1)</f>
        <v/>
      </c>
      <c r="D8" s="9">
        <f>C8</f>
        <v/>
      </c>
      <c r="E8" s="9" t="n">
        <v>0</v>
      </c>
      <c r="F8" s="9">
        <f>COUNTIFS('03_Helper'!O:O,1,'03_Helper'!AU:AU,1)</f>
        <v/>
      </c>
      <c r="G8" s="9">
        <f>COUNTIFS('03_Helper'!O:O,1,'03_Helper'!AV:AV,1)</f>
        <v/>
      </c>
      <c r="H8" s="9">
        <f>COUNTIFS('03_Helper'!O:O,1,'03_Helper'!AK:AK,"Yes")</f>
        <v/>
      </c>
      <c r="I8" s="9">
        <f>COUNTIFS('03_Helper'!O:O,1,'03_Helper'!AB:AB,"Yes")</f>
        <v/>
      </c>
      <c r="J8" s="51">
        <f>IF(C8=0,0,F8/C8)</f>
        <v/>
      </c>
      <c r="K8" s="51">
        <f>IF(C8=0,0,COUNTIFS('03_Helper'!O:O,1,'03_Helper'!X:X,"Disbursed")/C8)</f>
        <v/>
      </c>
      <c r="L8" s="51">
        <f>IF(SUM($D$5:$D$9)=0,0,D8/SUM($D$5:$D$9))</f>
        <v/>
      </c>
    </row>
    <row r="9">
      <c r="A9" s="9" t="inlineStr">
        <is>
          <t>GyanDhan</t>
        </is>
      </c>
      <c r="B9" s="9" t="inlineStr">
        <is>
          <t>Yes</t>
        </is>
      </c>
      <c r="C9" s="9">
        <f>COUNTIF('03_Helper'!P:P,1)</f>
        <v/>
      </c>
      <c r="D9" s="9">
        <f>C9</f>
        <v/>
      </c>
      <c r="E9" s="9">
        <f>COUNTIF('03_Helper'!AR:AR,1)</f>
        <v/>
      </c>
      <c r="F9" s="9">
        <f>COUNTIFS('03_Helper'!P:P,1,'03_Helper'!AU:AU,1)</f>
        <v/>
      </c>
      <c r="G9" s="9">
        <f>COUNTIFS('03_Helper'!P:P,1,'03_Helper'!AV:AV,1)</f>
        <v/>
      </c>
      <c r="H9" s="9">
        <f>COUNTIFS('03_Helper'!P:P,1,'03_Helper'!AK:AK,"Yes")</f>
        <v/>
      </c>
      <c r="I9" s="9">
        <f>COUNTIFS('03_Helper'!P:P,1,'03_Helper'!AB:AB,"Yes")</f>
        <v/>
      </c>
      <c r="J9" s="51">
        <f>IF(C9=0,0,F9/C9)</f>
        <v/>
      </c>
      <c r="K9" s="51">
        <f>IF(C9=0,0,COUNTIFS('03_Helper'!P:P,1,'03_Helper'!X:X,"Disbursed")/C9)</f>
        <v/>
      </c>
      <c r="L9" s="51">
        <f>IF(SUM($D$5:$D$9)=0,0,D9/SUM($D$5:$D$9))</f>
        <v/>
      </c>
    </row>
    <row r="10">
      <c r="A10" s="9" t="inlineStr">
        <is>
          <t>PM Vidyalakshmi</t>
        </is>
      </c>
      <c r="B10" s="9" t="inlineStr">
        <is>
          <t>Yes</t>
        </is>
      </c>
      <c r="C10" s="9">
        <f>COUNTIF('03_Helper'!AS:AS,1)</f>
        <v/>
      </c>
      <c r="D10" s="9">
        <f>C10</f>
        <v/>
      </c>
      <c r="E10" s="9">
        <f>C10</f>
        <v/>
      </c>
      <c r="F10" s="9">
        <f>COUNTIFS('03_Helper'!AS:AS,1,'03_Helper'!AU:AU,1)</f>
        <v/>
      </c>
      <c r="G10" s="9">
        <f>COUNTIFS('03_Helper'!AS:AS,1,'03_Helper'!AV:AV,1)</f>
        <v/>
      </c>
      <c r="H10" s="9">
        <f>COUNTIFS('03_Helper'!AS:AS,1,'03_Helper'!AK:AK,"Yes")</f>
        <v/>
      </c>
      <c r="I10" s="9">
        <f>COUNTIFS('03_Helper'!AS:AS,1,'03_Helper'!AB:AB,"Yes")</f>
        <v/>
      </c>
      <c r="J10" s="51">
        <f>IF(C10=0,0,F10/C10)</f>
        <v/>
      </c>
      <c r="K10" s="51">
        <f>IF(C10=0,0,COUNTIFS('03_Helper'!AS:AS,1,'03_Helper'!X:X,"Disbursed")/C10)</f>
        <v/>
      </c>
      <c r="L10" s="9" t="inlineStr">
        <is>
          <t>—</t>
        </is>
      </c>
    </row>
    <row r="11">
      <c r="A11" s="9" t="inlineStr">
        <is>
          <t>Other Bank</t>
        </is>
      </c>
      <c r="B11" s="9" t="inlineStr">
        <is>
          <t>Yes</t>
        </is>
      </c>
      <c r="C11" s="9">
        <f>COUNTIF('03_Helper'!AT:AT,1)</f>
        <v/>
      </c>
      <c r="D11" s="9">
        <f>C11</f>
        <v/>
      </c>
      <c r="E11" s="9">
        <f>C11</f>
        <v/>
      </c>
      <c r="F11" s="9">
        <f>COUNTIFS('03_Helper'!AT:AT,1,'03_Helper'!AU:AU,1)</f>
        <v/>
      </c>
      <c r="G11" s="9">
        <f>COUNTIFS('03_Helper'!AT:AT,1,'03_Helper'!AV:AV,1)</f>
        <v/>
      </c>
      <c r="H11" s="9">
        <f>COUNTIFS('03_Helper'!AT:AT,1,'03_Helper'!AK:AK,"Yes")</f>
        <v/>
      </c>
      <c r="I11" s="9">
        <f>COUNTIFS('03_Helper'!AT:AT,1,'03_Helper'!AB:AB,"Yes")</f>
        <v/>
      </c>
      <c r="J11" s="51">
        <f>IF(C11=0,0,F11/C11)</f>
        <v/>
      </c>
      <c r="K11" s="51">
        <f>IF(C11=0,0,COUNTIFS('03_Helper'!AT:AT,1,'03_Helper'!X:X,"Disbursed")/C11)</f>
        <v/>
      </c>
      <c r="L11" s="9" t="inlineStr">
        <is>
          <t>—</t>
        </is>
      </c>
    </row>
    <row r="14">
      <c r="A14" s="21" t="inlineStr">
        <is>
          <t>MULTI-VENDOR DISTRIBUTION (Unique Students)</t>
        </is>
      </c>
    </row>
    <row r="15">
      <c r="A15" s="29" t="inlineStr">
        <is>
          <t>Vendor Count</t>
        </is>
      </c>
      <c r="B15" s="29" t="inlineStr">
        <is>
          <t>Students</t>
        </is>
      </c>
      <c r="C15" s="29" t="inlineStr">
        <is>
          <t>% of Shared Students</t>
        </is>
      </c>
    </row>
    <row r="16">
      <c r="A16" s="9" t="inlineStr">
        <is>
          <t>0 Vendors</t>
        </is>
      </c>
      <c r="B16" s="9">
        <f>COUNTIF('03_Helper'!Q:Q,0)</f>
        <v/>
      </c>
      <c r="C16" s="51">
        <f>IF(COUNTA('03_Helper'!A:A)-1=0,0,B16/(COUNTA('03_Helper'!A:A)-1))</f>
        <v/>
      </c>
    </row>
    <row r="17">
      <c r="A17" s="9" t="inlineStr">
        <is>
          <t>1 Vendor</t>
        </is>
      </c>
      <c r="B17" s="9">
        <f>COUNTIF('03_Helper'!Q:Q,1)</f>
        <v/>
      </c>
      <c r="C17" s="51">
        <f>IF(COUNTA('03_Helper'!A:A)-1=0,0,B17/(COUNTA('03_Helper'!A:A)-1))</f>
        <v/>
      </c>
    </row>
    <row r="18">
      <c r="A18" s="9" t="inlineStr">
        <is>
          <t>2 Vendors</t>
        </is>
      </c>
      <c r="B18" s="9">
        <f>COUNTIF('03_Helper'!Q:Q,2)</f>
        <v/>
      </c>
      <c r="C18" s="51">
        <f>IF(COUNTA('03_Helper'!A:A)-1=0,0,B18/(COUNTA('03_Helper'!A:A)-1))</f>
        <v/>
      </c>
    </row>
    <row r="19">
      <c r="A19" s="9" t="inlineStr">
        <is>
          <t>3 Vendors</t>
        </is>
      </c>
      <c r="B19" s="9">
        <f>COUNTIF('03_Helper'!Q:Q,3)</f>
        <v/>
      </c>
      <c r="C19" s="51">
        <f>IF(COUNTA('03_Helper'!A:A)-1=0,0,B19/(COUNTA('03_Helper'!A:A)-1))</f>
        <v/>
      </c>
    </row>
    <row r="20">
      <c r="A20" s="9" t="inlineStr">
        <is>
          <t>4 Vendors</t>
        </is>
      </c>
      <c r="B20" s="9">
        <f>COUNTIF('03_Helper'!Q:Q,4)</f>
        <v/>
      </c>
      <c r="C20" s="51">
        <f>IF(COUNTA('03_Helper'!A:A)-1=0,0,B20/(COUNTA('03_Helper'!A:A)-1))</f>
        <v/>
      </c>
    </row>
    <row r="21">
      <c r="A21" s="9" t="inlineStr">
        <is>
          <t>5+ Vendors</t>
        </is>
      </c>
      <c r="B21" s="9">
        <f>COUNTIFS('03_Helper'!Q:Q,"&gt;=5")</f>
        <v/>
      </c>
      <c r="C21" s="51">
        <f>IF(COUNTA('03_Helper'!A:A)-1=0,0,B21/(COUNTA('03_Helper'!A:A)-1))</f>
        <v/>
      </c>
    </row>
    <row r="24">
      <c r="A24" s="40" t="inlineStr">
        <is>
          <t>SUMMARY</t>
        </is>
      </c>
    </row>
    <row r="25">
      <c r="A25" t="inlineStr">
        <is>
          <t>Students with ≥1 vendor</t>
        </is>
      </c>
      <c r="B25">
        <f>COUNTIFS('03_Helper'!Q:Q,"&gt;=1")</f>
        <v/>
      </c>
    </row>
    <row r="26">
      <c r="A26" t="inlineStr">
        <is>
          <t>Students with duplicate vendors (≥2)</t>
        </is>
      </c>
      <c r="B26">
        <f>COUNTIFS('03_Helper'!Q:Q,"&gt;=2")</f>
        <v/>
      </c>
    </row>
    <row r="27">
      <c r="A27" t="inlineStr">
        <is>
          <t>Total vendor applications (Shared Yes sum)</t>
        </is>
      </c>
      <c r="B27">
        <f>SUM(D5:D9)</f>
        <v/>
      </c>
    </row>
    <row r="28">
      <c r="A28" t="inlineStr">
        <is>
          <t>Avg vendors per shared student</t>
        </is>
      </c>
      <c r="B28" s="43">
        <f>IF(B25=0,0,B27/B25)</f>
        <v/>
      </c>
    </row>
    <row r="31">
      <c r="A31" s="21" t="inlineStr">
        <is>
          <t>VENDOR OVERLAP MATRIX (students shared to both)</t>
        </is>
      </c>
    </row>
    <row r="32">
      <c r="A32" s="30" t="inlineStr">
        <is>
          <t>Vendor</t>
        </is>
      </c>
      <c r="B32" s="29" t="inlineStr">
        <is>
          <t>ICICI</t>
        </is>
      </c>
      <c r="C32" s="29" t="inlineStr">
        <is>
          <t>Propelld</t>
        </is>
      </c>
      <c r="D32" s="29" t="inlineStr">
        <is>
          <t>Study4Buddy</t>
        </is>
      </c>
      <c r="E32" s="29" t="inlineStr">
        <is>
          <t>Poonawala</t>
        </is>
      </c>
      <c r="F32" s="29" t="inlineStr">
        <is>
          <t>GyanDhan</t>
        </is>
      </c>
    </row>
    <row r="33">
      <c r="A33" s="44" t="inlineStr">
        <is>
          <t>ICICI</t>
        </is>
      </c>
      <c r="B33" s="45" t="inlineStr">
        <is>
          <t>—</t>
        </is>
      </c>
      <c r="C33" s="46">
        <f>COUNTIFS('03_Helper'!L:L,1,'03_Helper'!M:M,1)</f>
        <v/>
      </c>
      <c r="D33" s="46">
        <f>COUNTIFS('03_Helper'!L:L,1,'03_Helper'!N:N,1)</f>
        <v/>
      </c>
      <c r="E33" s="46">
        <f>COUNTIFS('03_Helper'!L:L,1,'03_Helper'!O:O,1)</f>
        <v/>
      </c>
      <c r="F33" s="46">
        <f>COUNTIFS('03_Helper'!L:L,1,'03_Helper'!P:P,1)</f>
        <v/>
      </c>
    </row>
    <row r="34">
      <c r="A34" s="44" t="inlineStr">
        <is>
          <t>Propelld</t>
        </is>
      </c>
      <c r="B34" s="46">
        <f>COUNTIFS('03_Helper'!M:M,1,'03_Helper'!L:L,1)</f>
        <v/>
      </c>
      <c r="C34" s="45" t="inlineStr">
        <is>
          <t>—</t>
        </is>
      </c>
      <c r="D34" s="46">
        <f>COUNTIFS('03_Helper'!M:M,1,'03_Helper'!N:N,1)</f>
        <v/>
      </c>
      <c r="E34" s="46">
        <f>COUNTIFS('03_Helper'!M:M,1,'03_Helper'!O:O,1)</f>
        <v/>
      </c>
      <c r="F34" s="46">
        <f>COUNTIFS('03_Helper'!M:M,1,'03_Helper'!P:P,1)</f>
        <v/>
      </c>
    </row>
    <row r="35">
      <c r="A35" s="44" t="inlineStr">
        <is>
          <t>Study4Buddy</t>
        </is>
      </c>
      <c r="B35" s="46">
        <f>COUNTIFS('03_Helper'!N:N,1,'03_Helper'!L:L,1)</f>
        <v/>
      </c>
      <c r="C35" s="46">
        <f>COUNTIFS('03_Helper'!N:N,1,'03_Helper'!M:M,1)</f>
        <v/>
      </c>
      <c r="D35" s="45" t="inlineStr">
        <is>
          <t>—</t>
        </is>
      </c>
      <c r="E35" s="46">
        <f>COUNTIFS('03_Helper'!N:N,1,'03_Helper'!O:O,1)</f>
        <v/>
      </c>
      <c r="F35" s="46">
        <f>COUNTIFS('03_Helper'!N:N,1,'03_Helper'!P:P,1)</f>
        <v/>
      </c>
    </row>
    <row r="36">
      <c r="A36" s="44" t="inlineStr">
        <is>
          <t>Poonawala</t>
        </is>
      </c>
      <c r="B36" s="46">
        <f>COUNTIFS('03_Helper'!O:O,1,'03_Helper'!L:L,1)</f>
        <v/>
      </c>
      <c r="C36" s="46">
        <f>COUNTIFS('03_Helper'!O:O,1,'03_Helper'!M:M,1)</f>
        <v/>
      </c>
      <c r="D36" s="46">
        <f>COUNTIFS('03_Helper'!O:O,1,'03_Helper'!N:N,1)</f>
        <v/>
      </c>
      <c r="E36" s="45" t="inlineStr">
        <is>
          <t>—</t>
        </is>
      </c>
      <c r="F36" s="46">
        <f>COUNTIFS('03_Helper'!O:O,1,'03_Helper'!P:P,1)</f>
        <v/>
      </c>
    </row>
    <row r="37">
      <c r="A37" s="44" t="inlineStr">
        <is>
          <t>GyanDhan</t>
        </is>
      </c>
      <c r="B37" s="46">
        <f>COUNTIFS('03_Helper'!P:P,1,'03_Helper'!L:L,1)</f>
        <v/>
      </c>
      <c r="C37" s="46">
        <f>COUNTIFS('03_Helper'!P:P,1,'03_Helper'!M:M,1)</f>
        <v/>
      </c>
      <c r="D37" s="46">
        <f>COUNTIFS('03_Helper'!P:P,1,'03_Helper'!N:N,1)</f>
        <v/>
      </c>
      <c r="E37" s="46">
        <f>COUNTIFS('03_Helper'!P:P,1,'03_Helper'!O:O,1)</f>
        <v/>
      </c>
      <c r="F37" s="45" t="inlineStr">
        <is>
          <t>—</t>
        </is>
      </c>
    </row>
  </sheetData>
  <mergeCells count="2">
    <mergeCell ref="A2:L2"/>
    <mergeCell ref="A1:L1"/>
  </mergeCells>
  <conditionalFormatting sqref="B33:F37">
    <cfRule type="colorScale" priority="1">
      <colorScale>
        <cfvo type="num" val="0"/>
        <cfvo type="percentile" val="50"/>
        <cfvo type="max"/>
        <color rgb="00FFFFFF"/>
        <color rgb="00FECACA"/>
        <color rgb="00E31C24"/>
      </colorScale>
    </cfRule>
  </conditionalFormatting>
  <pageMargins left="0.75" right="0.75" top="1" bottom="1" header="0.5" footer="0.5"/>
</worksheet>
</file>

<file path=xl/worksheets/sheet7.xml><?xml version="1.0" encoding="utf-8"?>
<worksheet xmlns="http://schemas.openxmlformats.org/spreadsheetml/2006/main">
  <sheetPr>
    <tabColor rgb="00B45309"/>
    <outlinePr summaryBelow="1" summaryRight="1"/>
    <pageSetUpPr/>
  </sheetPr>
  <dimension ref="A1:F29"/>
  <sheetViews>
    <sheetView workbookViewId="0">
      <selection activeCell="A1" sqref="A1"/>
    </sheetView>
  </sheetViews>
  <sheetFormatPr baseColWidth="8" defaultRowHeight="15"/>
  <cols>
    <col width="36" customWidth="1" min="1" max="1"/>
    <col width="12" customWidth="1" min="2" max="2"/>
    <col width="22" customWidth="1" min="3" max="3"/>
    <col width="18" customWidth="1" min="4" max="4"/>
    <col width="24" customWidth="1" min="5" max="5"/>
    <col width="22" customWidth="1" min="6" max="6"/>
  </cols>
  <sheetData>
    <row r="1">
      <c r="A1" s="5" t="inlineStr">
        <is>
          <t>STAGE ANALYTICS &amp; LOAN FUNNEL</t>
        </is>
      </c>
    </row>
    <row r="2">
      <c r="A2" s="6" t="inlineStr">
        <is>
          <t>Every student has exactly one CanonicalStage (see 03_Helper). Funnel Core stages drive executive conversion.</t>
        </is>
      </c>
    </row>
    <row r="4">
      <c r="A4" s="29" t="inlineStr">
        <is>
          <t>Stage</t>
        </is>
      </c>
      <c r="B4" s="29" t="inlineStr">
        <is>
          <t>FunnelOrder</t>
        </is>
      </c>
      <c r="C4" s="29" t="inlineStr">
        <is>
          <t>Students</t>
        </is>
      </c>
      <c r="D4" s="29" t="inlineStr">
        <is>
          <t>% of Total</t>
        </is>
      </c>
      <c r="E4" s="29" t="inlineStr">
        <is>
          <t>% of Pipeline (Latest=Yes)</t>
        </is>
      </c>
      <c r="F4" s="29" t="inlineStr">
        <is>
          <t>Conversion from Prior Funnel</t>
        </is>
      </c>
    </row>
    <row r="5">
      <c r="A5" s="9" t="inlineStr">
        <is>
          <t>Need Loan</t>
        </is>
      </c>
      <c r="B5" s="9" t="n">
        <v>1</v>
      </c>
      <c r="C5" s="9">
        <f>COUNTIF('03_Helper'!X:X,A5)</f>
        <v/>
      </c>
      <c r="D5" s="51">
        <f>IF(COUNTA('03_Helper'!A:A)&lt;=1,0,C5/(COUNTA('03_Helper'!A:A)-1))</f>
        <v/>
      </c>
      <c r="E5" s="51">
        <f>IF(COUNTIF('03_Helper'!AK:AK,"Yes")=0,0,COUNTIFS('03_Helper'!X:X,A5,'03_Helper'!AK:AK,"Yes")/COUNTIF('03_Helper'!AK:AK,"Yes"))</f>
        <v/>
      </c>
      <c r="F5" s="9" t="inlineStr">
        <is>
          <t>—</t>
        </is>
      </c>
    </row>
    <row r="6">
      <c r="A6" s="9" t="inlineStr">
        <is>
          <t>Interested</t>
        </is>
      </c>
      <c r="B6" s="9" t="n">
        <v>2</v>
      </c>
      <c r="C6" s="9">
        <f>COUNTIF('03_Helper'!X:X,A6)</f>
        <v/>
      </c>
      <c r="D6" s="51">
        <f>IF(COUNTA('03_Helper'!A:A)&lt;=1,0,C6/(COUNTA('03_Helper'!A:A)-1))</f>
        <v/>
      </c>
      <c r="E6" s="51">
        <f>IF(COUNTIF('03_Helper'!AK:AK,"Yes")=0,0,COUNTIFS('03_Helper'!X:X,A6,'03_Helper'!AK:AK,"Yes")/COUNTIF('03_Helper'!AK:AK,"Yes"))</f>
        <v/>
      </c>
      <c r="F6" s="51">
        <f>IF(C5=0,"—",C6/C5)</f>
        <v/>
      </c>
    </row>
    <row r="7">
      <c r="A7" s="9" t="inlineStr">
        <is>
          <t>Loan Started</t>
        </is>
      </c>
      <c r="B7" s="9" t="n">
        <v>3</v>
      </c>
      <c r="C7" s="9">
        <f>COUNTIF('03_Helper'!X:X,A7)</f>
        <v/>
      </c>
      <c r="D7" s="51">
        <f>IF(COUNTA('03_Helper'!A:A)&lt;=1,0,C7/(COUNTA('03_Helper'!A:A)-1))</f>
        <v/>
      </c>
      <c r="E7" s="51">
        <f>IF(COUNTIF('03_Helper'!AK:AK,"Yes")=0,0,COUNTIFS('03_Helper'!X:X,A7,'03_Helper'!AK:AK,"Yes")/COUNTIF('03_Helper'!AK:AK,"Yes"))</f>
        <v/>
      </c>
      <c r="F7" s="51">
        <f>IF(C6=0,"—",C7/C6)</f>
        <v/>
      </c>
    </row>
    <row r="8">
      <c r="A8" s="9" t="inlineStr">
        <is>
          <t>Documents Pending</t>
        </is>
      </c>
      <c r="B8" s="9" t="n">
        <v>4</v>
      </c>
      <c r="C8" s="9">
        <f>COUNTIF('03_Helper'!X:X,A8)</f>
        <v/>
      </c>
      <c r="D8" s="51">
        <f>IF(COUNTA('03_Helper'!A:A)&lt;=1,0,C8/(COUNTA('03_Helper'!A:A)-1))</f>
        <v/>
      </c>
      <c r="E8" s="51">
        <f>IF(COUNTIF('03_Helper'!AK:AK,"Yes")=0,0,COUNTIFS('03_Helper'!X:X,A8,'03_Helper'!AK:AK,"Yes")/COUNTIF('03_Helper'!AK:AK,"Yes"))</f>
        <v/>
      </c>
      <c r="F8" s="51">
        <f>IF(C7=0,"—",C8/C7)</f>
        <v/>
      </c>
    </row>
    <row r="9">
      <c r="A9" s="9" t="inlineStr">
        <is>
          <t>Vendor Assigned</t>
        </is>
      </c>
      <c r="B9" s="9" t="n">
        <v>5</v>
      </c>
      <c r="C9" s="9">
        <f>COUNTIF('03_Helper'!X:X,A9)</f>
        <v/>
      </c>
      <c r="D9" s="51">
        <f>IF(COUNTA('03_Helper'!A:A)&lt;=1,0,C9/(COUNTA('03_Helper'!A:A)-1))</f>
        <v/>
      </c>
      <c r="E9" s="51">
        <f>IF(COUNTIF('03_Helper'!AK:AK,"Yes")=0,0,COUNTIFS('03_Helper'!X:X,A9,'03_Helper'!AK:AK,"Yes")/COUNTIF('03_Helper'!AK:AK,"Yes"))</f>
        <v/>
      </c>
      <c r="F9" s="51">
        <f>IF(C8=0,"—",C9/C8)</f>
        <v/>
      </c>
    </row>
    <row r="10">
      <c r="A10" s="9" t="inlineStr">
        <is>
          <t>Processing</t>
        </is>
      </c>
      <c r="B10" s="9" t="n">
        <v>6</v>
      </c>
      <c r="C10" s="9">
        <f>COUNTIF('03_Helper'!X:X,A10)</f>
        <v/>
      </c>
      <c r="D10" s="51">
        <f>IF(COUNTA('03_Helper'!A:A)&lt;=1,0,C10/(COUNTA('03_Helper'!A:A)-1))</f>
        <v/>
      </c>
      <c r="E10" s="51">
        <f>IF(COUNTIF('03_Helper'!AK:AK,"Yes")=0,0,COUNTIFS('03_Helper'!X:X,A10,'03_Helper'!AK:AK,"Yes")/COUNTIF('03_Helper'!AK:AK,"Yes"))</f>
        <v/>
      </c>
      <c r="F10" s="51">
        <f>IF(C9=0,"—",C10/C9)</f>
        <v/>
      </c>
    </row>
    <row r="11">
      <c r="A11" s="9" t="inlineStr">
        <is>
          <t>Approved</t>
        </is>
      </c>
      <c r="B11" s="9" t="n">
        <v>7</v>
      </c>
      <c r="C11" s="9">
        <f>COUNTIF('03_Helper'!X:X,A11)</f>
        <v/>
      </c>
      <c r="D11" s="51">
        <f>IF(COUNTA('03_Helper'!A:A)&lt;=1,0,C11/(COUNTA('03_Helper'!A:A)-1))</f>
        <v/>
      </c>
      <c r="E11" s="51">
        <f>IF(COUNTIF('03_Helper'!AK:AK,"Yes")=0,0,COUNTIFS('03_Helper'!X:X,A11,'03_Helper'!AK:AK,"Yes")/COUNTIF('03_Helper'!AK:AK,"Yes"))</f>
        <v/>
      </c>
      <c r="F11" s="51">
        <f>IF(C10=0,"—",C11/C10)</f>
        <v/>
      </c>
    </row>
    <row r="12">
      <c r="A12" s="9" t="inlineStr">
        <is>
          <t>Sanctioned</t>
        </is>
      </c>
      <c r="B12" s="9" t="n">
        <v>8</v>
      </c>
      <c r="C12" s="9">
        <f>COUNTIF('03_Helper'!X:X,A12)</f>
        <v/>
      </c>
      <c r="D12" s="51">
        <f>IF(COUNTA('03_Helper'!A:A)&lt;=1,0,C12/(COUNTA('03_Helper'!A:A)-1))</f>
        <v/>
      </c>
      <c r="E12" s="51">
        <f>IF(COUNTIF('03_Helper'!AK:AK,"Yes")=0,0,COUNTIFS('03_Helper'!X:X,A12,'03_Helper'!AK:AK,"Yes")/COUNTIF('03_Helper'!AK:AK,"Yes"))</f>
        <v/>
      </c>
      <c r="F12" s="51">
        <f>IF(C11=0,"—",C12/C11)</f>
        <v/>
      </c>
    </row>
    <row r="13">
      <c r="A13" s="9" t="inlineStr">
        <is>
          <t>Disbursed</t>
        </is>
      </c>
      <c r="B13" s="9" t="n">
        <v>9</v>
      </c>
      <c r="C13" s="9">
        <f>COUNTIF('03_Helper'!X:X,A13)</f>
        <v/>
      </c>
      <c r="D13" s="51">
        <f>IF(COUNTA('03_Helper'!A:A)&lt;=1,0,C13/(COUNTA('03_Helper'!A:A)-1))</f>
        <v/>
      </c>
      <c r="E13" s="51">
        <f>IF(COUNTIF('03_Helper'!AK:AK,"Yes")=0,0,COUNTIFS('03_Helper'!X:X,A13,'03_Helper'!AK:AK,"Yes")/COUNTIF('03_Helper'!AK:AK,"Yes"))</f>
        <v/>
      </c>
      <c r="F13" s="51">
        <f>IF(C12=0,"—",C13/C12)</f>
        <v/>
      </c>
    </row>
    <row r="14">
      <c r="A14" s="9" t="inlineStr">
        <is>
          <t>Completed</t>
        </is>
      </c>
      <c r="B14" s="9" t="n">
        <v>10</v>
      </c>
      <c r="C14" s="9">
        <f>COUNTIF('03_Helper'!X:X,A14)</f>
        <v/>
      </c>
      <c r="D14" s="51">
        <f>IF(COUNTA('03_Helper'!A:A)&lt;=1,0,C14/(COUNTA('03_Helper'!A:A)-1))</f>
        <v/>
      </c>
      <c r="E14" s="51">
        <f>IF(COUNTIF('03_Helper'!AK:AK,"Yes")=0,0,COUNTIFS('03_Helper'!X:X,A14,'03_Helper'!AK:AK,"Yes")/COUNTIF('03_Helper'!AK:AK,"Yes"))</f>
        <v/>
      </c>
      <c r="F14" s="51">
        <f>IF(C13=0,"—",C14/C13)</f>
        <v/>
      </c>
    </row>
    <row r="15">
      <c r="A15" s="9" t="inlineStr">
        <is>
          <t>Rejected</t>
        </is>
      </c>
      <c r="B15" s="9" t="n">
        <v>90</v>
      </c>
      <c r="C15" s="9">
        <f>COUNTIF('03_Helper'!X:X,A15)</f>
        <v/>
      </c>
      <c r="D15" s="51">
        <f>IF(COUNTA('03_Helper'!A:A)&lt;=1,0,C15/(COUNTA('03_Helper'!A:A)-1))</f>
        <v/>
      </c>
      <c r="E15" s="51">
        <f>IF(COUNTIF('03_Helper'!AK:AK,"Yes")=0,0,COUNTIFS('03_Helper'!X:X,A15,'03_Helper'!AK:AK,"Yes")/COUNTIF('03_Helper'!AK:AK,"Yes"))</f>
        <v/>
      </c>
      <c r="F15" s="51">
        <f>IF(C14=0,"—",C15/C14)</f>
        <v/>
      </c>
    </row>
    <row r="16">
      <c r="A16" s="9" t="inlineStr">
        <is>
          <t>Refund</t>
        </is>
      </c>
      <c r="B16" s="9" t="n">
        <v>91</v>
      </c>
      <c r="C16" s="9">
        <f>COUNTIF('03_Helper'!X:X,A16)</f>
        <v/>
      </c>
      <c r="D16" s="51">
        <f>IF(COUNTA('03_Helper'!A:A)&lt;=1,0,C16/(COUNTA('03_Helper'!A:A)-1))</f>
        <v/>
      </c>
      <c r="E16" s="51">
        <f>IF(COUNTIF('03_Helper'!AK:AK,"Yes")=0,0,COUNTIFS('03_Helper'!X:X,A16,'03_Helper'!AK:AK,"Yes")/COUNTIF('03_Helper'!AK:AK,"Yes"))</f>
        <v/>
      </c>
      <c r="F16" s="51">
        <f>IF(C15=0,"—",C16/C15)</f>
        <v/>
      </c>
    </row>
    <row r="17">
      <c r="A17" s="9" t="inlineStr">
        <is>
          <t>DNP</t>
        </is>
      </c>
      <c r="B17" s="9" t="n">
        <v>92</v>
      </c>
      <c r="C17" s="9">
        <f>COUNTIF('03_Helper'!X:X,A17)</f>
        <v/>
      </c>
      <c r="D17" s="51">
        <f>IF(COUNTA('03_Helper'!A:A)&lt;=1,0,C17/(COUNTA('03_Helper'!A:A)-1))</f>
        <v/>
      </c>
      <c r="E17" s="51">
        <f>IF(COUNTIF('03_Helper'!AK:AK,"Yes")=0,0,COUNTIFS('03_Helper'!X:X,A17,'03_Helper'!AK:AK,"Yes")/COUNTIF('03_Helper'!AK:AK,"Yes"))</f>
        <v/>
      </c>
      <c r="F17" s="51">
        <f>IF(C16=0,"—",C17/C16)</f>
        <v/>
      </c>
    </row>
    <row r="18">
      <c r="A18" s="9" t="inlineStr">
        <is>
          <t>Not Required</t>
        </is>
      </c>
      <c r="B18" s="9" t="n">
        <v>93</v>
      </c>
      <c r="C18" s="9">
        <f>COUNTIF('03_Helper'!X:X,A18)</f>
        <v/>
      </c>
      <c r="D18" s="51">
        <f>IF(COUNTA('03_Helper'!A:A)&lt;=1,0,C18/(COUNTA('03_Helper'!A:A)-1))</f>
        <v/>
      </c>
      <c r="E18" s="51">
        <f>IF(COUNTIF('03_Helper'!AK:AK,"Yes")=0,0,COUNTIFS('03_Helper'!X:X,A18,'03_Helper'!AK:AK,"Yes")/COUNTIF('03_Helper'!AK:AK,"Yes"))</f>
        <v/>
      </c>
      <c r="F18" s="51">
        <f>IF(C17=0,"—",C18/C17)</f>
        <v/>
      </c>
    </row>
    <row r="19">
      <c r="A19" s="9" t="inlineStr">
        <is>
          <t>Unclassified</t>
        </is>
      </c>
      <c r="B19" s="9" t="n">
        <v>99</v>
      </c>
      <c r="C19" s="9">
        <f>COUNTIF('03_Helper'!X:X,A19)</f>
        <v/>
      </c>
      <c r="D19" s="51">
        <f>IF(COUNTA('03_Helper'!A:A)&lt;=1,0,C19/(COUNTA('03_Helper'!A:A)-1))</f>
        <v/>
      </c>
      <c r="E19" s="51">
        <f>IF(COUNTIF('03_Helper'!AK:AK,"Yes")=0,0,COUNTIFS('03_Helper'!X:X,A19,'03_Helper'!AK:AK,"Yes")/COUNTIF('03_Helper'!AK:AK,"Yes"))</f>
        <v/>
      </c>
      <c r="F19" s="51">
        <f>IF(C18=0,"—",C19/C18)</f>
        <v/>
      </c>
    </row>
    <row r="22">
      <c r="A22" s="21" t="inlineStr">
        <is>
          <t>EXECUTIVE FUNNEL (Core)</t>
        </is>
      </c>
    </row>
    <row r="23">
      <c r="A23" s="29" t="inlineStr">
        <is>
          <t>Funnel Stage</t>
        </is>
      </c>
      <c r="B23" s="29" t="inlineStr">
        <is>
          <t>Count</t>
        </is>
      </c>
      <c r="C23" s="29" t="inlineStr">
        <is>
          <t>Conversion vs Need Loan</t>
        </is>
      </c>
      <c r="D23" s="29" t="inlineStr">
        <is>
          <t>Step Conversion</t>
        </is>
      </c>
    </row>
    <row r="24">
      <c r="A24" s="2" t="inlineStr">
        <is>
          <t>Need Loan (Latest=Yes)</t>
        </is>
      </c>
      <c r="B24" s="2">
        <f>COUNTIF('03_Helper'!AK:AK,"Yes")</f>
        <v/>
      </c>
      <c r="C24" s="2" t="inlineStr">
        <is>
          <t>100%</t>
        </is>
      </c>
      <c r="D24" s="2" t="inlineStr">
        <is>
          <t>—</t>
        </is>
      </c>
    </row>
    <row r="25">
      <c r="A25" s="2" t="inlineStr">
        <is>
          <t>Not Started</t>
        </is>
      </c>
      <c r="B25" s="2">
        <f>COUNTIFS('03_Helper'!AK:AK,"Yes",'03_Helper'!X:X,"Need Loan")+COUNTIFS('03_Helper'!AK:AK,"Yes",'03_Helper'!X:X,"Vendor Assigned")</f>
        <v/>
      </c>
      <c r="C25" s="52">
        <f>IF(B24=0,0,B25/B24)</f>
        <v/>
      </c>
      <c r="D25" s="2" t="inlineStr">
        <is>
          <t>—</t>
        </is>
      </c>
    </row>
    <row r="26">
      <c r="A26" s="2" t="inlineStr">
        <is>
          <t>Processing</t>
        </is>
      </c>
      <c r="B26" s="2">
        <f>COUNTIFS('03_Helper'!AK:AK,"Yes",'03_Helper'!X:X,"Processing")+COUNTIFS('03_Helper'!AK:AK,"Yes",'03_Helper'!X:X,"Documents Pending")</f>
        <v/>
      </c>
      <c r="C26" s="52">
        <f>IF(B24=0,0,B26/B24)</f>
        <v/>
      </c>
      <c r="D26" s="52">
        <f>IF(B25=0,0,B26/B25)</f>
        <v/>
      </c>
    </row>
    <row r="27">
      <c r="A27" s="2" t="inlineStr">
        <is>
          <t>Sanctioned / Approved</t>
        </is>
      </c>
      <c r="B27" s="2">
        <f>COUNTIFS('03_Helper'!AK:AK,"Yes",'03_Helper'!X:X,"Sanctioned")+COUNTIFS('03_Helper'!AK:AK,"Yes",'03_Helper'!X:X,"Approved")</f>
        <v/>
      </c>
      <c r="C27" s="52">
        <f>IF(B24=0,0,B27/B24)</f>
        <v/>
      </c>
      <c r="D27" s="52">
        <f>IF(B26=0,0,B27/B26)</f>
        <v/>
      </c>
    </row>
    <row r="28">
      <c r="A28" s="2" t="inlineStr">
        <is>
          <t>Disbursed</t>
        </is>
      </c>
      <c r="B28" s="2">
        <f>COUNTIFS('03_Helper'!AK:AK,"Yes",'03_Helper'!X:X,"Disbursed")</f>
        <v/>
      </c>
      <c r="C28" s="52">
        <f>IF(B24=0,0,B28/B24)</f>
        <v/>
      </c>
      <c r="D28" s="52">
        <f>IF(B27=0,0,B28/B27)</f>
        <v/>
      </c>
    </row>
    <row r="29">
      <c r="A29" s="2" t="inlineStr">
        <is>
          <t>Rejected</t>
        </is>
      </c>
      <c r="B29" s="2">
        <f>COUNTIFS('03_Helper'!AK:AK,"Yes",'03_Helper'!X:X,"Rejected")</f>
        <v/>
      </c>
      <c r="C29" s="52">
        <f>IF(B24=0,0,B29/B24)</f>
        <v/>
      </c>
      <c r="D29" s="2" t="n"/>
    </row>
  </sheetData>
  <pageMargins left="0.75" right="0.75" top="1" bottom="1" header="0.5" footer="0.5"/>
</worksheet>
</file>

<file path=xl/worksheets/sheet8.xml><?xml version="1.0" encoding="utf-8"?>
<worksheet xmlns="http://schemas.openxmlformats.org/spreadsheetml/2006/main">
  <sheetPr>
    <tabColor rgb="00E31C24"/>
    <outlinePr summaryBelow="1" summaryRight="1"/>
    <pageSetUpPr/>
  </sheetPr>
  <dimension ref="A1:D39"/>
  <sheetViews>
    <sheetView workbookViewId="0">
      <selection activeCell="A1" sqref="A1"/>
    </sheetView>
  </sheetViews>
  <sheetFormatPr baseColWidth="8" defaultRowHeight="15"/>
  <cols>
    <col width="32" customWidth="1" min="1" max="1"/>
    <col width="12" customWidth="1" min="2" max="2"/>
    <col width="14" customWidth="1" min="3" max="3"/>
    <col width="16" customWidth="1" min="4" max="4"/>
  </cols>
  <sheetData>
    <row r="1">
      <c r="A1" s="5" t="inlineStr">
        <is>
          <t>RISK &amp; ATTENTION ANALYTICS</t>
        </is>
      </c>
    </row>
    <row r="3">
      <c r="A3" s="29" t="inlineStr">
        <is>
          <t>Risk Flag</t>
        </is>
      </c>
      <c r="B3" s="29" t="inlineStr">
        <is>
          <t>Count</t>
        </is>
      </c>
      <c r="C3" s="29" t="inlineStr">
        <is>
          <t>% of Pipeline</t>
        </is>
      </c>
      <c r="D3" s="29" t="inlineStr">
        <is>
          <t>% of All Students</t>
        </is>
      </c>
    </row>
    <row r="4">
      <c r="A4" s="9" t="inlineStr">
        <is>
          <t>Need FLDG</t>
        </is>
      </c>
      <c r="B4" s="9">
        <f>COUNTIF('03_Helper'!AC:AC,"Yes")</f>
        <v/>
      </c>
      <c r="C4" s="51">
        <f>IF(COUNTIF('03_Helper'!AK:AK,"Yes")=0,0,B4/COUNTIF('03_Helper'!AK:AK,"Yes"))</f>
        <v/>
      </c>
      <c r="D4" s="51">
        <f>IF(COUNTA('03_Helper'!A:A)&lt;=1,0,B4/(COUNTA('03_Helper'!A:A)-1))</f>
        <v/>
      </c>
    </row>
    <row r="5">
      <c r="A5" s="9" t="inlineStr">
        <is>
          <t>Need Vidyalakshmi</t>
        </is>
      </c>
      <c r="B5" s="9">
        <f>COUNTIF('03_Helper'!AD:AD,"Yes")</f>
        <v/>
      </c>
      <c r="C5" s="51">
        <f>IF(COUNTIF('03_Helper'!AK:AK,"Yes")=0,0,B5/COUNTIF('03_Helper'!AK:AK,"Yes"))</f>
        <v/>
      </c>
      <c r="D5" s="51">
        <f>IF(COUNTA('03_Helper'!A:A)&lt;=1,0,B5/(COUNTA('03_Helper'!A:A)-1))</f>
        <v/>
      </c>
    </row>
    <row r="6">
      <c r="A6" s="9" t="inlineStr">
        <is>
          <t>Need Vishwa Review</t>
        </is>
      </c>
      <c r="B6" s="9">
        <f>COUNTIF('03_Helper'!AE:AE,"Yes")</f>
        <v/>
      </c>
      <c r="C6" s="51">
        <f>IF(COUNTIF('03_Helper'!AK:AK,"Yes")=0,0,B6/COUNTIF('03_Helper'!AK:AK,"Yes"))</f>
        <v/>
      </c>
      <c r="D6" s="51">
        <f>IF(COUNTA('03_Helper'!A:A)&lt;=1,0,B6/(COUNTA('03_Helper'!A:A)-1))</f>
        <v/>
      </c>
    </row>
    <row r="7">
      <c r="A7" s="9" t="inlineStr">
        <is>
          <t>Critical Flag</t>
        </is>
      </c>
      <c r="B7" s="9">
        <f>COUNTIF('03_Helper'!AB:AB,"Yes")</f>
        <v/>
      </c>
      <c r="C7" s="51">
        <f>IF(COUNTIF('03_Helper'!AK:AK,"Yes")=0,0,B7/COUNTIF('03_Helper'!AK:AK,"Yes"))</f>
        <v/>
      </c>
      <c r="D7" s="51">
        <f>IF(COUNTA('03_Helper'!A:A)&lt;=1,0,B7/(COUNTA('03_Helper'!A:A)-1))</f>
        <v/>
      </c>
    </row>
    <row r="8">
      <c r="A8" s="9" t="inlineStr">
        <is>
          <t>Risk Case Status</t>
        </is>
      </c>
      <c r="B8" s="9">
        <f>COUNTIF('03_Helper'!U:U,"Risk")</f>
        <v/>
      </c>
      <c r="C8" s="51">
        <f>IF(COUNTIF('03_Helper'!AK:AK,"Yes")=0,0,B8/COUNTIF('03_Helper'!AK:AK,"Yes"))</f>
        <v/>
      </c>
      <c r="D8" s="51">
        <f>IF(COUNTA('03_Helper'!A:A)&lt;=1,0,B8/(COUNTA('03_Helper'!A:A)-1))</f>
        <v/>
      </c>
    </row>
    <row r="9">
      <c r="A9" s="9" t="inlineStr">
        <is>
          <t>Refund</t>
        </is>
      </c>
      <c r="B9" s="9">
        <f>COUNTIF('03_Helper'!X:X,"Refund")</f>
        <v/>
      </c>
      <c r="C9" s="51">
        <f>IF(COUNTIF('03_Helper'!AK:AK,"Yes")=0,0,B9/COUNTIF('03_Helper'!AK:AK,"Yes"))</f>
        <v/>
      </c>
      <c r="D9" s="51">
        <f>IF(COUNTA('03_Helper'!A:A)&lt;=1,0,B9/(COUNTA('03_Helper'!A:A)-1))</f>
        <v/>
      </c>
    </row>
    <row r="10">
      <c r="A10" s="9" t="inlineStr">
        <is>
          <t>DNP / Unreachable</t>
        </is>
      </c>
      <c r="B10" s="9">
        <f>COUNTIF('03_Helper'!X:X,"DNP")</f>
        <v/>
      </c>
      <c r="C10" s="51">
        <f>IF(COUNTIF('03_Helper'!AK:AK,"Yes")=0,0,B10/COUNTIF('03_Helper'!AK:AK,"Yes"))</f>
        <v/>
      </c>
      <c r="D10" s="51">
        <f>IF(COUNTA('03_Helper'!A:A)&lt;=1,0,B10/(COUNTA('03_Helper'!A:A)-1))</f>
        <v/>
      </c>
    </row>
    <row r="11">
      <c r="A11" s="9" t="inlineStr">
        <is>
          <t>Rejected</t>
        </is>
      </c>
      <c r="B11" s="9">
        <f>COUNTIF('03_Helper'!X:X,"Rejected")</f>
        <v/>
      </c>
      <c r="C11" s="51">
        <f>IF(COUNTIF('03_Helper'!AK:AK,"Yes")=0,0,B11/COUNTIF('03_Helper'!AK:AK,"Yes"))</f>
        <v/>
      </c>
      <c r="D11" s="51">
        <f>IF(COUNTA('03_Helper'!A:A)&lt;=1,0,B11/(COUNTA('03_Helper'!A:A)-1))</f>
        <v/>
      </c>
    </row>
    <row r="12">
      <c r="A12" s="9" t="inlineStr">
        <is>
          <t>Documents Pending</t>
        </is>
      </c>
      <c r="B12" s="9">
        <f>COUNTIF('03_Helper'!X:X,"Documents Pending")</f>
        <v/>
      </c>
      <c r="C12" s="51">
        <f>IF(COUNTIF('03_Helper'!AK:AK,"Yes")=0,0,B12/COUNTIF('03_Helper'!AK:AK,"Yes"))</f>
        <v/>
      </c>
      <c r="D12" s="51">
        <f>IF(COUNTA('03_Helper'!A:A)&lt;=1,0,B12/(COUNTA('03_Helper'!A:A)-1))</f>
        <v/>
      </c>
    </row>
    <row r="13">
      <c r="A13" s="9" t="inlineStr">
        <is>
          <t>Duplicate Vendor Cases</t>
        </is>
      </c>
      <c r="B13" s="9">
        <f>COUNTIF('03_Helper'!R:R,"Yes")</f>
        <v/>
      </c>
      <c r="C13" s="51">
        <f>IF(COUNTIF('03_Helper'!AK:AK,"Yes")=0,0,B13/COUNTIF('03_Helper'!AK:AK,"Yes"))</f>
        <v/>
      </c>
      <c r="D13" s="51">
        <f>IF(COUNTA('03_Helper'!A:A)&lt;=1,0,B13/(COUNTA('03_Helper'!A:A)-1))</f>
        <v/>
      </c>
    </row>
    <row r="14">
      <c r="A14" s="9" t="inlineStr">
        <is>
          <t>Not Started (Pipeline)</t>
        </is>
      </c>
      <c r="B14" s="9">
        <f>COUNTIFS('03_Helper'!AK:AK,"Yes",'03_Helper'!X:X,"Need Loan")</f>
        <v/>
      </c>
      <c r="C14" s="51">
        <f>IF(COUNTIF('03_Helper'!AK:AK,"Yes")=0,0,B14/COUNTIF('03_Helper'!AK:AK,"Yes"))</f>
        <v/>
      </c>
      <c r="D14" s="51">
        <f>IF(COUNTA('03_Helper'!A:A)&lt;=1,0,B14/(COUNTA('03_Helper'!A:A)-1))</f>
        <v/>
      </c>
    </row>
    <row r="17">
      <c r="A17" s="21" t="inlineStr">
        <is>
          <t>REASON ANALYSIS (Not Started)</t>
        </is>
      </c>
    </row>
    <row r="18">
      <c r="A18" s="29" t="inlineStr">
        <is>
          <t>Reason Bucket</t>
        </is>
      </c>
      <c r="B18" s="29" t="inlineStr">
        <is>
          <t>Count</t>
        </is>
      </c>
    </row>
    <row r="19">
      <c r="A19" s="9" t="inlineStr">
        <is>
          <t>Unreachable / DNP</t>
        </is>
      </c>
      <c r="B19" s="9">
        <f>COUNTIF('03_Helper'!AG:AG,A19)</f>
        <v/>
      </c>
    </row>
    <row r="20">
      <c r="A20" s="9" t="inlineStr">
        <is>
          <t>High Interest / Terms</t>
        </is>
      </c>
      <c r="B20" s="9">
        <f>COUNTIF('03_Helper'!AG:AG,A20)</f>
        <v/>
      </c>
    </row>
    <row r="21">
      <c r="A21" s="9" t="inlineStr">
        <is>
          <t>Eligibility / Income</t>
        </is>
      </c>
      <c r="B21" s="9">
        <f>COUNTIF('03_Helper'!AG:AG,A21)</f>
        <v/>
      </c>
    </row>
    <row r="22">
      <c r="A22" s="9" t="inlineStr">
        <is>
          <t>Process Yet to Start</t>
        </is>
      </c>
      <c r="B22" s="9">
        <f>COUNTIF('03_Helper'!AG:AG,A22)</f>
        <v/>
      </c>
    </row>
    <row r="23">
      <c r="A23" s="9" t="inlineStr">
        <is>
          <t>Undecided</t>
        </is>
      </c>
      <c r="B23" s="9">
        <f>COUNTIF('03_Helper'!AG:AG,A23)</f>
        <v/>
      </c>
    </row>
    <row r="24">
      <c r="A24" s="9" t="inlineStr">
        <is>
          <t>Rejected Elsewhere</t>
        </is>
      </c>
      <c r="B24" s="9">
        <f>COUNTIF('03_Helper'!AG:AG,A24)</f>
        <v/>
      </c>
    </row>
    <row r="25">
      <c r="A25" s="9" t="inlineStr">
        <is>
          <t>Bank Communication</t>
        </is>
      </c>
      <c r="B25" s="9">
        <f>COUNTIF('03_Helper'!AG:AG,A25)</f>
        <v/>
      </c>
    </row>
    <row r="26">
      <c r="A26" s="9" t="inlineStr">
        <is>
          <t>Family / Dependency</t>
        </is>
      </c>
      <c r="B26" s="9">
        <f>COUNTIF('03_Helper'!AG:AG,A26)</f>
        <v/>
      </c>
    </row>
    <row r="27">
      <c r="A27" s="9" t="inlineStr">
        <is>
          <t>Other</t>
        </is>
      </c>
      <c r="B27" s="9">
        <f>COUNTIF('03_Helper'!AG:AG,A27)</f>
        <v/>
      </c>
    </row>
    <row r="28">
      <c r="A28" s="9" t="inlineStr">
        <is>
          <t>—</t>
        </is>
      </c>
      <c r="B28" s="9">
        <f>COUNTIF('03_Helper'!AG:AG,A28)</f>
        <v/>
      </c>
    </row>
    <row r="32">
      <c r="A32" s="40" t="inlineStr">
        <is>
          <t>AGEING DISTRIBUTION (students with Tentative Date)</t>
        </is>
      </c>
    </row>
    <row r="33">
      <c r="A33" s="29" t="inlineStr">
        <is>
          <t>Ageing Bucket</t>
        </is>
      </c>
      <c r="B33" s="29" t="inlineStr">
        <is>
          <t>Count</t>
        </is>
      </c>
    </row>
    <row r="34">
      <c r="A34" s="9" t="inlineStr">
        <is>
          <t>0–3 Days</t>
        </is>
      </c>
      <c r="B34" s="9">
        <f>COUNTIF('03_Helper'!AJ:AJ,A34)</f>
        <v/>
      </c>
    </row>
    <row r="35">
      <c r="A35" s="9" t="inlineStr">
        <is>
          <t>4–7 Days</t>
        </is>
      </c>
      <c r="B35" s="9">
        <f>COUNTIF('03_Helper'!AJ:AJ,A35)</f>
        <v/>
      </c>
    </row>
    <row r="36">
      <c r="A36" s="9" t="inlineStr">
        <is>
          <t>8–15 Days</t>
        </is>
      </c>
      <c r="B36" s="9">
        <f>COUNTIF('03_Helper'!AJ:AJ,A36)</f>
        <v/>
      </c>
    </row>
    <row r="37">
      <c r="A37" s="9" t="inlineStr">
        <is>
          <t>16–30 Days</t>
        </is>
      </c>
      <c r="B37" s="9">
        <f>COUNTIF('03_Helper'!AJ:AJ,A37)</f>
        <v/>
      </c>
    </row>
    <row r="38">
      <c r="A38" s="9" t="inlineStr">
        <is>
          <t>30+ Days</t>
        </is>
      </c>
      <c r="B38" s="9">
        <f>COUNTIF('03_Helper'!AJ:AJ,A38)</f>
        <v/>
      </c>
    </row>
    <row r="39">
      <c r="A39" s="9" t="inlineStr">
        <is>
          <t>Unknown</t>
        </is>
      </c>
      <c r="B39" s="9">
        <f>COUNTIF('03_Helper'!AJ:AJ,A39)</f>
        <v/>
      </c>
    </row>
  </sheetData>
  <pageMargins left="0.75" right="0.75" top="1" bottom="1" header="0.5" footer="0.5"/>
</worksheet>
</file>

<file path=xl/worksheets/sheet9.xml><?xml version="1.0" encoding="utf-8"?>
<worksheet xmlns="http://schemas.openxmlformats.org/spreadsheetml/2006/main">
  <sheetPr>
    <tabColor rgb="00333333"/>
    <outlinePr summaryBelow="1" summaryRight="1"/>
    <pageSetUpPr/>
  </sheetPr>
  <dimension ref="A1:O73"/>
  <sheetViews>
    <sheetView workbookViewId="0">
      <selection activeCell="A1" sqref="A1"/>
    </sheetView>
  </sheetViews>
  <sheetFormatPr baseColWidth="8" defaultRowHeight="15"/>
  <cols>
    <col width="32" customWidth="1" min="1" max="1"/>
    <col width="14" customWidth="1" min="2" max="2"/>
    <col width="16" customWidth="1" min="4" max="4"/>
    <col width="12" customWidth="1" min="8" max="8"/>
  </cols>
  <sheetData>
    <row r="1">
      <c r="A1" s="6" t="inlineStr">
        <is>
          <t>DASHBOARD DATA TABLES — Do not format for presentation. Dashboard reads from here.</t>
        </is>
      </c>
    </row>
    <row r="3">
      <c r="A3" s="40" t="inlineStr">
        <is>
          <t>ACTIVE FILTERS</t>
        </is>
      </c>
    </row>
    <row r="4">
      <c r="A4" t="inlineStr">
        <is>
          <t>Campus</t>
        </is>
      </c>
      <c r="B4" t="inlineStr">
        <is>
          <t>(All)</t>
        </is>
      </c>
    </row>
    <row r="5">
      <c r="A5" t="inlineStr">
        <is>
          <t>Vendor</t>
        </is>
      </c>
      <c r="B5" t="inlineStr">
        <is>
          <t>(All)</t>
        </is>
      </c>
    </row>
    <row r="6">
      <c r="A6" t="inlineStr">
        <is>
          <t>Stage</t>
        </is>
      </c>
      <c r="B6" t="inlineStr">
        <is>
          <t>(All)</t>
        </is>
      </c>
    </row>
    <row r="7">
      <c r="A7" t="inlineStr">
        <is>
          <t>Critical</t>
        </is>
      </c>
      <c r="B7" t="inlineStr">
        <is>
          <t>(All)</t>
        </is>
      </c>
    </row>
    <row r="8">
      <c r="A8" t="inlineStr">
        <is>
          <t>LoanRequired</t>
        </is>
      </c>
      <c r="B8" t="inlineStr">
        <is>
          <t>(All)</t>
        </is>
      </c>
    </row>
    <row r="9">
      <c r="A9" t="inlineStr">
        <is>
          <t>DuplicateVendor</t>
        </is>
      </c>
      <c r="B9" t="inlineStr">
        <is>
          <t>(All)</t>
        </is>
      </c>
    </row>
    <row r="11">
      <c r="A11" s="21" t="inlineStr">
        <is>
          <t>EXECUTIVE KPIs</t>
        </is>
      </c>
      <c r="D11" s="40" t="inlineStr">
        <is>
          <t>FUNNEL</t>
        </is>
      </c>
      <c r="H11" s="40" t="inlineStr">
        <is>
          <t>CAMPUS DASHBOARD</t>
        </is>
      </c>
    </row>
    <row r="12">
      <c r="A12" s="30" t="inlineStr">
        <is>
          <t>KPI</t>
        </is>
      </c>
      <c r="B12" s="30" t="inlineStr">
        <is>
          <t>Value</t>
        </is>
      </c>
      <c r="D12" s="29" t="inlineStr">
        <is>
          <t>Stage</t>
        </is>
      </c>
      <c r="E12" s="29" t="inlineStr">
        <is>
          <t>Count</t>
        </is>
      </c>
      <c r="F12" s="29" t="inlineStr">
        <is>
          <t>Conv%</t>
        </is>
      </c>
      <c r="H12" s="29" t="inlineStr">
        <is>
          <t>Campus</t>
        </is>
      </c>
      <c r="I12" s="29" t="inlineStr">
        <is>
          <t>Total</t>
        </is>
      </c>
      <c r="J12" s="29" t="inlineStr">
        <is>
          <t>Need Loan</t>
        </is>
      </c>
      <c r="K12" s="29" t="inlineStr">
        <is>
          <t>Processing</t>
        </is>
      </c>
      <c r="L12" s="29" t="inlineStr">
        <is>
          <t>Sanctioned</t>
        </is>
      </c>
      <c r="M12" s="29" t="inlineStr">
        <is>
          <t>Disbursed</t>
        </is>
      </c>
      <c r="N12" s="29" t="inlineStr">
        <is>
          <t>Rejected</t>
        </is>
      </c>
      <c r="O12" s="29" t="inlineStr">
        <is>
          <t>Critical</t>
        </is>
      </c>
    </row>
    <row r="13">
      <c r="A13" s="9" t="inlineStr">
        <is>
          <t>Total Students</t>
        </is>
      </c>
      <c r="B13" s="48">
        <f>COUNTA('03_Helper'!A:A)-1</f>
        <v/>
      </c>
      <c r="D13" s="9" t="inlineStr">
        <is>
          <t>Need Loan</t>
        </is>
      </c>
      <c r="E13" s="9">
        <f>'06_Stage_Analytics'!B24</f>
        <v/>
      </c>
      <c r="F13" s="51" t="n">
        <v>1</v>
      </c>
      <c r="H13" s="9" t="inlineStr">
        <is>
          <t>SSAHE</t>
        </is>
      </c>
      <c r="I13" s="9">
        <f>COUNTIF('03_Helper'!G:G,H13)</f>
        <v/>
      </c>
      <c r="J13" s="9">
        <f>COUNTIFS('03_Helper'!G:G,H13,'03_Helper'!AK:AK,"Yes")</f>
        <v/>
      </c>
      <c r="K13" s="9">
        <f>COUNTIFS('03_Helper'!G:G,H13,'03_Helper'!X:X,"Processing")</f>
        <v/>
      </c>
      <c r="L13" s="9">
        <f>COUNTIFS('03_Helper'!G:G,H13,'03_Helper'!X:X,"Sanctioned")</f>
        <v/>
      </c>
      <c r="M13" s="9">
        <f>COUNTIFS('03_Helper'!G:G,H13,'03_Helper'!X:X,"Disbursed")</f>
        <v/>
      </c>
      <c r="N13" s="9">
        <f>COUNTIFS('03_Helper'!G:G,H13,'03_Helper'!X:X,"Rejected")</f>
        <v/>
      </c>
      <c r="O13" s="9">
        <f>COUNTIFS('03_Helper'!G:G,H13,'03_Helper'!AB:AB,"Yes")</f>
        <v/>
      </c>
    </row>
    <row r="14">
      <c r="A14" s="9" t="inlineStr">
        <is>
          <t>Need Loan (Latest=Yes)</t>
        </is>
      </c>
      <c r="B14" s="48">
        <f>COUNTIF('03_Helper'!AK:AK,"Yes")</f>
        <v/>
      </c>
      <c r="D14" s="9" t="inlineStr">
        <is>
          <t>Not Started</t>
        </is>
      </c>
      <c r="E14" s="9">
        <f>'06_Stage_Analytics'!B25</f>
        <v/>
      </c>
      <c r="F14" s="51">
        <f>IF($E$13=0,0,E14/$E$13)</f>
        <v/>
      </c>
      <c r="H14" s="9" t="inlineStr">
        <is>
          <t>ADYPU</t>
        </is>
      </c>
      <c r="I14" s="9">
        <f>COUNTIF('03_Helper'!G:G,H14)</f>
        <v/>
      </c>
      <c r="J14" s="9">
        <f>COUNTIFS('03_Helper'!G:G,H14,'03_Helper'!AK:AK,"Yes")</f>
        <v/>
      </c>
      <c r="K14" s="9">
        <f>COUNTIFS('03_Helper'!G:G,H14,'03_Helper'!X:X,"Processing")</f>
        <v/>
      </c>
      <c r="L14" s="9">
        <f>COUNTIFS('03_Helper'!G:G,H14,'03_Helper'!X:X,"Sanctioned")</f>
        <v/>
      </c>
      <c r="M14" s="9">
        <f>COUNTIFS('03_Helper'!G:G,H14,'03_Helper'!X:X,"Disbursed")</f>
        <v/>
      </c>
      <c r="N14" s="9">
        <f>COUNTIFS('03_Helper'!G:G,H14,'03_Helper'!X:X,"Rejected")</f>
        <v/>
      </c>
      <c r="O14" s="9">
        <f>COUNTIFS('03_Helper'!G:G,H14,'03_Helper'!AB:AB,"Yes")</f>
        <v/>
      </c>
    </row>
    <row r="15">
      <c r="A15" s="9" t="inlineStr">
        <is>
          <t>Loan Started / In Motion</t>
        </is>
      </c>
      <c r="B15" s="48">
        <f>COUNTIFS('03_Helper'!AK:AK,"Yes",'03_Helper'!X:X,"&lt;&gt;Need Loan")-COUNTIFS('03_Helper'!AK:AK,"Yes",'03_Helper'!X:X,"Not Required")</f>
        <v/>
      </c>
      <c r="D15" s="9" t="inlineStr">
        <is>
          <t>Processing</t>
        </is>
      </c>
      <c r="E15" s="9">
        <f>'06_Stage_Analytics'!B26</f>
        <v/>
      </c>
      <c r="F15" s="51">
        <f>IF($E$13=0,0,E15/$E$13)</f>
        <v/>
      </c>
    </row>
    <row r="16">
      <c r="A16" s="9" t="inlineStr">
        <is>
          <t>Processing</t>
        </is>
      </c>
      <c r="B16" s="48">
        <f>COUNTIF('03_Helper'!X:X,"Processing")</f>
        <v/>
      </c>
      <c r="D16" s="9" t="inlineStr">
        <is>
          <t>Sanctioned</t>
        </is>
      </c>
      <c r="E16" s="9">
        <f>'06_Stage_Analytics'!B27</f>
        <v/>
      </c>
      <c r="F16" s="51">
        <f>IF($E$13=0,0,E16/$E$13)</f>
        <v/>
      </c>
    </row>
    <row r="17">
      <c r="A17" s="9" t="inlineStr">
        <is>
          <t>Documents Pending</t>
        </is>
      </c>
      <c r="B17" s="48">
        <f>COUNTIF('03_Helper'!X:X,"Documents Pending")</f>
        <v/>
      </c>
      <c r="D17" s="9" t="inlineStr">
        <is>
          <t>Disbursed</t>
        </is>
      </c>
      <c r="E17" s="9">
        <f>'06_Stage_Analytics'!B28</f>
        <v/>
      </c>
      <c r="F17" s="51">
        <f>IF($E$13=0,0,E17/$E$13)</f>
        <v/>
      </c>
    </row>
    <row r="18">
      <c r="A18" s="9" t="inlineStr">
        <is>
          <t>Sanctioned</t>
        </is>
      </c>
      <c r="B18" s="48">
        <f>COUNTIF('03_Helper'!X:X,"Sanctioned")</f>
        <v/>
      </c>
      <c r="D18" s="9" t="inlineStr">
        <is>
          <t>Rejected</t>
        </is>
      </c>
      <c r="E18" s="9">
        <f>'06_Stage_Analytics'!B29</f>
        <v/>
      </c>
      <c r="F18" s="51">
        <f>IF($E$13=0,0,E18/$E$13)</f>
        <v/>
      </c>
    </row>
    <row r="19">
      <c r="A19" s="9" t="inlineStr">
        <is>
          <t>Disbursed</t>
        </is>
      </c>
      <c r="B19" s="48">
        <f>COUNTIF('03_Helper'!X:X,"Disbursed")</f>
        <v/>
      </c>
    </row>
    <row r="20">
      <c r="A20" s="9" t="inlineStr">
        <is>
          <t>Rejected</t>
        </is>
      </c>
      <c r="B20" s="48">
        <f>COUNTIF('03_Helper'!X:X,"Rejected")</f>
        <v/>
      </c>
    </row>
    <row r="21">
      <c r="A21" s="9" t="inlineStr">
        <is>
          <t>Need FLDG</t>
        </is>
      </c>
      <c r="B21" s="48">
        <f>COUNTIF('03_Helper'!AC:AC,"Yes")</f>
        <v/>
      </c>
    </row>
    <row r="22">
      <c r="A22" s="9" t="inlineStr">
        <is>
          <t>Need Vidyalakshmi</t>
        </is>
      </c>
      <c r="B22" s="48">
        <f>COUNTIF('03_Helper'!AD:AD,"Yes")</f>
        <v/>
      </c>
    </row>
    <row r="23">
      <c r="A23" s="9" t="inlineStr">
        <is>
          <t>Critical Cases</t>
        </is>
      </c>
      <c r="B23" s="48">
        <f>COUNTIF('03_Helper'!AB:AB,"Yes")</f>
        <v/>
      </c>
    </row>
    <row r="24">
      <c r="A24" s="9" t="inlineStr">
        <is>
          <t>Duplicate Vendor Students</t>
        </is>
      </c>
      <c r="B24" s="48">
        <f>COUNTIF('03_Helper'!R:R,"Yes")</f>
        <v/>
      </c>
    </row>
    <row r="25">
      <c r="A25" s="9" t="inlineStr">
        <is>
          <t>Avg Vendors (shared students)</t>
        </is>
      </c>
      <c r="B25" s="48">
        <f>'05_Vendor_Analytics'!B28</f>
        <v/>
      </c>
    </row>
    <row r="26">
      <c r="A26" s="9" t="inlineStr">
        <is>
          <t>Students with ≥1 Vendor</t>
        </is>
      </c>
      <c r="B26" s="48">
        <f>'05_Vendor_Analytics'!B25</f>
        <v/>
      </c>
    </row>
    <row r="27">
      <c r="A27" s="9" t="inlineStr">
        <is>
          <t>Not Started (Pipeline)</t>
        </is>
      </c>
      <c r="B27" s="48">
        <f>COUNTIFS('03_Helper'!AK:AK,"Yes",'03_Helper'!X:X,"Need Loan")</f>
        <v/>
      </c>
    </row>
    <row r="28">
      <c r="A28" s="9" t="inlineStr">
        <is>
          <t>Refund</t>
        </is>
      </c>
      <c r="B28" s="48">
        <f>COUNTIF('03_Helper'!X:X,"Refund")</f>
        <v/>
      </c>
    </row>
    <row r="29">
      <c r="A29" s="9" t="inlineStr">
        <is>
          <t>DNP</t>
        </is>
      </c>
      <c r="B29" s="48">
        <f>COUNTIF('03_Helper'!X:X,"DNP")</f>
        <v/>
      </c>
    </row>
    <row r="30">
      <c r="A30" s="9" t="inlineStr">
        <is>
          <t>Not Required</t>
        </is>
      </c>
      <c r="B30" s="48">
        <f>COUNTIF('03_Helper'!X:X,"Not Required")</f>
        <v/>
      </c>
    </row>
    <row r="31">
      <c r="A31" s="9" t="inlineStr">
        <is>
          <t>Control Cases</t>
        </is>
      </c>
      <c r="B31" s="48">
        <f>COUNTIF('03_Helper'!U:U,"Control")</f>
        <v/>
      </c>
    </row>
    <row r="32">
      <c r="A32" s="9" t="inlineStr">
        <is>
          <t>Risk Cases</t>
        </is>
      </c>
      <c r="B32" s="48">
        <f>COUNTIF('03_Helper'!U:U,"Risk")</f>
        <v/>
      </c>
    </row>
    <row r="36">
      <c r="A36" s="40" t="inlineStr">
        <is>
          <t>VENDOR SCORECARD</t>
        </is>
      </c>
    </row>
    <row r="37">
      <c r="A37" s="29" t="inlineStr">
        <is>
          <t>Vendor</t>
        </is>
      </c>
      <c r="B37" s="29" t="inlineStr">
        <is>
          <t>Unique</t>
        </is>
      </c>
      <c r="C37" s="29" t="inlineStr">
        <is>
          <t>Apps</t>
        </is>
      </c>
      <c r="D37" s="29" t="inlineStr">
        <is>
          <t>Processing</t>
        </is>
      </c>
      <c r="E37" s="29" t="inlineStr">
        <is>
          <t>Sanctioned</t>
        </is>
      </c>
      <c r="F37" s="29" t="inlineStr">
        <is>
          <t>Critical</t>
        </is>
      </c>
      <c r="G37" s="29" t="inlineStr">
        <is>
          <t>Approval%</t>
        </is>
      </c>
    </row>
    <row r="38">
      <c r="A38" s="9">
        <f>'05_Vendor_Analytics'!A5</f>
        <v/>
      </c>
      <c r="B38" s="9">
        <f>'05_Vendor_Analytics'!C5</f>
        <v/>
      </c>
      <c r="C38" s="9">
        <f>'05_Vendor_Analytics'!D5</f>
        <v/>
      </c>
      <c r="D38" s="9">
        <f>'05_Vendor_Analytics'!E5</f>
        <v/>
      </c>
      <c r="E38" s="9">
        <f>'05_Vendor_Analytics'!F5</f>
        <v/>
      </c>
      <c r="F38" s="9">
        <f>'05_Vendor_Analytics'!I5</f>
        <v/>
      </c>
      <c r="G38" s="51">
        <f>'05_Vendor_Analytics'!J5</f>
        <v/>
      </c>
    </row>
    <row r="39">
      <c r="A39" s="9">
        <f>'05_Vendor_Analytics'!A6</f>
        <v/>
      </c>
      <c r="B39" s="9">
        <f>'05_Vendor_Analytics'!C6</f>
        <v/>
      </c>
      <c r="C39" s="9">
        <f>'05_Vendor_Analytics'!D6</f>
        <v/>
      </c>
      <c r="D39" s="9">
        <f>'05_Vendor_Analytics'!E6</f>
        <v/>
      </c>
      <c r="E39" s="9">
        <f>'05_Vendor_Analytics'!F6</f>
        <v/>
      </c>
      <c r="F39" s="9">
        <f>'05_Vendor_Analytics'!I6</f>
        <v/>
      </c>
      <c r="G39" s="51">
        <f>'05_Vendor_Analytics'!J6</f>
        <v/>
      </c>
    </row>
    <row r="40">
      <c r="A40" s="9">
        <f>'05_Vendor_Analytics'!A7</f>
        <v/>
      </c>
      <c r="B40" s="9">
        <f>'05_Vendor_Analytics'!C7</f>
        <v/>
      </c>
      <c r="C40" s="9">
        <f>'05_Vendor_Analytics'!D7</f>
        <v/>
      </c>
      <c r="D40" s="9">
        <f>'05_Vendor_Analytics'!E7</f>
        <v/>
      </c>
      <c r="E40" s="9">
        <f>'05_Vendor_Analytics'!F7</f>
        <v/>
      </c>
      <c r="F40" s="9">
        <f>'05_Vendor_Analytics'!I7</f>
        <v/>
      </c>
      <c r="G40" s="51">
        <f>'05_Vendor_Analytics'!J7</f>
        <v/>
      </c>
    </row>
    <row r="41">
      <c r="A41" s="9">
        <f>'05_Vendor_Analytics'!A8</f>
        <v/>
      </c>
      <c r="B41" s="9">
        <f>'05_Vendor_Analytics'!C8</f>
        <v/>
      </c>
      <c r="C41" s="9">
        <f>'05_Vendor_Analytics'!D8</f>
        <v/>
      </c>
      <c r="D41" s="9">
        <f>'05_Vendor_Analytics'!E8</f>
        <v/>
      </c>
      <c r="E41" s="9">
        <f>'05_Vendor_Analytics'!F8</f>
        <v/>
      </c>
      <c r="F41" s="9">
        <f>'05_Vendor_Analytics'!I8</f>
        <v/>
      </c>
      <c r="G41" s="51">
        <f>'05_Vendor_Analytics'!J8</f>
        <v/>
      </c>
    </row>
    <row r="42">
      <c r="A42" s="9">
        <f>'05_Vendor_Analytics'!A9</f>
        <v/>
      </c>
      <c r="B42" s="9">
        <f>'05_Vendor_Analytics'!C9</f>
        <v/>
      </c>
      <c r="C42" s="9">
        <f>'05_Vendor_Analytics'!D9</f>
        <v/>
      </c>
      <c r="D42" s="9">
        <f>'05_Vendor_Analytics'!E9</f>
        <v/>
      </c>
      <c r="E42" s="9">
        <f>'05_Vendor_Analytics'!F9</f>
        <v/>
      </c>
      <c r="F42" s="9">
        <f>'05_Vendor_Analytics'!I9</f>
        <v/>
      </c>
      <c r="G42" s="51">
        <f>'05_Vendor_Analytics'!J9</f>
        <v/>
      </c>
    </row>
    <row r="46">
      <c r="A46" t="inlineStr">
        <is>
          <t>RISK STRIP</t>
        </is>
      </c>
      <c r="D46" t="inlineStr">
        <is>
          <t>AGEING</t>
        </is>
      </c>
      <c r="G46" t="inlineStr">
        <is>
          <t>REASONS</t>
        </is>
      </c>
    </row>
    <row r="47">
      <c r="A47" s="29" t="inlineStr">
        <is>
          <t>Flag</t>
        </is>
      </c>
      <c r="B47" s="29" t="inlineStr">
        <is>
          <t>Count</t>
        </is>
      </c>
      <c r="D47" s="29" t="inlineStr">
        <is>
          <t>Bucket</t>
        </is>
      </c>
      <c r="E47" s="29" t="inlineStr">
        <is>
          <t>Count</t>
        </is>
      </c>
      <c r="G47" s="29" t="inlineStr">
        <is>
          <t>Bucket</t>
        </is>
      </c>
      <c r="H47" s="29" t="inlineStr">
        <is>
          <t>Count</t>
        </is>
      </c>
    </row>
    <row r="48">
      <c r="A48" s="9">
        <f>'07_Risk_Analytics'!A4</f>
        <v/>
      </c>
      <c r="B48" s="9">
        <f>'07_Risk_Analytics'!B4</f>
        <v/>
      </c>
      <c r="D48" s="9">
        <f>'07_Risk_Analytics'!A34</f>
        <v/>
      </c>
      <c r="E48" s="9">
        <f>'07_Risk_Analytics'!B34</f>
        <v/>
      </c>
      <c r="G48" s="9">
        <f>'07_Risk_Analytics'!A19</f>
        <v/>
      </c>
      <c r="H48" s="9">
        <f>'07_Risk_Analytics'!B19</f>
        <v/>
      </c>
    </row>
    <row r="49">
      <c r="A49" s="9">
        <f>'07_Risk_Analytics'!A5</f>
        <v/>
      </c>
      <c r="B49" s="9">
        <f>'07_Risk_Analytics'!B5</f>
        <v/>
      </c>
      <c r="D49" s="9">
        <f>'07_Risk_Analytics'!A35</f>
        <v/>
      </c>
      <c r="E49" s="9">
        <f>'07_Risk_Analytics'!B35</f>
        <v/>
      </c>
      <c r="G49" s="9">
        <f>'07_Risk_Analytics'!A20</f>
        <v/>
      </c>
      <c r="H49" s="9">
        <f>'07_Risk_Analytics'!B20</f>
        <v/>
      </c>
    </row>
    <row r="50">
      <c r="A50" s="9">
        <f>'07_Risk_Analytics'!A6</f>
        <v/>
      </c>
      <c r="B50" s="9">
        <f>'07_Risk_Analytics'!B6</f>
        <v/>
      </c>
      <c r="D50" s="9">
        <f>'07_Risk_Analytics'!A36</f>
        <v/>
      </c>
      <c r="E50" s="9">
        <f>'07_Risk_Analytics'!B36</f>
        <v/>
      </c>
      <c r="G50" s="9">
        <f>'07_Risk_Analytics'!A21</f>
        <v/>
      </c>
      <c r="H50" s="9">
        <f>'07_Risk_Analytics'!B21</f>
        <v/>
      </c>
    </row>
    <row r="51">
      <c r="A51" s="9">
        <f>'07_Risk_Analytics'!A7</f>
        <v/>
      </c>
      <c r="B51" s="9">
        <f>'07_Risk_Analytics'!B7</f>
        <v/>
      </c>
      <c r="D51" s="9">
        <f>'07_Risk_Analytics'!A37</f>
        <v/>
      </c>
      <c r="E51" s="9">
        <f>'07_Risk_Analytics'!B37</f>
        <v/>
      </c>
      <c r="G51" s="9">
        <f>'07_Risk_Analytics'!A22</f>
        <v/>
      </c>
      <c r="H51" s="9">
        <f>'07_Risk_Analytics'!B22</f>
        <v/>
      </c>
    </row>
    <row r="52">
      <c r="A52" s="9">
        <f>'07_Risk_Analytics'!A8</f>
        <v/>
      </c>
      <c r="B52" s="9">
        <f>'07_Risk_Analytics'!B8</f>
        <v/>
      </c>
      <c r="D52" s="9">
        <f>'07_Risk_Analytics'!A38</f>
        <v/>
      </c>
      <c r="E52" s="9">
        <f>'07_Risk_Analytics'!B38</f>
        <v/>
      </c>
      <c r="G52" s="9">
        <f>'07_Risk_Analytics'!A23</f>
        <v/>
      </c>
      <c r="H52" s="9">
        <f>'07_Risk_Analytics'!B23</f>
        <v/>
      </c>
    </row>
    <row r="53">
      <c r="A53" s="9">
        <f>'07_Risk_Analytics'!A9</f>
        <v/>
      </c>
      <c r="B53" s="9">
        <f>'07_Risk_Analytics'!B9</f>
        <v/>
      </c>
      <c r="D53" s="9">
        <f>'07_Risk_Analytics'!A39</f>
        <v/>
      </c>
      <c r="E53" s="9">
        <f>'07_Risk_Analytics'!B39</f>
        <v/>
      </c>
      <c r="G53" s="9">
        <f>'07_Risk_Analytics'!A24</f>
        <v/>
      </c>
      <c r="H53" s="9">
        <f>'07_Risk_Analytics'!B24</f>
        <v/>
      </c>
    </row>
    <row r="54">
      <c r="A54" s="9">
        <f>'07_Risk_Analytics'!A10</f>
        <v/>
      </c>
      <c r="B54" s="9">
        <f>'07_Risk_Analytics'!B10</f>
        <v/>
      </c>
      <c r="G54" s="9">
        <f>'07_Risk_Analytics'!A25</f>
        <v/>
      </c>
      <c r="H54" s="9">
        <f>'07_Risk_Analytics'!B25</f>
        <v/>
      </c>
    </row>
    <row r="55">
      <c r="A55" s="9">
        <f>'07_Risk_Analytics'!A11</f>
        <v/>
      </c>
      <c r="B55" s="9">
        <f>'07_Risk_Analytics'!B11</f>
        <v/>
      </c>
      <c r="G55" s="9">
        <f>'07_Risk_Analytics'!A26</f>
        <v/>
      </c>
      <c r="H55" s="9">
        <f>'07_Risk_Analytics'!B26</f>
        <v/>
      </c>
    </row>
    <row r="56">
      <c r="A56" s="9">
        <f>'07_Risk_Analytics'!A12</f>
        <v/>
      </c>
      <c r="B56" s="9">
        <f>'07_Risk_Analytics'!B12</f>
        <v/>
      </c>
      <c r="G56" s="9">
        <f>'07_Risk_Analytics'!A27</f>
        <v/>
      </c>
      <c r="H56" s="9">
        <f>'07_Risk_Analytics'!B27</f>
        <v/>
      </c>
    </row>
    <row r="57">
      <c r="A57" s="9">
        <f>'07_Risk_Analytics'!A13</f>
        <v/>
      </c>
      <c r="B57" s="9">
        <f>'07_Risk_Analytics'!B13</f>
        <v/>
      </c>
    </row>
    <row r="60">
      <c r="A60" t="inlineStr">
        <is>
          <t>STAGE DISTRIBUTION</t>
        </is>
      </c>
    </row>
    <row r="61">
      <c r="A61" s="29" t="inlineStr">
        <is>
          <t>Stage</t>
        </is>
      </c>
      <c r="B61" s="29" t="inlineStr">
        <is>
          <t>Count</t>
        </is>
      </c>
    </row>
    <row r="62">
      <c r="A62" s="9" t="inlineStr">
        <is>
          <t>Need Loan</t>
        </is>
      </c>
      <c r="B62" s="9">
        <f>COUNTIF('03_Helper'!X:X,A62)</f>
        <v/>
      </c>
    </row>
    <row r="63">
      <c r="A63" s="9" t="inlineStr">
        <is>
          <t>Vendor Assigned</t>
        </is>
      </c>
      <c r="B63" s="9">
        <f>COUNTIF('03_Helper'!X:X,A63)</f>
        <v/>
      </c>
    </row>
    <row r="64">
      <c r="A64" s="9" t="inlineStr">
        <is>
          <t>Documents Pending</t>
        </is>
      </c>
      <c r="B64" s="9">
        <f>COUNTIF('03_Helper'!X:X,A64)</f>
        <v/>
      </c>
    </row>
    <row r="65">
      <c r="A65" s="9" t="inlineStr">
        <is>
          <t>Processing</t>
        </is>
      </c>
      <c r="B65" s="9">
        <f>COUNTIF('03_Helper'!X:X,A65)</f>
        <v/>
      </c>
    </row>
    <row r="66">
      <c r="A66" s="9" t="inlineStr">
        <is>
          <t>Sanctioned</t>
        </is>
      </c>
      <c r="B66" s="9">
        <f>COUNTIF('03_Helper'!X:X,A66)</f>
        <v/>
      </c>
    </row>
    <row r="67">
      <c r="A67" s="9" t="inlineStr">
        <is>
          <t>Disbursed</t>
        </is>
      </c>
      <c r="B67" s="9">
        <f>COUNTIF('03_Helper'!X:X,A67)</f>
        <v/>
      </c>
    </row>
    <row r="68">
      <c r="A68" s="9" t="inlineStr">
        <is>
          <t>Rejected</t>
        </is>
      </c>
      <c r="B68" s="9">
        <f>COUNTIF('03_Helper'!X:X,A68)</f>
        <v/>
      </c>
    </row>
    <row r="69">
      <c r="A69" s="9" t="inlineStr">
        <is>
          <t>Refund</t>
        </is>
      </c>
      <c r="B69" s="9">
        <f>COUNTIF('03_Helper'!X:X,A69)</f>
        <v/>
      </c>
    </row>
    <row r="70">
      <c r="A70" s="9" t="inlineStr">
        <is>
          <t>DNP</t>
        </is>
      </c>
      <c r="B70" s="9">
        <f>COUNTIF('03_Helper'!X:X,A70)</f>
        <v/>
      </c>
    </row>
    <row r="71">
      <c r="A71" s="9" t="inlineStr">
        <is>
          <t>Not Required</t>
        </is>
      </c>
      <c r="B71" s="9">
        <f>COUNTIF('03_Helper'!X:X,A71)</f>
        <v/>
      </c>
    </row>
    <row r="72">
      <c r="A72" s="9" t="inlineStr">
        <is>
          <t>Interested</t>
        </is>
      </c>
      <c r="B72" s="9">
        <f>COUNTIF('03_Helper'!X:X,A72)</f>
        <v/>
      </c>
    </row>
    <row r="73">
      <c r="A73" s="9" t="inlineStr">
        <is>
          <t>Unclassified</t>
        </is>
      </c>
      <c r="B73" s="9">
        <f>COUNTIF('03_Helper'!X:X,A73)</f>
        <v/>
      </c>
    </row>
  </sheetData>
  <dataValidations count="3">
    <dataValidation sqref="B4" showDropDown="0" showInputMessage="0" showErrorMessage="0" allowBlank="1" type="list">
      <formula1>"(All),SSAHE,ADYPU"</formula1>
    </dataValidation>
    <dataValidation sqref="B7 B9" showDropDown="0" showInputMessage="0" showErrorMessage="0" allowBlank="1" type="list">
      <formula1>"(All),Yes,No"</formula1>
    </dataValidation>
    <dataValidation sqref="B8" showDropDown="0" showInputMessage="0" showErrorMessage="0" allowBlank="1" type="list">
      <formula1>"(All),Yes,No,Refund,DNP,Not sure"</formula1>
    </dataValidation>
  </dataValidations>
  <pageMargins left="0.75" right="0.75" top="1" bottom="1" header="0.5" footer="0.5"/>
</worksheet>
</file>

<file path=xl/worksheets/sheet10.xml><?xml version="1.0" encoding="utf-8"?>
<worksheet xmlns="http://schemas.openxmlformats.org/spreadsheetml/2006/main">
  <sheetPr>
    <tabColor rgb="000369A1"/>
    <outlinePr summaryBelow="1" summaryRight="1"/>
    <pageSetUpPr/>
  </sheetPr>
  <dimension ref="A1:N36"/>
  <sheetViews>
    <sheetView workbookViewId="0">
      <selection activeCell="A1" sqref="A1"/>
    </sheetView>
  </sheetViews>
  <sheetFormatPr baseColWidth="8" defaultRowHeight="15"/>
  <cols>
    <col width="28" customWidth="1" min="1" max="1"/>
    <col width="22"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53" t="inlineStr">
        <is>
          <t>OPERATIONS ACTION CENTER</t>
        </is>
      </c>
    </row>
    <row r="2">
      <c r="A2" s="6" t="inlineStr">
        <is>
          <t>Designed for Google Sheets. Each section uses a single FILTER spill formula. In Excel 365, FILTER also works. Until then, use 04_Student_360 AutoFilter on CriticalFlag / NeedFLDG / DuplicateVendorFlag / CanonicalStage.</t>
        </is>
      </c>
    </row>
    <row r="3">
      <c r="A3" s="40" t="inlineStr">
        <is>
          <t>Quick counts</t>
        </is>
      </c>
    </row>
    <row r="4">
      <c r="A4" t="inlineStr">
        <is>
          <t>Pipeline (Need Loan)</t>
        </is>
      </c>
      <c r="B4" s="54">
        <f>'08_Dashboard_Tables'!B14</f>
        <v/>
      </c>
      <c r="C4" t="inlineStr">
        <is>
          <t>Critical</t>
        </is>
      </c>
      <c r="D4" s="54">
        <f>'08_Dashboard_Tables'!B23</f>
        <v/>
      </c>
      <c r="E4" t="inlineStr">
        <is>
          <t>FLDG</t>
        </is>
      </c>
      <c r="F4" s="54">
        <f>'08_Dashboard_Tables'!B21</f>
        <v/>
      </c>
      <c r="G4" t="inlineStr">
        <is>
          <t>Dup Vendors</t>
        </is>
      </c>
      <c r="H4" s="54">
        <f>'08_Dashboard_Tables'!B24</f>
        <v/>
      </c>
    </row>
    <row r="6">
      <c r="A6" s="21" t="inlineStr">
        <is>
          <t>A. TOP PENDING STUDENTS (Pipeline, not Disbursed/Rejected/Refund/Not Required)</t>
        </is>
      </c>
    </row>
    <row r="7">
      <c r="A7" s="29" t="inlineStr">
        <is>
          <t>StudentName</t>
        </is>
      </c>
      <c r="B7" s="29" t="inlineStr">
        <is>
          <t>Campus</t>
        </is>
      </c>
      <c r="C7" s="29" t="inlineStr">
        <is>
          <t>PrimaryVendor</t>
        </is>
      </c>
      <c r="D7" s="29" t="inlineStr">
        <is>
          <t>Stage</t>
        </is>
      </c>
      <c r="E7" s="29" t="inlineStr">
        <is>
          <t>Critical</t>
        </is>
      </c>
      <c r="F7" s="29" t="inlineStr">
        <is>
          <t>FLDG</t>
        </is>
      </c>
      <c r="G7" s="29" t="inlineStr">
        <is>
          <t>Vidyalakshmi</t>
        </is>
      </c>
      <c r="H7" s="29" t="inlineStr">
        <is>
          <t>Vendors</t>
        </is>
      </c>
      <c r="I7" s="29" t="inlineStr">
        <is>
          <t>Days</t>
        </is>
      </c>
      <c r="J7" s="29" t="inlineStr">
        <is>
          <t>Ageing</t>
        </is>
      </c>
      <c r="K7" s="29" t="inlineStr">
        <is>
          <t>Case</t>
        </is>
      </c>
      <c r="L7" s="29" t="inlineStr">
        <is>
          <t>Status</t>
        </is>
      </c>
      <c r="M7" s="29" t="inlineStr">
        <is>
          <t>ProvID</t>
        </is>
      </c>
      <c r="N7" s="29" t="inlineStr">
        <is>
          <t>Mobile</t>
        </is>
      </c>
    </row>
    <row r="8" ht="48" customHeight="1">
      <c r="A8" s="55">
        <f>IFERROR(FILTER({'03_Helper'!C2:C5000,'03_Helper'!G2:G5000,'03_Helper'!T2:T5000,'03_Helper'!X2:X5000,'03_Helper'!AB2:AB5000,'03_Helper'!AC2:AC5000,'03_Helper'!AD2:AD5000,'03_Helper'!Q2:Q5000,'03_Helper'!AI2:AI5000,'03_Helper'!AJ2:AJ5000,'03_Helper'!U2:U5000,'03_Helper'!W2:W5000,'03_Helper'!E2:E5000,'03_Helper'!D2:D5000},('03_Helper'!AK2:AK5000="Yes")*('03_Helper'!X2:X5000&lt;&gt;"Disbursed")*('03_Helper'!X2:X5000&lt;&gt;"Rejected")*('03_Helper'!X2:X5000&lt;&gt;"Refund")*('03_Helper'!X2:X5000&lt;&gt;"Not Required")),"No pending students / open in Google Sheets or Excel 365")</f>
        <v/>
      </c>
    </row>
    <row r="9">
      <c r="A9" s="6" t="inlineStr">
        <is>
          <t>Sort tip after spill: Critical=Yes first, then Days descending. Owner column = use Pranjal comments in Student_360.</t>
        </is>
      </c>
    </row>
    <row r="11">
      <c r="A11" s="21" t="inlineStr">
        <is>
          <t>B. NEED FLDG ATTENTION</t>
        </is>
      </c>
    </row>
    <row r="12">
      <c r="A12" s="29" t="inlineStr">
        <is>
          <t>StudentName</t>
        </is>
      </c>
      <c r="B12" s="29" t="inlineStr">
        <is>
          <t>Campus</t>
        </is>
      </c>
      <c r="C12" s="29" t="inlineStr">
        <is>
          <t>ProvID</t>
        </is>
      </c>
      <c r="D12" s="29" t="inlineStr">
        <is>
          <t>Stage</t>
        </is>
      </c>
      <c r="E12" s="29" t="inlineStr">
        <is>
          <t>Vendor</t>
        </is>
      </c>
      <c r="F12" s="29" t="inlineStr">
        <is>
          <t>Critical</t>
        </is>
      </c>
      <c r="G12" s="29" t="inlineStr">
        <is>
          <t>Income</t>
        </is>
      </c>
      <c r="H12" s="29" t="inlineStr">
        <is>
          <t>LoanAmt</t>
        </is>
      </c>
      <c r="I12" s="29" t="inlineStr">
        <is>
          <t>Case</t>
        </is>
      </c>
      <c r="J12" s="29" t="inlineStr">
        <is>
          <t>Comments</t>
        </is>
      </c>
    </row>
    <row r="13" ht="36" customHeight="1">
      <c r="A13" s="56">
        <f>IFERROR(FILTER({'03_Helper'!C2:C5000,'03_Helper'!G2:G5000,'03_Helper'!E2:E5000,'03_Helper'!X2:X5000,'03_Helper'!T2:T5000,'03_Helper'!AB2:AB5000,'03_Helper'!AO2:AO5000,'03_Helper'!AN2:AN5000,'03_Helper'!U2:U5000,'03_Helper'!AL2:AL5000},'03_Helper'!AC2:AC5000="Yes"),"None / open in Sheets")</f>
        <v/>
      </c>
    </row>
    <row r="15">
      <c r="A15" s="21" t="inlineStr">
        <is>
          <t>C. NEED VIDYALAKSHMI ATTENTION</t>
        </is>
      </c>
    </row>
    <row r="16">
      <c r="A16" s="29" t="inlineStr">
        <is>
          <t>StudentName</t>
        </is>
      </c>
      <c r="B16" s="29" t="inlineStr">
        <is>
          <t>Campus</t>
        </is>
      </c>
      <c r="C16" s="29" t="inlineStr">
        <is>
          <t>ProvID</t>
        </is>
      </c>
      <c r="D16" s="29" t="inlineStr">
        <is>
          <t>Stage</t>
        </is>
      </c>
      <c r="E16" s="29" t="inlineStr">
        <is>
          <t>Vendor</t>
        </is>
      </c>
      <c r="F16" s="29" t="inlineStr">
        <is>
          <t>Critical</t>
        </is>
      </c>
      <c r="G16" s="29" t="inlineStr">
        <is>
          <t>Case</t>
        </is>
      </c>
      <c r="H16" s="29" t="inlineStr">
        <is>
          <t>Status</t>
        </is>
      </c>
    </row>
    <row r="17" ht="36" customHeight="1">
      <c r="A17" s="56">
        <f>IFERROR(FILTER({'03_Helper'!C2:C5000,'03_Helper'!G2:G5000,'03_Helper'!E2:E5000,'03_Helper'!X2:X5000,'03_Helper'!T2:T5000,'03_Helper'!AB2:AB5000,'03_Helper'!U2:U5000,'03_Helper'!W2:W5000},'03_Helper'!AD2:AD5000="Yes"),"None / open in Sheets")</f>
        <v/>
      </c>
    </row>
    <row r="19">
      <c r="A19" s="21" t="inlineStr">
        <is>
          <t>D. DUPLICATE VENDOR STUDENTS</t>
        </is>
      </c>
    </row>
    <row r="20">
      <c r="A20" s="29" t="inlineStr">
        <is>
          <t>StudentName</t>
        </is>
      </c>
      <c r="B20" s="29" t="inlineStr">
        <is>
          <t>Campus</t>
        </is>
      </c>
      <c r="C20" s="29" t="inlineStr">
        <is>
          <t>VendorCount</t>
        </is>
      </c>
      <c r="D20" s="29" t="inlineStr">
        <is>
          <t>VendorsApplied</t>
        </is>
      </c>
      <c r="E20" s="29" t="inlineStr">
        <is>
          <t>Stage</t>
        </is>
      </c>
      <c r="F20" s="29" t="inlineStr">
        <is>
          <t>Critical</t>
        </is>
      </c>
      <c r="G20" s="29" t="inlineStr">
        <is>
          <t>ProvID</t>
        </is>
      </c>
      <c r="H20" s="29" t="inlineStr">
        <is>
          <t>Mobile</t>
        </is>
      </c>
    </row>
    <row r="21" ht="36" customHeight="1">
      <c r="A21" s="56">
        <f>IFERROR(FILTER({'03_Helper'!C2:C5000,'03_Helper'!G2:G5000,'03_Helper'!Q2:Q5000,'03_Helper'!S2:S5000,'03_Helper'!X2:X5000,'03_Helper'!AB2:AB5000,'03_Helper'!E2:E5000,'03_Helper'!D2:D5000},'03_Helper'!R2:R5000="Yes"),"None / open in Sheets")</f>
        <v/>
      </c>
    </row>
    <row r="23">
      <c r="A23" s="21" t="inlineStr">
        <is>
          <t>E. CRITICAL CASES</t>
        </is>
      </c>
    </row>
    <row r="24">
      <c r="A24" s="29" t="inlineStr">
        <is>
          <t>StudentName</t>
        </is>
      </c>
      <c r="B24" s="29" t="inlineStr">
        <is>
          <t>Campus</t>
        </is>
      </c>
      <c r="C24" s="29" t="inlineStr">
        <is>
          <t>Stage</t>
        </is>
      </c>
      <c r="D24" s="29" t="inlineStr">
        <is>
          <t>Vendor</t>
        </is>
      </c>
      <c r="E24" s="29" t="inlineStr">
        <is>
          <t>RiskCategory</t>
        </is>
      </c>
      <c r="F24" s="29" t="inlineStr">
        <is>
          <t>FLDG</t>
        </is>
      </c>
      <c r="G24" s="29" t="inlineStr">
        <is>
          <t>Vidyalakshmi</t>
        </is>
      </c>
      <c r="H24" s="29" t="inlineStr">
        <is>
          <t>ProvID</t>
        </is>
      </c>
    </row>
    <row r="25" ht="36" customHeight="1">
      <c r="A25" s="56">
        <f>IFERROR(FILTER({'03_Helper'!C2:C5000,'03_Helper'!G2:G5000,'03_Helper'!X2:X5000,'03_Helper'!T2:T5000,'03_Helper'!AA2:AA5000,'03_Helper'!AC2:AC5000,'03_Helper'!AD2:AD5000,'03_Helper'!E2:E5000},'03_Helper'!AB2:AB5000="Yes"),"None / open in Sheets")</f>
        <v/>
      </c>
    </row>
    <row r="27">
      <c r="A27" s="21" t="inlineStr">
        <is>
          <t>F. STUDENT LOOKUP</t>
        </is>
      </c>
    </row>
    <row r="28">
      <c r="A28" t="inlineStr">
        <is>
          <t>Enter Mobile or Provisional ID →</t>
        </is>
      </c>
      <c r="B28" s="57" t="inlineStr"/>
      <c r="C28" s="6" t="inlineStr">
        <is>
          <t>(type here)</t>
        </is>
      </c>
    </row>
    <row r="29">
      <c r="A29" s="58" t="inlineStr">
        <is>
          <t>Name</t>
        </is>
      </c>
      <c r="B29" s="31">
        <f>IF($B$28="","",IFERROR(XLOOKUP(IFERROR(VALUE($B$28),$B$28),'03_Helper'!D:D,'03_Helper'!C:C),IFERROR(XLOOKUP($B$28,'03_Helper'!E:E,'03_Helper'!C:C),"Not found")))</f>
        <v/>
      </c>
    </row>
    <row r="30">
      <c r="A30" s="58" t="inlineStr">
        <is>
          <t>Stage</t>
        </is>
      </c>
      <c r="B30" s="31">
        <f>IF($B$28="","",IFERROR(XLOOKUP(IFERROR(VALUE($B$28),$B$28),'03_Helper'!D:D,'03_Helper'!X:X),IFERROR(XLOOKUP($B$28,'03_Helper'!E:E,'03_Helper'!X:X),"")))</f>
        <v/>
      </c>
    </row>
    <row r="31">
      <c r="A31" s="58" t="inlineStr">
        <is>
          <t>Vendors</t>
        </is>
      </c>
      <c r="B31" s="31">
        <f>IF($B$28="","",IFERROR(XLOOKUP(IFERROR(VALUE($B$28),$B$28),'03_Helper'!D:D,'03_Helper'!S:S),IFERROR(XLOOKUP($B$28,'03_Helper'!E:E,'03_Helper'!S:S),"")))</f>
        <v/>
      </c>
    </row>
    <row r="32">
      <c r="A32" s="58" t="inlineStr">
        <is>
          <t>Critical</t>
        </is>
      </c>
      <c r="B32" s="31">
        <f>IF($B$28="","",IFERROR(XLOOKUP(IFERROR(VALUE($B$28),$B$28),'03_Helper'!D:D,'03_Helper'!AB:AB),IFERROR(XLOOKUP($B$28,'03_Helper'!E:E,'03_Helper'!AB:AB),"")))</f>
        <v/>
      </c>
    </row>
    <row r="33">
      <c r="A33" s="58" t="inlineStr">
        <is>
          <t>Status</t>
        </is>
      </c>
      <c r="B33" s="31">
        <f>IF($B$28="","",IFERROR(XLOOKUP(IFERROR(VALUE($B$28),$B$28),'03_Helper'!D:D,'03_Helper'!W:W),IFERROR(XLOOKUP($B$28,'03_Helper'!E:E,'03_Helper'!W:W),"")))</f>
        <v/>
      </c>
    </row>
    <row r="35">
      <c r="A35" s="40" t="inlineStr">
        <is>
          <t>G. EXCEL AUTOFILTER FALLBACK</t>
        </is>
      </c>
    </row>
    <row r="36">
      <c r="A36" s="58" t="inlineStr">
        <is>
          <t>Open 04_Student_360 → enable filters on header → filter CriticalFlag=Yes / NeedFLDG=Yes / DuplicateVendorFlag=Yes / LoanRequired=Yes. Locate any student in &lt;10 seconds via Ctrl+F on Mobile or ProvisionalID.</t>
        </is>
      </c>
    </row>
  </sheetData>
  <mergeCells count="8">
    <mergeCell ref="A8:N8"/>
    <mergeCell ref="A21:H21"/>
    <mergeCell ref="A25:H25"/>
    <mergeCell ref="A2:H2"/>
    <mergeCell ref="A36:H36"/>
    <mergeCell ref="A1:H1"/>
    <mergeCell ref="A13:J13"/>
    <mergeCell ref="A17:H17"/>
  </mergeCells>
  <pageMargins left="0.75" right="0.75" top="1" bottom="1" header="0.5" footer="0.5"/>
</worksheet>
</file>

<file path=xl/worksheets/sheet11.xml><?xml version="1.0" encoding="utf-8"?>
<worksheet xmlns="http://schemas.openxmlformats.org/spreadsheetml/2006/main">
  <sheetPr>
    <tabColor rgb="00666666"/>
    <outlinePr summaryBelow="1" summaryRight="1"/>
    <pageSetUpPr/>
  </sheetPr>
  <dimension ref="A1:B58"/>
  <sheetViews>
    <sheetView workbookViewId="0">
      <selection activeCell="A1" sqref="A1"/>
    </sheetView>
  </sheetViews>
  <sheetFormatPr baseColWidth="8" defaultRowHeight="15"/>
  <cols>
    <col width="28" customWidth="1" min="1" max="1"/>
    <col width="110" customWidth="1" min="2" max="2"/>
  </cols>
  <sheetData>
    <row r="1">
      <c r="A1" s="53" t="inlineStr">
        <is>
          <t>uGSOT LOAN OPERATIONS — DOCUMENTATION</t>
        </is>
      </c>
    </row>
    <row r="3">
      <c r="A3" s="58" t="inlineStr"/>
      <c r="B3" s="58" t="inlineStr"/>
    </row>
    <row r="4">
      <c r="A4" s="21" t="inlineStr">
        <is>
          <t>1. PURPOSE</t>
        </is>
      </c>
    </row>
    <row r="5">
      <c r="A5" s="58" t="inlineStr"/>
      <c r="B5" s="58" t="inlineStr">
        <is>
          <t>Formula-driven Loan Operations Management System for upGrad School of Technology. Leadership: 09_Dashboard (≤30s). Operations: 10_Ops_Views + 04_Student_360 (≤10s to find a student).</t>
        </is>
      </c>
    </row>
    <row r="6">
      <c r="A6" s="58" t="inlineStr"/>
      <c r="B6" s="58" t="inlineStr"/>
    </row>
    <row r="7">
      <c r="A7" s="21" t="inlineStr">
        <is>
          <t>2. SHEET MAP</t>
        </is>
      </c>
    </row>
    <row r="8">
      <c r="A8" s="58" t="inlineStr">
        <is>
          <t>09_Dashboard</t>
        </is>
      </c>
      <c r="B8" s="58" t="inlineStr">
        <is>
          <t>Executive UI — references 08_Dashboard_Tables only.</t>
        </is>
      </c>
    </row>
    <row r="9">
      <c r="A9" s="58" t="inlineStr">
        <is>
          <t>01_Master_Data</t>
        </is>
      </c>
      <c r="B9" s="58" t="inlineStr">
        <is>
          <t>RAW import/entry ONLY. No formulas. Paste new rows under last student.</t>
        </is>
      </c>
    </row>
    <row r="10">
      <c r="A10" s="58" t="inlineStr">
        <is>
          <t>02_Configuration</t>
        </is>
      </c>
      <c r="B10" s="58" t="inlineStr">
        <is>
          <t>Vendors, stages, campus normalization, reason keywords, ageing, cycle.</t>
        </is>
      </c>
    </row>
    <row r="11">
      <c r="A11" s="58" t="inlineStr">
        <is>
          <t>03_Helper</t>
        </is>
      </c>
      <c r="B11" s="58" t="inlineStr">
        <is>
          <t>Processing engine — StudentKey, VendorCount, CanonicalStage, Risk, Ageing.</t>
        </is>
      </c>
    </row>
    <row r="12">
      <c r="A12" s="58" t="inlineStr">
        <is>
          <t>04_Student_360</t>
        </is>
      </c>
      <c r="B12" s="58" t="inlineStr">
        <is>
          <t>Student intelligence (1 row ↔ 1 Master row; identity via StudentKey).</t>
        </is>
      </c>
    </row>
    <row r="13">
      <c r="A13" s="58" t="inlineStr">
        <is>
          <t>05_Vendor_Analytics</t>
        </is>
      </c>
      <c r="B13" s="58" t="inlineStr">
        <is>
          <t>Unique vs Applications, multi-vendor distribution, Overlap heatmap.</t>
        </is>
      </c>
    </row>
    <row r="14">
      <c r="A14" s="58" t="inlineStr">
        <is>
          <t>06_Stage_Analytics</t>
        </is>
      </c>
      <c r="B14" s="58" t="inlineStr">
        <is>
          <t>Stage counts + executive funnel conversions.</t>
        </is>
      </c>
    </row>
    <row r="15">
      <c r="A15" s="58" t="inlineStr">
        <is>
          <t>07_Risk_Analytics</t>
        </is>
      </c>
      <c r="B15" s="58" t="inlineStr">
        <is>
          <t>FLDG, Vidyalakshmi, Critical, reasons, ageing.</t>
        </is>
      </c>
    </row>
    <row r="16">
      <c r="A16" s="58" t="inlineStr">
        <is>
          <t>08_Dashboard_Tables</t>
        </is>
      </c>
      <c r="B16" s="58" t="inlineStr">
        <is>
          <t>All KPI source values. Filter dropdowns live here (B4:B9).</t>
        </is>
      </c>
    </row>
    <row r="17">
      <c r="A17" s="58" t="inlineStr">
        <is>
          <t>10_Ops_Views</t>
        </is>
      </c>
      <c r="B17" s="58" t="inlineStr">
        <is>
          <t>FILTER action lists + student lookup.</t>
        </is>
      </c>
    </row>
    <row r="18">
      <c r="A18" s="58" t="inlineStr">
        <is>
          <t>11_Documentation</t>
        </is>
      </c>
      <c r="B18" s="58" t="inlineStr">
        <is>
          <t>This sheet.</t>
        </is>
      </c>
    </row>
    <row r="19">
      <c r="A19" s="58" t="inlineStr"/>
      <c r="B19" s="58" t="inlineStr"/>
    </row>
    <row r="20">
      <c r="A20" s="21" t="inlineStr">
        <is>
          <t>3. STUDENT IDENTITY</t>
        </is>
      </c>
    </row>
    <row r="21">
      <c r="A21" s="58" t="inlineStr">
        <is>
          <t>Primary</t>
        </is>
      </c>
      <c r="B21" s="58" t="inlineStr">
        <is>
          <t>Mobile → StudentKey MOB|&lt;n&gt;</t>
        </is>
      </c>
    </row>
    <row r="22">
      <c r="A22" s="58" t="inlineStr">
        <is>
          <t>Fallback</t>
        </is>
      </c>
      <c r="B22" s="58" t="inlineStr">
        <is>
          <t>Provisional ID → PID|&lt;id&gt;</t>
        </is>
      </c>
    </row>
    <row r="23">
      <c r="A23" s="58" t="inlineStr">
        <is>
          <t>Email</t>
        </is>
      </c>
      <c r="B23" s="58" t="inlineStr">
        <is>
          <t>Not in Master (optional Merit join later).</t>
        </is>
      </c>
    </row>
    <row r="24">
      <c r="A24" s="58" t="inlineStr"/>
      <c r="B24" s="58" t="inlineStr"/>
    </row>
    <row r="25">
      <c r="A25" s="21" t="inlineStr">
        <is>
          <t>4. MULTI-VENDOR LOGIC</t>
        </is>
      </c>
    </row>
    <row r="26">
      <c r="A26" s="58" t="inlineStr">
        <is>
          <t>Unique Students</t>
        </is>
      </c>
      <c r="B26" s="58" t="inlineStr">
        <is>
          <t>Students with Shared-to-Yes for vendor (Helper flag).</t>
        </is>
      </c>
    </row>
    <row r="27">
      <c r="A27" s="58" t="inlineStr">
        <is>
          <t>Applications</t>
        </is>
      </c>
      <c r="B27" s="58" t="inlineStr">
        <is>
          <t>Equals Unique under wide-flag Master model.</t>
        </is>
      </c>
    </row>
    <row r="28">
      <c r="A28" s="58" t="inlineStr">
        <is>
          <t>Duplicate Flag</t>
        </is>
      </c>
      <c r="B28" s="58" t="inlineStr">
        <is>
          <t>VendorCount &gt; 1</t>
        </is>
      </c>
    </row>
    <row r="29">
      <c r="A29" s="58" t="inlineStr">
        <is>
          <t>Overlap Matrix</t>
        </is>
      </c>
      <c r="B29" s="58" t="inlineStr">
        <is>
          <t>Students with both vendor flags = 1</t>
        </is>
      </c>
    </row>
    <row r="30">
      <c r="A30" s="58" t="inlineStr">
        <is>
          <t>Never</t>
        </is>
      </c>
      <c r="B30" s="58" t="inlineStr">
        <is>
          <t>Sum comma-separated Loan Status tokens as student headcount.</t>
        </is>
      </c>
    </row>
    <row r="31">
      <c r="A31" s="58" t="inlineStr"/>
      <c r="B31" s="58" t="inlineStr"/>
    </row>
    <row r="32">
      <c r="A32" s="21" t="inlineStr">
        <is>
          <t>5. CANONICAL STAGE ORDER</t>
        </is>
      </c>
    </row>
    <row r="33">
      <c r="A33" s="58" t="inlineStr"/>
      <c r="B33" s="58" t="inlineStr">
        <is>
          <t>Refund → DNP → Disbursed → Sanctioned → Rejected → Docs Pending → Processing → Vendor Assigned → Need Loan → Loan Started → Interested → Not Required → Unclassified</t>
        </is>
      </c>
    </row>
    <row r="34">
      <c r="A34" s="58" t="inlineStr"/>
      <c r="B34" s="58" t="inlineStr"/>
    </row>
    <row r="35">
      <c r="A35" s="21" t="inlineStr">
        <is>
          <t>6. ADDING DATA</t>
        </is>
      </c>
    </row>
    <row r="36">
      <c r="A36" s="58" t="inlineStr">
        <is>
          <t>1</t>
        </is>
      </c>
      <c r="B36" s="58" t="inlineStr">
        <is>
          <t>Paste into 01_Master_Data (same headers).</t>
        </is>
      </c>
    </row>
    <row r="37">
      <c r="A37" s="58" t="inlineStr">
        <is>
          <t>2</t>
        </is>
      </c>
      <c r="B37" s="58" t="inlineStr">
        <is>
          <t>Copy last 03_Helper formula row down for new rows.</t>
        </is>
      </c>
    </row>
    <row r="38">
      <c r="A38" s="58" t="inlineStr">
        <is>
          <t>3</t>
        </is>
      </c>
      <c r="B38" s="58" t="inlineStr">
        <is>
          <t>Copy last 04_Student_360 formula row down.</t>
        </is>
      </c>
    </row>
    <row r="39">
      <c r="A39" s="58" t="inlineStr">
        <is>
          <t>4</t>
        </is>
      </c>
      <c r="B39" s="58" t="inlineStr">
        <is>
          <t>Dashboard COUNTIFs cover open columns — KPIs refresh automatically.</t>
        </is>
      </c>
    </row>
    <row r="40">
      <c r="A40" s="58" t="inlineStr">
        <is>
          <t>Sheets</t>
        </is>
      </c>
      <c r="B40" s="58" t="inlineStr">
        <is>
          <t>Upload xlsx to Google Drive → Open with Google Sheets. FILTER spills activate.</t>
        </is>
      </c>
    </row>
    <row r="41">
      <c r="A41" s="58" t="inlineStr"/>
      <c r="B41" s="58" t="inlineStr"/>
    </row>
    <row r="42">
      <c r="A42" s="21" t="inlineStr">
        <is>
          <t>7. EDIT RULES</t>
        </is>
      </c>
    </row>
    <row r="43">
      <c r="A43" s="58" t="inlineStr">
        <is>
          <t>Allowed</t>
        </is>
      </c>
      <c r="B43" s="58" t="inlineStr">
        <is>
          <t>Master Data values; Configuration; Dashboard_Tables filters B4:B9</t>
        </is>
      </c>
    </row>
    <row r="44">
      <c r="A44" s="58" t="inlineStr">
        <is>
          <t>Forbidden</t>
        </is>
      </c>
      <c r="B44" s="58" t="inlineStr">
        <is>
          <t>Hardcoding Dashboard numbers; editing Helper outputs; new pivots</t>
        </is>
      </c>
    </row>
    <row r="45">
      <c r="A45" s="58" t="inlineStr"/>
      <c r="B45" s="58" t="inlineStr"/>
    </row>
    <row r="46">
      <c r="A46" s="21" t="inlineStr">
        <is>
          <t>8. LEGACY PARITY TARGETS (Aug 2026 audit)</t>
        </is>
      </c>
    </row>
    <row r="47">
      <c r="A47" s="58" t="inlineStr">
        <is>
          <t>Need Loan Latest=Yes</t>
        </is>
      </c>
      <c r="B47" s="58" t="inlineStr">
        <is>
          <t>~159</t>
        </is>
      </c>
    </row>
    <row r="48">
      <c r="A48" s="58" t="inlineStr">
        <is>
          <t>Multi-vendor ≥2</t>
        </is>
      </c>
      <c r="B48" s="58" t="inlineStr">
        <is>
          <t>~62</t>
        </is>
      </c>
    </row>
    <row r="49">
      <c r="A49" s="58" t="inlineStr">
        <is>
          <t>FLDG Yes</t>
        </is>
      </c>
      <c r="B49" s="58" t="inlineStr">
        <is>
          <t>~21</t>
        </is>
      </c>
    </row>
    <row r="50">
      <c r="A50" s="58" t="inlineStr">
        <is>
          <t>Vidyalakshmi Yes</t>
        </is>
      </c>
      <c r="B50" s="58" t="inlineStr">
        <is>
          <t>~24</t>
        </is>
      </c>
    </row>
    <row r="51">
      <c r="A51" s="58" t="inlineStr">
        <is>
          <t>Disbursed</t>
        </is>
      </c>
      <c r="B51" s="58" t="inlineStr">
        <is>
          <t>~4</t>
        </is>
      </c>
    </row>
    <row r="52">
      <c r="A52" s="58" t="inlineStr"/>
      <c r="B52" s="58" t="inlineStr"/>
    </row>
    <row r="53">
      <c r="A53" s="21" t="inlineStr">
        <is>
          <t>9. BRAND</t>
        </is>
      </c>
    </row>
    <row r="54">
      <c r="A54" s="58" t="inlineStr">
        <is>
          <t>Primary</t>
        </is>
      </c>
      <c r="B54" s="58" t="inlineStr">
        <is>
          <t>#E31C24</t>
        </is>
      </c>
    </row>
    <row r="55">
      <c r="A55" s="58" t="inlineStr">
        <is>
          <t>Black</t>
        </is>
      </c>
      <c r="B55" s="58" t="inlineStr">
        <is>
          <t>#111111</t>
        </is>
      </c>
    </row>
    <row r="56">
      <c r="A56" s="58" t="inlineStr">
        <is>
          <t>Background</t>
        </is>
      </c>
      <c r="B56" s="58" t="inlineStr">
        <is>
          <t>#F6F6F6</t>
        </is>
      </c>
    </row>
    <row r="57">
      <c r="A57" s="58" t="inlineStr">
        <is>
          <t>Border</t>
        </is>
      </c>
      <c r="B57" s="58" t="inlineStr">
        <is>
          <t>#E5E5E5</t>
        </is>
      </c>
    </row>
    <row r="58">
      <c r="A58" s="58" t="inlineStr">
        <is>
          <t>Inspiration</t>
        </is>
      </c>
      <c r="B58" s="58" t="inlineStr">
        <is>
          <t>sot.upgrad.com — minimal, premium, not a copy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2026-08-03T14:22:10Z</dcterms:created>
  <dcterms:modified xsi:type="dcterms:W3CDTF">2026-08-03T18:58:47Z</dcterms:modified>
</cp:coreProperties>
</file>